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FAS\"/>
    </mc:Choice>
  </mc:AlternateContent>
  <xr:revisionPtr revIDLastSave="0" documentId="13_ncr:1_{691FFC67-84DD-464F-B9FE-C696BA62A5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4" i="1" l="1"/>
  <c r="B233" i="1"/>
  <c r="B232" i="1"/>
  <c r="B231" i="1"/>
  <c r="C230" i="1"/>
  <c r="B230" i="1"/>
  <c r="D230" i="1" s="1"/>
  <c r="D229" i="1"/>
  <c r="C229" i="1"/>
  <c r="B229" i="1"/>
  <c r="C228" i="1"/>
  <c r="B228" i="1"/>
  <c r="D228" i="1" s="1"/>
  <c r="D225" i="1"/>
  <c r="C225" i="1"/>
  <c r="B225" i="1"/>
  <c r="C224" i="1"/>
  <c r="B224" i="1"/>
  <c r="D224" i="1" s="1"/>
  <c r="C223" i="1"/>
  <c r="B223" i="1"/>
  <c r="D223" i="1" s="1"/>
  <c r="B221" i="1"/>
  <c r="C220" i="1"/>
  <c r="B220" i="1"/>
  <c r="D220" i="1" s="1"/>
  <c r="D219" i="1"/>
  <c r="C219" i="1"/>
  <c r="B219" i="1"/>
  <c r="C218" i="1"/>
  <c r="C216" i="1"/>
  <c r="B216" i="1"/>
  <c r="D216" i="1" s="1"/>
  <c r="C215" i="1"/>
  <c r="B215" i="1"/>
  <c r="D215" i="1" s="1"/>
  <c r="C214" i="1"/>
  <c r="B214" i="1"/>
  <c r="D214" i="1" s="1"/>
  <c r="D211" i="1"/>
  <c r="C211" i="1"/>
  <c r="B211" i="1"/>
  <c r="C210" i="1"/>
  <c r="D210" i="1" s="1"/>
  <c r="B210" i="1"/>
  <c r="D209" i="1"/>
  <c r="C209" i="1"/>
  <c r="B209" i="1"/>
  <c r="B207" i="1"/>
  <c r="C206" i="1"/>
  <c r="B206" i="1"/>
  <c r="D206" i="1" s="1"/>
  <c r="C205" i="1"/>
  <c r="B205" i="1"/>
  <c r="D205" i="1" s="1"/>
  <c r="C204" i="1"/>
  <c r="C202" i="1"/>
  <c r="B202" i="1"/>
  <c r="D201" i="1"/>
  <c r="C201" i="1"/>
  <c r="B201" i="1"/>
  <c r="C200" i="1"/>
  <c r="B200" i="1"/>
  <c r="D200" i="1" s="1"/>
  <c r="C197" i="1"/>
  <c r="B197" i="1"/>
  <c r="D197" i="1" s="1"/>
  <c r="C196" i="1"/>
  <c r="B196" i="1"/>
  <c r="D196" i="1" s="1"/>
  <c r="C195" i="1"/>
  <c r="B195" i="1"/>
  <c r="D195" i="1" s="1"/>
  <c r="B193" i="1"/>
  <c r="C192" i="1"/>
  <c r="B192" i="1"/>
  <c r="D192" i="1" s="1"/>
  <c r="C191" i="1"/>
  <c r="B191" i="1"/>
  <c r="D191" i="1" s="1"/>
  <c r="C190" i="1"/>
  <c r="C188" i="1"/>
  <c r="B188" i="1"/>
  <c r="D188" i="1" s="1"/>
  <c r="C187" i="1"/>
  <c r="B187" i="1"/>
  <c r="D187" i="1" s="1"/>
  <c r="C186" i="1"/>
  <c r="B186" i="1"/>
  <c r="D186" i="1" s="1"/>
  <c r="C183" i="1"/>
  <c r="B183" i="1"/>
  <c r="D183" i="1" s="1"/>
  <c r="D182" i="1"/>
  <c r="C182" i="1"/>
  <c r="B182" i="1"/>
  <c r="D181" i="1"/>
  <c r="C181" i="1"/>
  <c r="B181" i="1"/>
  <c r="B179" i="1"/>
  <c r="C178" i="1"/>
  <c r="B178" i="1"/>
  <c r="D178" i="1" s="1"/>
  <c r="C177" i="1"/>
  <c r="B177" i="1"/>
  <c r="D177" i="1" s="1"/>
  <c r="C176" i="1"/>
  <c r="C174" i="1"/>
  <c r="B174" i="1"/>
  <c r="D174" i="1" s="1"/>
  <c r="D173" i="1"/>
  <c r="C173" i="1"/>
  <c r="B173" i="1"/>
  <c r="C172" i="1"/>
  <c r="B172" i="1"/>
  <c r="D172" i="1" s="1"/>
  <c r="C169" i="1"/>
  <c r="B169" i="1"/>
  <c r="D169" i="1" s="1"/>
  <c r="D168" i="1"/>
  <c r="C168" i="1"/>
  <c r="B168" i="1"/>
  <c r="C167" i="1"/>
  <c r="D167" i="1" s="1"/>
  <c r="B167" i="1"/>
  <c r="B165" i="1"/>
  <c r="C164" i="1"/>
  <c r="B164" i="1"/>
  <c r="D164" i="1" s="1"/>
  <c r="D163" i="1"/>
  <c r="C163" i="1"/>
  <c r="B163" i="1"/>
  <c r="C162" i="1"/>
  <c r="C160" i="1"/>
  <c r="B160" i="1"/>
  <c r="C159" i="1"/>
  <c r="D159" i="1" s="1"/>
  <c r="B159" i="1"/>
  <c r="D158" i="1"/>
  <c r="C158" i="1"/>
  <c r="B158" i="1"/>
  <c r="D155" i="1"/>
  <c r="C155" i="1"/>
  <c r="B155" i="1"/>
  <c r="C154" i="1"/>
  <c r="B154" i="1"/>
  <c r="D154" i="1" s="1"/>
  <c r="C153" i="1"/>
  <c r="B153" i="1"/>
  <c r="D153" i="1" s="1"/>
  <c r="B151" i="1"/>
  <c r="D150" i="1"/>
  <c r="C150" i="1"/>
  <c r="B150" i="1"/>
  <c r="C149" i="1"/>
  <c r="B149" i="1"/>
  <c r="D149" i="1" s="1"/>
  <c r="C148" i="1"/>
  <c r="C146" i="1"/>
  <c r="B146" i="1"/>
  <c r="C145" i="1"/>
  <c r="B145" i="1"/>
  <c r="D145" i="1" s="1"/>
  <c r="C144" i="1"/>
  <c r="B144" i="1"/>
  <c r="D144" i="1" s="1"/>
  <c r="C141" i="1"/>
  <c r="B141" i="1"/>
  <c r="D141" i="1" s="1"/>
  <c r="C140" i="1"/>
  <c r="B140" i="1"/>
  <c r="D140" i="1" s="1"/>
  <c r="D139" i="1"/>
  <c r="C139" i="1"/>
  <c r="B139" i="1"/>
  <c r="B137" i="1"/>
  <c r="C136" i="1"/>
  <c r="B136" i="1"/>
  <c r="D136" i="1" s="1"/>
  <c r="C135" i="1"/>
  <c r="B135" i="1"/>
  <c r="D135" i="1" s="1"/>
  <c r="C134" i="1"/>
  <c r="C132" i="1"/>
  <c r="B132" i="1"/>
  <c r="D132" i="1" s="1"/>
  <c r="D131" i="1"/>
  <c r="C131" i="1"/>
  <c r="B131" i="1"/>
  <c r="D130" i="1"/>
  <c r="C130" i="1"/>
  <c r="B130" i="1"/>
  <c r="C127" i="1"/>
  <c r="B127" i="1"/>
  <c r="D127" i="1" s="1"/>
  <c r="C126" i="1"/>
  <c r="B126" i="1"/>
  <c r="D126" i="1" s="1"/>
  <c r="C125" i="1"/>
  <c r="D125" i="1" s="1"/>
  <c r="B125" i="1"/>
  <c r="B123" i="1"/>
  <c r="D122" i="1"/>
  <c r="C122" i="1"/>
  <c r="B122" i="1"/>
  <c r="C121" i="1"/>
  <c r="B121" i="1"/>
  <c r="D121" i="1" s="1"/>
  <c r="C120" i="1"/>
  <c r="C118" i="1"/>
  <c r="B118" i="1"/>
  <c r="D118" i="1" s="1"/>
  <c r="C117" i="1"/>
  <c r="D117" i="1" s="1"/>
  <c r="B117" i="1"/>
  <c r="C116" i="1"/>
  <c r="D116" i="1" s="1"/>
  <c r="B116" i="1"/>
  <c r="C113" i="1"/>
  <c r="B113" i="1"/>
  <c r="D113" i="1" s="1"/>
  <c r="C112" i="1"/>
  <c r="B112" i="1"/>
  <c r="D112" i="1" s="1"/>
  <c r="C111" i="1"/>
  <c r="B111" i="1"/>
  <c r="D111" i="1" s="1"/>
  <c r="B109" i="1"/>
  <c r="C108" i="1"/>
  <c r="D108" i="1" s="1"/>
  <c r="B108" i="1"/>
  <c r="D107" i="1"/>
  <c r="C107" i="1"/>
  <c r="B107" i="1"/>
  <c r="C106" i="1"/>
  <c r="C104" i="1"/>
  <c r="B104" i="1"/>
  <c r="D104" i="1" s="1"/>
  <c r="C103" i="1"/>
  <c r="B103" i="1"/>
  <c r="D103" i="1" s="1"/>
  <c r="C102" i="1"/>
  <c r="B102" i="1"/>
  <c r="D102" i="1" s="1"/>
  <c r="D99" i="1"/>
  <c r="C99" i="1"/>
  <c r="B99" i="1"/>
  <c r="C98" i="1"/>
  <c r="B98" i="1"/>
  <c r="D98" i="1" s="1"/>
  <c r="C97" i="1"/>
  <c r="B97" i="1"/>
  <c r="D97" i="1" s="1"/>
  <c r="B95" i="1"/>
  <c r="C94" i="1"/>
  <c r="B94" i="1"/>
  <c r="D94" i="1" s="1"/>
  <c r="C93" i="1"/>
  <c r="B93" i="1"/>
  <c r="D93" i="1" s="1"/>
  <c r="C92" i="1"/>
  <c r="C90" i="1"/>
  <c r="B90" i="1"/>
  <c r="D90" i="1" s="1"/>
  <c r="C89" i="1"/>
  <c r="B89" i="1"/>
  <c r="D89" i="1" s="1"/>
  <c r="D88" i="1"/>
  <c r="C88" i="1"/>
  <c r="B88" i="1"/>
  <c r="C85" i="1"/>
  <c r="B85" i="1"/>
  <c r="D85" i="1" s="1"/>
  <c r="C84" i="1"/>
  <c r="B84" i="1"/>
  <c r="D84" i="1" s="1"/>
  <c r="C83" i="1"/>
  <c r="B83" i="1"/>
  <c r="D83" i="1" s="1"/>
  <c r="B81" i="1"/>
  <c r="D80" i="1"/>
  <c r="C80" i="1"/>
  <c r="B80" i="1"/>
  <c r="D79" i="1"/>
  <c r="C79" i="1"/>
  <c r="B79" i="1"/>
  <c r="C78" i="1"/>
  <c r="C76" i="1"/>
  <c r="B76" i="1"/>
  <c r="D76" i="1" s="1"/>
  <c r="C75" i="1"/>
  <c r="B75" i="1"/>
  <c r="D75" i="1" s="1"/>
  <c r="C74" i="1"/>
  <c r="D74" i="1" s="1"/>
  <c r="B74" i="1"/>
  <c r="D71" i="1"/>
  <c r="C71" i="1"/>
  <c r="B71" i="1"/>
  <c r="C70" i="1"/>
  <c r="B70" i="1"/>
  <c r="D70" i="1" s="1"/>
  <c r="C69" i="1"/>
  <c r="B69" i="1"/>
  <c r="D69" i="1" s="1"/>
  <c r="B67" i="1"/>
  <c r="C66" i="1"/>
  <c r="D66" i="1" s="1"/>
  <c r="B66" i="1"/>
  <c r="C65" i="1"/>
  <c r="D65" i="1" s="1"/>
  <c r="B65" i="1"/>
  <c r="C64" i="1"/>
  <c r="C62" i="1"/>
  <c r="B62" i="1"/>
  <c r="D62" i="1" s="1"/>
  <c r="C61" i="1"/>
  <c r="B61" i="1"/>
  <c r="D61" i="1" s="1"/>
  <c r="C60" i="1"/>
  <c r="B60" i="1"/>
  <c r="D60" i="1" s="1"/>
  <c r="C57" i="1"/>
  <c r="D57" i="1" s="1"/>
  <c r="B57" i="1"/>
  <c r="D56" i="1"/>
  <c r="C56" i="1"/>
  <c r="B56" i="1"/>
  <c r="C55" i="1"/>
  <c r="B55" i="1"/>
  <c r="D55" i="1" s="1"/>
  <c r="B53" i="1"/>
  <c r="C52" i="1"/>
  <c r="B52" i="1"/>
  <c r="D52" i="1" s="1"/>
  <c r="C51" i="1"/>
  <c r="B51" i="1"/>
  <c r="D51" i="1" s="1"/>
  <c r="C50" i="1"/>
  <c r="C48" i="1"/>
  <c r="B48" i="1"/>
  <c r="D48" i="1" s="1"/>
  <c r="C47" i="1"/>
  <c r="B47" i="1"/>
  <c r="D47" i="1" s="1"/>
  <c r="C46" i="1"/>
  <c r="B46" i="1"/>
  <c r="D46" i="1" s="1"/>
  <c r="C43" i="1"/>
  <c r="B43" i="1"/>
  <c r="D43" i="1" s="1"/>
  <c r="C42" i="1"/>
  <c r="B42" i="1"/>
  <c r="D42" i="1" s="1"/>
  <c r="C41" i="1"/>
  <c r="B41" i="1"/>
  <c r="D41" i="1" s="1"/>
  <c r="C39" i="1"/>
  <c r="B39" i="1"/>
  <c r="D39" i="1" s="1"/>
  <c r="C38" i="1"/>
  <c r="B38" i="1"/>
  <c r="D38" i="1" s="1"/>
  <c r="A37" i="1" a="1"/>
  <c r="C227" i="1" s="1"/>
  <c r="A25" i="1" a="1"/>
  <c r="C26" i="1" s="1"/>
  <c r="C5" i="1"/>
  <c r="C4" i="1"/>
  <c r="C3" i="1"/>
  <c r="C2" i="1"/>
  <c r="D146" i="1" l="1"/>
  <c r="B30" i="1"/>
  <c r="C31" i="1"/>
  <c r="B31" i="1"/>
  <c r="D31" i="1" s="1"/>
  <c r="A25" i="1"/>
  <c r="C29" i="1"/>
  <c r="B26" i="1"/>
  <c r="D26" i="1" s="1"/>
  <c r="D202" i="1"/>
  <c r="C28" i="1"/>
  <c r="B28" i="1"/>
  <c r="C27" i="1"/>
  <c r="C30" i="1"/>
  <c r="B27" i="1"/>
  <c r="B29" i="1"/>
  <c r="D29" i="1" s="1"/>
  <c r="D160" i="1"/>
  <c r="C44" i="1"/>
  <c r="B49" i="1"/>
  <c r="C58" i="1"/>
  <c r="B63" i="1"/>
  <c r="C72" i="1"/>
  <c r="B77" i="1"/>
  <c r="C86" i="1"/>
  <c r="B91" i="1"/>
  <c r="C100" i="1"/>
  <c r="B105" i="1"/>
  <c r="C114" i="1"/>
  <c r="B119" i="1"/>
  <c r="C128" i="1"/>
  <c r="B133" i="1"/>
  <c r="C142" i="1"/>
  <c r="B147" i="1"/>
  <c r="C156" i="1"/>
  <c r="B161" i="1"/>
  <c r="C170" i="1"/>
  <c r="B175" i="1"/>
  <c r="C184" i="1"/>
  <c r="B189" i="1"/>
  <c r="C198" i="1"/>
  <c r="B203" i="1"/>
  <c r="C212" i="1"/>
  <c r="B217" i="1"/>
  <c r="C226" i="1"/>
  <c r="A37" i="1"/>
  <c r="B40" i="1"/>
  <c r="C49" i="1"/>
  <c r="B54" i="1"/>
  <c r="D54" i="1" s="1"/>
  <c r="C63" i="1"/>
  <c r="B68" i="1"/>
  <c r="C77" i="1"/>
  <c r="B82" i="1"/>
  <c r="D82" i="1" s="1"/>
  <c r="C91" i="1"/>
  <c r="B96" i="1"/>
  <c r="C105" i="1"/>
  <c r="B110" i="1"/>
  <c r="C119" i="1"/>
  <c r="B124" i="1"/>
  <c r="C133" i="1"/>
  <c r="B138" i="1"/>
  <c r="C147" i="1"/>
  <c r="B152" i="1"/>
  <c r="D152" i="1" s="1"/>
  <c r="C161" i="1"/>
  <c r="B166" i="1"/>
  <c r="C175" i="1"/>
  <c r="B180" i="1"/>
  <c r="D180" i="1" s="1"/>
  <c r="C189" i="1"/>
  <c r="B194" i="1"/>
  <c r="C203" i="1"/>
  <c r="B208" i="1"/>
  <c r="C217" i="1"/>
  <c r="B222" i="1"/>
  <c r="B44" i="1"/>
  <c r="D44" i="1" s="1"/>
  <c r="C53" i="1"/>
  <c r="D53" i="1" s="1"/>
  <c r="B58" i="1"/>
  <c r="D58" i="1" s="1"/>
  <c r="C67" i="1"/>
  <c r="D67" i="1" s="1"/>
  <c r="B72" i="1"/>
  <c r="D72" i="1" s="1"/>
  <c r="C81" i="1"/>
  <c r="D81" i="1" s="1"/>
  <c r="B86" i="1"/>
  <c r="D86" i="1" s="1"/>
  <c r="C95" i="1"/>
  <c r="D95" i="1" s="1"/>
  <c r="B100" i="1"/>
  <c r="D100" i="1" s="1"/>
  <c r="C109" i="1"/>
  <c r="D109" i="1" s="1"/>
  <c r="B114" i="1"/>
  <c r="D114" i="1" s="1"/>
  <c r="C123" i="1"/>
  <c r="D123" i="1" s="1"/>
  <c r="B128" i="1"/>
  <c r="D128" i="1" s="1"/>
  <c r="C137" i="1"/>
  <c r="D137" i="1" s="1"/>
  <c r="B142" i="1"/>
  <c r="D142" i="1" s="1"/>
  <c r="C151" i="1"/>
  <c r="D151" i="1" s="1"/>
  <c r="B156" i="1"/>
  <c r="D156" i="1" s="1"/>
  <c r="C165" i="1"/>
  <c r="D165" i="1" s="1"/>
  <c r="B170" i="1"/>
  <c r="D170" i="1" s="1"/>
  <c r="C179" i="1"/>
  <c r="D179" i="1" s="1"/>
  <c r="B184" i="1"/>
  <c r="D184" i="1" s="1"/>
  <c r="C193" i="1"/>
  <c r="D193" i="1" s="1"/>
  <c r="B198" i="1"/>
  <c r="D198" i="1" s="1"/>
  <c r="C207" i="1"/>
  <c r="D207" i="1" s="1"/>
  <c r="B212" i="1"/>
  <c r="D212" i="1" s="1"/>
  <c r="C221" i="1"/>
  <c r="D221" i="1" s="1"/>
  <c r="B226" i="1"/>
  <c r="D226" i="1" s="1"/>
  <c r="C40" i="1"/>
  <c r="B45" i="1"/>
  <c r="C54" i="1"/>
  <c r="B59" i="1"/>
  <c r="C68" i="1"/>
  <c r="B73" i="1"/>
  <c r="D73" i="1" s="1"/>
  <c r="C82" i="1"/>
  <c r="B87" i="1"/>
  <c r="C96" i="1"/>
  <c r="B101" i="1"/>
  <c r="D101" i="1" s="1"/>
  <c r="C110" i="1"/>
  <c r="B115" i="1"/>
  <c r="D115" i="1" s="1"/>
  <c r="C124" i="1"/>
  <c r="B129" i="1"/>
  <c r="C138" i="1"/>
  <c r="B143" i="1"/>
  <c r="C152" i="1"/>
  <c r="B157" i="1"/>
  <c r="C166" i="1"/>
  <c r="B171" i="1"/>
  <c r="D171" i="1" s="1"/>
  <c r="C180" i="1"/>
  <c r="B185" i="1"/>
  <c r="C194" i="1"/>
  <c r="B199" i="1"/>
  <c r="D199" i="1" s="1"/>
  <c r="C208" i="1"/>
  <c r="B213" i="1"/>
  <c r="D213" i="1" s="1"/>
  <c r="C222" i="1"/>
  <c r="B227" i="1"/>
  <c r="D227" i="1" s="1"/>
  <c r="C45" i="1"/>
  <c r="B50" i="1"/>
  <c r="D50" i="1" s="1"/>
  <c r="C59" i="1"/>
  <c r="B64" i="1"/>
  <c r="D64" i="1" s="1"/>
  <c r="C73" i="1"/>
  <c r="B78" i="1"/>
  <c r="D78" i="1" s="1"/>
  <c r="C87" i="1"/>
  <c r="B92" i="1"/>
  <c r="D92" i="1" s="1"/>
  <c r="C101" i="1"/>
  <c r="B106" i="1"/>
  <c r="D106" i="1" s="1"/>
  <c r="C115" i="1"/>
  <c r="B120" i="1"/>
  <c r="D120" i="1" s="1"/>
  <c r="C129" i="1"/>
  <c r="B134" i="1"/>
  <c r="D134" i="1" s="1"/>
  <c r="C143" i="1"/>
  <c r="B148" i="1"/>
  <c r="D148" i="1" s="1"/>
  <c r="C157" i="1"/>
  <c r="B162" i="1"/>
  <c r="D162" i="1" s="1"/>
  <c r="C171" i="1"/>
  <c r="B176" i="1"/>
  <c r="D176" i="1" s="1"/>
  <c r="C185" i="1"/>
  <c r="B190" i="1"/>
  <c r="D190" i="1" s="1"/>
  <c r="C199" i="1"/>
  <c r="B204" i="1"/>
  <c r="D204" i="1" s="1"/>
  <c r="C213" i="1"/>
  <c r="B218" i="1"/>
  <c r="D218" i="1" s="1"/>
  <c r="D143" i="1" l="1"/>
  <c r="D45" i="1"/>
  <c r="C37" i="1"/>
  <c r="B37" i="1"/>
  <c r="D37" i="1" s="1"/>
  <c r="D133" i="1"/>
  <c r="D222" i="1"/>
  <c r="D124" i="1"/>
  <c r="D129" i="1"/>
  <c r="D217" i="1"/>
  <c r="D119" i="1"/>
  <c r="D208" i="1"/>
  <c r="D110" i="1"/>
  <c r="B25" i="1"/>
  <c r="C25" i="1"/>
  <c r="D203" i="1"/>
  <c r="D105" i="1"/>
  <c r="D194" i="1"/>
  <c r="D96" i="1"/>
  <c r="D27" i="1"/>
  <c r="D185" i="1"/>
  <c r="D87" i="1"/>
  <c r="D175" i="1"/>
  <c r="D77" i="1"/>
  <c r="D28" i="1"/>
  <c r="D166" i="1"/>
  <c r="D68" i="1"/>
  <c r="D30" i="1"/>
  <c r="D189" i="1"/>
  <c r="D63" i="1"/>
  <c r="D157" i="1"/>
  <c r="D59" i="1"/>
  <c r="D147" i="1"/>
  <c r="D49" i="1"/>
  <c r="D91" i="1"/>
  <c r="D161" i="1"/>
  <c r="D138" i="1"/>
  <c r="D40" i="1"/>
  <c r="F37" i="1" l="1" a="1"/>
  <c r="F37" i="1" s="1"/>
  <c r="E37" i="1" a="1"/>
  <c r="E37" i="1" s="1"/>
  <c r="D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<sst xmlns="http://schemas.openxmlformats.org/spreadsheetml/2006/main" count="82" uniqueCount="62">
  <si>
    <t>CARDS</t>
  </si>
  <si>
    <t>Avg_inflation</t>
  </si>
  <si>
    <t>Avg_investment</t>
  </si>
  <si>
    <t>gross national savings</t>
  </si>
  <si>
    <t>total count of countries</t>
  </si>
  <si>
    <t>Visual 1</t>
  </si>
  <si>
    <t>Country Group Name</t>
  </si>
  <si>
    <t>(All)</t>
  </si>
  <si>
    <t>Average of Value</t>
  </si>
  <si>
    <t>Column Labels</t>
  </si>
  <si>
    <t>Row Labels</t>
  </si>
  <si>
    <t>Investment</t>
  </si>
  <si>
    <t>2019</t>
  </si>
  <si>
    <t>2020</t>
  </si>
  <si>
    <t>2021</t>
  </si>
  <si>
    <t>2022</t>
  </si>
  <si>
    <t>2023</t>
  </si>
  <si>
    <t>2024</t>
  </si>
  <si>
    <t>2025</t>
  </si>
  <si>
    <t>Visual 2</t>
  </si>
  <si>
    <t>Years</t>
  </si>
  <si>
    <t>Unemployment Rate</t>
  </si>
  <si>
    <t>Inflation</t>
  </si>
  <si>
    <t>Misery Index</t>
  </si>
  <si>
    <t>Country Name</t>
  </si>
  <si>
    <t>GDP growth</t>
  </si>
  <si>
    <t>Sweet Spot score</t>
  </si>
  <si>
    <t>Country</t>
  </si>
  <si>
    <t>Sweet Spot</t>
  </si>
  <si>
    <t>Visual 4</t>
  </si>
  <si>
    <t>Sum of Value</t>
  </si>
  <si>
    <t>Gross domestic product based on purchasing-power-parity (PPP) share of world total</t>
  </si>
  <si>
    <t>Brazil</t>
  </si>
  <si>
    <t>China</t>
  </si>
  <si>
    <t>France</t>
  </si>
  <si>
    <t>Germany</t>
  </si>
  <si>
    <t>India</t>
  </si>
  <si>
    <t>Indonesia</t>
  </si>
  <si>
    <t>Italy</t>
  </si>
  <si>
    <t>Japan</t>
  </si>
  <si>
    <t>Russia</t>
  </si>
  <si>
    <t>United States</t>
  </si>
  <si>
    <t>Visual 5</t>
  </si>
  <si>
    <t>Gross domestic product, constant prices</t>
  </si>
  <si>
    <t>Bangladesh</t>
  </si>
  <si>
    <t>Benin</t>
  </si>
  <si>
    <t>Ethiopia</t>
  </si>
  <si>
    <t>Guyana</t>
  </si>
  <si>
    <t>Ireland</t>
  </si>
  <si>
    <t>Macao SAR</t>
  </si>
  <si>
    <t>Maldives</t>
  </si>
  <si>
    <t>Malta</t>
  </si>
  <si>
    <t>Rwanda</t>
  </si>
  <si>
    <t>Tajikistan</t>
  </si>
  <si>
    <t>Visual 6</t>
  </si>
  <si>
    <t>General government net lending/borrowing</t>
  </si>
  <si>
    <t>Bahrain</t>
  </si>
  <si>
    <t>Brunei Darussalam</t>
  </si>
  <si>
    <t>Ghana</t>
  </si>
  <si>
    <t>Romania</t>
  </si>
  <si>
    <t>Timor-Leste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</si>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</sst>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0" xfId="0" pivotButton="1"/>
    <xf numFmtId="0" fontId="0" fillId="2" borderId="0" xfId="0" applyFill="1" applyAlignment="1">
      <alignment horizontal="right" indent="1"/>
    </xf>
    <xf numFmtId="0" fontId="1" fillId="2" borderId="0" xfId="0" applyFont="1" applyFill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DAMP\project-excel\finsight%20automation1.xlsx" TargetMode="External"/><Relationship Id="rId1" Type="http://schemas.openxmlformats.org/officeDocument/2006/relationships/externalLinkPath" Target="/Users/ASUS/Desktop/DAMP/project-excel/finsight%20automatio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Calculations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US/Desktop/DAMP/project-excel/finsight%20automation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3.452605902778" createdVersion="8" refreshedVersion="8" minRefreshableVersion="3" recordCount="40535" xr:uid="{3CCC50F3-F4C6-4774-A85E-02D26ED88A17}">
  <cacheSource type="worksheet">
    <worksheetSource name="Weo_Data" r:id="rId2"/>
  </cacheSource>
  <cacheFields count="8">
    <cacheField name="WEO Country Group Code" numFmtId="0">
      <sharedItems containsSemiMixedTypes="0" containsString="0" containsNumber="1" containsInteger="1" minValue="1" maxValue="998"/>
    </cacheField>
    <cacheField name="Country Group Name" numFmtId="0">
      <sharedItems count="13">
        <s v="Advanced economies"/>
        <s v="Major advanced economies (G7)"/>
        <s v="World"/>
        <s v="Emerging market and developing economies"/>
        <s v="Emerging and developing Asia"/>
        <s v="Euro area"/>
        <s v="European Union"/>
        <s v="Latin America and the Caribbean"/>
        <s v="Emerging and developing Europe"/>
        <s v="Other advanced economies (Advanced economies excluding G7 and euro area)"/>
        <s v="ASEAN-5"/>
        <s v="Middle East and Central Asia"/>
        <s v="Sub-Saharan Africa"/>
      </sharedItems>
    </cacheField>
    <cacheField name="Country Name" numFmtId="0">
      <sharedItems count="194">
        <s v="United States"/>
        <s v="China"/>
        <s v="Germany"/>
        <s v="Japan"/>
        <s v="India"/>
        <s v="United Kingdom"/>
        <s v="France"/>
        <s v="Brazil"/>
        <s v="Italy"/>
        <s v="Canada"/>
        <s v="Russia"/>
        <s v="Mexico"/>
        <s v="Australia"/>
        <s v="Korea"/>
        <s v="Spain"/>
        <s v="Indonesia"/>
        <s v="Türkiye"/>
        <s v="Saudi Arabia"/>
        <s v="Switzerland"/>
        <s v="Poland"/>
        <s v="Taiwan Province of China"/>
        <s v="Belgium"/>
        <s v="Sweden"/>
        <s v="Argentina"/>
        <s v="Ireland"/>
        <s v="Zimbabwe"/>
        <s v="Thailand"/>
        <s v="Austria"/>
        <s v="Israel"/>
        <s v="United Arab Emirates"/>
        <s v="Norway"/>
        <s v="Singapore"/>
        <s v="Philippines"/>
        <s v="Vietnam"/>
        <s v="Islamic Republic of Iran"/>
        <s v="Bangladesh"/>
        <s v="Malaysia"/>
        <s v="Denmark"/>
        <s v="Hong Kong SAR"/>
        <s v="Colombia"/>
        <s v="South Africa"/>
        <s v="Romania"/>
        <s v="Egypt"/>
        <s v="Chile"/>
        <s v="Czech Republic"/>
        <s v="Finland"/>
        <s v="Portugal"/>
        <s v="Kazakhstan"/>
        <s v="Peru"/>
        <s v="Algeria"/>
        <s v="Iraq"/>
        <s v="New Zealand"/>
        <s v="Nigeria"/>
        <s v="Greece"/>
        <s v="Qatar"/>
        <s v="Hungary"/>
        <s v="Ethiopia"/>
        <s v="Ukraine"/>
        <s v="Kuwait"/>
        <s v="Morocco"/>
        <s v="Sudan"/>
        <s v="Slovak Republic"/>
        <s v="Nauru"/>
        <s v="Dominican Republic"/>
        <s v="Kiribati"/>
        <s v="Tuvalu"/>
        <s v="Ecuador"/>
        <s v="Puerto Rico"/>
        <s v="Guatemala"/>
        <s v="Oman"/>
        <s v="Bulgaria"/>
        <s v="Kenya"/>
        <s v="Venezuela"/>
        <s v="Uzbekistan"/>
        <s v="Costa Rica"/>
        <s v="Angola"/>
        <s v="Luxembourg"/>
        <s v="Timor-Leste"/>
        <s v="Croatia"/>
        <s v="Panama"/>
        <s v="Côte d'Ivoire"/>
        <s v="Uruguay"/>
        <s v="Turkmenistan"/>
        <s v="Serbia"/>
        <s v="Lithuania"/>
        <s v="Tanzania"/>
        <s v="Azerbaijan"/>
        <s v="Ghana"/>
        <s v="Palau"/>
        <s v="Democratic Republic of the Congo"/>
        <s v="Slovenia"/>
        <s v="Belarus"/>
        <s v="Marshall Islands"/>
        <s v="Myanmar"/>
        <s v="Niger"/>
        <s v="Libya"/>
        <s v="Micronesia"/>
        <s v="Uganda"/>
        <s v="South Sudan"/>
        <s v="Tunisia"/>
        <s v="Macao SAR"/>
        <s v="Jordan"/>
        <s v="Cameroon"/>
        <s v="Lesotho"/>
        <s v="Mozambique"/>
        <s v="Suriname"/>
        <s v="Bolivia"/>
        <s v="Tonga"/>
        <s v="Bahrain"/>
        <s v="Paraguay"/>
        <s v="Latvia"/>
        <s v="Grenada"/>
        <s v="Cambodia"/>
        <s v="Iceland"/>
        <s v="Dominica"/>
        <s v="Estonia"/>
        <s v="Montenegro"/>
        <s v="Nepal"/>
        <s v="Cyprus"/>
        <s v="Kyrgyz Republic"/>
        <s v="Guyana"/>
        <s v="Bosnia and Herzegovina"/>
        <s v="Vanuatu"/>
        <s v="Maldives"/>
        <s v="St. Kitts and Nevis"/>
        <s v="Senegal"/>
        <s v="Sierra Leone"/>
        <s v="Andorra"/>
        <s v="Malta"/>
        <s v="Burundi"/>
        <s v="Bhutan"/>
        <s v="Honduras"/>
        <s v="Antigua and Barbuda"/>
        <s v="Moldova"/>
        <s v="Mauritania"/>
        <s v="North Macedonia"/>
        <s v="Namibia"/>
        <s v="St. Vincent and the Grenadines"/>
        <s v="Gabon"/>
        <s v="Zambia"/>
        <s v="El Salvador"/>
        <s v="Seychelles"/>
        <s v="Samoa"/>
        <s v="Mongolia"/>
        <s v="Benin"/>
        <s v="Georgia"/>
        <s v="Botswana"/>
        <s v="Fiji"/>
        <s v="Papua New Guinea"/>
        <s v="Brunei Darussalam"/>
        <s v="Kosovo"/>
        <s v="Jamaica"/>
        <s v="Cabo Verde"/>
        <s v="Republic of Congo"/>
        <s v="Albania"/>
        <s v="Tajikistan"/>
        <s v="Solomon Islands"/>
        <s v="Armenia"/>
        <s v="Rwanda"/>
        <s v="Barbados"/>
        <s v="Trinidad and Tobago"/>
        <s v="Eswatini"/>
        <s v="Malawi"/>
        <s v="Togo"/>
        <s v="Burkina Faso"/>
        <s v="São Tomé and Príncipe"/>
        <s v="Mauritius"/>
        <s v="Nicaragua"/>
        <s v="The Gambia"/>
        <s v="Aruba"/>
        <s v="Mali"/>
        <s v="Equatorial Guinea"/>
        <s v="Liberia"/>
        <s v="Guinea"/>
        <s v="Pakistan"/>
        <s v="The Bahamas"/>
        <s v="Haiti"/>
        <s v="Belize"/>
        <s v="St. Lucia"/>
        <s v="Madagascar"/>
        <s v="San Marino"/>
        <s v="Lao P.D.R."/>
        <s v="Comoros"/>
        <s v="Djibouti"/>
        <s v="Guinea-Bissau"/>
        <s v="Chad"/>
        <s v="Central African Republic"/>
        <s v="Yemen"/>
        <s v="Somalia"/>
        <s v="Lebanon"/>
        <s v="Eritrea"/>
        <s v="Sri Lanka"/>
        <s v="Afghanistan"/>
        <s v="West Bank and Gaza"/>
      </sharedItems>
    </cacheField>
    <cacheField name="Subject Descriptor" numFmtId="0">
      <sharedItems count="14">
        <s v="Gross domestic product, current prices"/>
        <s v="Inflation, average consumer prices"/>
        <s v="General government revenue"/>
        <s v="General government total expenditure"/>
        <s v="Volume of exports of goods and services"/>
        <s v="Gross national savings"/>
        <s v="Volume of imports of goods and services"/>
        <s v="Investment"/>
        <s v="Gross domestic product, constant prices"/>
        <s v="General government net lending/borrowing"/>
        <s v="Gross domestic product based on purchasing-power-parity (PPP) share of world total"/>
        <s v="Unemployment rate"/>
        <s v="General government structural balance"/>
        <s v="Output gap"/>
      </sharedItems>
    </cacheField>
    <cacheField name="Units" numFmtId="0">
      <sharedItems/>
    </cacheField>
    <cacheField name="Scale" numFmtId="0">
      <sharedItems/>
    </cacheField>
    <cacheField name="Years" numFmtId="0">
      <sharedItems count="7">
        <s v="2019"/>
        <s v="2020"/>
        <s v="2021"/>
        <s v="2022"/>
        <s v="2023"/>
        <s v="2024"/>
        <s v="2025"/>
      </sharedItems>
    </cacheField>
    <cacheField name="Value" numFmtId="0">
      <sharedItems containsSemiMixedTypes="0" containsString="0" containsNumber="1" minValue="-78.84" maxValue="29839.684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35">
  <r>
    <n v="110"/>
    <x v="0"/>
    <x v="0"/>
    <x v="0"/>
    <s v="U.S. dollars"/>
    <s v="Billions"/>
    <x v="0"/>
    <n v="21521.4"/>
  </r>
  <r>
    <n v="110"/>
    <x v="0"/>
    <x v="0"/>
    <x v="0"/>
    <s v="U.S. dollars"/>
    <s v="Billions"/>
    <x v="1"/>
    <n v="21322.924999999999"/>
  </r>
  <r>
    <n v="110"/>
    <x v="0"/>
    <x v="0"/>
    <x v="0"/>
    <s v="U.S. dollars"/>
    <s v="Billions"/>
    <x v="2"/>
    <n v="23594.05"/>
  </r>
  <r>
    <n v="110"/>
    <x v="0"/>
    <x v="0"/>
    <x v="0"/>
    <s v="U.S. dollars"/>
    <s v="Billions"/>
    <x v="3"/>
    <n v="25744.1"/>
  </r>
  <r>
    <n v="110"/>
    <x v="0"/>
    <x v="0"/>
    <x v="0"/>
    <s v="U.S. dollars"/>
    <s v="Billions"/>
    <x v="4"/>
    <n v="27357.825000000001"/>
  </r>
  <r>
    <n v="110"/>
    <x v="0"/>
    <x v="0"/>
    <x v="0"/>
    <s v="U.S. dollars"/>
    <s v="Billions"/>
    <x v="5"/>
    <n v="28781.082999999999"/>
  </r>
  <r>
    <n v="110"/>
    <x v="0"/>
    <x v="0"/>
    <x v="0"/>
    <s v="U.S. dollars"/>
    <s v="Billions"/>
    <x v="6"/>
    <n v="29839.684000000001"/>
  </r>
  <r>
    <n v="119"/>
    <x v="1"/>
    <x v="0"/>
    <x v="0"/>
    <s v="U.S. dollars"/>
    <s v="Billions"/>
    <x v="0"/>
    <n v="21521.4"/>
  </r>
  <r>
    <n v="119"/>
    <x v="1"/>
    <x v="0"/>
    <x v="0"/>
    <s v="U.S. dollars"/>
    <s v="Billions"/>
    <x v="1"/>
    <n v="21322.924999999999"/>
  </r>
  <r>
    <n v="119"/>
    <x v="1"/>
    <x v="0"/>
    <x v="0"/>
    <s v="U.S. dollars"/>
    <s v="Billions"/>
    <x v="2"/>
    <n v="23594.05"/>
  </r>
  <r>
    <n v="119"/>
    <x v="1"/>
    <x v="0"/>
    <x v="0"/>
    <s v="U.S. dollars"/>
    <s v="Billions"/>
    <x v="3"/>
    <n v="25744.1"/>
  </r>
  <r>
    <n v="119"/>
    <x v="1"/>
    <x v="0"/>
    <x v="0"/>
    <s v="U.S. dollars"/>
    <s v="Billions"/>
    <x v="4"/>
    <n v="27357.825000000001"/>
  </r>
  <r>
    <n v="119"/>
    <x v="1"/>
    <x v="0"/>
    <x v="0"/>
    <s v="U.S. dollars"/>
    <s v="Billions"/>
    <x v="5"/>
    <n v="28781.082999999999"/>
  </r>
  <r>
    <n v="119"/>
    <x v="1"/>
    <x v="0"/>
    <x v="0"/>
    <s v="U.S. dollars"/>
    <s v="Billions"/>
    <x v="6"/>
    <n v="29839.684000000001"/>
  </r>
  <r>
    <n v="1"/>
    <x v="2"/>
    <x v="0"/>
    <x v="0"/>
    <s v="U.S. dollars"/>
    <s v="Billions"/>
    <x v="0"/>
    <n v="21521.4"/>
  </r>
  <r>
    <n v="1"/>
    <x v="2"/>
    <x v="0"/>
    <x v="0"/>
    <s v="U.S. dollars"/>
    <s v="Billions"/>
    <x v="1"/>
    <n v="21322.924999999999"/>
  </r>
  <r>
    <n v="1"/>
    <x v="2"/>
    <x v="0"/>
    <x v="0"/>
    <s v="U.S. dollars"/>
    <s v="Billions"/>
    <x v="2"/>
    <n v="23594.05"/>
  </r>
  <r>
    <n v="1"/>
    <x v="2"/>
    <x v="0"/>
    <x v="0"/>
    <s v="U.S. dollars"/>
    <s v="Billions"/>
    <x v="3"/>
    <n v="25744.1"/>
  </r>
  <r>
    <n v="1"/>
    <x v="2"/>
    <x v="0"/>
    <x v="0"/>
    <s v="U.S. dollars"/>
    <s v="Billions"/>
    <x v="4"/>
    <n v="27357.825000000001"/>
  </r>
  <r>
    <n v="1"/>
    <x v="2"/>
    <x v="0"/>
    <x v="0"/>
    <s v="U.S. dollars"/>
    <s v="Billions"/>
    <x v="5"/>
    <n v="28781.082999999999"/>
  </r>
  <r>
    <n v="1"/>
    <x v="2"/>
    <x v="0"/>
    <x v="0"/>
    <s v="U.S. dollars"/>
    <s v="Billions"/>
    <x v="6"/>
    <n v="29839.684000000001"/>
  </r>
  <r>
    <n v="1"/>
    <x v="2"/>
    <x v="1"/>
    <x v="0"/>
    <s v="U.S. dollars"/>
    <s v="Billions"/>
    <x v="0"/>
    <n v="14340.6"/>
  </r>
  <r>
    <n v="1"/>
    <x v="2"/>
    <x v="1"/>
    <x v="0"/>
    <s v="U.S. dollars"/>
    <s v="Billions"/>
    <x v="1"/>
    <n v="14862.564"/>
  </r>
  <r>
    <n v="1"/>
    <x v="2"/>
    <x v="1"/>
    <x v="0"/>
    <s v="U.S. dollars"/>
    <s v="Billions"/>
    <x v="2"/>
    <n v="17759.307000000001"/>
  </r>
  <r>
    <n v="1"/>
    <x v="2"/>
    <x v="1"/>
    <x v="0"/>
    <s v="U.S. dollars"/>
    <s v="Billions"/>
    <x v="3"/>
    <n v="17848.54"/>
  </r>
  <r>
    <n v="1"/>
    <x v="2"/>
    <x v="1"/>
    <x v="0"/>
    <s v="U.S. dollars"/>
    <s v="Billions"/>
    <x v="4"/>
    <n v="17662.041000000001"/>
  </r>
  <r>
    <n v="1"/>
    <x v="2"/>
    <x v="1"/>
    <x v="0"/>
    <s v="U.S. dollars"/>
    <s v="Billions"/>
    <x v="5"/>
    <n v="18532.633000000002"/>
  </r>
  <r>
    <n v="1"/>
    <x v="2"/>
    <x v="1"/>
    <x v="0"/>
    <s v="U.S. dollars"/>
    <s v="Billions"/>
    <x v="6"/>
    <n v="19790.074000000001"/>
  </r>
  <r>
    <n v="200"/>
    <x v="3"/>
    <x v="1"/>
    <x v="0"/>
    <s v="U.S. dollars"/>
    <s v="Billions"/>
    <x v="0"/>
    <n v="14340.6"/>
  </r>
  <r>
    <n v="200"/>
    <x v="3"/>
    <x v="1"/>
    <x v="0"/>
    <s v="U.S. dollars"/>
    <s v="Billions"/>
    <x v="1"/>
    <n v="14862.564"/>
  </r>
  <r>
    <n v="200"/>
    <x v="3"/>
    <x v="1"/>
    <x v="0"/>
    <s v="U.S. dollars"/>
    <s v="Billions"/>
    <x v="2"/>
    <n v="17759.307000000001"/>
  </r>
  <r>
    <n v="200"/>
    <x v="3"/>
    <x v="1"/>
    <x v="0"/>
    <s v="U.S. dollars"/>
    <s v="Billions"/>
    <x v="3"/>
    <n v="17848.54"/>
  </r>
  <r>
    <n v="200"/>
    <x v="3"/>
    <x v="1"/>
    <x v="0"/>
    <s v="U.S. dollars"/>
    <s v="Billions"/>
    <x v="4"/>
    <n v="17662.041000000001"/>
  </r>
  <r>
    <n v="200"/>
    <x v="3"/>
    <x v="1"/>
    <x v="0"/>
    <s v="U.S. dollars"/>
    <s v="Billions"/>
    <x v="5"/>
    <n v="18532.633000000002"/>
  </r>
  <r>
    <n v="200"/>
    <x v="3"/>
    <x v="1"/>
    <x v="0"/>
    <s v="U.S. dollars"/>
    <s v="Billions"/>
    <x v="6"/>
    <n v="19790.074000000001"/>
  </r>
  <r>
    <n v="505"/>
    <x v="4"/>
    <x v="1"/>
    <x v="0"/>
    <s v="U.S. dollars"/>
    <s v="Billions"/>
    <x v="0"/>
    <n v="14340.6"/>
  </r>
  <r>
    <n v="505"/>
    <x v="4"/>
    <x v="1"/>
    <x v="0"/>
    <s v="U.S. dollars"/>
    <s v="Billions"/>
    <x v="1"/>
    <n v="14862.564"/>
  </r>
  <r>
    <n v="505"/>
    <x v="4"/>
    <x v="1"/>
    <x v="0"/>
    <s v="U.S. dollars"/>
    <s v="Billions"/>
    <x v="2"/>
    <n v="17759.307000000001"/>
  </r>
  <r>
    <n v="505"/>
    <x v="4"/>
    <x v="1"/>
    <x v="0"/>
    <s v="U.S. dollars"/>
    <s v="Billions"/>
    <x v="3"/>
    <n v="17848.54"/>
  </r>
  <r>
    <n v="505"/>
    <x v="4"/>
    <x v="1"/>
    <x v="0"/>
    <s v="U.S. dollars"/>
    <s v="Billions"/>
    <x v="4"/>
    <n v="17662.041000000001"/>
  </r>
  <r>
    <n v="505"/>
    <x v="4"/>
    <x v="1"/>
    <x v="0"/>
    <s v="U.S. dollars"/>
    <s v="Billions"/>
    <x v="5"/>
    <n v="18532.633000000002"/>
  </r>
  <r>
    <n v="505"/>
    <x v="4"/>
    <x v="1"/>
    <x v="0"/>
    <s v="U.S. dollars"/>
    <s v="Billions"/>
    <x v="6"/>
    <n v="19790.074000000001"/>
  </r>
  <r>
    <n v="1"/>
    <x v="2"/>
    <x v="2"/>
    <x v="0"/>
    <s v="U.S. dollars"/>
    <s v="Billions"/>
    <x v="0"/>
    <n v="3889.607"/>
  </r>
  <r>
    <n v="1"/>
    <x v="2"/>
    <x v="2"/>
    <x v="0"/>
    <s v="U.S. dollars"/>
    <s v="Billions"/>
    <x v="1"/>
    <n v="3884.6149999999998"/>
  </r>
  <r>
    <n v="1"/>
    <x v="2"/>
    <x v="2"/>
    <x v="0"/>
    <s v="U.S. dollars"/>
    <s v="Billions"/>
    <x v="2"/>
    <n v="4281.348"/>
  </r>
  <r>
    <n v="1"/>
    <x v="2"/>
    <x v="2"/>
    <x v="0"/>
    <s v="U.S. dollars"/>
    <s v="Billions"/>
    <x v="3"/>
    <n v="4085.681"/>
  </r>
  <r>
    <n v="1"/>
    <x v="2"/>
    <x v="2"/>
    <x v="0"/>
    <s v="U.S. dollars"/>
    <s v="Billions"/>
    <x v="4"/>
    <n v="4457.366"/>
  </r>
  <r>
    <n v="1"/>
    <x v="2"/>
    <x v="2"/>
    <x v="0"/>
    <s v="U.S. dollars"/>
    <s v="Billions"/>
    <x v="5"/>
    <n v="4591.1000000000004"/>
  </r>
  <r>
    <n v="1"/>
    <x v="2"/>
    <x v="2"/>
    <x v="0"/>
    <s v="U.S. dollars"/>
    <s v="Billions"/>
    <x v="6"/>
    <n v="4772.259"/>
  </r>
  <r>
    <n v="163"/>
    <x v="5"/>
    <x v="2"/>
    <x v="0"/>
    <s v="U.S. dollars"/>
    <s v="Billions"/>
    <x v="0"/>
    <n v="3889.607"/>
  </r>
  <r>
    <n v="163"/>
    <x v="5"/>
    <x v="2"/>
    <x v="0"/>
    <s v="U.S. dollars"/>
    <s v="Billions"/>
    <x v="1"/>
    <n v="3884.6149999999998"/>
  </r>
  <r>
    <n v="163"/>
    <x v="5"/>
    <x v="2"/>
    <x v="0"/>
    <s v="U.S. dollars"/>
    <s v="Billions"/>
    <x v="2"/>
    <n v="4281.348"/>
  </r>
  <r>
    <n v="163"/>
    <x v="5"/>
    <x v="2"/>
    <x v="0"/>
    <s v="U.S. dollars"/>
    <s v="Billions"/>
    <x v="3"/>
    <n v="4085.681"/>
  </r>
  <r>
    <n v="163"/>
    <x v="5"/>
    <x v="2"/>
    <x v="0"/>
    <s v="U.S. dollars"/>
    <s v="Billions"/>
    <x v="4"/>
    <n v="4457.366"/>
  </r>
  <r>
    <n v="163"/>
    <x v="5"/>
    <x v="2"/>
    <x v="0"/>
    <s v="U.S. dollars"/>
    <s v="Billions"/>
    <x v="5"/>
    <n v="4591.1000000000004"/>
  </r>
  <r>
    <n v="163"/>
    <x v="5"/>
    <x v="2"/>
    <x v="0"/>
    <s v="U.S. dollars"/>
    <s v="Billions"/>
    <x v="6"/>
    <n v="4772.259"/>
  </r>
  <r>
    <n v="110"/>
    <x v="0"/>
    <x v="2"/>
    <x v="0"/>
    <s v="U.S. dollars"/>
    <s v="Billions"/>
    <x v="0"/>
    <n v="3889.607"/>
  </r>
  <r>
    <n v="110"/>
    <x v="0"/>
    <x v="2"/>
    <x v="0"/>
    <s v="U.S. dollars"/>
    <s v="Billions"/>
    <x v="1"/>
    <n v="3884.6149999999998"/>
  </r>
  <r>
    <n v="110"/>
    <x v="0"/>
    <x v="2"/>
    <x v="0"/>
    <s v="U.S. dollars"/>
    <s v="Billions"/>
    <x v="2"/>
    <n v="4281.348"/>
  </r>
  <r>
    <n v="110"/>
    <x v="0"/>
    <x v="2"/>
    <x v="0"/>
    <s v="U.S. dollars"/>
    <s v="Billions"/>
    <x v="3"/>
    <n v="4085.681"/>
  </r>
  <r>
    <n v="110"/>
    <x v="0"/>
    <x v="2"/>
    <x v="0"/>
    <s v="U.S. dollars"/>
    <s v="Billions"/>
    <x v="4"/>
    <n v="4457.366"/>
  </r>
  <r>
    <n v="110"/>
    <x v="0"/>
    <x v="2"/>
    <x v="0"/>
    <s v="U.S. dollars"/>
    <s v="Billions"/>
    <x v="5"/>
    <n v="4591.1000000000004"/>
  </r>
  <r>
    <n v="110"/>
    <x v="0"/>
    <x v="2"/>
    <x v="0"/>
    <s v="U.S. dollars"/>
    <s v="Billions"/>
    <x v="6"/>
    <n v="4772.259"/>
  </r>
  <r>
    <n v="998"/>
    <x v="6"/>
    <x v="2"/>
    <x v="0"/>
    <s v="U.S. dollars"/>
    <s v="Billions"/>
    <x v="0"/>
    <n v="3889.607"/>
  </r>
  <r>
    <n v="998"/>
    <x v="6"/>
    <x v="2"/>
    <x v="0"/>
    <s v="U.S. dollars"/>
    <s v="Billions"/>
    <x v="1"/>
    <n v="3884.6149999999998"/>
  </r>
  <r>
    <n v="998"/>
    <x v="6"/>
    <x v="2"/>
    <x v="0"/>
    <s v="U.S. dollars"/>
    <s v="Billions"/>
    <x v="2"/>
    <n v="4281.348"/>
  </r>
  <r>
    <n v="998"/>
    <x v="6"/>
    <x v="2"/>
    <x v="0"/>
    <s v="U.S. dollars"/>
    <s v="Billions"/>
    <x v="3"/>
    <n v="4085.681"/>
  </r>
  <r>
    <n v="998"/>
    <x v="6"/>
    <x v="2"/>
    <x v="0"/>
    <s v="U.S. dollars"/>
    <s v="Billions"/>
    <x v="4"/>
    <n v="4457.366"/>
  </r>
  <r>
    <n v="998"/>
    <x v="6"/>
    <x v="2"/>
    <x v="0"/>
    <s v="U.S. dollars"/>
    <s v="Billions"/>
    <x v="5"/>
    <n v="4591.1000000000004"/>
  </r>
  <r>
    <n v="998"/>
    <x v="6"/>
    <x v="2"/>
    <x v="0"/>
    <s v="U.S. dollars"/>
    <s v="Billions"/>
    <x v="6"/>
    <n v="4772.259"/>
  </r>
  <r>
    <n v="119"/>
    <x v="1"/>
    <x v="2"/>
    <x v="0"/>
    <s v="U.S. dollars"/>
    <s v="Billions"/>
    <x v="0"/>
    <n v="3889.607"/>
  </r>
  <r>
    <n v="119"/>
    <x v="1"/>
    <x v="2"/>
    <x v="0"/>
    <s v="U.S. dollars"/>
    <s v="Billions"/>
    <x v="1"/>
    <n v="3884.6149999999998"/>
  </r>
  <r>
    <n v="119"/>
    <x v="1"/>
    <x v="2"/>
    <x v="0"/>
    <s v="U.S. dollars"/>
    <s v="Billions"/>
    <x v="2"/>
    <n v="4281.348"/>
  </r>
  <r>
    <n v="119"/>
    <x v="1"/>
    <x v="2"/>
    <x v="0"/>
    <s v="U.S. dollars"/>
    <s v="Billions"/>
    <x v="3"/>
    <n v="4085.681"/>
  </r>
  <r>
    <n v="119"/>
    <x v="1"/>
    <x v="2"/>
    <x v="0"/>
    <s v="U.S. dollars"/>
    <s v="Billions"/>
    <x v="4"/>
    <n v="4457.366"/>
  </r>
  <r>
    <n v="119"/>
    <x v="1"/>
    <x v="2"/>
    <x v="0"/>
    <s v="U.S. dollars"/>
    <s v="Billions"/>
    <x v="5"/>
    <n v="4591.1000000000004"/>
  </r>
  <r>
    <n v="119"/>
    <x v="1"/>
    <x v="2"/>
    <x v="0"/>
    <s v="U.S. dollars"/>
    <s v="Billions"/>
    <x v="6"/>
    <n v="4772.259"/>
  </r>
  <r>
    <n v="1"/>
    <x v="2"/>
    <x v="3"/>
    <x v="0"/>
    <s v="U.S. dollars"/>
    <s v="Billions"/>
    <x v="0"/>
    <n v="5117.9949999999999"/>
  </r>
  <r>
    <n v="1"/>
    <x v="2"/>
    <x v="3"/>
    <x v="0"/>
    <s v="U.S. dollars"/>
    <s v="Billions"/>
    <x v="1"/>
    <n v="5055.5870000000004"/>
  </r>
  <r>
    <n v="1"/>
    <x v="2"/>
    <x v="3"/>
    <x v="0"/>
    <s v="U.S. dollars"/>
    <s v="Billions"/>
    <x v="2"/>
    <n v="5034.6210000000001"/>
  </r>
  <r>
    <n v="1"/>
    <x v="2"/>
    <x v="3"/>
    <x v="0"/>
    <s v="U.S. dollars"/>
    <s v="Billions"/>
    <x v="3"/>
    <n v="4256.41"/>
  </r>
  <r>
    <n v="1"/>
    <x v="2"/>
    <x v="3"/>
    <x v="0"/>
    <s v="U.S. dollars"/>
    <s v="Billions"/>
    <x v="4"/>
    <n v="4212.9440000000004"/>
  </r>
  <r>
    <n v="1"/>
    <x v="2"/>
    <x v="3"/>
    <x v="0"/>
    <s v="U.S. dollars"/>
    <s v="Billions"/>
    <x v="5"/>
    <n v="4110.4520000000002"/>
  </r>
  <r>
    <n v="1"/>
    <x v="2"/>
    <x v="3"/>
    <x v="0"/>
    <s v="U.S. dollars"/>
    <s v="Billions"/>
    <x v="6"/>
    <n v="4310.366"/>
  </r>
  <r>
    <n v="110"/>
    <x v="0"/>
    <x v="3"/>
    <x v="0"/>
    <s v="U.S. dollars"/>
    <s v="Billions"/>
    <x v="0"/>
    <n v="5117.9949999999999"/>
  </r>
  <r>
    <n v="110"/>
    <x v="0"/>
    <x v="3"/>
    <x v="0"/>
    <s v="U.S. dollars"/>
    <s v="Billions"/>
    <x v="1"/>
    <n v="5055.5870000000004"/>
  </r>
  <r>
    <n v="110"/>
    <x v="0"/>
    <x v="3"/>
    <x v="0"/>
    <s v="U.S. dollars"/>
    <s v="Billions"/>
    <x v="2"/>
    <n v="5034.6210000000001"/>
  </r>
  <r>
    <n v="110"/>
    <x v="0"/>
    <x v="3"/>
    <x v="0"/>
    <s v="U.S. dollars"/>
    <s v="Billions"/>
    <x v="3"/>
    <n v="4256.41"/>
  </r>
  <r>
    <n v="110"/>
    <x v="0"/>
    <x v="3"/>
    <x v="0"/>
    <s v="U.S. dollars"/>
    <s v="Billions"/>
    <x v="4"/>
    <n v="4212.9440000000004"/>
  </r>
  <r>
    <n v="110"/>
    <x v="0"/>
    <x v="3"/>
    <x v="0"/>
    <s v="U.S. dollars"/>
    <s v="Billions"/>
    <x v="5"/>
    <n v="4110.4520000000002"/>
  </r>
  <r>
    <n v="110"/>
    <x v="0"/>
    <x v="3"/>
    <x v="0"/>
    <s v="U.S. dollars"/>
    <s v="Billions"/>
    <x v="6"/>
    <n v="4310.366"/>
  </r>
  <r>
    <n v="119"/>
    <x v="1"/>
    <x v="3"/>
    <x v="0"/>
    <s v="U.S. dollars"/>
    <s v="Billions"/>
    <x v="0"/>
    <n v="5117.9949999999999"/>
  </r>
  <r>
    <n v="119"/>
    <x v="1"/>
    <x v="3"/>
    <x v="0"/>
    <s v="U.S. dollars"/>
    <s v="Billions"/>
    <x v="1"/>
    <n v="5055.5870000000004"/>
  </r>
  <r>
    <n v="119"/>
    <x v="1"/>
    <x v="3"/>
    <x v="0"/>
    <s v="U.S. dollars"/>
    <s v="Billions"/>
    <x v="2"/>
    <n v="5034.6210000000001"/>
  </r>
  <r>
    <n v="119"/>
    <x v="1"/>
    <x v="3"/>
    <x v="0"/>
    <s v="U.S. dollars"/>
    <s v="Billions"/>
    <x v="3"/>
    <n v="4256.41"/>
  </r>
  <r>
    <n v="119"/>
    <x v="1"/>
    <x v="3"/>
    <x v="0"/>
    <s v="U.S. dollars"/>
    <s v="Billions"/>
    <x v="4"/>
    <n v="4212.9440000000004"/>
  </r>
  <r>
    <n v="119"/>
    <x v="1"/>
    <x v="3"/>
    <x v="0"/>
    <s v="U.S. dollars"/>
    <s v="Billions"/>
    <x v="5"/>
    <n v="4110.4520000000002"/>
  </r>
  <r>
    <n v="119"/>
    <x v="1"/>
    <x v="3"/>
    <x v="0"/>
    <s v="U.S. dollars"/>
    <s v="Billions"/>
    <x v="6"/>
    <n v="4310.366"/>
  </r>
  <r>
    <n v="505"/>
    <x v="4"/>
    <x v="4"/>
    <x v="0"/>
    <s v="U.S. dollars"/>
    <s v="Billions"/>
    <x v="0"/>
    <n v="2835.6060000000002"/>
  </r>
  <r>
    <n v="505"/>
    <x v="4"/>
    <x v="4"/>
    <x v="0"/>
    <s v="U.S. dollars"/>
    <s v="Billions"/>
    <x v="1"/>
    <n v="2674.8519999999999"/>
  </r>
  <r>
    <n v="505"/>
    <x v="4"/>
    <x v="4"/>
    <x v="0"/>
    <s v="U.S. dollars"/>
    <s v="Billions"/>
    <x v="2"/>
    <n v="3167.2710000000002"/>
  </r>
  <r>
    <n v="505"/>
    <x v="4"/>
    <x v="4"/>
    <x v="0"/>
    <s v="U.S. dollars"/>
    <s v="Billions"/>
    <x v="3"/>
    <n v="3353.471"/>
  </r>
  <r>
    <n v="505"/>
    <x v="4"/>
    <x v="4"/>
    <x v="0"/>
    <s v="U.S. dollars"/>
    <s v="Billions"/>
    <x v="4"/>
    <n v="3572.078"/>
  </r>
  <r>
    <n v="505"/>
    <x v="4"/>
    <x v="4"/>
    <x v="0"/>
    <s v="U.S. dollars"/>
    <s v="Billions"/>
    <x v="5"/>
    <n v="3937.011"/>
  </r>
  <r>
    <n v="505"/>
    <x v="4"/>
    <x v="4"/>
    <x v="0"/>
    <s v="U.S. dollars"/>
    <s v="Billions"/>
    <x v="6"/>
    <n v="4339.83"/>
  </r>
  <r>
    <n v="200"/>
    <x v="3"/>
    <x v="4"/>
    <x v="0"/>
    <s v="U.S. dollars"/>
    <s v="Billions"/>
    <x v="0"/>
    <n v="2835.6060000000002"/>
  </r>
  <r>
    <n v="200"/>
    <x v="3"/>
    <x v="4"/>
    <x v="0"/>
    <s v="U.S. dollars"/>
    <s v="Billions"/>
    <x v="1"/>
    <n v="2674.8519999999999"/>
  </r>
  <r>
    <n v="200"/>
    <x v="3"/>
    <x v="4"/>
    <x v="0"/>
    <s v="U.S. dollars"/>
    <s v="Billions"/>
    <x v="2"/>
    <n v="3167.2710000000002"/>
  </r>
  <r>
    <n v="200"/>
    <x v="3"/>
    <x v="4"/>
    <x v="0"/>
    <s v="U.S. dollars"/>
    <s v="Billions"/>
    <x v="3"/>
    <n v="3353.471"/>
  </r>
  <r>
    <n v="200"/>
    <x v="3"/>
    <x v="4"/>
    <x v="0"/>
    <s v="U.S. dollars"/>
    <s v="Billions"/>
    <x v="4"/>
    <n v="3572.078"/>
  </r>
  <r>
    <n v="200"/>
    <x v="3"/>
    <x v="4"/>
    <x v="0"/>
    <s v="U.S. dollars"/>
    <s v="Billions"/>
    <x v="5"/>
    <n v="3937.011"/>
  </r>
  <r>
    <n v="200"/>
    <x v="3"/>
    <x v="4"/>
    <x v="0"/>
    <s v="U.S. dollars"/>
    <s v="Billions"/>
    <x v="6"/>
    <n v="4339.83"/>
  </r>
  <r>
    <n v="1"/>
    <x v="2"/>
    <x v="4"/>
    <x v="0"/>
    <s v="U.S. dollars"/>
    <s v="Billions"/>
    <x v="0"/>
    <n v="2835.6060000000002"/>
  </r>
  <r>
    <n v="1"/>
    <x v="2"/>
    <x v="4"/>
    <x v="0"/>
    <s v="U.S. dollars"/>
    <s v="Billions"/>
    <x v="1"/>
    <n v="2674.8519999999999"/>
  </r>
  <r>
    <n v="1"/>
    <x v="2"/>
    <x v="4"/>
    <x v="0"/>
    <s v="U.S. dollars"/>
    <s v="Billions"/>
    <x v="2"/>
    <n v="3167.2710000000002"/>
  </r>
  <r>
    <n v="1"/>
    <x v="2"/>
    <x v="4"/>
    <x v="0"/>
    <s v="U.S. dollars"/>
    <s v="Billions"/>
    <x v="3"/>
    <n v="3353.471"/>
  </r>
  <r>
    <n v="1"/>
    <x v="2"/>
    <x v="4"/>
    <x v="0"/>
    <s v="U.S. dollars"/>
    <s v="Billions"/>
    <x v="4"/>
    <n v="3572.078"/>
  </r>
  <r>
    <n v="1"/>
    <x v="2"/>
    <x v="4"/>
    <x v="0"/>
    <s v="U.S. dollars"/>
    <s v="Billions"/>
    <x v="5"/>
    <n v="3937.011"/>
  </r>
  <r>
    <n v="1"/>
    <x v="2"/>
    <x v="4"/>
    <x v="0"/>
    <s v="U.S. dollars"/>
    <s v="Billions"/>
    <x v="6"/>
    <n v="4339.83"/>
  </r>
  <r>
    <n v="119"/>
    <x v="1"/>
    <x v="5"/>
    <x v="0"/>
    <s v="U.S. dollars"/>
    <s v="Billions"/>
    <x v="0"/>
    <n v="2853.0740000000001"/>
  </r>
  <r>
    <n v="119"/>
    <x v="1"/>
    <x v="5"/>
    <x v="0"/>
    <s v="U.S. dollars"/>
    <s v="Billions"/>
    <x v="1"/>
    <n v="2699.7339999999999"/>
  </r>
  <r>
    <n v="119"/>
    <x v="1"/>
    <x v="5"/>
    <x v="0"/>
    <s v="U.S. dollars"/>
    <s v="Billions"/>
    <x v="2"/>
    <n v="3142.2620000000002"/>
  </r>
  <r>
    <n v="119"/>
    <x v="1"/>
    <x v="5"/>
    <x v="0"/>
    <s v="U.S. dollars"/>
    <s v="Billions"/>
    <x v="3"/>
    <n v="3100.1089999999999"/>
  </r>
  <r>
    <n v="119"/>
    <x v="1"/>
    <x v="5"/>
    <x v="0"/>
    <s v="U.S. dollars"/>
    <s v="Billions"/>
    <x v="4"/>
    <n v="3344.7440000000001"/>
  </r>
  <r>
    <n v="119"/>
    <x v="1"/>
    <x v="5"/>
    <x v="0"/>
    <s v="U.S. dollars"/>
    <s v="Billions"/>
    <x v="5"/>
    <n v="3495.261"/>
  </r>
  <r>
    <n v="119"/>
    <x v="1"/>
    <x v="5"/>
    <x v="0"/>
    <s v="U.S. dollars"/>
    <s v="Billions"/>
    <x v="6"/>
    <n v="3685.4079999999999"/>
  </r>
  <r>
    <n v="1"/>
    <x v="2"/>
    <x v="5"/>
    <x v="0"/>
    <s v="U.S. dollars"/>
    <s v="Billions"/>
    <x v="0"/>
    <n v="2853.0740000000001"/>
  </r>
  <r>
    <n v="1"/>
    <x v="2"/>
    <x v="5"/>
    <x v="0"/>
    <s v="U.S. dollars"/>
    <s v="Billions"/>
    <x v="1"/>
    <n v="2699.7339999999999"/>
  </r>
  <r>
    <n v="1"/>
    <x v="2"/>
    <x v="5"/>
    <x v="0"/>
    <s v="U.S. dollars"/>
    <s v="Billions"/>
    <x v="2"/>
    <n v="3142.2620000000002"/>
  </r>
  <r>
    <n v="1"/>
    <x v="2"/>
    <x v="5"/>
    <x v="0"/>
    <s v="U.S. dollars"/>
    <s v="Billions"/>
    <x v="3"/>
    <n v="3100.1089999999999"/>
  </r>
  <r>
    <n v="1"/>
    <x v="2"/>
    <x v="5"/>
    <x v="0"/>
    <s v="U.S. dollars"/>
    <s v="Billions"/>
    <x v="4"/>
    <n v="3344.7440000000001"/>
  </r>
  <r>
    <n v="1"/>
    <x v="2"/>
    <x v="5"/>
    <x v="0"/>
    <s v="U.S. dollars"/>
    <s v="Billions"/>
    <x v="5"/>
    <n v="3495.261"/>
  </r>
  <r>
    <n v="1"/>
    <x v="2"/>
    <x v="5"/>
    <x v="0"/>
    <s v="U.S. dollars"/>
    <s v="Billions"/>
    <x v="6"/>
    <n v="3685.4079999999999"/>
  </r>
  <r>
    <n v="110"/>
    <x v="0"/>
    <x v="5"/>
    <x v="0"/>
    <s v="U.S. dollars"/>
    <s v="Billions"/>
    <x v="0"/>
    <n v="2853.0740000000001"/>
  </r>
  <r>
    <n v="110"/>
    <x v="0"/>
    <x v="5"/>
    <x v="0"/>
    <s v="U.S. dollars"/>
    <s v="Billions"/>
    <x v="1"/>
    <n v="2699.7339999999999"/>
  </r>
  <r>
    <n v="110"/>
    <x v="0"/>
    <x v="5"/>
    <x v="0"/>
    <s v="U.S. dollars"/>
    <s v="Billions"/>
    <x v="2"/>
    <n v="3142.2620000000002"/>
  </r>
  <r>
    <n v="110"/>
    <x v="0"/>
    <x v="5"/>
    <x v="0"/>
    <s v="U.S. dollars"/>
    <s v="Billions"/>
    <x v="3"/>
    <n v="3100.1089999999999"/>
  </r>
  <r>
    <n v="110"/>
    <x v="0"/>
    <x v="5"/>
    <x v="0"/>
    <s v="U.S. dollars"/>
    <s v="Billions"/>
    <x v="4"/>
    <n v="3344.7440000000001"/>
  </r>
  <r>
    <n v="110"/>
    <x v="0"/>
    <x v="5"/>
    <x v="0"/>
    <s v="U.S. dollars"/>
    <s v="Billions"/>
    <x v="5"/>
    <n v="3495.261"/>
  </r>
  <r>
    <n v="110"/>
    <x v="0"/>
    <x v="5"/>
    <x v="0"/>
    <s v="U.S. dollars"/>
    <s v="Billions"/>
    <x v="6"/>
    <n v="3685.4079999999999"/>
  </r>
  <r>
    <n v="110"/>
    <x v="0"/>
    <x v="6"/>
    <x v="0"/>
    <s v="U.S. dollars"/>
    <s v="Billions"/>
    <x v="0"/>
    <n v="2729.1709999999998"/>
  </r>
  <r>
    <n v="110"/>
    <x v="0"/>
    <x v="6"/>
    <x v="0"/>
    <s v="U.S. dollars"/>
    <s v="Billions"/>
    <x v="1"/>
    <n v="2645.3"/>
  </r>
  <r>
    <n v="110"/>
    <x v="0"/>
    <x v="6"/>
    <x v="0"/>
    <s v="U.S. dollars"/>
    <s v="Billions"/>
    <x v="2"/>
    <n v="2958.2959999999998"/>
  </r>
  <r>
    <n v="110"/>
    <x v="0"/>
    <x v="6"/>
    <x v="0"/>
    <s v="U.S. dollars"/>
    <s v="Billions"/>
    <x v="3"/>
    <n v="2780.433"/>
  </r>
  <r>
    <n v="110"/>
    <x v="0"/>
    <x v="6"/>
    <x v="0"/>
    <s v="U.S. dollars"/>
    <s v="Billions"/>
    <x v="4"/>
    <n v="3031.7779999999998"/>
  </r>
  <r>
    <n v="110"/>
    <x v="0"/>
    <x v="6"/>
    <x v="0"/>
    <s v="U.S. dollars"/>
    <s v="Billions"/>
    <x v="5"/>
    <n v="3130.0140000000001"/>
  </r>
  <r>
    <n v="110"/>
    <x v="0"/>
    <x v="6"/>
    <x v="0"/>
    <s v="U.S. dollars"/>
    <s v="Billions"/>
    <x v="6"/>
    <n v="3223.1329999999998"/>
  </r>
  <r>
    <n v="119"/>
    <x v="1"/>
    <x v="6"/>
    <x v="0"/>
    <s v="U.S. dollars"/>
    <s v="Billions"/>
    <x v="0"/>
    <n v="2729.1709999999998"/>
  </r>
  <r>
    <n v="119"/>
    <x v="1"/>
    <x v="6"/>
    <x v="0"/>
    <s v="U.S. dollars"/>
    <s v="Billions"/>
    <x v="1"/>
    <n v="2645.3"/>
  </r>
  <r>
    <n v="119"/>
    <x v="1"/>
    <x v="6"/>
    <x v="0"/>
    <s v="U.S. dollars"/>
    <s v="Billions"/>
    <x v="2"/>
    <n v="2958.2959999999998"/>
  </r>
  <r>
    <n v="119"/>
    <x v="1"/>
    <x v="6"/>
    <x v="0"/>
    <s v="U.S. dollars"/>
    <s v="Billions"/>
    <x v="3"/>
    <n v="2780.433"/>
  </r>
  <r>
    <n v="119"/>
    <x v="1"/>
    <x v="6"/>
    <x v="0"/>
    <s v="U.S. dollars"/>
    <s v="Billions"/>
    <x v="4"/>
    <n v="3031.7779999999998"/>
  </r>
  <r>
    <n v="119"/>
    <x v="1"/>
    <x v="6"/>
    <x v="0"/>
    <s v="U.S. dollars"/>
    <s v="Billions"/>
    <x v="5"/>
    <n v="3130.0140000000001"/>
  </r>
  <r>
    <n v="119"/>
    <x v="1"/>
    <x v="6"/>
    <x v="0"/>
    <s v="U.S. dollars"/>
    <s v="Billions"/>
    <x v="6"/>
    <n v="3223.1329999999998"/>
  </r>
  <r>
    <n v="1"/>
    <x v="2"/>
    <x v="6"/>
    <x v="0"/>
    <s v="U.S. dollars"/>
    <s v="Billions"/>
    <x v="0"/>
    <n v="2729.1709999999998"/>
  </r>
  <r>
    <n v="1"/>
    <x v="2"/>
    <x v="6"/>
    <x v="0"/>
    <s v="U.S. dollars"/>
    <s v="Billions"/>
    <x v="1"/>
    <n v="2645.3"/>
  </r>
  <r>
    <n v="1"/>
    <x v="2"/>
    <x v="6"/>
    <x v="0"/>
    <s v="U.S. dollars"/>
    <s v="Billions"/>
    <x v="2"/>
    <n v="2958.2959999999998"/>
  </r>
  <r>
    <n v="1"/>
    <x v="2"/>
    <x v="6"/>
    <x v="0"/>
    <s v="U.S. dollars"/>
    <s v="Billions"/>
    <x v="3"/>
    <n v="2780.433"/>
  </r>
  <r>
    <n v="1"/>
    <x v="2"/>
    <x v="6"/>
    <x v="0"/>
    <s v="U.S. dollars"/>
    <s v="Billions"/>
    <x v="4"/>
    <n v="3031.7779999999998"/>
  </r>
  <r>
    <n v="1"/>
    <x v="2"/>
    <x v="6"/>
    <x v="0"/>
    <s v="U.S. dollars"/>
    <s v="Billions"/>
    <x v="5"/>
    <n v="3130.0140000000001"/>
  </r>
  <r>
    <n v="1"/>
    <x v="2"/>
    <x v="6"/>
    <x v="0"/>
    <s v="U.S. dollars"/>
    <s v="Billions"/>
    <x v="6"/>
    <n v="3223.1329999999998"/>
  </r>
  <r>
    <n v="163"/>
    <x v="5"/>
    <x v="6"/>
    <x v="0"/>
    <s v="U.S. dollars"/>
    <s v="Billions"/>
    <x v="0"/>
    <n v="2729.1709999999998"/>
  </r>
  <r>
    <n v="163"/>
    <x v="5"/>
    <x v="6"/>
    <x v="0"/>
    <s v="U.S. dollars"/>
    <s v="Billions"/>
    <x v="1"/>
    <n v="2645.3"/>
  </r>
  <r>
    <n v="163"/>
    <x v="5"/>
    <x v="6"/>
    <x v="0"/>
    <s v="U.S. dollars"/>
    <s v="Billions"/>
    <x v="2"/>
    <n v="2958.2959999999998"/>
  </r>
  <r>
    <n v="163"/>
    <x v="5"/>
    <x v="6"/>
    <x v="0"/>
    <s v="U.S. dollars"/>
    <s v="Billions"/>
    <x v="3"/>
    <n v="2780.433"/>
  </r>
  <r>
    <n v="163"/>
    <x v="5"/>
    <x v="6"/>
    <x v="0"/>
    <s v="U.S. dollars"/>
    <s v="Billions"/>
    <x v="4"/>
    <n v="3031.7779999999998"/>
  </r>
  <r>
    <n v="163"/>
    <x v="5"/>
    <x v="6"/>
    <x v="0"/>
    <s v="U.S. dollars"/>
    <s v="Billions"/>
    <x v="5"/>
    <n v="3130.0140000000001"/>
  </r>
  <r>
    <n v="163"/>
    <x v="5"/>
    <x v="6"/>
    <x v="0"/>
    <s v="U.S. dollars"/>
    <s v="Billions"/>
    <x v="6"/>
    <n v="3223.1329999999998"/>
  </r>
  <r>
    <n v="998"/>
    <x v="6"/>
    <x v="6"/>
    <x v="0"/>
    <s v="U.S. dollars"/>
    <s v="Billions"/>
    <x v="0"/>
    <n v="2729.1709999999998"/>
  </r>
  <r>
    <n v="998"/>
    <x v="6"/>
    <x v="6"/>
    <x v="0"/>
    <s v="U.S. dollars"/>
    <s v="Billions"/>
    <x v="1"/>
    <n v="2645.3"/>
  </r>
  <r>
    <n v="998"/>
    <x v="6"/>
    <x v="6"/>
    <x v="0"/>
    <s v="U.S. dollars"/>
    <s v="Billions"/>
    <x v="2"/>
    <n v="2958.2959999999998"/>
  </r>
  <r>
    <n v="998"/>
    <x v="6"/>
    <x v="6"/>
    <x v="0"/>
    <s v="U.S. dollars"/>
    <s v="Billions"/>
    <x v="3"/>
    <n v="2780.433"/>
  </r>
  <r>
    <n v="998"/>
    <x v="6"/>
    <x v="6"/>
    <x v="0"/>
    <s v="U.S. dollars"/>
    <s v="Billions"/>
    <x v="4"/>
    <n v="3031.7779999999998"/>
  </r>
  <r>
    <n v="998"/>
    <x v="6"/>
    <x v="6"/>
    <x v="0"/>
    <s v="U.S. dollars"/>
    <s v="Billions"/>
    <x v="5"/>
    <n v="3130.0140000000001"/>
  </r>
  <r>
    <n v="998"/>
    <x v="6"/>
    <x v="6"/>
    <x v="0"/>
    <s v="U.S. dollars"/>
    <s v="Billions"/>
    <x v="6"/>
    <n v="3223.1329999999998"/>
  </r>
  <r>
    <n v="205"/>
    <x v="7"/>
    <x v="7"/>
    <x v="0"/>
    <s v="U.S. dollars"/>
    <s v="Billions"/>
    <x v="0"/>
    <n v="1873.2860000000001"/>
  </r>
  <r>
    <n v="205"/>
    <x v="7"/>
    <x v="7"/>
    <x v="0"/>
    <s v="U.S. dollars"/>
    <s v="Billions"/>
    <x v="1"/>
    <n v="1476.0920000000001"/>
  </r>
  <r>
    <n v="205"/>
    <x v="7"/>
    <x v="7"/>
    <x v="0"/>
    <s v="U.S. dollars"/>
    <s v="Billions"/>
    <x v="2"/>
    <n v="1670.65"/>
  </r>
  <r>
    <n v="205"/>
    <x v="7"/>
    <x v="7"/>
    <x v="0"/>
    <s v="U.S. dollars"/>
    <s v="Billions"/>
    <x v="3"/>
    <n v="1951.8489999999999"/>
  </r>
  <r>
    <n v="205"/>
    <x v="7"/>
    <x v="7"/>
    <x v="0"/>
    <s v="U.S. dollars"/>
    <s v="Billions"/>
    <x v="4"/>
    <n v="2173.6709999999998"/>
  </r>
  <r>
    <n v="205"/>
    <x v="7"/>
    <x v="7"/>
    <x v="0"/>
    <s v="U.S. dollars"/>
    <s v="Billions"/>
    <x v="5"/>
    <n v="2331.3910000000001"/>
  </r>
  <r>
    <n v="205"/>
    <x v="7"/>
    <x v="7"/>
    <x v="0"/>
    <s v="U.S. dollars"/>
    <s v="Billions"/>
    <x v="6"/>
    <n v="2437.9059999999999"/>
  </r>
  <r>
    <n v="200"/>
    <x v="3"/>
    <x v="7"/>
    <x v="0"/>
    <s v="U.S. dollars"/>
    <s v="Billions"/>
    <x v="0"/>
    <n v="1873.2860000000001"/>
  </r>
  <r>
    <n v="200"/>
    <x v="3"/>
    <x v="7"/>
    <x v="0"/>
    <s v="U.S. dollars"/>
    <s v="Billions"/>
    <x v="1"/>
    <n v="1476.0920000000001"/>
  </r>
  <r>
    <n v="200"/>
    <x v="3"/>
    <x v="7"/>
    <x v="0"/>
    <s v="U.S. dollars"/>
    <s v="Billions"/>
    <x v="2"/>
    <n v="1670.65"/>
  </r>
  <r>
    <n v="200"/>
    <x v="3"/>
    <x v="7"/>
    <x v="0"/>
    <s v="U.S. dollars"/>
    <s v="Billions"/>
    <x v="3"/>
    <n v="1951.8489999999999"/>
  </r>
  <r>
    <n v="200"/>
    <x v="3"/>
    <x v="7"/>
    <x v="0"/>
    <s v="U.S. dollars"/>
    <s v="Billions"/>
    <x v="4"/>
    <n v="2173.6709999999998"/>
  </r>
  <r>
    <n v="200"/>
    <x v="3"/>
    <x v="7"/>
    <x v="0"/>
    <s v="U.S. dollars"/>
    <s v="Billions"/>
    <x v="5"/>
    <n v="2331.3910000000001"/>
  </r>
  <r>
    <n v="200"/>
    <x v="3"/>
    <x v="7"/>
    <x v="0"/>
    <s v="U.S. dollars"/>
    <s v="Billions"/>
    <x v="6"/>
    <n v="2437.9059999999999"/>
  </r>
  <r>
    <n v="1"/>
    <x v="2"/>
    <x v="7"/>
    <x v="0"/>
    <s v="U.S. dollars"/>
    <s v="Billions"/>
    <x v="0"/>
    <n v="1873.2860000000001"/>
  </r>
  <r>
    <n v="1"/>
    <x v="2"/>
    <x v="7"/>
    <x v="0"/>
    <s v="U.S. dollars"/>
    <s v="Billions"/>
    <x v="1"/>
    <n v="1476.0920000000001"/>
  </r>
  <r>
    <n v="1"/>
    <x v="2"/>
    <x v="7"/>
    <x v="0"/>
    <s v="U.S. dollars"/>
    <s v="Billions"/>
    <x v="2"/>
    <n v="1670.65"/>
  </r>
  <r>
    <n v="1"/>
    <x v="2"/>
    <x v="7"/>
    <x v="0"/>
    <s v="U.S. dollars"/>
    <s v="Billions"/>
    <x v="3"/>
    <n v="1951.8489999999999"/>
  </r>
  <r>
    <n v="1"/>
    <x v="2"/>
    <x v="7"/>
    <x v="0"/>
    <s v="U.S. dollars"/>
    <s v="Billions"/>
    <x v="4"/>
    <n v="2173.6709999999998"/>
  </r>
  <r>
    <n v="1"/>
    <x v="2"/>
    <x v="7"/>
    <x v="0"/>
    <s v="U.S. dollars"/>
    <s v="Billions"/>
    <x v="5"/>
    <n v="2331.3910000000001"/>
  </r>
  <r>
    <n v="1"/>
    <x v="2"/>
    <x v="7"/>
    <x v="0"/>
    <s v="U.S. dollars"/>
    <s v="Billions"/>
    <x v="6"/>
    <n v="2437.9059999999999"/>
  </r>
  <r>
    <n v="998"/>
    <x v="6"/>
    <x v="8"/>
    <x v="0"/>
    <s v="U.S. dollars"/>
    <s v="Billions"/>
    <x v="0"/>
    <n v="2011.5250000000001"/>
  </r>
  <r>
    <n v="998"/>
    <x v="6"/>
    <x v="8"/>
    <x v="0"/>
    <s v="U.S. dollars"/>
    <s v="Billions"/>
    <x v="1"/>
    <n v="1895.943"/>
  </r>
  <r>
    <n v="998"/>
    <x v="6"/>
    <x v="8"/>
    <x v="0"/>
    <s v="U.S. dollars"/>
    <s v="Billions"/>
    <x v="2"/>
    <n v="2156.31"/>
  </r>
  <r>
    <n v="998"/>
    <x v="6"/>
    <x v="8"/>
    <x v="0"/>
    <s v="U.S. dollars"/>
    <s v="Billions"/>
    <x v="3"/>
    <n v="2068.598"/>
  </r>
  <r>
    <n v="998"/>
    <x v="6"/>
    <x v="8"/>
    <x v="0"/>
    <s v="U.S. dollars"/>
    <s v="Billions"/>
    <x v="4"/>
    <n v="2255.5030000000002"/>
  </r>
  <r>
    <n v="998"/>
    <x v="6"/>
    <x v="8"/>
    <x v="0"/>
    <s v="U.S. dollars"/>
    <s v="Billions"/>
    <x v="5"/>
    <n v="2328.0279999999998"/>
  </r>
  <r>
    <n v="998"/>
    <x v="6"/>
    <x v="8"/>
    <x v="0"/>
    <s v="U.S. dollars"/>
    <s v="Billions"/>
    <x v="6"/>
    <n v="2390.4430000000002"/>
  </r>
  <r>
    <n v="1"/>
    <x v="2"/>
    <x v="8"/>
    <x v="0"/>
    <s v="U.S. dollars"/>
    <s v="Billions"/>
    <x v="0"/>
    <n v="2011.5250000000001"/>
  </r>
  <r>
    <n v="1"/>
    <x v="2"/>
    <x v="8"/>
    <x v="0"/>
    <s v="U.S. dollars"/>
    <s v="Billions"/>
    <x v="1"/>
    <n v="1895.943"/>
  </r>
  <r>
    <n v="1"/>
    <x v="2"/>
    <x v="8"/>
    <x v="0"/>
    <s v="U.S. dollars"/>
    <s v="Billions"/>
    <x v="2"/>
    <n v="2156.31"/>
  </r>
  <r>
    <n v="1"/>
    <x v="2"/>
    <x v="8"/>
    <x v="0"/>
    <s v="U.S. dollars"/>
    <s v="Billions"/>
    <x v="3"/>
    <n v="2068.598"/>
  </r>
  <r>
    <n v="1"/>
    <x v="2"/>
    <x v="8"/>
    <x v="0"/>
    <s v="U.S. dollars"/>
    <s v="Billions"/>
    <x v="4"/>
    <n v="2255.5030000000002"/>
  </r>
  <r>
    <n v="1"/>
    <x v="2"/>
    <x v="8"/>
    <x v="0"/>
    <s v="U.S. dollars"/>
    <s v="Billions"/>
    <x v="5"/>
    <n v="2328.0279999999998"/>
  </r>
  <r>
    <n v="1"/>
    <x v="2"/>
    <x v="8"/>
    <x v="0"/>
    <s v="U.S. dollars"/>
    <s v="Billions"/>
    <x v="6"/>
    <n v="2390.4430000000002"/>
  </r>
  <r>
    <n v="163"/>
    <x v="5"/>
    <x v="8"/>
    <x v="0"/>
    <s v="U.S. dollars"/>
    <s v="Billions"/>
    <x v="0"/>
    <n v="2011.5250000000001"/>
  </r>
  <r>
    <n v="163"/>
    <x v="5"/>
    <x v="8"/>
    <x v="0"/>
    <s v="U.S. dollars"/>
    <s v="Billions"/>
    <x v="1"/>
    <n v="1895.943"/>
  </r>
  <r>
    <n v="163"/>
    <x v="5"/>
    <x v="8"/>
    <x v="0"/>
    <s v="U.S. dollars"/>
    <s v="Billions"/>
    <x v="2"/>
    <n v="2156.31"/>
  </r>
  <r>
    <n v="163"/>
    <x v="5"/>
    <x v="8"/>
    <x v="0"/>
    <s v="U.S. dollars"/>
    <s v="Billions"/>
    <x v="3"/>
    <n v="2068.598"/>
  </r>
  <r>
    <n v="163"/>
    <x v="5"/>
    <x v="8"/>
    <x v="0"/>
    <s v="U.S. dollars"/>
    <s v="Billions"/>
    <x v="4"/>
    <n v="2255.5030000000002"/>
  </r>
  <r>
    <n v="163"/>
    <x v="5"/>
    <x v="8"/>
    <x v="0"/>
    <s v="U.S. dollars"/>
    <s v="Billions"/>
    <x v="5"/>
    <n v="2328.0279999999998"/>
  </r>
  <r>
    <n v="163"/>
    <x v="5"/>
    <x v="8"/>
    <x v="0"/>
    <s v="U.S. dollars"/>
    <s v="Billions"/>
    <x v="6"/>
    <n v="2390.4430000000002"/>
  </r>
  <r>
    <n v="110"/>
    <x v="0"/>
    <x v="8"/>
    <x v="0"/>
    <s v="U.S. dollars"/>
    <s v="Billions"/>
    <x v="0"/>
    <n v="2011.5250000000001"/>
  </r>
  <r>
    <n v="110"/>
    <x v="0"/>
    <x v="8"/>
    <x v="0"/>
    <s v="U.S. dollars"/>
    <s v="Billions"/>
    <x v="1"/>
    <n v="1895.943"/>
  </r>
  <r>
    <n v="110"/>
    <x v="0"/>
    <x v="8"/>
    <x v="0"/>
    <s v="U.S. dollars"/>
    <s v="Billions"/>
    <x v="2"/>
    <n v="2156.31"/>
  </r>
  <r>
    <n v="110"/>
    <x v="0"/>
    <x v="8"/>
    <x v="0"/>
    <s v="U.S. dollars"/>
    <s v="Billions"/>
    <x v="3"/>
    <n v="2068.598"/>
  </r>
  <r>
    <n v="110"/>
    <x v="0"/>
    <x v="8"/>
    <x v="0"/>
    <s v="U.S. dollars"/>
    <s v="Billions"/>
    <x v="4"/>
    <n v="2255.5030000000002"/>
  </r>
  <r>
    <n v="110"/>
    <x v="0"/>
    <x v="8"/>
    <x v="0"/>
    <s v="U.S. dollars"/>
    <s v="Billions"/>
    <x v="5"/>
    <n v="2328.0279999999998"/>
  </r>
  <r>
    <n v="110"/>
    <x v="0"/>
    <x v="8"/>
    <x v="0"/>
    <s v="U.S. dollars"/>
    <s v="Billions"/>
    <x v="6"/>
    <n v="2390.4430000000002"/>
  </r>
  <r>
    <n v="119"/>
    <x v="1"/>
    <x v="8"/>
    <x v="0"/>
    <s v="U.S. dollars"/>
    <s v="Billions"/>
    <x v="0"/>
    <n v="2011.5250000000001"/>
  </r>
  <r>
    <n v="119"/>
    <x v="1"/>
    <x v="8"/>
    <x v="0"/>
    <s v="U.S. dollars"/>
    <s v="Billions"/>
    <x v="1"/>
    <n v="1895.943"/>
  </r>
  <r>
    <n v="119"/>
    <x v="1"/>
    <x v="8"/>
    <x v="0"/>
    <s v="U.S. dollars"/>
    <s v="Billions"/>
    <x v="2"/>
    <n v="2156.31"/>
  </r>
  <r>
    <n v="119"/>
    <x v="1"/>
    <x v="8"/>
    <x v="0"/>
    <s v="U.S. dollars"/>
    <s v="Billions"/>
    <x v="3"/>
    <n v="2068.598"/>
  </r>
  <r>
    <n v="119"/>
    <x v="1"/>
    <x v="8"/>
    <x v="0"/>
    <s v="U.S. dollars"/>
    <s v="Billions"/>
    <x v="4"/>
    <n v="2255.5030000000002"/>
  </r>
  <r>
    <n v="119"/>
    <x v="1"/>
    <x v="8"/>
    <x v="0"/>
    <s v="U.S. dollars"/>
    <s v="Billions"/>
    <x v="5"/>
    <n v="2328.0279999999998"/>
  </r>
  <r>
    <n v="119"/>
    <x v="1"/>
    <x v="8"/>
    <x v="0"/>
    <s v="U.S. dollars"/>
    <s v="Billions"/>
    <x v="6"/>
    <n v="2390.4430000000002"/>
  </r>
  <r>
    <n v="110"/>
    <x v="0"/>
    <x v="9"/>
    <x v="0"/>
    <s v="U.S. dollars"/>
    <s v="Billions"/>
    <x v="0"/>
    <n v="1743.7249999999999"/>
  </r>
  <r>
    <n v="110"/>
    <x v="0"/>
    <x v="9"/>
    <x v="0"/>
    <s v="U.S. dollars"/>
    <s v="Billions"/>
    <x v="1"/>
    <n v="1655.6849999999999"/>
  </r>
  <r>
    <n v="110"/>
    <x v="0"/>
    <x v="9"/>
    <x v="0"/>
    <s v="U.S. dollars"/>
    <s v="Billions"/>
    <x v="2"/>
    <n v="2007.472"/>
  </r>
  <r>
    <n v="110"/>
    <x v="0"/>
    <x v="9"/>
    <x v="0"/>
    <s v="U.S. dollars"/>
    <s v="Billions"/>
    <x v="3"/>
    <n v="2161.4830000000002"/>
  </r>
  <r>
    <n v="110"/>
    <x v="0"/>
    <x v="9"/>
    <x v="0"/>
    <s v="U.S. dollars"/>
    <s v="Billions"/>
    <x v="4"/>
    <n v="2140.0859999999998"/>
  </r>
  <r>
    <n v="110"/>
    <x v="0"/>
    <x v="9"/>
    <x v="0"/>
    <s v="U.S. dollars"/>
    <s v="Billions"/>
    <x v="5"/>
    <n v="2242.1819999999998"/>
  </r>
  <r>
    <n v="110"/>
    <x v="0"/>
    <x v="9"/>
    <x v="0"/>
    <s v="U.S. dollars"/>
    <s v="Billions"/>
    <x v="6"/>
    <n v="2360.5810000000001"/>
  </r>
  <r>
    <n v="119"/>
    <x v="1"/>
    <x v="9"/>
    <x v="0"/>
    <s v="U.S. dollars"/>
    <s v="Billions"/>
    <x v="0"/>
    <n v="1743.7249999999999"/>
  </r>
  <r>
    <n v="119"/>
    <x v="1"/>
    <x v="9"/>
    <x v="0"/>
    <s v="U.S. dollars"/>
    <s v="Billions"/>
    <x v="1"/>
    <n v="1655.6849999999999"/>
  </r>
  <r>
    <n v="119"/>
    <x v="1"/>
    <x v="9"/>
    <x v="0"/>
    <s v="U.S. dollars"/>
    <s v="Billions"/>
    <x v="2"/>
    <n v="2007.472"/>
  </r>
  <r>
    <n v="119"/>
    <x v="1"/>
    <x v="9"/>
    <x v="0"/>
    <s v="U.S. dollars"/>
    <s v="Billions"/>
    <x v="3"/>
    <n v="2161.4830000000002"/>
  </r>
  <r>
    <n v="119"/>
    <x v="1"/>
    <x v="9"/>
    <x v="0"/>
    <s v="U.S. dollars"/>
    <s v="Billions"/>
    <x v="4"/>
    <n v="2140.0859999999998"/>
  </r>
  <r>
    <n v="119"/>
    <x v="1"/>
    <x v="9"/>
    <x v="0"/>
    <s v="U.S. dollars"/>
    <s v="Billions"/>
    <x v="5"/>
    <n v="2242.1819999999998"/>
  </r>
  <r>
    <n v="119"/>
    <x v="1"/>
    <x v="9"/>
    <x v="0"/>
    <s v="U.S. dollars"/>
    <s v="Billions"/>
    <x v="6"/>
    <n v="2360.5810000000001"/>
  </r>
  <r>
    <n v="1"/>
    <x v="2"/>
    <x v="9"/>
    <x v="0"/>
    <s v="U.S. dollars"/>
    <s v="Billions"/>
    <x v="0"/>
    <n v="1743.7249999999999"/>
  </r>
  <r>
    <n v="1"/>
    <x v="2"/>
    <x v="9"/>
    <x v="0"/>
    <s v="U.S. dollars"/>
    <s v="Billions"/>
    <x v="1"/>
    <n v="1655.6849999999999"/>
  </r>
  <r>
    <n v="1"/>
    <x v="2"/>
    <x v="9"/>
    <x v="0"/>
    <s v="U.S. dollars"/>
    <s v="Billions"/>
    <x v="2"/>
    <n v="2007.472"/>
  </r>
  <r>
    <n v="1"/>
    <x v="2"/>
    <x v="9"/>
    <x v="0"/>
    <s v="U.S. dollars"/>
    <s v="Billions"/>
    <x v="3"/>
    <n v="2161.4830000000002"/>
  </r>
  <r>
    <n v="1"/>
    <x v="2"/>
    <x v="9"/>
    <x v="0"/>
    <s v="U.S. dollars"/>
    <s v="Billions"/>
    <x v="4"/>
    <n v="2140.0859999999998"/>
  </r>
  <r>
    <n v="1"/>
    <x v="2"/>
    <x v="9"/>
    <x v="0"/>
    <s v="U.S. dollars"/>
    <s v="Billions"/>
    <x v="5"/>
    <n v="2242.1819999999998"/>
  </r>
  <r>
    <n v="1"/>
    <x v="2"/>
    <x v="9"/>
    <x v="0"/>
    <s v="U.S. dollars"/>
    <s v="Billions"/>
    <x v="6"/>
    <n v="2360.5810000000001"/>
  </r>
  <r>
    <n v="903"/>
    <x v="8"/>
    <x v="10"/>
    <x v="0"/>
    <s v="U.S. dollars"/>
    <s v="Billions"/>
    <x v="0"/>
    <n v="1695.7239999999999"/>
  </r>
  <r>
    <n v="903"/>
    <x v="8"/>
    <x v="10"/>
    <x v="0"/>
    <s v="U.S. dollars"/>
    <s v="Billions"/>
    <x v="1"/>
    <n v="1488.117"/>
  </r>
  <r>
    <n v="903"/>
    <x v="8"/>
    <x v="10"/>
    <x v="0"/>
    <s v="U.S. dollars"/>
    <s v="Billions"/>
    <x v="2"/>
    <n v="1843.1310000000001"/>
  </r>
  <r>
    <n v="903"/>
    <x v="8"/>
    <x v="10"/>
    <x v="0"/>
    <s v="U.S. dollars"/>
    <s v="Billions"/>
    <x v="3"/>
    <n v="2272.2620000000002"/>
  </r>
  <r>
    <n v="903"/>
    <x v="8"/>
    <x v="10"/>
    <x v="0"/>
    <s v="U.S. dollars"/>
    <s v="Billions"/>
    <x v="4"/>
    <n v="1997.03"/>
  </r>
  <r>
    <n v="903"/>
    <x v="8"/>
    <x v="10"/>
    <x v="0"/>
    <s v="U.S. dollars"/>
    <s v="Billions"/>
    <x v="5"/>
    <n v="2056.8440000000001"/>
  </r>
  <r>
    <n v="903"/>
    <x v="8"/>
    <x v="10"/>
    <x v="0"/>
    <s v="U.S. dollars"/>
    <s v="Billions"/>
    <x v="6"/>
    <n v="2090.5219999999999"/>
  </r>
  <r>
    <n v="200"/>
    <x v="3"/>
    <x v="10"/>
    <x v="0"/>
    <s v="U.S. dollars"/>
    <s v="Billions"/>
    <x v="0"/>
    <n v="1695.7239999999999"/>
  </r>
  <r>
    <n v="200"/>
    <x v="3"/>
    <x v="10"/>
    <x v="0"/>
    <s v="U.S. dollars"/>
    <s v="Billions"/>
    <x v="1"/>
    <n v="1488.117"/>
  </r>
  <r>
    <n v="200"/>
    <x v="3"/>
    <x v="10"/>
    <x v="0"/>
    <s v="U.S. dollars"/>
    <s v="Billions"/>
    <x v="2"/>
    <n v="1843.1310000000001"/>
  </r>
  <r>
    <n v="200"/>
    <x v="3"/>
    <x v="10"/>
    <x v="0"/>
    <s v="U.S. dollars"/>
    <s v="Billions"/>
    <x v="3"/>
    <n v="2272.2620000000002"/>
  </r>
  <r>
    <n v="200"/>
    <x v="3"/>
    <x v="10"/>
    <x v="0"/>
    <s v="U.S. dollars"/>
    <s v="Billions"/>
    <x v="4"/>
    <n v="1997.03"/>
  </r>
  <r>
    <n v="200"/>
    <x v="3"/>
    <x v="10"/>
    <x v="0"/>
    <s v="U.S. dollars"/>
    <s v="Billions"/>
    <x v="5"/>
    <n v="2056.8440000000001"/>
  </r>
  <r>
    <n v="200"/>
    <x v="3"/>
    <x v="10"/>
    <x v="0"/>
    <s v="U.S. dollars"/>
    <s v="Billions"/>
    <x v="6"/>
    <n v="2090.5219999999999"/>
  </r>
  <r>
    <n v="1"/>
    <x v="2"/>
    <x v="10"/>
    <x v="0"/>
    <s v="U.S. dollars"/>
    <s v="Billions"/>
    <x v="0"/>
    <n v="1695.7239999999999"/>
  </r>
  <r>
    <n v="1"/>
    <x v="2"/>
    <x v="10"/>
    <x v="0"/>
    <s v="U.S. dollars"/>
    <s v="Billions"/>
    <x v="1"/>
    <n v="1488.117"/>
  </r>
  <r>
    <n v="1"/>
    <x v="2"/>
    <x v="10"/>
    <x v="0"/>
    <s v="U.S. dollars"/>
    <s v="Billions"/>
    <x v="2"/>
    <n v="1843.1310000000001"/>
  </r>
  <r>
    <n v="1"/>
    <x v="2"/>
    <x v="10"/>
    <x v="0"/>
    <s v="U.S. dollars"/>
    <s v="Billions"/>
    <x v="3"/>
    <n v="2272.2620000000002"/>
  </r>
  <r>
    <n v="1"/>
    <x v="2"/>
    <x v="10"/>
    <x v="0"/>
    <s v="U.S. dollars"/>
    <s v="Billions"/>
    <x v="4"/>
    <n v="1997.03"/>
  </r>
  <r>
    <n v="1"/>
    <x v="2"/>
    <x v="10"/>
    <x v="0"/>
    <s v="U.S. dollars"/>
    <s v="Billions"/>
    <x v="5"/>
    <n v="2056.8440000000001"/>
  </r>
  <r>
    <n v="1"/>
    <x v="2"/>
    <x v="10"/>
    <x v="0"/>
    <s v="U.S. dollars"/>
    <s v="Billions"/>
    <x v="6"/>
    <n v="2090.5219999999999"/>
  </r>
  <r>
    <n v="200"/>
    <x v="3"/>
    <x v="11"/>
    <x v="0"/>
    <s v="U.S. dollars"/>
    <s v="Billions"/>
    <x v="0"/>
    <n v="1305.2"/>
  </r>
  <r>
    <n v="200"/>
    <x v="3"/>
    <x v="11"/>
    <x v="0"/>
    <s v="U.S. dollars"/>
    <s v="Billions"/>
    <x v="1"/>
    <n v="1120.8320000000001"/>
  </r>
  <r>
    <n v="200"/>
    <x v="3"/>
    <x v="11"/>
    <x v="0"/>
    <s v="U.S. dollars"/>
    <s v="Billions"/>
    <x v="2"/>
    <n v="1313.07"/>
  </r>
  <r>
    <n v="200"/>
    <x v="3"/>
    <x v="11"/>
    <x v="0"/>
    <s v="U.S. dollars"/>
    <s v="Billions"/>
    <x v="3"/>
    <n v="1463.3240000000001"/>
  </r>
  <r>
    <n v="200"/>
    <x v="3"/>
    <x v="11"/>
    <x v="0"/>
    <s v="U.S. dollars"/>
    <s v="Billions"/>
    <x v="4"/>
    <n v="1788.8969999999999"/>
  </r>
  <r>
    <n v="200"/>
    <x v="3"/>
    <x v="11"/>
    <x v="0"/>
    <s v="U.S. dollars"/>
    <s v="Billions"/>
    <x v="5"/>
    <n v="2017.0250000000001"/>
  </r>
  <r>
    <n v="200"/>
    <x v="3"/>
    <x v="11"/>
    <x v="0"/>
    <s v="U.S. dollars"/>
    <s v="Billions"/>
    <x v="6"/>
    <n v="2128.0700000000002"/>
  </r>
  <r>
    <n v="1"/>
    <x v="2"/>
    <x v="11"/>
    <x v="0"/>
    <s v="U.S. dollars"/>
    <s v="Billions"/>
    <x v="0"/>
    <n v="1305.2"/>
  </r>
  <r>
    <n v="1"/>
    <x v="2"/>
    <x v="11"/>
    <x v="0"/>
    <s v="U.S. dollars"/>
    <s v="Billions"/>
    <x v="1"/>
    <n v="1120.8320000000001"/>
  </r>
  <r>
    <n v="1"/>
    <x v="2"/>
    <x v="11"/>
    <x v="0"/>
    <s v="U.S. dollars"/>
    <s v="Billions"/>
    <x v="2"/>
    <n v="1313.07"/>
  </r>
  <r>
    <n v="1"/>
    <x v="2"/>
    <x v="11"/>
    <x v="0"/>
    <s v="U.S. dollars"/>
    <s v="Billions"/>
    <x v="3"/>
    <n v="1463.3240000000001"/>
  </r>
  <r>
    <n v="1"/>
    <x v="2"/>
    <x v="11"/>
    <x v="0"/>
    <s v="U.S. dollars"/>
    <s v="Billions"/>
    <x v="4"/>
    <n v="1788.8969999999999"/>
  </r>
  <r>
    <n v="1"/>
    <x v="2"/>
    <x v="11"/>
    <x v="0"/>
    <s v="U.S. dollars"/>
    <s v="Billions"/>
    <x v="5"/>
    <n v="2017.0250000000001"/>
  </r>
  <r>
    <n v="1"/>
    <x v="2"/>
    <x v="11"/>
    <x v="0"/>
    <s v="U.S. dollars"/>
    <s v="Billions"/>
    <x v="6"/>
    <n v="2128.0700000000002"/>
  </r>
  <r>
    <n v="205"/>
    <x v="7"/>
    <x v="11"/>
    <x v="0"/>
    <s v="U.S. dollars"/>
    <s v="Billions"/>
    <x v="0"/>
    <n v="1305.2"/>
  </r>
  <r>
    <n v="205"/>
    <x v="7"/>
    <x v="11"/>
    <x v="0"/>
    <s v="U.S. dollars"/>
    <s v="Billions"/>
    <x v="1"/>
    <n v="1120.8320000000001"/>
  </r>
  <r>
    <n v="205"/>
    <x v="7"/>
    <x v="11"/>
    <x v="0"/>
    <s v="U.S. dollars"/>
    <s v="Billions"/>
    <x v="2"/>
    <n v="1313.07"/>
  </r>
  <r>
    <n v="205"/>
    <x v="7"/>
    <x v="11"/>
    <x v="0"/>
    <s v="U.S. dollars"/>
    <s v="Billions"/>
    <x v="3"/>
    <n v="1463.3240000000001"/>
  </r>
  <r>
    <n v="205"/>
    <x v="7"/>
    <x v="11"/>
    <x v="0"/>
    <s v="U.S. dollars"/>
    <s v="Billions"/>
    <x v="4"/>
    <n v="1788.8969999999999"/>
  </r>
  <r>
    <n v="205"/>
    <x v="7"/>
    <x v="11"/>
    <x v="0"/>
    <s v="U.S. dollars"/>
    <s v="Billions"/>
    <x v="5"/>
    <n v="2017.0250000000001"/>
  </r>
  <r>
    <n v="205"/>
    <x v="7"/>
    <x v="11"/>
    <x v="0"/>
    <s v="U.S. dollars"/>
    <s v="Billions"/>
    <x v="6"/>
    <n v="2128.0700000000002"/>
  </r>
  <r>
    <n v="1"/>
    <x v="2"/>
    <x v="12"/>
    <x v="0"/>
    <s v="U.S. dollars"/>
    <s v="Billions"/>
    <x v="0"/>
    <n v="1388.204"/>
  </r>
  <r>
    <n v="1"/>
    <x v="2"/>
    <x v="12"/>
    <x v="0"/>
    <s v="U.S. dollars"/>
    <s v="Billions"/>
    <x v="1"/>
    <n v="1364.9010000000001"/>
  </r>
  <r>
    <n v="1"/>
    <x v="2"/>
    <x v="12"/>
    <x v="0"/>
    <s v="U.S. dollars"/>
    <s v="Billions"/>
    <x v="2"/>
    <n v="1657.799"/>
  </r>
  <r>
    <n v="1"/>
    <x v="2"/>
    <x v="12"/>
    <x v="0"/>
    <s v="U.S. dollars"/>
    <s v="Billions"/>
    <x v="3"/>
    <n v="1724.924"/>
  </r>
  <r>
    <n v="1"/>
    <x v="2"/>
    <x v="12"/>
    <x v="0"/>
    <s v="U.S. dollars"/>
    <s v="Billions"/>
    <x v="4"/>
    <n v="1741.8820000000001"/>
  </r>
  <r>
    <n v="1"/>
    <x v="2"/>
    <x v="12"/>
    <x v="0"/>
    <s v="U.S. dollars"/>
    <s v="Billions"/>
    <x v="5"/>
    <n v="1790.348"/>
  </r>
  <r>
    <n v="1"/>
    <x v="2"/>
    <x v="12"/>
    <x v="0"/>
    <s v="U.S. dollars"/>
    <s v="Billions"/>
    <x v="6"/>
    <n v="1863.2380000000001"/>
  </r>
  <r>
    <n v="110"/>
    <x v="0"/>
    <x v="12"/>
    <x v="0"/>
    <s v="U.S. dollars"/>
    <s v="Billions"/>
    <x v="0"/>
    <n v="1388.204"/>
  </r>
  <r>
    <n v="110"/>
    <x v="0"/>
    <x v="12"/>
    <x v="0"/>
    <s v="U.S. dollars"/>
    <s v="Billions"/>
    <x v="1"/>
    <n v="1364.9010000000001"/>
  </r>
  <r>
    <n v="110"/>
    <x v="0"/>
    <x v="12"/>
    <x v="0"/>
    <s v="U.S. dollars"/>
    <s v="Billions"/>
    <x v="2"/>
    <n v="1657.799"/>
  </r>
  <r>
    <n v="110"/>
    <x v="0"/>
    <x v="12"/>
    <x v="0"/>
    <s v="U.S. dollars"/>
    <s v="Billions"/>
    <x v="3"/>
    <n v="1724.924"/>
  </r>
  <r>
    <n v="110"/>
    <x v="0"/>
    <x v="12"/>
    <x v="0"/>
    <s v="U.S. dollars"/>
    <s v="Billions"/>
    <x v="4"/>
    <n v="1741.8820000000001"/>
  </r>
  <r>
    <n v="110"/>
    <x v="0"/>
    <x v="12"/>
    <x v="0"/>
    <s v="U.S. dollars"/>
    <s v="Billions"/>
    <x v="5"/>
    <n v="1790.348"/>
  </r>
  <r>
    <n v="110"/>
    <x v="0"/>
    <x v="12"/>
    <x v="0"/>
    <s v="U.S. dollars"/>
    <s v="Billions"/>
    <x v="6"/>
    <n v="1863.2380000000001"/>
  </r>
  <r>
    <n v="123"/>
    <x v="9"/>
    <x v="12"/>
    <x v="0"/>
    <s v="U.S. dollars"/>
    <s v="Billions"/>
    <x v="0"/>
    <n v="1388.204"/>
  </r>
  <r>
    <n v="123"/>
    <x v="9"/>
    <x v="12"/>
    <x v="0"/>
    <s v="U.S. dollars"/>
    <s v="Billions"/>
    <x v="1"/>
    <n v="1364.9010000000001"/>
  </r>
  <r>
    <n v="123"/>
    <x v="9"/>
    <x v="12"/>
    <x v="0"/>
    <s v="U.S. dollars"/>
    <s v="Billions"/>
    <x v="2"/>
    <n v="1657.799"/>
  </r>
  <r>
    <n v="123"/>
    <x v="9"/>
    <x v="12"/>
    <x v="0"/>
    <s v="U.S. dollars"/>
    <s v="Billions"/>
    <x v="3"/>
    <n v="1724.924"/>
  </r>
  <r>
    <n v="123"/>
    <x v="9"/>
    <x v="12"/>
    <x v="0"/>
    <s v="U.S. dollars"/>
    <s v="Billions"/>
    <x v="4"/>
    <n v="1741.8820000000001"/>
  </r>
  <r>
    <n v="123"/>
    <x v="9"/>
    <x v="12"/>
    <x v="0"/>
    <s v="U.S. dollars"/>
    <s v="Billions"/>
    <x v="5"/>
    <n v="1790.348"/>
  </r>
  <r>
    <n v="123"/>
    <x v="9"/>
    <x v="12"/>
    <x v="0"/>
    <s v="U.S. dollars"/>
    <s v="Billions"/>
    <x v="6"/>
    <n v="1863.2380000000001"/>
  </r>
  <r>
    <n v="123"/>
    <x v="9"/>
    <x v="13"/>
    <x v="0"/>
    <s v="U.S. dollars"/>
    <s v="Billions"/>
    <x v="0"/>
    <n v="1651.423"/>
  </r>
  <r>
    <n v="123"/>
    <x v="9"/>
    <x v="13"/>
    <x v="0"/>
    <s v="U.S. dollars"/>
    <s v="Billions"/>
    <x v="1"/>
    <n v="1644.6759999999999"/>
  </r>
  <r>
    <n v="123"/>
    <x v="9"/>
    <x v="13"/>
    <x v="0"/>
    <s v="U.S. dollars"/>
    <s v="Billions"/>
    <x v="2"/>
    <n v="1818.432"/>
  </r>
  <r>
    <n v="123"/>
    <x v="9"/>
    <x v="13"/>
    <x v="0"/>
    <s v="U.S. dollars"/>
    <s v="Billions"/>
    <x v="3"/>
    <n v="1673.9169999999999"/>
  </r>
  <r>
    <n v="123"/>
    <x v="9"/>
    <x v="13"/>
    <x v="0"/>
    <s v="U.S. dollars"/>
    <s v="Billions"/>
    <x v="4"/>
    <n v="1712.7929999999999"/>
  </r>
  <r>
    <n v="123"/>
    <x v="9"/>
    <x v="13"/>
    <x v="0"/>
    <s v="U.S. dollars"/>
    <s v="Billions"/>
    <x v="5"/>
    <n v="1760.9469999999999"/>
  </r>
  <r>
    <n v="123"/>
    <x v="9"/>
    <x v="13"/>
    <x v="0"/>
    <s v="U.S. dollars"/>
    <s v="Billions"/>
    <x v="6"/>
    <n v="1842.6610000000001"/>
  </r>
  <r>
    <n v="1"/>
    <x v="2"/>
    <x v="13"/>
    <x v="0"/>
    <s v="U.S. dollars"/>
    <s v="Billions"/>
    <x v="0"/>
    <n v="1651.423"/>
  </r>
  <r>
    <n v="1"/>
    <x v="2"/>
    <x v="13"/>
    <x v="0"/>
    <s v="U.S. dollars"/>
    <s v="Billions"/>
    <x v="1"/>
    <n v="1644.6759999999999"/>
  </r>
  <r>
    <n v="1"/>
    <x v="2"/>
    <x v="13"/>
    <x v="0"/>
    <s v="U.S. dollars"/>
    <s v="Billions"/>
    <x v="2"/>
    <n v="1818.432"/>
  </r>
  <r>
    <n v="1"/>
    <x v="2"/>
    <x v="13"/>
    <x v="0"/>
    <s v="U.S. dollars"/>
    <s v="Billions"/>
    <x v="3"/>
    <n v="1673.9169999999999"/>
  </r>
  <r>
    <n v="1"/>
    <x v="2"/>
    <x v="13"/>
    <x v="0"/>
    <s v="U.S. dollars"/>
    <s v="Billions"/>
    <x v="4"/>
    <n v="1712.7929999999999"/>
  </r>
  <r>
    <n v="1"/>
    <x v="2"/>
    <x v="13"/>
    <x v="0"/>
    <s v="U.S. dollars"/>
    <s v="Billions"/>
    <x v="5"/>
    <n v="1760.9469999999999"/>
  </r>
  <r>
    <n v="1"/>
    <x v="2"/>
    <x v="13"/>
    <x v="0"/>
    <s v="U.S. dollars"/>
    <s v="Billions"/>
    <x v="6"/>
    <n v="1842.6610000000001"/>
  </r>
  <r>
    <n v="110"/>
    <x v="0"/>
    <x v="13"/>
    <x v="0"/>
    <s v="U.S. dollars"/>
    <s v="Billions"/>
    <x v="0"/>
    <n v="1651.423"/>
  </r>
  <r>
    <n v="110"/>
    <x v="0"/>
    <x v="13"/>
    <x v="0"/>
    <s v="U.S. dollars"/>
    <s v="Billions"/>
    <x v="1"/>
    <n v="1644.6759999999999"/>
  </r>
  <r>
    <n v="110"/>
    <x v="0"/>
    <x v="13"/>
    <x v="0"/>
    <s v="U.S. dollars"/>
    <s v="Billions"/>
    <x v="2"/>
    <n v="1818.432"/>
  </r>
  <r>
    <n v="110"/>
    <x v="0"/>
    <x v="13"/>
    <x v="0"/>
    <s v="U.S. dollars"/>
    <s v="Billions"/>
    <x v="3"/>
    <n v="1673.9169999999999"/>
  </r>
  <r>
    <n v="110"/>
    <x v="0"/>
    <x v="13"/>
    <x v="0"/>
    <s v="U.S. dollars"/>
    <s v="Billions"/>
    <x v="4"/>
    <n v="1712.7929999999999"/>
  </r>
  <r>
    <n v="110"/>
    <x v="0"/>
    <x v="13"/>
    <x v="0"/>
    <s v="U.S. dollars"/>
    <s v="Billions"/>
    <x v="5"/>
    <n v="1760.9469999999999"/>
  </r>
  <r>
    <n v="110"/>
    <x v="0"/>
    <x v="13"/>
    <x v="0"/>
    <s v="U.S. dollars"/>
    <s v="Billions"/>
    <x v="6"/>
    <n v="1842.6610000000001"/>
  </r>
  <r>
    <n v="110"/>
    <x v="0"/>
    <x v="14"/>
    <x v="0"/>
    <s v="U.S. dollars"/>
    <s v="Billions"/>
    <x v="0"/>
    <n v="1394.4739999999999"/>
  </r>
  <r>
    <n v="110"/>
    <x v="0"/>
    <x v="14"/>
    <x v="0"/>
    <s v="U.S. dollars"/>
    <s v="Billions"/>
    <x v="1"/>
    <n v="1277.106"/>
  </r>
  <r>
    <n v="110"/>
    <x v="0"/>
    <x v="14"/>
    <x v="0"/>
    <s v="U.S. dollars"/>
    <s v="Billions"/>
    <x v="2"/>
    <n v="1446.6130000000001"/>
  </r>
  <r>
    <n v="110"/>
    <x v="0"/>
    <x v="14"/>
    <x v="0"/>
    <s v="U.S. dollars"/>
    <s v="Billions"/>
    <x v="3"/>
    <n v="1418.9159999999999"/>
  </r>
  <r>
    <n v="110"/>
    <x v="0"/>
    <x v="14"/>
    <x v="0"/>
    <s v="U.S. dollars"/>
    <s v="Billions"/>
    <x v="4"/>
    <n v="1581.1510000000001"/>
  </r>
  <r>
    <n v="110"/>
    <x v="0"/>
    <x v="14"/>
    <x v="0"/>
    <s v="U.S. dollars"/>
    <s v="Billions"/>
    <x v="5"/>
    <n v="1647.114"/>
  </r>
  <r>
    <n v="110"/>
    <x v="0"/>
    <x v="14"/>
    <x v="0"/>
    <s v="U.S. dollars"/>
    <s v="Billions"/>
    <x v="6"/>
    <n v="1715.5840000000001"/>
  </r>
  <r>
    <n v="163"/>
    <x v="5"/>
    <x v="14"/>
    <x v="0"/>
    <s v="U.S. dollars"/>
    <s v="Billions"/>
    <x v="0"/>
    <n v="1394.4739999999999"/>
  </r>
  <r>
    <n v="163"/>
    <x v="5"/>
    <x v="14"/>
    <x v="0"/>
    <s v="U.S. dollars"/>
    <s v="Billions"/>
    <x v="1"/>
    <n v="1277.106"/>
  </r>
  <r>
    <n v="163"/>
    <x v="5"/>
    <x v="14"/>
    <x v="0"/>
    <s v="U.S. dollars"/>
    <s v="Billions"/>
    <x v="2"/>
    <n v="1446.6130000000001"/>
  </r>
  <r>
    <n v="163"/>
    <x v="5"/>
    <x v="14"/>
    <x v="0"/>
    <s v="U.S. dollars"/>
    <s v="Billions"/>
    <x v="3"/>
    <n v="1418.9159999999999"/>
  </r>
  <r>
    <n v="163"/>
    <x v="5"/>
    <x v="14"/>
    <x v="0"/>
    <s v="U.S. dollars"/>
    <s v="Billions"/>
    <x v="4"/>
    <n v="1581.1510000000001"/>
  </r>
  <r>
    <n v="163"/>
    <x v="5"/>
    <x v="14"/>
    <x v="0"/>
    <s v="U.S. dollars"/>
    <s v="Billions"/>
    <x v="5"/>
    <n v="1647.114"/>
  </r>
  <r>
    <n v="163"/>
    <x v="5"/>
    <x v="14"/>
    <x v="0"/>
    <s v="U.S. dollars"/>
    <s v="Billions"/>
    <x v="6"/>
    <n v="1715.5840000000001"/>
  </r>
  <r>
    <n v="998"/>
    <x v="6"/>
    <x v="14"/>
    <x v="0"/>
    <s v="U.S. dollars"/>
    <s v="Billions"/>
    <x v="0"/>
    <n v="1394.4739999999999"/>
  </r>
  <r>
    <n v="998"/>
    <x v="6"/>
    <x v="14"/>
    <x v="0"/>
    <s v="U.S. dollars"/>
    <s v="Billions"/>
    <x v="1"/>
    <n v="1277.106"/>
  </r>
  <r>
    <n v="998"/>
    <x v="6"/>
    <x v="14"/>
    <x v="0"/>
    <s v="U.S. dollars"/>
    <s v="Billions"/>
    <x v="2"/>
    <n v="1446.6130000000001"/>
  </r>
  <r>
    <n v="998"/>
    <x v="6"/>
    <x v="14"/>
    <x v="0"/>
    <s v="U.S. dollars"/>
    <s v="Billions"/>
    <x v="3"/>
    <n v="1418.9159999999999"/>
  </r>
  <r>
    <n v="998"/>
    <x v="6"/>
    <x v="14"/>
    <x v="0"/>
    <s v="U.S. dollars"/>
    <s v="Billions"/>
    <x v="4"/>
    <n v="1581.1510000000001"/>
  </r>
  <r>
    <n v="998"/>
    <x v="6"/>
    <x v="14"/>
    <x v="0"/>
    <s v="U.S. dollars"/>
    <s v="Billions"/>
    <x v="5"/>
    <n v="1647.114"/>
  </r>
  <r>
    <n v="998"/>
    <x v="6"/>
    <x v="14"/>
    <x v="0"/>
    <s v="U.S. dollars"/>
    <s v="Billions"/>
    <x v="6"/>
    <n v="1715.5840000000001"/>
  </r>
  <r>
    <n v="1"/>
    <x v="2"/>
    <x v="14"/>
    <x v="0"/>
    <s v="U.S. dollars"/>
    <s v="Billions"/>
    <x v="0"/>
    <n v="1394.4739999999999"/>
  </r>
  <r>
    <n v="1"/>
    <x v="2"/>
    <x v="14"/>
    <x v="0"/>
    <s v="U.S. dollars"/>
    <s v="Billions"/>
    <x v="1"/>
    <n v="1277.106"/>
  </r>
  <r>
    <n v="1"/>
    <x v="2"/>
    <x v="14"/>
    <x v="0"/>
    <s v="U.S. dollars"/>
    <s v="Billions"/>
    <x v="2"/>
    <n v="1446.6130000000001"/>
  </r>
  <r>
    <n v="1"/>
    <x v="2"/>
    <x v="14"/>
    <x v="0"/>
    <s v="U.S. dollars"/>
    <s v="Billions"/>
    <x v="3"/>
    <n v="1418.9159999999999"/>
  </r>
  <r>
    <n v="1"/>
    <x v="2"/>
    <x v="14"/>
    <x v="0"/>
    <s v="U.S. dollars"/>
    <s v="Billions"/>
    <x v="4"/>
    <n v="1581.1510000000001"/>
  </r>
  <r>
    <n v="1"/>
    <x v="2"/>
    <x v="14"/>
    <x v="0"/>
    <s v="U.S. dollars"/>
    <s v="Billions"/>
    <x v="5"/>
    <n v="1647.114"/>
  </r>
  <r>
    <n v="1"/>
    <x v="2"/>
    <x v="14"/>
    <x v="0"/>
    <s v="U.S. dollars"/>
    <s v="Billions"/>
    <x v="6"/>
    <n v="1715.5840000000001"/>
  </r>
  <r>
    <n v="1"/>
    <x v="2"/>
    <x v="15"/>
    <x v="0"/>
    <s v="U.S. dollars"/>
    <s v="Billions"/>
    <x v="0"/>
    <n v="1119.0999999999999"/>
  </r>
  <r>
    <n v="1"/>
    <x v="2"/>
    <x v="15"/>
    <x v="0"/>
    <s v="U.S. dollars"/>
    <s v="Billions"/>
    <x v="1"/>
    <n v="1059.0550000000001"/>
  </r>
  <r>
    <n v="1"/>
    <x v="2"/>
    <x v="15"/>
    <x v="0"/>
    <s v="U.S. dollars"/>
    <s v="Billions"/>
    <x v="2"/>
    <n v="1186.51"/>
  </r>
  <r>
    <n v="1"/>
    <x v="2"/>
    <x v="15"/>
    <x v="0"/>
    <s v="U.S. dollars"/>
    <s v="Billions"/>
    <x v="3"/>
    <n v="1319.076"/>
  </r>
  <r>
    <n v="1"/>
    <x v="2"/>
    <x v="15"/>
    <x v="0"/>
    <s v="U.S. dollars"/>
    <s v="Billions"/>
    <x v="4"/>
    <n v="1371.171"/>
  </r>
  <r>
    <n v="1"/>
    <x v="2"/>
    <x v="15"/>
    <x v="0"/>
    <s v="U.S. dollars"/>
    <s v="Billions"/>
    <x v="5"/>
    <n v="1475.69"/>
  </r>
  <r>
    <n v="1"/>
    <x v="2"/>
    <x v="15"/>
    <x v="0"/>
    <s v="U.S. dollars"/>
    <s v="Billions"/>
    <x v="6"/>
    <n v="1613.904"/>
  </r>
  <r>
    <n v="200"/>
    <x v="3"/>
    <x v="15"/>
    <x v="0"/>
    <s v="U.S. dollars"/>
    <s v="Billions"/>
    <x v="0"/>
    <n v="1119.0999999999999"/>
  </r>
  <r>
    <n v="200"/>
    <x v="3"/>
    <x v="15"/>
    <x v="0"/>
    <s v="U.S. dollars"/>
    <s v="Billions"/>
    <x v="1"/>
    <n v="1059.0550000000001"/>
  </r>
  <r>
    <n v="200"/>
    <x v="3"/>
    <x v="15"/>
    <x v="0"/>
    <s v="U.S. dollars"/>
    <s v="Billions"/>
    <x v="2"/>
    <n v="1186.51"/>
  </r>
  <r>
    <n v="200"/>
    <x v="3"/>
    <x v="15"/>
    <x v="0"/>
    <s v="U.S. dollars"/>
    <s v="Billions"/>
    <x v="3"/>
    <n v="1319.076"/>
  </r>
  <r>
    <n v="200"/>
    <x v="3"/>
    <x v="15"/>
    <x v="0"/>
    <s v="U.S. dollars"/>
    <s v="Billions"/>
    <x v="4"/>
    <n v="1371.171"/>
  </r>
  <r>
    <n v="200"/>
    <x v="3"/>
    <x v="15"/>
    <x v="0"/>
    <s v="U.S. dollars"/>
    <s v="Billions"/>
    <x v="5"/>
    <n v="1475.69"/>
  </r>
  <r>
    <n v="200"/>
    <x v="3"/>
    <x v="15"/>
    <x v="0"/>
    <s v="U.S. dollars"/>
    <s v="Billions"/>
    <x v="6"/>
    <n v="1613.904"/>
  </r>
  <r>
    <n v="510"/>
    <x v="10"/>
    <x v="15"/>
    <x v="0"/>
    <s v="U.S. dollars"/>
    <s v="Billions"/>
    <x v="0"/>
    <n v="1119.0999999999999"/>
  </r>
  <r>
    <n v="510"/>
    <x v="10"/>
    <x v="15"/>
    <x v="0"/>
    <s v="U.S. dollars"/>
    <s v="Billions"/>
    <x v="1"/>
    <n v="1059.0550000000001"/>
  </r>
  <r>
    <n v="510"/>
    <x v="10"/>
    <x v="15"/>
    <x v="0"/>
    <s v="U.S. dollars"/>
    <s v="Billions"/>
    <x v="2"/>
    <n v="1186.51"/>
  </r>
  <r>
    <n v="510"/>
    <x v="10"/>
    <x v="15"/>
    <x v="0"/>
    <s v="U.S. dollars"/>
    <s v="Billions"/>
    <x v="3"/>
    <n v="1319.076"/>
  </r>
  <r>
    <n v="510"/>
    <x v="10"/>
    <x v="15"/>
    <x v="0"/>
    <s v="U.S. dollars"/>
    <s v="Billions"/>
    <x v="4"/>
    <n v="1371.171"/>
  </r>
  <r>
    <n v="510"/>
    <x v="10"/>
    <x v="15"/>
    <x v="0"/>
    <s v="U.S. dollars"/>
    <s v="Billions"/>
    <x v="5"/>
    <n v="1475.69"/>
  </r>
  <r>
    <n v="510"/>
    <x v="10"/>
    <x v="15"/>
    <x v="0"/>
    <s v="U.S. dollars"/>
    <s v="Billions"/>
    <x v="6"/>
    <n v="1613.904"/>
  </r>
  <r>
    <n v="505"/>
    <x v="4"/>
    <x v="15"/>
    <x v="0"/>
    <s v="U.S. dollars"/>
    <s v="Billions"/>
    <x v="0"/>
    <n v="1119.0999999999999"/>
  </r>
  <r>
    <n v="505"/>
    <x v="4"/>
    <x v="15"/>
    <x v="0"/>
    <s v="U.S. dollars"/>
    <s v="Billions"/>
    <x v="1"/>
    <n v="1059.0550000000001"/>
  </r>
  <r>
    <n v="505"/>
    <x v="4"/>
    <x v="15"/>
    <x v="0"/>
    <s v="U.S. dollars"/>
    <s v="Billions"/>
    <x v="2"/>
    <n v="1186.51"/>
  </r>
  <r>
    <n v="505"/>
    <x v="4"/>
    <x v="15"/>
    <x v="0"/>
    <s v="U.S. dollars"/>
    <s v="Billions"/>
    <x v="3"/>
    <n v="1319.076"/>
  </r>
  <r>
    <n v="505"/>
    <x v="4"/>
    <x v="15"/>
    <x v="0"/>
    <s v="U.S. dollars"/>
    <s v="Billions"/>
    <x v="4"/>
    <n v="1371.171"/>
  </r>
  <r>
    <n v="505"/>
    <x v="4"/>
    <x v="15"/>
    <x v="0"/>
    <s v="U.S. dollars"/>
    <s v="Billions"/>
    <x v="5"/>
    <n v="1475.69"/>
  </r>
  <r>
    <n v="505"/>
    <x v="4"/>
    <x v="15"/>
    <x v="0"/>
    <s v="U.S. dollars"/>
    <s v="Billions"/>
    <x v="6"/>
    <n v="1613.904"/>
  </r>
  <r>
    <n v="1"/>
    <x v="2"/>
    <x v="16"/>
    <x v="0"/>
    <s v="U.S. dollars"/>
    <s v="Billions"/>
    <x v="0"/>
    <n v="760.52"/>
  </r>
  <r>
    <n v="1"/>
    <x v="2"/>
    <x v="16"/>
    <x v="0"/>
    <s v="U.S. dollars"/>
    <s v="Billions"/>
    <x v="1"/>
    <n v="720.15899999999999"/>
  </r>
  <r>
    <n v="1"/>
    <x v="2"/>
    <x v="16"/>
    <x v="0"/>
    <s v="U.S. dollars"/>
    <s v="Billions"/>
    <x v="2"/>
    <n v="818.33699999999999"/>
  </r>
  <r>
    <n v="1"/>
    <x v="2"/>
    <x v="16"/>
    <x v="0"/>
    <s v="U.S. dollars"/>
    <s v="Billions"/>
    <x v="3"/>
    <n v="905.84100000000001"/>
  </r>
  <r>
    <n v="1"/>
    <x v="2"/>
    <x v="16"/>
    <x v="0"/>
    <s v="U.S. dollars"/>
    <s v="Billions"/>
    <x v="4"/>
    <n v="1108.453"/>
  </r>
  <r>
    <n v="1"/>
    <x v="2"/>
    <x v="16"/>
    <x v="0"/>
    <s v="U.S. dollars"/>
    <s v="Billions"/>
    <x v="5"/>
    <n v="1113.5609999999999"/>
  </r>
  <r>
    <n v="1"/>
    <x v="2"/>
    <x v="16"/>
    <x v="0"/>
    <s v="U.S. dollars"/>
    <s v="Billions"/>
    <x v="6"/>
    <n v="1106.9159999999999"/>
  </r>
  <r>
    <n v="903"/>
    <x v="8"/>
    <x v="16"/>
    <x v="0"/>
    <s v="U.S. dollars"/>
    <s v="Billions"/>
    <x v="0"/>
    <n v="760.52"/>
  </r>
  <r>
    <n v="903"/>
    <x v="8"/>
    <x v="16"/>
    <x v="0"/>
    <s v="U.S. dollars"/>
    <s v="Billions"/>
    <x v="1"/>
    <n v="720.15899999999999"/>
  </r>
  <r>
    <n v="903"/>
    <x v="8"/>
    <x v="16"/>
    <x v="0"/>
    <s v="U.S. dollars"/>
    <s v="Billions"/>
    <x v="2"/>
    <n v="818.33699999999999"/>
  </r>
  <r>
    <n v="903"/>
    <x v="8"/>
    <x v="16"/>
    <x v="0"/>
    <s v="U.S. dollars"/>
    <s v="Billions"/>
    <x v="3"/>
    <n v="905.84100000000001"/>
  </r>
  <r>
    <n v="903"/>
    <x v="8"/>
    <x v="16"/>
    <x v="0"/>
    <s v="U.S. dollars"/>
    <s v="Billions"/>
    <x v="4"/>
    <n v="1108.453"/>
  </r>
  <r>
    <n v="903"/>
    <x v="8"/>
    <x v="16"/>
    <x v="0"/>
    <s v="U.S. dollars"/>
    <s v="Billions"/>
    <x v="5"/>
    <n v="1113.5609999999999"/>
  </r>
  <r>
    <n v="903"/>
    <x v="8"/>
    <x v="16"/>
    <x v="0"/>
    <s v="U.S. dollars"/>
    <s v="Billions"/>
    <x v="6"/>
    <n v="1106.9159999999999"/>
  </r>
  <r>
    <n v="200"/>
    <x v="3"/>
    <x v="16"/>
    <x v="0"/>
    <s v="U.S. dollars"/>
    <s v="Billions"/>
    <x v="0"/>
    <n v="760.52"/>
  </r>
  <r>
    <n v="200"/>
    <x v="3"/>
    <x v="16"/>
    <x v="0"/>
    <s v="U.S. dollars"/>
    <s v="Billions"/>
    <x v="1"/>
    <n v="720.15899999999999"/>
  </r>
  <r>
    <n v="200"/>
    <x v="3"/>
    <x v="16"/>
    <x v="0"/>
    <s v="U.S. dollars"/>
    <s v="Billions"/>
    <x v="2"/>
    <n v="818.33699999999999"/>
  </r>
  <r>
    <n v="200"/>
    <x v="3"/>
    <x v="16"/>
    <x v="0"/>
    <s v="U.S. dollars"/>
    <s v="Billions"/>
    <x v="3"/>
    <n v="905.84100000000001"/>
  </r>
  <r>
    <n v="200"/>
    <x v="3"/>
    <x v="16"/>
    <x v="0"/>
    <s v="U.S. dollars"/>
    <s v="Billions"/>
    <x v="4"/>
    <n v="1108.453"/>
  </r>
  <r>
    <n v="200"/>
    <x v="3"/>
    <x v="16"/>
    <x v="0"/>
    <s v="U.S. dollars"/>
    <s v="Billions"/>
    <x v="5"/>
    <n v="1113.5609999999999"/>
  </r>
  <r>
    <n v="200"/>
    <x v="3"/>
    <x v="16"/>
    <x v="0"/>
    <s v="U.S. dollars"/>
    <s v="Billions"/>
    <x v="6"/>
    <n v="1106.9159999999999"/>
  </r>
  <r>
    <n v="1"/>
    <x v="2"/>
    <x v="17"/>
    <x v="0"/>
    <s v="U.S. dollars"/>
    <s v="Billions"/>
    <x v="0"/>
    <n v="838.56399999999996"/>
  </r>
  <r>
    <n v="1"/>
    <x v="2"/>
    <x v="17"/>
    <x v="0"/>
    <s v="U.S. dollars"/>
    <s v="Billions"/>
    <x v="1"/>
    <n v="734.27099999999996"/>
  </r>
  <r>
    <n v="1"/>
    <x v="2"/>
    <x v="17"/>
    <x v="0"/>
    <s v="U.S. dollars"/>
    <s v="Billions"/>
    <x v="2"/>
    <n v="874.15599999999995"/>
  </r>
  <r>
    <n v="1"/>
    <x v="2"/>
    <x v="17"/>
    <x v="0"/>
    <s v="U.S. dollars"/>
    <s v="Billions"/>
    <x v="3"/>
    <n v="1108.5719999999999"/>
  </r>
  <r>
    <n v="1"/>
    <x v="2"/>
    <x v="17"/>
    <x v="0"/>
    <s v="U.S. dollars"/>
    <s v="Billions"/>
    <x v="4"/>
    <n v="1067.5830000000001"/>
  </r>
  <r>
    <n v="1"/>
    <x v="2"/>
    <x v="17"/>
    <x v="0"/>
    <s v="U.S. dollars"/>
    <s v="Billions"/>
    <x v="5"/>
    <n v="1106.0150000000001"/>
  </r>
  <r>
    <n v="1"/>
    <x v="2"/>
    <x v="17"/>
    <x v="0"/>
    <s v="U.S. dollars"/>
    <s v="Billions"/>
    <x v="6"/>
    <n v="1171.0029999999999"/>
  </r>
  <r>
    <n v="200"/>
    <x v="3"/>
    <x v="17"/>
    <x v="0"/>
    <s v="U.S. dollars"/>
    <s v="Billions"/>
    <x v="0"/>
    <n v="838.56399999999996"/>
  </r>
  <r>
    <n v="200"/>
    <x v="3"/>
    <x v="17"/>
    <x v="0"/>
    <s v="U.S. dollars"/>
    <s v="Billions"/>
    <x v="1"/>
    <n v="734.27099999999996"/>
  </r>
  <r>
    <n v="200"/>
    <x v="3"/>
    <x v="17"/>
    <x v="0"/>
    <s v="U.S. dollars"/>
    <s v="Billions"/>
    <x v="2"/>
    <n v="874.15599999999995"/>
  </r>
  <r>
    <n v="200"/>
    <x v="3"/>
    <x v="17"/>
    <x v="0"/>
    <s v="U.S. dollars"/>
    <s v="Billions"/>
    <x v="3"/>
    <n v="1108.5719999999999"/>
  </r>
  <r>
    <n v="200"/>
    <x v="3"/>
    <x v="17"/>
    <x v="0"/>
    <s v="U.S. dollars"/>
    <s v="Billions"/>
    <x v="4"/>
    <n v="1067.5830000000001"/>
  </r>
  <r>
    <n v="200"/>
    <x v="3"/>
    <x v="17"/>
    <x v="0"/>
    <s v="U.S. dollars"/>
    <s v="Billions"/>
    <x v="5"/>
    <n v="1106.0150000000001"/>
  </r>
  <r>
    <n v="200"/>
    <x v="3"/>
    <x v="17"/>
    <x v="0"/>
    <s v="U.S. dollars"/>
    <s v="Billions"/>
    <x v="6"/>
    <n v="1171.0029999999999"/>
  </r>
  <r>
    <n v="400"/>
    <x v="11"/>
    <x v="17"/>
    <x v="0"/>
    <s v="U.S. dollars"/>
    <s v="Billions"/>
    <x v="0"/>
    <n v="838.56399999999996"/>
  </r>
  <r>
    <n v="400"/>
    <x v="11"/>
    <x v="17"/>
    <x v="0"/>
    <s v="U.S. dollars"/>
    <s v="Billions"/>
    <x v="1"/>
    <n v="734.27099999999996"/>
  </r>
  <r>
    <n v="400"/>
    <x v="11"/>
    <x v="17"/>
    <x v="0"/>
    <s v="U.S. dollars"/>
    <s v="Billions"/>
    <x v="2"/>
    <n v="874.15599999999995"/>
  </r>
  <r>
    <n v="400"/>
    <x v="11"/>
    <x v="17"/>
    <x v="0"/>
    <s v="U.S. dollars"/>
    <s v="Billions"/>
    <x v="3"/>
    <n v="1108.5719999999999"/>
  </r>
  <r>
    <n v="400"/>
    <x v="11"/>
    <x v="17"/>
    <x v="0"/>
    <s v="U.S. dollars"/>
    <s v="Billions"/>
    <x v="4"/>
    <n v="1067.5830000000001"/>
  </r>
  <r>
    <n v="400"/>
    <x v="11"/>
    <x v="17"/>
    <x v="0"/>
    <s v="U.S. dollars"/>
    <s v="Billions"/>
    <x v="5"/>
    <n v="1106.0150000000001"/>
  </r>
  <r>
    <n v="400"/>
    <x v="11"/>
    <x v="17"/>
    <x v="0"/>
    <s v="U.S. dollars"/>
    <s v="Billions"/>
    <x v="6"/>
    <n v="1171.0029999999999"/>
  </r>
  <r>
    <n v="110"/>
    <x v="0"/>
    <x v="18"/>
    <x v="0"/>
    <s v="U.S. dollars"/>
    <s v="Billions"/>
    <x v="0"/>
    <n v="721.83299999999997"/>
  </r>
  <r>
    <n v="110"/>
    <x v="0"/>
    <x v="18"/>
    <x v="0"/>
    <s v="U.S. dollars"/>
    <s v="Billions"/>
    <x v="1"/>
    <n v="741.02800000000002"/>
  </r>
  <r>
    <n v="110"/>
    <x v="0"/>
    <x v="18"/>
    <x v="0"/>
    <s v="U.S. dollars"/>
    <s v="Billions"/>
    <x v="2"/>
    <n v="812.44100000000003"/>
  </r>
  <r>
    <n v="110"/>
    <x v="0"/>
    <x v="18"/>
    <x v="0"/>
    <s v="U.S. dollars"/>
    <s v="Billions"/>
    <x v="3"/>
    <n v="818.64300000000003"/>
  </r>
  <r>
    <n v="110"/>
    <x v="0"/>
    <x v="18"/>
    <x v="0"/>
    <s v="U.S. dollars"/>
    <s v="Billions"/>
    <x v="4"/>
    <n v="885.14099999999996"/>
  </r>
  <r>
    <n v="110"/>
    <x v="0"/>
    <x v="18"/>
    <x v="0"/>
    <s v="U.S. dollars"/>
    <s v="Billions"/>
    <x v="5"/>
    <n v="938.45799999999997"/>
  </r>
  <r>
    <n v="110"/>
    <x v="0"/>
    <x v="18"/>
    <x v="0"/>
    <s v="U.S. dollars"/>
    <s v="Billions"/>
    <x v="6"/>
    <n v="971.745"/>
  </r>
  <r>
    <n v="123"/>
    <x v="9"/>
    <x v="18"/>
    <x v="0"/>
    <s v="U.S. dollars"/>
    <s v="Billions"/>
    <x v="0"/>
    <n v="721.83299999999997"/>
  </r>
  <r>
    <n v="123"/>
    <x v="9"/>
    <x v="18"/>
    <x v="0"/>
    <s v="U.S. dollars"/>
    <s v="Billions"/>
    <x v="1"/>
    <n v="741.02800000000002"/>
  </r>
  <r>
    <n v="123"/>
    <x v="9"/>
    <x v="18"/>
    <x v="0"/>
    <s v="U.S. dollars"/>
    <s v="Billions"/>
    <x v="2"/>
    <n v="812.44100000000003"/>
  </r>
  <r>
    <n v="123"/>
    <x v="9"/>
    <x v="18"/>
    <x v="0"/>
    <s v="U.S. dollars"/>
    <s v="Billions"/>
    <x v="3"/>
    <n v="818.64300000000003"/>
  </r>
  <r>
    <n v="123"/>
    <x v="9"/>
    <x v="18"/>
    <x v="0"/>
    <s v="U.S. dollars"/>
    <s v="Billions"/>
    <x v="4"/>
    <n v="885.14099999999996"/>
  </r>
  <r>
    <n v="123"/>
    <x v="9"/>
    <x v="18"/>
    <x v="0"/>
    <s v="U.S. dollars"/>
    <s v="Billions"/>
    <x v="5"/>
    <n v="938.45799999999997"/>
  </r>
  <r>
    <n v="123"/>
    <x v="9"/>
    <x v="18"/>
    <x v="0"/>
    <s v="U.S. dollars"/>
    <s v="Billions"/>
    <x v="6"/>
    <n v="971.745"/>
  </r>
  <r>
    <n v="1"/>
    <x v="2"/>
    <x v="18"/>
    <x v="0"/>
    <s v="U.S. dollars"/>
    <s v="Billions"/>
    <x v="0"/>
    <n v="721.83299999999997"/>
  </r>
  <r>
    <n v="1"/>
    <x v="2"/>
    <x v="18"/>
    <x v="0"/>
    <s v="U.S. dollars"/>
    <s v="Billions"/>
    <x v="1"/>
    <n v="741.02800000000002"/>
  </r>
  <r>
    <n v="1"/>
    <x v="2"/>
    <x v="18"/>
    <x v="0"/>
    <s v="U.S. dollars"/>
    <s v="Billions"/>
    <x v="2"/>
    <n v="812.44100000000003"/>
  </r>
  <r>
    <n v="1"/>
    <x v="2"/>
    <x v="18"/>
    <x v="0"/>
    <s v="U.S. dollars"/>
    <s v="Billions"/>
    <x v="3"/>
    <n v="818.64300000000003"/>
  </r>
  <r>
    <n v="1"/>
    <x v="2"/>
    <x v="18"/>
    <x v="0"/>
    <s v="U.S. dollars"/>
    <s v="Billions"/>
    <x v="4"/>
    <n v="885.14099999999996"/>
  </r>
  <r>
    <n v="1"/>
    <x v="2"/>
    <x v="18"/>
    <x v="0"/>
    <s v="U.S. dollars"/>
    <s v="Billions"/>
    <x v="5"/>
    <n v="938.45799999999997"/>
  </r>
  <r>
    <n v="1"/>
    <x v="2"/>
    <x v="18"/>
    <x v="0"/>
    <s v="U.S. dollars"/>
    <s v="Billions"/>
    <x v="6"/>
    <n v="971.745"/>
  </r>
  <r>
    <n v="998"/>
    <x v="6"/>
    <x v="19"/>
    <x v="0"/>
    <s v="U.S. dollars"/>
    <s v="Billions"/>
    <x v="0"/>
    <n v="595.96799999999996"/>
  </r>
  <r>
    <n v="998"/>
    <x v="6"/>
    <x v="19"/>
    <x v="0"/>
    <s v="U.S. dollars"/>
    <s v="Billions"/>
    <x v="1"/>
    <n v="599.45799999999997"/>
  </r>
  <r>
    <n v="998"/>
    <x v="6"/>
    <x v="19"/>
    <x v="0"/>
    <s v="U.S. dollars"/>
    <s v="Billions"/>
    <x v="2"/>
    <n v="681.42899999999997"/>
  </r>
  <r>
    <n v="998"/>
    <x v="6"/>
    <x v="19"/>
    <x v="0"/>
    <s v="U.S. dollars"/>
    <s v="Billions"/>
    <x v="3"/>
    <n v="688.25"/>
  </r>
  <r>
    <n v="998"/>
    <x v="6"/>
    <x v="19"/>
    <x v="0"/>
    <s v="U.S. dollars"/>
    <s v="Billions"/>
    <x v="4"/>
    <n v="808.43499999999995"/>
  </r>
  <r>
    <n v="998"/>
    <x v="6"/>
    <x v="19"/>
    <x v="0"/>
    <s v="U.S. dollars"/>
    <s v="Billions"/>
    <x v="5"/>
    <n v="844.62300000000005"/>
  </r>
  <r>
    <n v="998"/>
    <x v="6"/>
    <x v="19"/>
    <x v="0"/>
    <s v="U.S. dollars"/>
    <s v="Billions"/>
    <x v="6"/>
    <n v="884.58100000000002"/>
  </r>
  <r>
    <n v="1"/>
    <x v="2"/>
    <x v="19"/>
    <x v="0"/>
    <s v="U.S. dollars"/>
    <s v="Billions"/>
    <x v="0"/>
    <n v="595.96799999999996"/>
  </r>
  <r>
    <n v="1"/>
    <x v="2"/>
    <x v="19"/>
    <x v="0"/>
    <s v="U.S. dollars"/>
    <s v="Billions"/>
    <x v="1"/>
    <n v="599.45799999999997"/>
  </r>
  <r>
    <n v="1"/>
    <x v="2"/>
    <x v="19"/>
    <x v="0"/>
    <s v="U.S. dollars"/>
    <s v="Billions"/>
    <x v="2"/>
    <n v="681.42899999999997"/>
  </r>
  <r>
    <n v="1"/>
    <x v="2"/>
    <x v="19"/>
    <x v="0"/>
    <s v="U.S. dollars"/>
    <s v="Billions"/>
    <x v="3"/>
    <n v="688.25"/>
  </r>
  <r>
    <n v="1"/>
    <x v="2"/>
    <x v="19"/>
    <x v="0"/>
    <s v="U.S. dollars"/>
    <s v="Billions"/>
    <x v="4"/>
    <n v="808.43499999999995"/>
  </r>
  <r>
    <n v="1"/>
    <x v="2"/>
    <x v="19"/>
    <x v="0"/>
    <s v="U.S. dollars"/>
    <s v="Billions"/>
    <x v="5"/>
    <n v="844.62300000000005"/>
  </r>
  <r>
    <n v="1"/>
    <x v="2"/>
    <x v="19"/>
    <x v="0"/>
    <s v="U.S. dollars"/>
    <s v="Billions"/>
    <x v="6"/>
    <n v="884.58100000000002"/>
  </r>
  <r>
    <n v="903"/>
    <x v="8"/>
    <x v="19"/>
    <x v="0"/>
    <s v="U.S. dollars"/>
    <s v="Billions"/>
    <x v="0"/>
    <n v="595.96799999999996"/>
  </r>
  <r>
    <n v="903"/>
    <x v="8"/>
    <x v="19"/>
    <x v="0"/>
    <s v="U.S. dollars"/>
    <s v="Billions"/>
    <x v="1"/>
    <n v="599.45799999999997"/>
  </r>
  <r>
    <n v="903"/>
    <x v="8"/>
    <x v="19"/>
    <x v="0"/>
    <s v="U.S. dollars"/>
    <s v="Billions"/>
    <x v="2"/>
    <n v="681.42899999999997"/>
  </r>
  <r>
    <n v="903"/>
    <x v="8"/>
    <x v="19"/>
    <x v="0"/>
    <s v="U.S. dollars"/>
    <s v="Billions"/>
    <x v="3"/>
    <n v="688.25"/>
  </r>
  <r>
    <n v="903"/>
    <x v="8"/>
    <x v="19"/>
    <x v="0"/>
    <s v="U.S. dollars"/>
    <s v="Billions"/>
    <x v="4"/>
    <n v="808.43499999999995"/>
  </r>
  <r>
    <n v="903"/>
    <x v="8"/>
    <x v="19"/>
    <x v="0"/>
    <s v="U.S. dollars"/>
    <s v="Billions"/>
    <x v="5"/>
    <n v="844.62300000000005"/>
  </r>
  <r>
    <n v="903"/>
    <x v="8"/>
    <x v="19"/>
    <x v="0"/>
    <s v="U.S. dollars"/>
    <s v="Billions"/>
    <x v="6"/>
    <n v="884.58100000000002"/>
  </r>
  <r>
    <n v="200"/>
    <x v="3"/>
    <x v="19"/>
    <x v="0"/>
    <s v="U.S. dollars"/>
    <s v="Billions"/>
    <x v="0"/>
    <n v="595.96799999999996"/>
  </r>
  <r>
    <n v="200"/>
    <x v="3"/>
    <x v="19"/>
    <x v="0"/>
    <s v="U.S. dollars"/>
    <s v="Billions"/>
    <x v="1"/>
    <n v="599.45799999999997"/>
  </r>
  <r>
    <n v="200"/>
    <x v="3"/>
    <x v="19"/>
    <x v="0"/>
    <s v="U.S. dollars"/>
    <s v="Billions"/>
    <x v="2"/>
    <n v="681.42899999999997"/>
  </r>
  <r>
    <n v="200"/>
    <x v="3"/>
    <x v="19"/>
    <x v="0"/>
    <s v="U.S. dollars"/>
    <s v="Billions"/>
    <x v="3"/>
    <n v="688.25"/>
  </r>
  <r>
    <n v="200"/>
    <x v="3"/>
    <x v="19"/>
    <x v="0"/>
    <s v="U.S. dollars"/>
    <s v="Billions"/>
    <x v="4"/>
    <n v="808.43499999999995"/>
  </r>
  <r>
    <n v="200"/>
    <x v="3"/>
    <x v="19"/>
    <x v="0"/>
    <s v="U.S. dollars"/>
    <s v="Billions"/>
    <x v="5"/>
    <n v="844.62300000000005"/>
  </r>
  <r>
    <n v="200"/>
    <x v="3"/>
    <x v="19"/>
    <x v="0"/>
    <s v="U.S. dollars"/>
    <s v="Billions"/>
    <x v="6"/>
    <n v="884.58100000000002"/>
  </r>
  <r>
    <n v="123"/>
    <x v="9"/>
    <x v="20"/>
    <x v="0"/>
    <s v="U.S. dollars"/>
    <s v="Billions"/>
    <x v="0"/>
    <n v="611.39599999999996"/>
  </r>
  <r>
    <n v="123"/>
    <x v="9"/>
    <x v="20"/>
    <x v="0"/>
    <s v="U.S. dollars"/>
    <s v="Billions"/>
    <x v="1"/>
    <n v="673.178"/>
  </r>
  <r>
    <n v="123"/>
    <x v="9"/>
    <x v="20"/>
    <x v="0"/>
    <s v="U.S. dollars"/>
    <s v="Billions"/>
    <x v="2"/>
    <n v="773.03800000000001"/>
  </r>
  <r>
    <n v="123"/>
    <x v="9"/>
    <x v="20"/>
    <x v="0"/>
    <s v="U.S. dollars"/>
    <s v="Billions"/>
    <x v="3"/>
    <n v="760.90700000000004"/>
  </r>
  <r>
    <n v="123"/>
    <x v="9"/>
    <x v="20"/>
    <x v="0"/>
    <s v="U.S. dollars"/>
    <s v="Billions"/>
    <x v="4"/>
    <n v="756.59199999999998"/>
  </r>
  <r>
    <n v="123"/>
    <x v="9"/>
    <x v="20"/>
    <x v="0"/>
    <s v="U.S. dollars"/>
    <s v="Billions"/>
    <x v="5"/>
    <n v="802.95799999999997"/>
  </r>
  <r>
    <n v="123"/>
    <x v="9"/>
    <x v="20"/>
    <x v="0"/>
    <s v="U.S. dollars"/>
    <s v="Billions"/>
    <x v="6"/>
    <n v="854.67700000000002"/>
  </r>
  <r>
    <n v="110"/>
    <x v="0"/>
    <x v="20"/>
    <x v="0"/>
    <s v="U.S. dollars"/>
    <s v="Billions"/>
    <x v="0"/>
    <n v="611.39599999999996"/>
  </r>
  <r>
    <n v="110"/>
    <x v="0"/>
    <x v="20"/>
    <x v="0"/>
    <s v="U.S. dollars"/>
    <s v="Billions"/>
    <x v="1"/>
    <n v="673.178"/>
  </r>
  <r>
    <n v="110"/>
    <x v="0"/>
    <x v="20"/>
    <x v="0"/>
    <s v="U.S. dollars"/>
    <s v="Billions"/>
    <x v="2"/>
    <n v="773.03800000000001"/>
  </r>
  <r>
    <n v="110"/>
    <x v="0"/>
    <x v="20"/>
    <x v="0"/>
    <s v="U.S. dollars"/>
    <s v="Billions"/>
    <x v="3"/>
    <n v="760.90700000000004"/>
  </r>
  <r>
    <n v="110"/>
    <x v="0"/>
    <x v="20"/>
    <x v="0"/>
    <s v="U.S. dollars"/>
    <s v="Billions"/>
    <x v="4"/>
    <n v="756.59199999999998"/>
  </r>
  <r>
    <n v="110"/>
    <x v="0"/>
    <x v="20"/>
    <x v="0"/>
    <s v="U.S. dollars"/>
    <s v="Billions"/>
    <x v="5"/>
    <n v="802.95799999999997"/>
  </r>
  <r>
    <n v="110"/>
    <x v="0"/>
    <x v="20"/>
    <x v="0"/>
    <s v="U.S. dollars"/>
    <s v="Billions"/>
    <x v="6"/>
    <n v="854.67700000000002"/>
  </r>
  <r>
    <n v="1"/>
    <x v="2"/>
    <x v="20"/>
    <x v="0"/>
    <s v="U.S. dollars"/>
    <s v="Billions"/>
    <x v="0"/>
    <n v="611.39599999999996"/>
  </r>
  <r>
    <n v="1"/>
    <x v="2"/>
    <x v="20"/>
    <x v="0"/>
    <s v="U.S. dollars"/>
    <s v="Billions"/>
    <x v="1"/>
    <n v="673.178"/>
  </r>
  <r>
    <n v="1"/>
    <x v="2"/>
    <x v="20"/>
    <x v="0"/>
    <s v="U.S. dollars"/>
    <s v="Billions"/>
    <x v="2"/>
    <n v="773.03800000000001"/>
  </r>
  <r>
    <n v="1"/>
    <x v="2"/>
    <x v="20"/>
    <x v="0"/>
    <s v="U.S. dollars"/>
    <s v="Billions"/>
    <x v="3"/>
    <n v="760.90700000000004"/>
  </r>
  <r>
    <n v="1"/>
    <x v="2"/>
    <x v="20"/>
    <x v="0"/>
    <s v="U.S. dollars"/>
    <s v="Billions"/>
    <x v="4"/>
    <n v="756.59199999999998"/>
  </r>
  <r>
    <n v="1"/>
    <x v="2"/>
    <x v="20"/>
    <x v="0"/>
    <s v="U.S. dollars"/>
    <s v="Billions"/>
    <x v="5"/>
    <n v="802.95799999999997"/>
  </r>
  <r>
    <n v="1"/>
    <x v="2"/>
    <x v="20"/>
    <x v="0"/>
    <s v="U.S. dollars"/>
    <s v="Billions"/>
    <x v="6"/>
    <n v="854.67700000000002"/>
  </r>
  <r>
    <n v="163"/>
    <x v="5"/>
    <x v="21"/>
    <x v="0"/>
    <s v="U.S. dollars"/>
    <s v="Billions"/>
    <x v="0"/>
    <n v="535.92499999999995"/>
  </r>
  <r>
    <n v="163"/>
    <x v="5"/>
    <x v="21"/>
    <x v="0"/>
    <s v="U.S. dollars"/>
    <s v="Billions"/>
    <x v="1"/>
    <n v="525.84299999999996"/>
  </r>
  <r>
    <n v="163"/>
    <x v="5"/>
    <x v="21"/>
    <x v="0"/>
    <s v="U.S. dollars"/>
    <s v="Billions"/>
    <x v="2"/>
    <n v="601.149"/>
  </r>
  <r>
    <n v="163"/>
    <x v="5"/>
    <x v="21"/>
    <x v="0"/>
    <s v="U.S. dollars"/>
    <s v="Billions"/>
    <x v="3"/>
    <n v="583.89499999999998"/>
  </r>
  <r>
    <n v="163"/>
    <x v="5"/>
    <x v="21"/>
    <x v="0"/>
    <s v="U.S. dollars"/>
    <s v="Billions"/>
    <x v="4"/>
    <n v="630.11"/>
  </r>
  <r>
    <n v="163"/>
    <x v="5"/>
    <x v="21"/>
    <x v="0"/>
    <s v="U.S. dollars"/>
    <s v="Billions"/>
    <x v="5"/>
    <n v="655.19200000000001"/>
  </r>
  <r>
    <n v="163"/>
    <x v="5"/>
    <x v="21"/>
    <x v="0"/>
    <s v="U.S. dollars"/>
    <s v="Billions"/>
    <x v="6"/>
    <n v="673.24800000000005"/>
  </r>
  <r>
    <n v="110"/>
    <x v="0"/>
    <x v="21"/>
    <x v="0"/>
    <s v="U.S. dollars"/>
    <s v="Billions"/>
    <x v="0"/>
    <n v="535.92499999999995"/>
  </r>
  <r>
    <n v="110"/>
    <x v="0"/>
    <x v="21"/>
    <x v="0"/>
    <s v="U.S. dollars"/>
    <s v="Billions"/>
    <x v="1"/>
    <n v="525.84299999999996"/>
  </r>
  <r>
    <n v="110"/>
    <x v="0"/>
    <x v="21"/>
    <x v="0"/>
    <s v="U.S. dollars"/>
    <s v="Billions"/>
    <x v="2"/>
    <n v="601.149"/>
  </r>
  <r>
    <n v="110"/>
    <x v="0"/>
    <x v="21"/>
    <x v="0"/>
    <s v="U.S. dollars"/>
    <s v="Billions"/>
    <x v="3"/>
    <n v="583.89499999999998"/>
  </r>
  <r>
    <n v="110"/>
    <x v="0"/>
    <x v="21"/>
    <x v="0"/>
    <s v="U.S. dollars"/>
    <s v="Billions"/>
    <x v="4"/>
    <n v="630.11"/>
  </r>
  <r>
    <n v="110"/>
    <x v="0"/>
    <x v="21"/>
    <x v="0"/>
    <s v="U.S. dollars"/>
    <s v="Billions"/>
    <x v="5"/>
    <n v="655.19200000000001"/>
  </r>
  <r>
    <n v="110"/>
    <x v="0"/>
    <x v="21"/>
    <x v="0"/>
    <s v="U.S. dollars"/>
    <s v="Billions"/>
    <x v="6"/>
    <n v="673.24800000000005"/>
  </r>
  <r>
    <n v="998"/>
    <x v="6"/>
    <x v="21"/>
    <x v="0"/>
    <s v="U.S. dollars"/>
    <s v="Billions"/>
    <x v="0"/>
    <n v="535.92499999999995"/>
  </r>
  <r>
    <n v="998"/>
    <x v="6"/>
    <x v="21"/>
    <x v="0"/>
    <s v="U.S. dollars"/>
    <s v="Billions"/>
    <x v="1"/>
    <n v="525.84299999999996"/>
  </r>
  <r>
    <n v="998"/>
    <x v="6"/>
    <x v="21"/>
    <x v="0"/>
    <s v="U.S. dollars"/>
    <s v="Billions"/>
    <x v="2"/>
    <n v="601.149"/>
  </r>
  <r>
    <n v="998"/>
    <x v="6"/>
    <x v="21"/>
    <x v="0"/>
    <s v="U.S. dollars"/>
    <s v="Billions"/>
    <x v="3"/>
    <n v="583.89499999999998"/>
  </r>
  <r>
    <n v="998"/>
    <x v="6"/>
    <x v="21"/>
    <x v="0"/>
    <s v="U.S. dollars"/>
    <s v="Billions"/>
    <x v="4"/>
    <n v="630.11"/>
  </r>
  <r>
    <n v="998"/>
    <x v="6"/>
    <x v="21"/>
    <x v="0"/>
    <s v="U.S. dollars"/>
    <s v="Billions"/>
    <x v="5"/>
    <n v="655.19200000000001"/>
  </r>
  <r>
    <n v="998"/>
    <x v="6"/>
    <x v="21"/>
    <x v="0"/>
    <s v="U.S. dollars"/>
    <s v="Billions"/>
    <x v="6"/>
    <n v="673.24800000000005"/>
  </r>
  <r>
    <n v="1"/>
    <x v="2"/>
    <x v="21"/>
    <x v="0"/>
    <s v="U.S. dollars"/>
    <s v="Billions"/>
    <x v="0"/>
    <n v="535.92499999999995"/>
  </r>
  <r>
    <n v="1"/>
    <x v="2"/>
    <x v="21"/>
    <x v="0"/>
    <s v="U.S. dollars"/>
    <s v="Billions"/>
    <x v="1"/>
    <n v="525.84299999999996"/>
  </r>
  <r>
    <n v="1"/>
    <x v="2"/>
    <x v="21"/>
    <x v="0"/>
    <s v="U.S. dollars"/>
    <s v="Billions"/>
    <x v="2"/>
    <n v="601.149"/>
  </r>
  <r>
    <n v="1"/>
    <x v="2"/>
    <x v="21"/>
    <x v="0"/>
    <s v="U.S. dollars"/>
    <s v="Billions"/>
    <x v="3"/>
    <n v="583.89499999999998"/>
  </r>
  <r>
    <n v="1"/>
    <x v="2"/>
    <x v="21"/>
    <x v="0"/>
    <s v="U.S. dollars"/>
    <s v="Billions"/>
    <x v="4"/>
    <n v="630.11"/>
  </r>
  <r>
    <n v="1"/>
    <x v="2"/>
    <x v="21"/>
    <x v="0"/>
    <s v="U.S. dollars"/>
    <s v="Billions"/>
    <x v="5"/>
    <n v="655.19200000000001"/>
  </r>
  <r>
    <n v="1"/>
    <x v="2"/>
    <x v="21"/>
    <x v="0"/>
    <s v="U.S. dollars"/>
    <s v="Billions"/>
    <x v="6"/>
    <n v="673.24800000000005"/>
  </r>
  <r>
    <n v="110"/>
    <x v="0"/>
    <x v="22"/>
    <x v="0"/>
    <s v="U.S. dollars"/>
    <s v="Billions"/>
    <x v="0"/>
    <n v="533.88"/>
  </r>
  <r>
    <n v="110"/>
    <x v="0"/>
    <x v="22"/>
    <x v="0"/>
    <s v="U.S. dollars"/>
    <s v="Billions"/>
    <x v="1"/>
    <n v="547.05399999999997"/>
  </r>
  <r>
    <n v="110"/>
    <x v="0"/>
    <x v="22"/>
    <x v="0"/>
    <s v="U.S. dollars"/>
    <s v="Billions"/>
    <x v="2"/>
    <n v="639.71500000000003"/>
  </r>
  <r>
    <n v="110"/>
    <x v="0"/>
    <x v="22"/>
    <x v="0"/>
    <s v="U.S. dollars"/>
    <s v="Billions"/>
    <x v="3"/>
    <n v="590.41"/>
  </r>
  <r>
    <n v="110"/>
    <x v="0"/>
    <x v="22"/>
    <x v="0"/>
    <s v="U.S. dollars"/>
    <s v="Billions"/>
    <x v="4"/>
    <n v="593.26800000000003"/>
  </r>
  <r>
    <n v="110"/>
    <x v="0"/>
    <x v="22"/>
    <x v="0"/>
    <s v="U.S. dollars"/>
    <s v="Billions"/>
    <x v="5"/>
    <n v="623.048"/>
  </r>
  <r>
    <n v="110"/>
    <x v="0"/>
    <x v="22"/>
    <x v="0"/>
    <s v="U.S. dollars"/>
    <s v="Billions"/>
    <x v="6"/>
    <n v="651.28099999999995"/>
  </r>
  <r>
    <n v="123"/>
    <x v="9"/>
    <x v="22"/>
    <x v="0"/>
    <s v="U.S. dollars"/>
    <s v="Billions"/>
    <x v="0"/>
    <n v="533.88"/>
  </r>
  <r>
    <n v="123"/>
    <x v="9"/>
    <x v="22"/>
    <x v="0"/>
    <s v="U.S. dollars"/>
    <s v="Billions"/>
    <x v="1"/>
    <n v="547.05399999999997"/>
  </r>
  <r>
    <n v="123"/>
    <x v="9"/>
    <x v="22"/>
    <x v="0"/>
    <s v="U.S. dollars"/>
    <s v="Billions"/>
    <x v="2"/>
    <n v="639.71500000000003"/>
  </r>
  <r>
    <n v="123"/>
    <x v="9"/>
    <x v="22"/>
    <x v="0"/>
    <s v="U.S. dollars"/>
    <s v="Billions"/>
    <x v="3"/>
    <n v="590.41"/>
  </r>
  <r>
    <n v="123"/>
    <x v="9"/>
    <x v="22"/>
    <x v="0"/>
    <s v="U.S. dollars"/>
    <s v="Billions"/>
    <x v="4"/>
    <n v="593.26800000000003"/>
  </r>
  <r>
    <n v="123"/>
    <x v="9"/>
    <x v="22"/>
    <x v="0"/>
    <s v="U.S. dollars"/>
    <s v="Billions"/>
    <x v="5"/>
    <n v="623.048"/>
  </r>
  <r>
    <n v="123"/>
    <x v="9"/>
    <x v="22"/>
    <x v="0"/>
    <s v="U.S. dollars"/>
    <s v="Billions"/>
    <x v="6"/>
    <n v="651.28099999999995"/>
  </r>
  <r>
    <n v="1"/>
    <x v="2"/>
    <x v="22"/>
    <x v="0"/>
    <s v="U.S. dollars"/>
    <s v="Billions"/>
    <x v="0"/>
    <n v="533.88"/>
  </r>
  <r>
    <n v="1"/>
    <x v="2"/>
    <x v="22"/>
    <x v="0"/>
    <s v="U.S. dollars"/>
    <s v="Billions"/>
    <x v="1"/>
    <n v="547.05399999999997"/>
  </r>
  <r>
    <n v="1"/>
    <x v="2"/>
    <x v="22"/>
    <x v="0"/>
    <s v="U.S. dollars"/>
    <s v="Billions"/>
    <x v="2"/>
    <n v="639.71500000000003"/>
  </r>
  <r>
    <n v="1"/>
    <x v="2"/>
    <x v="22"/>
    <x v="0"/>
    <s v="U.S. dollars"/>
    <s v="Billions"/>
    <x v="3"/>
    <n v="590.41"/>
  </r>
  <r>
    <n v="1"/>
    <x v="2"/>
    <x v="22"/>
    <x v="0"/>
    <s v="U.S. dollars"/>
    <s v="Billions"/>
    <x v="4"/>
    <n v="593.26800000000003"/>
  </r>
  <r>
    <n v="1"/>
    <x v="2"/>
    <x v="22"/>
    <x v="0"/>
    <s v="U.S. dollars"/>
    <s v="Billions"/>
    <x v="5"/>
    <n v="623.048"/>
  </r>
  <r>
    <n v="1"/>
    <x v="2"/>
    <x v="22"/>
    <x v="0"/>
    <s v="U.S. dollars"/>
    <s v="Billions"/>
    <x v="6"/>
    <n v="651.28099999999995"/>
  </r>
  <r>
    <n v="998"/>
    <x v="6"/>
    <x v="22"/>
    <x v="0"/>
    <s v="U.S. dollars"/>
    <s v="Billions"/>
    <x v="0"/>
    <n v="533.88"/>
  </r>
  <r>
    <n v="998"/>
    <x v="6"/>
    <x v="22"/>
    <x v="0"/>
    <s v="U.S. dollars"/>
    <s v="Billions"/>
    <x v="1"/>
    <n v="547.05399999999997"/>
  </r>
  <r>
    <n v="998"/>
    <x v="6"/>
    <x v="22"/>
    <x v="0"/>
    <s v="U.S. dollars"/>
    <s v="Billions"/>
    <x v="2"/>
    <n v="639.71500000000003"/>
  </r>
  <r>
    <n v="998"/>
    <x v="6"/>
    <x v="22"/>
    <x v="0"/>
    <s v="U.S. dollars"/>
    <s v="Billions"/>
    <x v="3"/>
    <n v="590.41"/>
  </r>
  <r>
    <n v="998"/>
    <x v="6"/>
    <x v="22"/>
    <x v="0"/>
    <s v="U.S. dollars"/>
    <s v="Billions"/>
    <x v="4"/>
    <n v="593.26800000000003"/>
  </r>
  <r>
    <n v="998"/>
    <x v="6"/>
    <x v="22"/>
    <x v="0"/>
    <s v="U.S. dollars"/>
    <s v="Billions"/>
    <x v="5"/>
    <n v="623.048"/>
  </r>
  <r>
    <n v="998"/>
    <x v="6"/>
    <x v="22"/>
    <x v="0"/>
    <s v="U.S. dollars"/>
    <s v="Billions"/>
    <x v="6"/>
    <n v="651.28099999999995"/>
  </r>
  <r>
    <n v="205"/>
    <x v="7"/>
    <x v="23"/>
    <x v="0"/>
    <s v="U.S. dollars"/>
    <s v="Billions"/>
    <x v="0"/>
    <n v="446.762"/>
  </r>
  <r>
    <n v="205"/>
    <x v="7"/>
    <x v="23"/>
    <x v="0"/>
    <s v="U.S. dollars"/>
    <s v="Billions"/>
    <x v="1"/>
    <n v="385.21800000000002"/>
  </r>
  <r>
    <n v="205"/>
    <x v="7"/>
    <x v="23"/>
    <x v="0"/>
    <s v="U.S. dollars"/>
    <s v="Billions"/>
    <x v="2"/>
    <n v="487.37700000000001"/>
  </r>
  <r>
    <n v="205"/>
    <x v="7"/>
    <x v="23"/>
    <x v="0"/>
    <s v="U.S. dollars"/>
    <s v="Billions"/>
    <x v="3"/>
    <n v="630.66200000000003"/>
  </r>
  <r>
    <n v="205"/>
    <x v="7"/>
    <x v="23"/>
    <x v="0"/>
    <s v="U.S. dollars"/>
    <s v="Billions"/>
    <x v="4"/>
    <n v="654.89200000000005"/>
  </r>
  <r>
    <n v="205"/>
    <x v="7"/>
    <x v="23"/>
    <x v="0"/>
    <s v="U.S. dollars"/>
    <s v="Billions"/>
    <x v="5"/>
    <n v="604.26"/>
  </r>
  <r>
    <n v="205"/>
    <x v="7"/>
    <x v="23"/>
    <x v="0"/>
    <s v="U.S. dollars"/>
    <s v="Billions"/>
    <x v="6"/>
    <n v="558.95699999999999"/>
  </r>
  <r>
    <n v="200"/>
    <x v="3"/>
    <x v="23"/>
    <x v="0"/>
    <s v="U.S. dollars"/>
    <s v="Billions"/>
    <x v="0"/>
    <n v="446.762"/>
  </r>
  <r>
    <n v="200"/>
    <x v="3"/>
    <x v="23"/>
    <x v="0"/>
    <s v="U.S. dollars"/>
    <s v="Billions"/>
    <x v="1"/>
    <n v="385.21800000000002"/>
  </r>
  <r>
    <n v="200"/>
    <x v="3"/>
    <x v="23"/>
    <x v="0"/>
    <s v="U.S. dollars"/>
    <s v="Billions"/>
    <x v="2"/>
    <n v="487.37700000000001"/>
  </r>
  <r>
    <n v="200"/>
    <x v="3"/>
    <x v="23"/>
    <x v="0"/>
    <s v="U.S. dollars"/>
    <s v="Billions"/>
    <x v="3"/>
    <n v="630.66200000000003"/>
  </r>
  <r>
    <n v="200"/>
    <x v="3"/>
    <x v="23"/>
    <x v="0"/>
    <s v="U.S. dollars"/>
    <s v="Billions"/>
    <x v="4"/>
    <n v="654.89200000000005"/>
  </r>
  <r>
    <n v="200"/>
    <x v="3"/>
    <x v="23"/>
    <x v="0"/>
    <s v="U.S. dollars"/>
    <s v="Billions"/>
    <x v="5"/>
    <n v="604.26"/>
  </r>
  <r>
    <n v="200"/>
    <x v="3"/>
    <x v="23"/>
    <x v="0"/>
    <s v="U.S. dollars"/>
    <s v="Billions"/>
    <x v="6"/>
    <n v="558.95699999999999"/>
  </r>
  <r>
    <n v="1"/>
    <x v="2"/>
    <x v="23"/>
    <x v="0"/>
    <s v="U.S. dollars"/>
    <s v="Billions"/>
    <x v="0"/>
    <n v="446.762"/>
  </r>
  <r>
    <n v="1"/>
    <x v="2"/>
    <x v="23"/>
    <x v="0"/>
    <s v="U.S. dollars"/>
    <s v="Billions"/>
    <x v="1"/>
    <n v="385.21800000000002"/>
  </r>
  <r>
    <n v="1"/>
    <x v="2"/>
    <x v="23"/>
    <x v="0"/>
    <s v="U.S. dollars"/>
    <s v="Billions"/>
    <x v="2"/>
    <n v="487.37700000000001"/>
  </r>
  <r>
    <n v="1"/>
    <x v="2"/>
    <x v="23"/>
    <x v="0"/>
    <s v="U.S. dollars"/>
    <s v="Billions"/>
    <x v="3"/>
    <n v="630.66200000000003"/>
  </r>
  <r>
    <n v="1"/>
    <x v="2"/>
    <x v="23"/>
    <x v="0"/>
    <s v="U.S. dollars"/>
    <s v="Billions"/>
    <x v="4"/>
    <n v="654.89200000000005"/>
  </r>
  <r>
    <n v="1"/>
    <x v="2"/>
    <x v="23"/>
    <x v="0"/>
    <s v="U.S. dollars"/>
    <s v="Billions"/>
    <x v="5"/>
    <n v="604.26"/>
  </r>
  <r>
    <n v="1"/>
    <x v="2"/>
    <x v="23"/>
    <x v="0"/>
    <s v="U.S. dollars"/>
    <s v="Billions"/>
    <x v="6"/>
    <n v="558.95699999999999"/>
  </r>
  <r>
    <n v="163"/>
    <x v="5"/>
    <x v="24"/>
    <x v="0"/>
    <s v="U.S. dollars"/>
    <s v="Billions"/>
    <x v="0"/>
    <n v="398.97699999999998"/>
  </r>
  <r>
    <n v="163"/>
    <x v="5"/>
    <x v="24"/>
    <x v="0"/>
    <s v="U.S. dollars"/>
    <s v="Billions"/>
    <x v="1"/>
    <n v="428.26600000000002"/>
  </r>
  <r>
    <n v="163"/>
    <x v="5"/>
    <x v="24"/>
    <x v="0"/>
    <s v="U.S. dollars"/>
    <s v="Billions"/>
    <x v="2"/>
    <n v="513.73299999999995"/>
  </r>
  <r>
    <n v="163"/>
    <x v="5"/>
    <x v="24"/>
    <x v="0"/>
    <s v="U.S. dollars"/>
    <s v="Billions"/>
    <x v="3"/>
    <n v="533.55899999999997"/>
  </r>
  <r>
    <n v="163"/>
    <x v="5"/>
    <x v="24"/>
    <x v="0"/>
    <s v="U.S. dollars"/>
    <s v="Billions"/>
    <x v="4"/>
    <n v="545.78700000000003"/>
  </r>
  <r>
    <n v="163"/>
    <x v="5"/>
    <x v="24"/>
    <x v="0"/>
    <s v="U.S. dollars"/>
    <s v="Billions"/>
    <x v="5"/>
    <n v="564.02"/>
  </r>
  <r>
    <n v="163"/>
    <x v="5"/>
    <x v="24"/>
    <x v="0"/>
    <s v="U.S. dollars"/>
    <s v="Billions"/>
    <x v="6"/>
    <n v="586.86400000000003"/>
  </r>
  <r>
    <n v="998"/>
    <x v="6"/>
    <x v="24"/>
    <x v="0"/>
    <s v="U.S. dollars"/>
    <s v="Billions"/>
    <x v="0"/>
    <n v="398.97699999999998"/>
  </r>
  <r>
    <n v="998"/>
    <x v="6"/>
    <x v="24"/>
    <x v="0"/>
    <s v="U.S. dollars"/>
    <s v="Billions"/>
    <x v="1"/>
    <n v="428.26600000000002"/>
  </r>
  <r>
    <n v="998"/>
    <x v="6"/>
    <x v="24"/>
    <x v="0"/>
    <s v="U.S. dollars"/>
    <s v="Billions"/>
    <x v="2"/>
    <n v="513.73299999999995"/>
  </r>
  <r>
    <n v="998"/>
    <x v="6"/>
    <x v="24"/>
    <x v="0"/>
    <s v="U.S. dollars"/>
    <s v="Billions"/>
    <x v="3"/>
    <n v="533.55899999999997"/>
  </r>
  <r>
    <n v="998"/>
    <x v="6"/>
    <x v="24"/>
    <x v="0"/>
    <s v="U.S. dollars"/>
    <s v="Billions"/>
    <x v="4"/>
    <n v="545.78700000000003"/>
  </r>
  <r>
    <n v="998"/>
    <x v="6"/>
    <x v="24"/>
    <x v="0"/>
    <s v="U.S. dollars"/>
    <s v="Billions"/>
    <x v="5"/>
    <n v="564.02"/>
  </r>
  <r>
    <n v="998"/>
    <x v="6"/>
    <x v="24"/>
    <x v="0"/>
    <s v="U.S. dollars"/>
    <s v="Billions"/>
    <x v="6"/>
    <n v="586.86400000000003"/>
  </r>
  <r>
    <n v="110"/>
    <x v="0"/>
    <x v="24"/>
    <x v="0"/>
    <s v="U.S. dollars"/>
    <s v="Billions"/>
    <x v="0"/>
    <n v="398.97699999999998"/>
  </r>
  <r>
    <n v="110"/>
    <x v="0"/>
    <x v="24"/>
    <x v="0"/>
    <s v="U.S. dollars"/>
    <s v="Billions"/>
    <x v="1"/>
    <n v="428.26600000000002"/>
  </r>
  <r>
    <n v="110"/>
    <x v="0"/>
    <x v="24"/>
    <x v="0"/>
    <s v="U.S. dollars"/>
    <s v="Billions"/>
    <x v="2"/>
    <n v="513.73299999999995"/>
  </r>
  <r>
    <n v="110"/>
    <x v="0"/>
    <x v="24"/>
    <x v="0"/>
    <s v="U.S. dollars"/>
    <s v="Billions"/>
    <x v="3"/>
    <n v="533.55899999999997"/>
  </r>
  <r>
    <n v="110"/>
    <x v="0"/>
    <x v="24"/>
    <x v="0"/>
    <s v="U.S. dollars"/>
    <s v="Billions"/>
    <x v="4"/>
    <n v="545.78700000000003"/>
  </r>
  <r>
    <n v="110"/>
    <x v="0"/>
    <x v="24"/>
    <x v="0"/>
    <s v="U.S. dollars"/>
    <s v="Billions"/>
    <x v="5"/>
    <n v="564.02"/>
  </r>
  <r>
    <n v="110"/>
    <x v="0"/>
    <x v="24"/>
    <x v="0"/>
    <s v="U.S. dollars"/>
    <s v="Billions"/>
    <x v="6"/>
    <n v="586.86400000000003"/>
  </r>
  <r>
    <n v="1"/>
    <x v="2"/>
    <x v="24"/>
    <x v="0"/>
    <s v="U.S. dollars"/>
    <s v="Billions"/>
    <x v="0"/>
    <n v="398.97699999999998"/>
  </r>
  <r>
    <n v="1"/>
    <x v="2"/>
    <x v="24"/>
    <x v="0"/>
    <s v="U.S. dollars"/>
    <s v="Billions"/>
    <x v="1"/>
    <n v="428.26600000000002"/>
  </r>
  <r>
    <n v="1"/>
    <x v="2"/>
    <x v="24"/>
    <x v="0"/>
    <s v="U.S. dollars"/>
    <s v="Billions"/>
    <x v="2"/>
    <n v="513.73299999999995"/>
  </r>
  <r>
    <n v="1"/>
    <x v="2"/>
    <x v="24"/>
    <x v="0"/>
    <s v="U.S. dollars"/>
    <s v="Billions"/>
    <x v="3"/>
    <n v="533.55899999999997"/>
  </r>
  <r>
    <n v="1"/>
    <x v="2"/>
    <x v="24"/>
    <x v="0"/>
    <s v="U.S. dollars"/>
    <s v="Billions"/>
    <x v="4"/>
    <n v="545.78700000000003"/>
  </r>
  <r>
    <n v="1"/>
    <x v="2"/>
    <x v="24"/>
    <x v="0"/>
    <s v="U.S. dollars"/>
    <s v="Billions"/>
    <x v="5"/>
    <n v="564.02"/>
  </r>
  <r>
    <n v="1"/>
    <x v="2"/>
    <x v="24"/>
    <x v="0"/>
    <s v="U.S. dollars"/>
    <s v="Billions"/>
    <x v="6"/>
    <n v="586.86400000000003"/>
  </r>
  <r>
    <n v="1"/>
    <x v="2"/>
    <x v="25"/>
    <x v="1"/>
    <s v="Percent change"/>
    <s v="Units"/>
    <x v="0"/>
    <n v="255.292"/>
  </r>
  <r>
    <n v="1"/>
    <x v="2"/>
    <x v="25"/>
    <x v="1"/>
    <s v="Percent change"/>
    <s v="Units"/>
    <x v="1"/>
    <n v="557.21"/>
  </r>
  <r>
    <n v="1"/>
    <x v="2"/>
    <x v="25"/>
    <x v="1"/>
    <s v="Percent change"/>
    <s v="Units"/>
    <x v="2"/>
    <n v="98.546000000000006"/>
  </r>
  <r>
    <n v="1"/>
    <x v="2"/>
    <x v="25"/>
    <x v="1"/>
    <s v="Percent change"/>
    <s v="Units"/>
    <x v="3"/>
    <n v="193.399"/>
  </r>
  <r>
    <n v="1"/>
    <x v="2"/>
    <x v="25"/>
    <x v="1"/>
    <s v="Percent change"/>
    <s v="Units"/>
    <x v="4"/>
    <n v="667.36099999999999"/>
  </r>
  <r>
    <n v="1"/>
    <x v="2"/>
    <x v="25"/>
    <x v="1"/>
    <s v="Percent change"/>
    <s v="Units"/>
    <x v="5"/>
    <n v="560.98099999999999"/>
  </r>
  <r>
    <n v="1"/>
    <x v="2"/>
    <x v="25"/>
    <x v="1"/>
    <s v="Percent change"/>
    <s v="Units"/>
    <x v="6"/>
    <n v="554.65300000000002"/>
  </r>
  <r>
    <n v="200"/>
    <x v="3"/>
    <x v="25"/>
    <x v="1"/>
    <s v="Percent change"/>
    <s v="Units"/>
    <x v="0"/>
    <n v="255.292"/>
  </r>
  <r>
    <n v="200"/>
    <x v="3"/>
    <x v="25"/>
    <x v="1"/>
    <s v="Percent change"/>
    <s v="Units"/>
    <x v="1"/>
    <n v="557.21"/>
  </r>
  <r>
    <n v="200"/>
    <x v="3"/>
    <x v="25"/>
    <x v="1"/>
    <s v="Percent change"/>
    <s v="Units"/>
    <x v="2"/>
    <n v="98.546000000000006"/>
  </r>
  <r>
    <n v="200"/>
    <x v="3"/>
    <x v="25"/>
    <x v="1"/>
    <s v="Percent change"/>
    <s v="Units"/>
    <x v="3"/>
    <n v="193.399"/>
  </r>
  <r>
    <n v="200"/>
    <x v="3"/>
    <x v="25"/>
    <x v="1"/>
    <s v="Percent change"/>
    <s v="Units"/>
    <x v="4"/>
    <n v="667.36099999999999"/>
  </r>
  <r>
    <n v="200"/>
    <x v="3"/>
    <x v="25"/>
    <x v="1"/>
    <s v="Percent change"/>
    <s v="Units"/>
    <x v="5"/>
    <n v="560.98099999999999"/>
  </r>
  <r>
    <n v="200"/>
    <x v="3"/>
    <x v="25"/>
    <x v="1"/>
    <s v="Percent change"/>
    <s v="Units"/>
    <x v="6"/>
    <n v="554.65300000000002"/>
  </r>
  <r>
    <n v="603"/>
    <x v="12"/>
    <x v="25"/>
    <x v="1"/>
    <s v="Percent change"/>
    <s v="Units"/>
    <x v="0"/>
    <n v="255.292"/>
  </r>
  <r>
    <n v="603"/>
    <x v="12"/>
    <x v="25"/>
    <x v="1"/>
    <s v="Percent change"/>
    <s v="Units"/>
    <x v="1"/>
    <n v="557.21"/>
  </r>
  <r>
    <n v="603"/>
    <x v="12"/>
    <x v="25"/>
    <x v="1"/>
    <s v="Percent change"/>
    <s v="Units"/>
    <x v="2"/>
    <n v="98.546000000000006"/>
  </r>
  <r>
    <n v="603"/>
    <x v="12"/>
    <x v="25"/>
    <x v="1"/>
    <s v="Percent change"/>
    <s v="Units"/>
    <x v="3"/>
    <n v="193.399"/>
  </r>
  <r>
    <n v="603"/>
    <x v="12"/>
    <x v="25"/>
    <x v="1"/>
    <s v="Percent change"/>
    <s v="Units"/>
    <x v="4"/>
    <n v="667.36099999999999"/>
  </r>
  <r>
    <n v="603"/>
    <x v="12"/>
    <x v="25"/>
    <x v="1"/>
    <s v="Percent change"/>
    <s v="Units"/>
    <x v="5"/>
    <n v="560.98099999999999"/>
  </r>
  <r>
    <n v="603"/>
    <x v="12"/>
    <x v="25"/>
    <x v="1"/>
    <s v="Percent change"/>
    <s v="Units"/>
    <x v="6"/>
    <n v="554.65300000000002"/>
  </r>
  <r>
    <n v="510"/>
    <x v="10"/>
    <x v="26"/>
    <x v="0"/>
    <s v="U.S. dollars"/>
    <s v="Billions"/>
    <x v="0"/>
    <n v="543.97699999999998"/>
  </r>
  <r>
    <n v="510"/>
    <x v="10"/>
    <x v="26"/>
    <x v="0"/>
    <s v="U.S. dollars"/>
    <s v="Billions"/>
    <x v="1"/>
    <n v="500.46199999999999"/>
  </r>
  <r>
    <n v="510"/>
    <x v="10"/>
    <x v="26"/>
    <x v="0"/>
    <s v="U.S. dollars"/>
    <s v="Billions"/>
    <x v="2"/>
    <n v="506.25599999999997"/>
  </r>
  <r>
    <n v="510"/>
    <x v="10"/>
    <x v="26"/>
    <x v="0"/>
    <s v="U.S. dollars"/>
    <s v="Billions"/>
    <x v="3"/>
    <n v="495.64600000000002"/>
  </r>
  <r>
    <n v="510"/>
    <x v="10"/>
    <x v="26"/>
    <x v="0"/>
    <s v="U.S. dollars"/>
    <s v="Billions"/>
    <x v="4"/>
    <n v="514.94500000000005"/>
  </r>
  <r>
    <n v="510"/>
    <x v="10"/>
    <x v="26"/>
    <x v="0"/>
    <s v="U.S. dollars"/>
    <s v="Billions"/>
    <x v="5"/>
    <n v="548.89"/>
  </r>
  <r>
    <n v="510"/>
    <x v="10"/>
    <x v="26"/>
    <x v="0"/>
    <s v="U.S. dollars"/>
    <s v="Billions"/>
    <x v="6"/>
    <n v="573.39400000000001"/>
  </r>
  <r>
    <n v="200"/>
    <x v="3"/>
    <x v="26"/>
    <x v="0"/>
    <s v="U.S. dollars"/>
    <s v="Billions"/>
    <x v="0"/>
    <n v="543.97699999999998"/>
  </r>
  <r>
    <n v="200"/>
    <x v="3"/>
    <x v="26"/>
    <x v="0"/>
    <s v="U.S. dollars"/>
    <s v="Billions"/>
    <x v="1"/>
    <n v="500.46199999999999"/>
  </r>
  <r>
    <n v="200"/>
    <x v="3"/>
    <x v="26"/>
    <x v="0"/>
    <s v="U.S. dollars"/>
    <s v="Billions"/>
    <x v="2"/>
    <n v="506.25599999999997"/>
  </r>
  <r>
    <n v="200"/>
    <x v="3"/>
    <x v="26"/>
    <x v="0"/>
    <s v="U.S. dollars"/>
    <s v="Billions"/>
    <x v="3"/>
    <n v="495.64600000000002"/>
  </r>
  <r>
    <n v="200"/>
    <x v="3"/>
    <x v="26"/>
    <x v="0"/>
    <s v="U.S. dollars"/>
    <s v="Billions"/>
    <x v="4"/>
    <n v="514.94500000000005"/>
  </r>
  <r>
    <n v="200"/>
    <x v="3"/>
    <x v="26"/>
    <x v="0"/>
    <s v="U.S. dollars"/>
    <s v="Billions"/>
    <x v="5"/>
    <n v="548.89"/>
  </r>
  <r>
    <n v="200"/>
    <x v="3"/>
    <x v="26"/>
    <x v="0"/>
    <s v="U.S. dollars"/>
    <s v="Billions"/>
    <x v="6"/>
    <n v="573.39400000000001"/>
  </r>
  <r>
    <n v="1"/>
    <x v="2"/>
    <x v="26"/>
    <x v="0"/>
    <s v="U.S. dollars"/>
    <s v="Billions"/>
    <x v="0"/>
    <n v="543.97699999999998"/>
  </r>
  <r>
    <n v="1"/>
    <x v="2"/>
    <x v="26"/>
    <x v="0"/>
    <s v="U.S. dollars"/>
    <s v="Billions"/>
    <x v="1"/>
    <n v="500.46199999999999"/>
  </r>
  <r>
    <n v="1"/>
    <x v="2"/>
    <x v="26"/>
    <x v="0"/>
    <s v="U.S. dollars"/>
    <s v="Billions"/>
    <x v="2"/>
    <n v="506.25599999999997"/>
  </r>
  <r>
    <n v="1"/>
    <x v="2"/>
    <x v="26"/>
    <x v="0"/>
    <s v="U.S. dollars"/>
    <s v="Billions"/>
    <x v="3"/>
    <n v="495.64600000000002"/>
  </r>
  <r>
    <n v="1"/>
    <x v="2"/>
    <x v="26"/>
    <x v="0"/>
    <s v="U.S. dollars"/>
    <s v="Billions"/>
    <x v="4"/>
    <n v="514.94500000000005"/>
  </r>
  <r>
    <n v="1"/>
    <x v="2"/>
    <x v="26"/>
    <x v="0"/>
    <s v="U.S. dollars"/>
    <s v="Billions"/>
    <x v="5"/>
    <n v="548.89"/>
  </r>
  <r>
    <n v="1"/>
    <x v="2"/>
    <x v="26"/>
    <x v="0"/>
    <s v="U.S. dollars"/>
    <s v="Billions"/>
    <x v="6"/>
    <n v="573.39400000000001"/>
  </r>
  <r>
    <n v="505"/>
    <x v="4"/>
    <x v="26"/>
    <x v="0"/>
    <s v="U.S. dollars"/>
    <s v="Billions"/>
    <x v="0"/>
    <n v="543.97699999999998"/>
  </r>
  <r>
    <n v="505"/>
    <x v="4"/>
    <x v="26"/>
    <x v="0"/>
    <s v="U.S. dollars"/>
    <s v="Billions"/>
    <x v="1"/>
    <n v="500.46199999999999"/>
  </r>
  <r>
    <n v="505"/>
    <x v="4"/>
    <x v="26"/>
    <x v="0"/>
    <s v="U.S. dollars"/>
    <s v="Billions"/>
    <x v="2"/>
    <n v="506.25599999999997"/>
  </r>
  <r>
    <n v="505"/>
    <x v="4"/>
    <x v="26"/>
    <x v="0"/>
    <s v="U.S. dollars"/>
    <s v="Billions"/>
    <x v="3"/>
    <n v="495.64600000000002"/>
  </r>
  <r>
    <n v="505"/>
    <x v="4"/>
    <x v="26"/>
    <x v="0"/>
    <s v="U.S. dollars"/>
    <s v="Billions"/>
    <x v="4"/>
    <n v="514.94500000000005"/>
  </r>
  <r>
    <n v="505"/>
    <x v="4"/>
    <x v="26"/>
    <x v="0"/>
    <s v="U.S. dollars"/>
    <s v="Billions"/>
    <x v="5"/>
    <n v="548.89"/>
  </r>
  <r>
    <n v="505"/>
    <x v="4"/>
    <x v="26"/>
    <x v="0"/>
    <s v="U.S. dollars"/>
    <s v="Billions"/>
    <x v="6"/>
    <n v="573.39400000000001"/>
  </r>
  <r>
    <n v="110"/>
    <x v="0"/>
    <x v="27"/>
    <x v="0"/>
    <s v="U.S. dollars"/>
    <s v="Billions"/>
    <x v="0"/>
    <n v="444.64499999999998"/>
  </r>
  <r>
    <n v="110"/>
    <x v="0"/>
    <x v="27"/>
    <x v="0"/>
    <s v="U.S. dollars"/>
    <s v="Billions"/>
    <x v="1"/>
    <n v="434.70100000000002"/>
  </r>
  <r>
    <n v="110"/>
    <x v="0"/>
    <x v="27"/>
    <x v="0"/>
    <s v="U.S. dollars"/>
    <s v="Billions"/>
    <x v="2"/>
    <n v="479.61399999999998"/>
  </r>
  <r>
    <n v="110"/>
    <x v="0"/>
    <x v="27"/>
    <x v="0"/>
    <s v="U.S. dollars"/>
    <s v="Billions"/>
    <x v="3"/>
    <n v="471.21600000000001"/>
  </r>
  <r>
    <n v="110"/>
    <x v="0"/>
    <x v="27"/>
    <x v="0"/>
    <s v="U.S. dollars"/>
    <s v="Billions"/>
    <x v="4"/>
    <n v="519.71"/>
  </r>
  <r>
    <n v="110"/>
    <x v="0"/>
    <x v="27"/>
    <x v="0"/>
    <s v="U.S. dollars"/>
    <s v="Billions"/>
    <x v="5"/>
    <n v="540.88699999999994"/>
  </r>
  <r>
    <n v="110"/>
    <x v="0"/>
    <x v="27"/>
    <x v="0"/>
    <s v="U.S. dollars"/>
    <s v="Billions"/>
    <x v="6"/>
    <n v="561.73400000000004"/>
  </r>
  <r>
    <n v="1"/>
    <x v="2"/>
    <x v="27"/>
    <x v="0"/>
    <s v="U.S. dollars"/>
    <s v="Billions"/>
    <x v="0"/>
    <n v="444.64499999999998"/>
  </r>
  <r>
    <n v="1"/>
    <x v="2"/>
    <x v="27"/>
    <x v="0"/>
    <s v="U.S. dollars"/>
    <s v="Billions"/>
    <x v="1"/>
    <n v="434.70100000000002"/>
  </r>
  <r>
    <n v="1"/>
    <x v="2"/>
    <x v="27"/>
    <x v="0"/>
    <s v="U.S. dollars"/>
    <s v="Billions"/>
    <x v="2"/>
    <n v="479.61399999999998"/>
  </r>
  <r>
    <n v="1"/>
    <x v="2"/>
    <x v="27"/>
    <x v="0"/>
    <s v="U.S. dollars"/>
    <s v="Billions"/>
    <x v="3"/>
    <n v="471.21600000000001"/>
  </r>
  <r>
    <n v="1"/>
    <x v="2"/>
    <x v="27"/>
    <x v="0"/>
    <s v="U.S. dollars"/>
    <s v="Billions"/>
    <x v="4"/>
    <n v="519.71"/>
  </r>
  <r>
    <n v="1"/>
    <x v="2"/>
    <x v="27"/>
    <x v="0"/>
    <s v="U.S. dollars"/>
    <s v="Billions"/>
    <x v="5"/>
    <n v="540.88699999999994"/>
  </r>
  <r>
    <n v="1"/>
    <x v="2"/>
    <x v="27"/>
    <x v="0"/>
    <s v="U.S. dollars"/>
    <s v="Billions"/>
    <x v="6"/>
    <n v="561.73400000000004"/>
  </r>
  <r>
    <n v="163"/>
    <x v="5"/>
    <x v="27"/>
    <x v="0"/>
    <s v="U.S. dollars"/>
    <s v="Billions"/>
    <x v="0"/>
    <n v="444.64499999999998"/>
  </r>
  <r>
    <n v="163"/>
    <x v="5"/>
    <x v="27"/>
    <x v="0"/>
    <s v="U.S. dollars"/>
    <s v="Billions"/>
    <x v="1"/>
    <n v="434.70100000000002"/>
  </r>
  <r>
    <n v="163"/>
    <x v="5"/>
    <x v="27"/>
    <x v="0"/>
    <s v="U.S. dollars"/>
    <s v="Billions"/>
    <x v="2"/>
    <n v="479.61399999999998"/>
  </r>
  <r>
    <n v="163"/>
    <x v="5"/>
    <x v="27"/>
    <x v="0"/>
    <s v="U.S. dollars"/>
    <s v="Billions"/>
    <x v="3"/>
    <n v="471.21600000000001"/>
  </r>
  <r>
    <n v="163"/>
    <x v="5"/>
    <x v="27"/>
    <x v="0"/>
    <s v="U.S. dollars"/>
    <s v="Billions"/>
    <x v="4"/>
    <n v="519.71"/>
  </r>
  <r>
    <n v="163"/>
    <x v="5"/>
    <x v="27"/>
    <x v="0"/>
    <s v="U.S. dollars"/>
    <s v="Billions"/>
    <x v="5"/>
    <n v="540.88699999999994"/>
  </r>
  <r>
    <n v="163"/>
    <x v="5"/>
    <x v="27"/>
    <x v="0"/>
    <s v="U.S. dollars"/>
    <s v="Billions"/>
    <x v="6"/>
    <n v="561.73400000000004"/>
  </r>
  <r>
    <n v="998"/>
    <x v="6"/>
    <x v="27"/>
    <x v="0"/>
    <s v="U.S. dollars"/>
    <s v="Billions"/>
    <x v="0"/>
    <n v="444.64499999999998"/>
  </r>
  <r>
    <n v="998"/>
    <x v="6"/>
    <x v="27"/>
    <x v="0"/>
    <s v="U.S. dollars"/>
    <s v="Billions"/>
    <x v="1"/>
    <n v="434.70100000000002"/>
  </r>
  <r>
    <n v="998"/>
    <x v="6"/>
    <x v="27"/>
    <x v="0"/>
    <s v="U.S. dollars"/>
    <s v="Billions"/>
    <x v="2"/>
    <n v="479.61399999999998"/>
  </r>
  <r>
    <n v="998"/>
    <x v="6"/>
    <x v="27"/>
    <x v="0"/>
    <s v="U.S. dollars"/>
    <s v="Billions"/>
    <x v="3"/>
    <n v="471.21600000000001"/>
  </r>
  <r>
    <n v="998"/>
    <x v="6"/>
    <x v="27"/>
    <x v="0"/>
    <s v="U.S. dollars"/>
    <s v="Billions"/>
    <x v="4"/>
    <n v="519.71"/>
  </r>
  <r>
    <n v="998"/>
    <x v="6"/>
    <x v="27"/>
    <x v="0"/>
    <s v="U.S. dollars"/>
    <s v="Billions"/>
    <x v="5"/>
    <n v="540.88699999999994"/>
  </r>
  <r>
    <n v="998"/>
    <x v="6"/>
    <x v="27"/>
    <x v="0"/>
    <s v="U.S. dollars"/>
    <s v="Billions"/>
    <x v="6"/>
    <n v="561.73400000000004"/>
  </r>
  <r>
    <n v="123"/>
    <x v="9"/>
    <x v="28"/>
    <x v="0"/>
    <s v="U.S. dollars"/>
    <s v="Billions"/>
    <x v="0"/>
    <n v="399.65199999999999"/>
  </r>
  <r>
    <n v="123"/>
    <x v="9"/>
    <x v="28"/>
    <x v="0"/>
    <s v="U.S. dollars"/>
    <s v="Billions"/>
    <x v="1"/>
    <n v="411.73099999999999"/>
  </r>
  <r>
    <n v="123"/>
    <x v="9"/>
    <x v="28"/>
    <x v="0"/>
    <s v="U.S. dollars"/>
    <s v="Billions"/>
    <x v="2"/>
    <n v="489.71"/>
  </r>
  <r>
    <n v="123"/>
    <x v="9"/>
    <x v="28"/>
    <x v="0"/>
    <s v="U.S. dollars"/>
    <s v="Billions"/>
    <x v="3"/>
    <n v="525.00300000000004"/>
  </r>
  <r>
    <n v="123"/>
    <x v="9"/>
    <x v="28"/>
    <x v="0"/>
    <s v="U.S. dollars"/>
    <s v="Billions"/>
    <x v="4"/>
    <n v="509.47800000000001"/>
  </r>
  <r>
    <n v="123"/>
    <x v="9"/>
    <x v="28"/>
    <x v="0"/>
    <s v="U.S. dollars"/>
    <s v="Billions"/>
    <x v="5"/>
    <n v="530.66399999999999"/>
  </r>
  <r>
    <n v="123"/>
    <x v="9"/>
    <x v="28"/>
    <x v="0"/>
    <s v="U.S. dollars"/>
    <s v="Billions"/>
    <x v="6"/>
    <n v="569.50900000000001"/>
  </r>
  <r>
    <n v="1"/>
    <x v="2"/>
    <x v="28"/>
    <x v="0"/>
    <s v="U.S. dollars"/>
    <s v="Billions"/>
    <x v="0"/>
    <n v="399.65199999999999"/>
  </r>
  <r>
    <n v="1"/>
    <x v="2"/>
    <x v="28"/>
    <x v="0"/>
    <s v="U.S. dollars"/>
    <s v="Billions"/>
    <x v="1"/>
    <n v="411.73099999999999"/>
  </r>
  <r>
    <n v="1"/>
    <x v="2"/>
    <x v="28"/>
    <x v="0"/>
    <s v="U.S. dollars"/>
    <s v="Billions"/>
    <x v="2"/>
    <n v="489.71"/>
  </r>
  <r>
    <n v="1"/>
    <x v="2"/>
    <x v="28"/>
    <x v="0"/>
    <s v="U.S. dollars"/>
    <s v="Billions"/>
    <x v="3"/>
    <n v="525.00300000000004"/>
  </r>
  <r>
    <n v="1"/>
    <x v="2"/>
    <x v="28"/>
    <x v="0"/>
    <s v="U.S. dollars"/>
    <s v="Billions"/>
    <x v="4"/>
    <n v="509.47800000000001"/>
  </r>
  <r>
    <n v="1"/>
    <x v="2"/>
    <x v="28"/>
    <x v="0"/>
    <s v="U.S. dollars"/>
    <s v="Billions"/>
    <x v="5"/>
    <n v="530.66399999999999"/>
  </r>
  <r>
    <n v="1"/>
    <x v="2"/>
    <x v="28"/>
    <x v="0"/>
    <s v="U.S. dollars"/>
    <s v="Billions"/>
    <x v="6"/>
    <n v="569.50900000000001"/>
  </r>
  <r>
    <n v="110"/>
    <x v="0"/>
    <x v="28"/>
    <x v="0"/>
    <s v="U.S. dollars"/>
    <s v="Billions"/>
    <x v="0"/>
    <n v="399.65199999999999"/>
  </r>
  <r>
    <n v="110"/>
    <x v="0"/>
    <x v="28"/>
    <x v="0"/>
    <s v="U.S. dollars"/>
    <s v="Billions"/>
    <x v="1"/>
    <n v="411.73099999999999"/>
  </r>
  <r>
    <n v="110"/>
    <x v="0"/>
    <x v="28"/>
    <x v="0"/>
    <s v="U.S. dollars"/>
    <s v="Billions"/>
    <x v="2"/>
    <n v="489.71"/>
  </r>
  <r>
    <n v="110"/>
    <x v="0"/>
    <x v="28"/>
    <x v="0"/>
    <s v="U.S. dollars"/>
    <s v="Billions"/>
    <x v="3"/>
    <n v="525.00300000000004"/>
  </r>
  <r>
    <n v="110"/>
    <x v="0"/>
    <x v="28"/>
    <x v="0"/>
    <s v="U.S. dollars"/>
    <s v="Billions"/>
    <x v="4"/>
    <n v="509.47800000000001"/>
  </r>
  <r>
    <n v="110"/>
    <x v="0"/>
    <x v="28"/>
    <x v="0"/>
    <s v="U.S. dollars"/>
    <s v="Billions"/>
    <x v="5"/>
    <n v="530.66399999999999"/>
  </r>
  <r>
    <n v="110"/>
    <x v="0"/>
    <x v="28"/>
    <x v="0"/>
    <s v="U.S. dollars"/>
    <s v="Billions"/>
    <x v="6"/>
    <n v="569.50900000000001"/>
  </r>
  <r>
    <n v="200"/>
    <x v="3"/>
    <x v="29"/>
    <x v="0"/>
    <s v="U.S. dollars"/>
    <s v="Billions"/>
    <x v="0"/>
    <n v="417.99"/>
  </r>
  <r>
    <n v="200"/>
    <x v="3"/>
    <x v="29"/>
    <x v="0"/>
    <s v="U.S. dollars"/>
    <s v="Billions"/>
    <x v="1"/>
    <n v="349.47300000000001"/>
  </r>
  <r>
    <n v="200"/>
    <x v="3"/>
    <x v="29"/>
    <x v="0"/>
    <s v="U.S. dollars"/>
    <s v="Billions"/>
    <x v="2"/>
    <n v="415.17899999999997"/>
  </r>
  <r>
    <n v="200"/>
    <x v="3"/>
    <x v="29"/>
    <x v="0"/>
    <s v="U.S. dollars"/>
    <s v="Billions"/>
    <x v="3"/>
    <n v="507.06400000000002"/>
  </r>
  <r>
    <n v="200"/>
    <x v="3"/>
    <x v="29"/>
    <x v="0"/>
    <s v="U.S. dollars"/>
    <s v="Billions"/>
    <x v="4"/>
    <n v="504.173"/>
  </r>
  <r>
    <n v="200"/>
    <x v="3"/>
    <x v="29"/>
    <x v="0"/>
    <s v="U.S. dollars"/>
    <s v="Billions"/>
    <x v="5"/>
    <n v="527.79600000000005"/>
  </r>
  <r>
    <n v="200"/>
    <x v="3"/>
    <x v="29"/>
    <x v="0"/>
    <s v="U.S. dollars"/>
    <s v="Billions"/>
    <x v="6"/>
    <n v="550.24"/>
  </r>
  <r>
    <n v="400"/>
    <x v="11"/>
    <x v="29"/>
    <x v="0"/>
    <s v="U.S. dollars"/>
    <s v="Billions"/>
    <x v="0"/>
    <n v="417.99"/>
  </r>
  <r>
    <n v="400"/>
    <x v="11"/>
    <x v="29"/>
    <x v="0"/>
    <s v="U.S. dollars"/>
    <s v="Billions"/>
    <x v="1"/>
    <n v="349.47300000000001"/>
  </r>
  <r>
    <n v="400"/>
    <x v="11"/>
    <x v="29"/>
    <x v="0"/>
    <s v="U.S. dollars"/>
    <s v="Billions"/>
    <x v="2"/>
    <n v="415.17899999999997"/>
  </r>
  <r>
    <n v="400"/>
    <x v="11"/>
    <x v="29"/>
    <x v="0"/>
    <s v="U.S. dollars"/>
    <s v="Billions"/>
    <x v="3"/>
    <n v="507.06400000000002"/>
  </r>
  <r>
    <n v="400"/>
    <x v="11"/>
    <x v="29"/>
    <x v="0"/>
    <s v="U.S. dollars"/>
    <s v="Billions"/>
    <x v="4"/>
    <n v="504.173"/>
  </r>
  <r>
    <n v="400"/>
    <x v="11"/>
    <x v="29"/>
    <x v="0"/>
    <s v="U.S. dollars"/>
    <s v="Billions"/>
    <x v="5"/>
    <n v="527.79600000000005"/>
  </r>
  <r>
    <n v="400"/>
    <x v="11"/>
    <x v="29"/>
    <x v="0"/>
    <s v="U.S. dollars"/>
    <s v="Billions"/>
    <x v="6"/>
    <n v="550.24"/>
  </r>
  <r>
    <n v="1"/>
    <x v="2"/>
    <x v="29"/>
    <x v="0"/>
    <s v="U.S. dollars"/>
    <s v="Billions"/>
    <x v="0"/>
    <n v="417.99"/>
  </r>
  <r>
    <n v="1"/>
    <x v="2"/>
    <x v="29"/>
    <x v="0"/>
    <s v="U.S. dollars"/>
    <s v="Billions"/>
    <x v="1"/>
    <n v="349.47300000000001"/>
  </r>
  <r>
    <n v="1"/>
    <x v="2"/>
    <x v="29"/>
    <x v="0"/>
    <s v="U.S. dollars"/>
    <s v="Billions"/>
    <x v="2"/>
    <n v="415.17899999999997"/>
  </r>
  <r>
    <n v="1"/>
    <x v="2"/>
    <x v="29"/>
    <x v="0"/>
    <s v="U.S. dollars"/>
    <s v="Billions"/>
    <x v="3"/>
    <n v="507.06400000000002"/>
  </r>
  <r>
    <n v="1"/>
    <x v="2"/>
    <x v="29"/>
    <x v="0"/>
    <s v="U.S. dollars"/>
    <s v="Billions"/>
    <x v="4"/>
    <n v="504.173"/>
  </r>
  <r>
    <n v="1"/>
    <x v="2"/>
    <x v="29"/>
    <x v="0"/>
    <s v="U.S. dollars"/>
    <s v="Billions"/>
    <x v="5"/>
    <n v="527.79600000000005"/>
  </r>
  <r>
    <n v="1"/>
    <x v="2"/>
    <x v="29"/>
    <x v="0"/>
    <s v="U.S. dollars"/>
    <s v="Billions"/>
    <x v="6"/>
    <n v="550.24"/>
  </r>
  <r>
    <n v="123"/>
    <x v="9"/>
    <x v="30"/>
    <x v="0"/>
    <s v="U.S. dollars"/>
    <s v="Billions"/>
    <x v="0"/>
    <n v="408.74299999999999"/>
  </r>
  <r>
    <n v="123"/>
    <x v="9"/>
    <x v="30"/>
    <x v="0"/>
    <s v="U.S. dollars"/>
    <s v="Billions"/>
    <x v="1"/>
    <n v="367.63299999999998"/>
  </r>
  <r>
    <n v="123"/>
    <x v="9"/>
    <x v="30"/>
    <x v="0"/>
    <s v="U.S. dollars"/>
    <s v="Billions"/>
    <x v="2"/>
    <n v="503.36799999999999"/>
  </r>
  <r>
    <n v="123"/>
    <x v="9"/>
    <x v="30"/>
    <x v="0"/>
    <s v="U.S. dollars"/>
    <s v="Billions"/>
    <x v="3"/>
    <n v="593.72699999999998"/>
  </r>
  <r>
    <n v="123"/>
    <x v="9"/>
    <x v="30"/>
    <x v="0"/>
    <s v="U.S. dollars"/>
    <s v="Billions"/>
    <x v="4"/>
    <n v="485.51299999999998"/>
  </r>
  <r>
    <n v="123"/>
    <x v="9"/>
    <x v="30"/>
    <x v="0"/>
    <s v="U.S. dollars"/>
    <s v="Billions"/>
    <x v="5"/>
    <n v="526.95100000000002"/>
  </r>
  <r>
    <n v="123"/>
    <x v="9"/>
    <x v="30"/>
    <x v="0"/>
    <s v="U.S. dollars"/>
    <s v="Billions"/>
    <x v="6"/>
    <n v="554.77499999999998"/>
  </r>
  <r>
    <n v="1"/>
    <x v="2"/>
    <x v="30"/>
    <x v="0"/>
    <s v="U.S. dollars"/>
    <s v="Billions"/>
    <x v="0"/>
    <n v="408.74299999999999"/>
  </r>
  <r>
    <n v="1"/>
    <x v="2"/>
    <x v="30"/>
    <x v="0"/>
    <s v="U.S. dollars"/>
    <s v="Billions"/>
    <x v="1"/>
    <n v="367.63299999999998"/>
  </r>
  <r>
    <n v="1"/>
    <x v="2"/>
    <x v="30"/>
    <x v="0"/>
    <s v="U.S. dollars"/>
    <s v="Billions"/>
    <x v="2"/>
    <n v="503.36799999999999"/>
  </r>
  <r>
    <n v="1"/>
    <x v="2"/>
    <x v="30"/>
    <x v="0"/>
    <s v="U.S. dollars"/>
    <s v="Billions"/>
    <x v="3"/>
    <n v="593.72699999999998"/>
  </r>
  <r>
    <n v="1"/>
    <x v="2"/>
    <x v="30"/>
    <x v="0"/>
    <s v="U.S. dollars"/>
    <s v="Billions"/>
    <x v="4"/>
    <n v="485.51299999999998"/>
  </r>
  <r>
    <n v="1"/>
    <x v="2"/>
    <x v="30"/>
    <x v="0"/>
    <s v="U.S. dollars"/>
    <s v="Billions"/>
    <x v="5"/>
    <n v="526.95100000000002"/>
  </r>
  <r>
    <n v="1"/>
    <x v="2"/>
    <x v="30"/>
    <x v="0"/>
    <s v="U.S. dollars"/>
    <s v="Billions"/>
    <x v="6"/>
    <n v="554.77499999999998"/>
  </r>
  <r>
    <n v="110"/>
    <x v="0"/>
    <x v="30"/>
    <x v="0"/>
    <s v="U.S. dollars"/>
    <s v="Billions"/>
    <x v="0"/>
    <n v="408.74299999999999"/>
  </r>
  <r>
    <n v="110"/>
    <x v="0"/>
    <x v="30"/>
    <x v="0"/>
    <s v="U.S. dollars"/>
    <s v="Billions"/>
    <x v="1"/>
    <n v="367.63299999999998"/>
  </r>
  <r>
    <n v="110"/>
    <x v="0"/>
    <x v="30"/>
    <x v="0"/>
    <s v="U.S. dollars"/>
    <s v="Billions"/>
    <x v="2"/>
    <n v="503.36799999999999"/>
  </r>
  <r>
    <n v="110"/>
    <x v="0"/>
    <x v="30"/>
    <x v="0"/>
    <s v="U.S. dollars"/>
    <s v="Billions"/>
    <x v="3"/>
    <n v="593.72699999999998"/>
  </r>
  <r>
    <n v="110"/>
    <x v="0"/>
    <x v="30"/>
    <x v="0"/>
    <s v="U.S. dollars"/>
    <s v="Billions"/>
    <x v="4"/>
    <n v="485.51299999999998"/>
  </r>
  <r>
    <n v="110"/>
    <x v="0"/>
    <x v="30"/>
    <x v="0"/>
    <s v="U.S. dollars"/>
    <s v="Billions"/>
    <x v="5"/>
    <n v="526.95100000000002"/>
  </r>
  <r>
    <n v="110"/>
    <x v="0"/>
    <x v="30"/>
    <x v="0"/>
    <s v="U.S. dollars"/>
    <s v="Billions"/>
    <x v="6"/>
    <n v="554.77499999999998"/>
  </r>
  <r>
    <n v="1"/>
    <x v="2"/>
    <x v="31"/>
    <x v="0"/>
    <s v="U.S. dollars"/>
    <s v="Billions"/>
    <x v="0"/>
    <n v="376.90199999999999"/>
  </r>
  <r>
    <n v="1"/>
    <x v="2"/>
    <x v="31"/>
    <x v="0"/>
    <s v="U.S. dollars"/>
    <s v="Billions"/>
    <x v="1"/>
    <n v="349.488"/>
  </r>
  <r>
    <n v="1"/>
    <x v="2"/>
    <x v="31"/>
    <x v="0"/>
    <s v="U.S. dollars"/>
    <s v="Billions"/>
    <x v="2"/>
    <n v="434.11099999999999"/>
  </r>
  <r>
    <n v="1"/>
    <x v="2"/>
    <x v="31"/>
    <x v="0"/>
    <s v="U.S. dollars"/>
    <s v="Billions"/>
    <x v="3"/>
    <n v="498.47500000000002"/>
  </r>
  <r>
    <n v="1"/>
    <x v="2"/>
    <x v="31"/>
    <x v="0"/>
    <s v="U.S. dollars"/>
    <s v="Billions"/>
    <x v="4"/>
    <n v="501.428"/>
  </r>
  <r>
    <n v="1"/>
    <x v="2"/>
    <x v="31"/>
    <x v="0"/>
    <s v="U.S. dollars"/>
    <s v="Billions"/>
    <x v="5"/>
    <n v="525.22799999999995"/>
  </r>
  <r>
    <n v="1"/>
    <x v="2"/>
    <x v="31"/>
    <x v="0"/>
    <s v="U.S. dollars"/>
    <s v="Billions"/>
    <x v="6"/>
    <n v="548.14800000000002"/>
  </r>
  <r>
    <n v="123"/>
    <x v="9"/>
    <x v="31"/>
    <x v="0"/>
    <s v="U.S. dollars"/>
    <s v="Billions"/>
    <x v="0"/>
    <n v="376.90199999999999"/>
  </r>
  <r>
    <n v="123"/>
    <x v="9"/>
    <x v="31"/>
    <x v="0"/>
    <s v="U.S. dollars"/>
    <s v="Billions"/>
    <x v="1"/>
    <n v="349.488"/>
  </r>
  <r>
    <n v="123"/>
    <x v="9"/>
    <x v="31"/>
    <x v="0"/>
    <s v="U.S. dollars"/>
    <s v="Billions"/>
    <x v="2"/>
    <n v="434.11099999999999"/>
  </r>
  <r>
    <n v="123"/>
    <x v="9"/>
    <x v="31"/>
    <x v="0"/>
    <s v="U.S. dollars"/>
    <s v="Billions"/>
    <x v="3"/>
    <n v="498.47500000000002"/>
  </r>
  <r>
    <n v="123"/>
    <x v="9"/>
    <x v="31"/>
    <x v="0"/>
    <s v="U.S. dollars"/>
    <s v="Billions"/>
    <x v="4"/>
    <n v="501.428"/>
  </r>
  <r>
    <n v="123"/>
    <x v="9"/>
    <x v="31"/>
    <x v="0"/>
    <s v="U.S. dollars"/>
    <s v="Billions"/>
    <x v="5"/>
    <n v="525.22799999999995"/>
  </r>
  <r>
    <n v="123"/>
    <x v="9"/>
    <x v="31"/>
    <x v="0"/>
    <s v="U.S. dollars"/>
    <s v="Billions"/>
    <x v="6"/>
    <n v="548.14800000000002"/>
  </r>
  <r>
    <n v="510"/>
    <x v="10"/>
    <x v="31"/>
    <x v="0"/>
    <s v="U.S. dollars"/>
    <s v="Billions"/>
    <x v="0"/>
    <n v="376.90199999999999"/>
  </r>
  <r>
    <n v="510"/>
    <x v="10"/>
    <x v="31"/>
    <x v="0"/>
    <s v="U.S. dollars"/>
    <s v="Billions"/>
    <x v="1"/>
    <n v="349.488"/>
  </r>
  <r>
    <n v="510"/>
    <x v="10"/>
    <x v="31"/>
    <x v="0"/>
    <s v="U.S. dollars"/>
    <s v="Billions"/>
    <x v="2"/>
    <n v="434.11099999999999"/>
  </r>
  <r>
    <n v="510"/>
    <x v="10"/>
    <x v="31"/>
    <x v="0"/>
    <s v="U.S. dollars"/>
    <s v="Billions"/>
    <x v="3"/>
    <n v="498.47500000000002"/>
  </r>
  <r>
    <n v="510"/>
    <x v="10"/>
    <x v="31"/>
    <x v="0"/>
    <s v="U.S. dollars"/>
    <s v="Billions"/>
    <x v="4"/>
    <n v="501.428"/>
  </r>
  <r>
    <n v="510"/>
    <x v="10"/>
    <x v="31"/>
    <x v="0"/>
    <s v="U.S. dollars"/>
    <s v="Billions"/>
    <x v="5"/>
    <n v="525.22799999999995"/>
  </r>
  <r>
    <n v="510"/>
    <x v="10"/>
    <x v="31"/>
    <x v="0"/>
    <s v="U.S. dollars"/>
    <s v="Billions"/>
    <x v="6"/>
    <n v="548.14800000000002"/>
  </r>
  <r>
    <n v="110"/>
    <x v="0"/>
    <x v="31"/>
    <x v="0"/>
    <s v="U.S. dollars"/>
    <s v="Billions"/>
    <x v="0"/>
    <n v="376.90199999999999"/>
  </r>
  <r>
    <n v="110"/>
    <x v="0"/>
    <x v="31"/>
    <x v="0"/>
    <s v="U.S. dollars"/>
    <s v="Billions"/>
    <x v="1"/>
    <n v="349.488"/>
  </r>
  <r>
    <n v="110"/>
    <x v="0"/>
    <x v="31"/>
    <x v="0"/>
    <s v="U.S. dollars"/>
    <s v="Billions"/>
    <x v="2"/>
    <n v="434.11099999999999"/>
  </r>
  <r>
    <n v="110"/>
    <x v="0"/>
    <x v="31"/>
    <x v="0"/>
    <s v="U.S. dollars"/>
    <s v="Billions"/>
    <x v="3"/>
    <n v="498.47500000000002"/>
  </r>
  <r>
    <n v="110"/>
    <x v="0"/>
    <x v="31"/>
    <x v="0"/>
    <s v="U.S. dollars"/>
    <s v="Billions"/>
    <x v="4"/>
    <n v="501.428"/>
  </r>
  <r>
    <n v="110"/>
    <x v="0"/>
    <x v="31"/>
    <x v="0"/>
    <s v="U.S. dollars"/>
    <s v="Billions"/>
    <x v="5"/>
    <n v="525.22799999999995"/>
  </r>
  <r>
    <n v="110"/>
    <x v="0"/>
    <x v="31"/>
    <x v="0"/>
    <s v="U.S. dollars"/>
    <s v="Billions"/>
    <x v="6"/>
    <n v="548.14800000000002"/>
  </r>
  <r>
    <n v="505"/>
    <x v="4"/>
    <x v="32"/>
    <x v="0"/>
    <s v="U.S. dollars"/>
    <s v="Billions"/>
    <x v="0"/>
    <n v="376.82299999999998"/>
  </r>
  <r>
    <n v="505"/>
    <x v="4"/>
    <x v="32"/>
    <x v="0"/>
    <s v="U.S. dollars"/>
    <s v="Billions"/>
    <x v="1"/>
    <n v="361.75099999999998"/>
  </r>
  <r>
    <n v="505"/>
    <x v="4"/>
    <x v="32"/>
    <x v="0"/>
    <s v="U.S. dollars"/>
    <s v="Billions"/>
    <x v="2"/>
    <n v="394.08699999999999"/>
  </r>
  <r>
    <n v="505"/>
    <x v="4"/>
    <x v="32"/>
    <x v="0"/>
    <s v="U.S. dollars"/>
    <s v="Billions"/>
    <x v="3"/>
    <n v="404.28399999999999"/>
  </r>
  <r>
    <n v="505"/>
    <x v="4"/>
    <x v="32"/>
    <x v="0"/>
    <s v="U.S. dollars"/>
    <s v="Billions"/>
    <x v="4"/>
    <n v="436.62200000000001"/>
  </r>
  <r>
    <n v="505"/>
    <x v="4"/>
    <x v="32"/>
    <x v="0"/>
    <s v="U.S. dollars"/>
    <s v="Billions"/>
    <x v="5"/>
    <n v="471.51600000000002"/>
  </r>
  <r>
    <n v="505"/>
    <x v="4"/>
    <x v="32"/>
    <x v="0"/>
    <s v="U.S. dollars"/>
    <s v="Billions"/>
    <x v="6"/>
    <n v="509.37900000000002"/>
  </r>
  <r>
    <n v="510"/>
    <x v="10"/>
    <x v="32"/>
    <x v="0"/>
    <s v="U.S. dollars"/>
    <s v="Billions"/>
    <x v="0"/>
    <n v="376.82299999999998"/>
  </r>
  <r>
    <n v="510"/>
    <x v="10"/>
    <x v="32"/>
    <x v="0"/>
    <s v="U.S. dollars"/>
    <s v="Billions"/>
    <x v="1"/>
    <n v="361.75099999999998"/>
  </r>
  <r>
    <n v="510"/>
    <x v="10"/>
    <x v="32"/>
    <x v="0"/>
    <s v="U.S. dollars"/>
    <s v="Billions"/>
    <x v="2"/>
    <n v="394.08699999999999"/>
  </r>
  <r>
    <n v="510"/>
    <x v="10"/>
    <x v="32"/>
    <x v="0"/>
    <s v="U.S. dollars"/>
    <s v="Billions"/>
    <x v="3"/>
    <n v="404.28399999999999"/>
  </r>
  <r>
    <n v="510"/>
    <x v="10"/>
    <x v="32"/>
    <x v="0"/>
    <s v="U.S. dollars"/>
    <s v="Billions"/>
    <x v="4"/>
    <n v="436.62200000000001"/>
  </r>
  <r>
    <n v="510"/>
    <x v="10"/>
    <x v="32"/>
    <x v="0"/>
    <s v="U.S. dollars"/>
    <s v="Billions"/>
    <x v="5"/>
    <n v="471.51600000000002"/>
  </r>
  <r>
    <n v="510"/>
    <x v="10"/>
    <x v="32"/>
    <x v="0"/>
    <s v="U.S. dollars"/>
    <s v="Billions"/>
    <x v="6"/>
    <n v="509.37900000000002"/>
  </r>
  <r>
    <n v="200"/>
    <x v="3"/>
    <x v="32"/>
    <x v="0"/>
    <s v="U.S. dollars"/>
    <s v="Billions"/>
    <x v="0"/>
    <n v="376.82299999999998"/>
  </r>
  <r>
    <n v="200"/>
    <x v="3"/>
    <x v="32"/>
    <x v="0"/>
    <s v="U.S. dollars"/>
    <s v="Billions"/>
    <x v="1"/>
    <n v="361.75099999999998"/>
  </r>
  <r>
    <n v="200"/>
    <x v="3"/>
    <x v="32"/>
    <x v="0"/>
    <s v="U.S. dollars"/>
    <s v="Billions"/>
    <x v="2"/>
    <n v="394.08699999999999"/>
  </r>
  <r>
    <n v="200"/>
    <x v="3"/>
    <x v="32"/>
    <x v="0"/>
    <s v="U.S. dollars"/>
    <s v="Billions"/>
    <x v="3"/>
    <n v="404.28399999999999"/>
  </r>
  <r>
    <n v="200"/>
    <x v="3"/>
    <x v="32"/>
    <x v="0"/>
    <s v="U.S. dollars"/>
    <s v="Billions"/>
    <x v="4"/>
    <n v="436.62200000000001"/>
  </r>
  <r>
    <n v="200"/>
    <x v="3"/>
    <x v="32"/>
    <x v="0"/>
    <s v="U.S. dollars"/>
    <s v="Billions"/>
    <x v="5"/>
    <n v="471.51600000000002"/>
  </r>
  <r>
    <n v="200"/>
    <x v="3"/>
    <x v="32"/>
    <x v="0"/>
    <s v="U.S. dollars"/>
    <s v="Billions"/>
    <x v="6"/>
    <n v="509.37900000000002"/>
  </r>
  <r>
    <n v="1"/>
    <x v="2"/>
    <x v="32"/>
    <x v="0"/>
    <s v="U.S. dollars"/>
    <s v="Billions"/>
    <x v="0"/>
    <n v="376.82299999999998"/>
  </r>
  <r>
    <n v="1"/>
    <x v="2"/>
    <x v="32"/>
    <x v="0"/>
    <s v="U.S. dollars"/>
    <s v="Billions"/>
    <x v="1"/>
    <n v="361.75099999999998"/>
  </r>
  <r>
    <n v="1"/>
    <x v="2"/>
    <x v="32"/>
    <x v="0"/>
    <s v="U.S. dollars"/>
    <s v="Billions"/>
    <x v="2"/>
    <n v="394.08699999999999"/>
  </r>
  <r>
    <n v="1"/>
    <x v="2"/>
    <x v="32"/>
    <x v="0"/>
    <s v="U.S. dollars"/>
    <s v="Billions"/>
    <x v="3"/>
    <n v="404.28399999999999"/>
  </r>
  <r>
    <n v="1"/>
    <x v="2"/>
    <x v="32"/>
    <x v="0"/>
    <s v="U.S. dollars"/>
    <s v="Billions"/>
    <x v="4"/>
    <n v="436.62200000000001"/>
  </r>
  <r>
    <n v="1"/>
    <x v="2"/>
    <x v="32"/>
    <x v="0"/>
    <s v="U.S. dollars"/>
    <s v="Billions"/>
    <x v="5"/>
    <n v="471.51600000000002"/>
  </r>
  <r>
    <n v="1"/>
    <x v="2"/>
    <x v="32"/>
    <x v="0"/>
    <s v="U.S. dollars"/>
    <s v="Billions"/>
    <x v="6"/>
    <n v="509.37900000000002"/>
  </r>
  <r>
    <n v="1"/>
    <x v="2"/>
    <x v="33"/>
    <x v="0"/>
    <s v="U.S. dollars"/>
    <s v="Billions"/>
    <x v="0"/>
    <n v="331.81799999999998"/>
  </r>
  <r>
    <n v="1"/>
    <x v="2"/>
    <x v="33"/>
    <x v="0"/>
    <s v="U.S. dollars"/>
    <s v="Billions"/>
    <x v="1"/>
    <n v="346.31"/>
  </r>
  <r>
    <n v="1"/>
    <x v="2"/>
    <x v="33"/>
    <x v="0"/>
    <s v="U.S. dollars"/>
    <s v="Billions"/>
    <x v="2"/>
    <n v="370.07600000000002"/>
  </r>
  <r>
    <n v="1"/>
    <x v="2"/>
    <x v="33"/>
    <x v="0"/>
    <s v="U.S. dollars"/>
    <s v="Billions"/>
    <x v="3"/>
    <n v="407.96499999999997"/>
  </r>
  <r>
    <n v="1"/>
    <x v="2"/>
    <x v="33"/>
    <x v="0"/>
    <s v="U.S. dollars"/>
    <s v="Billions"/>
    <x v="4"/>
    <n v="433.702"/>
  </r>
  <r>
    <n v="1"/>
    <x v="2"/>
    <x v="33"/>
    <x v="0"/>
    <s v="U.S. dollars"/>
    <s v="Billions"/>
    <x v="5"/>
    <n v="465.81400000000002"/>
  </r>
  <r>
    <n v="1"/>
    <x v="2"/>
    <x v="33"/>
    <x v="0"/>
    <s v="U.S. dollars"/>
    <s v="Billions"/>
    <x v="6"/>
    <n v="505.53100000000001"/>
  </r>
  <r>
    <n v="200"/>
    <x v="3"/>
    <x v="33"/>
    <x v="0"/>
    <s v="U.S. dollars"/>
    <s v="Billions"/>
    <x v="0"/>
    <n v="331.81799999999998"/>
  </r>
  <r>
    <n v="200"/>
    <x v="3"/>
    <x v="33"/>
    <x v="0"/>
    <s v="U.S. dollars"/>
    <s v="Billions"/>
    <x v="1"/>
    <n v="346.31"/>
  </r>
  <r>
    <n v="200"/>
    <x v="3"/>
    <x v="33"/>
    <x v="0"/>
    <s v="U.S. dollars"/>
    <s v="Billions"/>
    <x v="2"/>
    <n v="370.07600000000002"/>
  </r>
  <r>
    <n v="200"/>
    <x v="3"/>
    <x v="33"/>
    <x v="0"/>
    <s v="U.S. dollars"/>
    <s v="Billions"/>
    <x v="3"/>
    <n v="407.96499999999997"/>
  </r>
  <r>
    <n v="200"/>
    <x v="3"/>
    <x v="33"/>
    <x v="0"/>
    <s v="U.S. dollars"/>
    <s v="Billions"/>
    <x v="4"/>
    <n v="433.702"/>
  </r>
  <r>
    <n v="200"/>
    <x v="3"/>
    <x v="33"/>
    <x v="0"/>
    <s v="U.S. dollars"/>
    <s v="Billions"/>
    <x v="5"/>
    <n v="465.81400000000002"/>
  </r>
  <r>
    <n v="200"/>
    <x v="3"/>
    <x v="33"/>
    <x v="0"/>
    <s v="U.S. dollars"/>
    <s v="Billions"/>
    <x v="6"/>
    <n v="505.53100000000001"/>
  </r>
  <r>
    <n v="505"/>
    <x v="4"/>
    <x v="33"/>
    <x v="0"/>
    <s v="U.S. dollars"/>
    <s v="Billions"/>
    <x v="0"/>
    <n v="331.81799999999998"/>
  </r>
  <r>
    <n v="505"/>
    <x v="4"/>
    <x v="33"/>
    <x v="0"/>
    <s v="U.S. dollars"/>
    <s v="Billions"/>
    <x v="1"/>
    <n v="346.31"/>
  </r>
  <r>
    <n v="505"/>
    <x v="4"/>
    <x v="33"/>
    <x v="0"/>
    <s v="U.S. dollars"/>
    <s v="Billions"/>
    <x v="2"/>
    <n v="370.07600000000002"/>
  </r>
  <r>
    <n v="505"/>
    <x v="4"/>
    <x v="33"/>
    <x v="0"/>
    <s v="U.S. dollars"/>
    <s v="Billions"/>
    <x v="3"/>
    <n v="407.96499999999997"/>
  </r>
  <r>
    <n v="505"/>
    <x v="4"/>
    <x v="33"/>
    <x v="0"/>
    <s v="U.S. dollars"/>
    <s v="Billions"/>
    <x v="4"/>
    <n v="433.702"/>
  </r>
  <r>
    <n v="505"/>
    <x v="4"/>
    <x v="33"/>
    <x v="0"/>
    <s v="U.S. dollars"/>
    <s v="Billions"/>
    <x v="5"/>
    <n v="465.81400000000002"/>
  </r>
  <r>
    <n v="505"/>
    <x v="4"/>
    <x v="33"/>
    <x v="0"/>
    <s v="U.S. dollars"/>
    <s v="Billions"/>
    <x v="6"/>
    <n v="505.53100000000001"/>
  </r>
  <r>
    <n v="200"/>
    <x v="3"/>
    <x v="34"/>
    <x v="0"/>
    <s v="U.S. dollars"/>
    <s v="Billions"/>
    <x v="0"/>
    <n v="241.65799999999999"/>
  </r>
  <r>
    <n v="200"/>
    <x v="3"/>
    <x v="34"/>
    <x v="0"/>
    <s v="U.S. dollars"/>
    <s v="Billions"/>
    <x v="1"/>
    <n v="195.52799999999999"/>
  </r>
  <r>
    <n v="200"/>
    <x v="3"/>
    <x v="34"/>
    <x v="0"/>
    <s v="U.S. dollars"/>
    <s v="Billions"/>
    <x v="2"/>
    <n v="289.29399999999998"/>
  </r>
  <r>
    <n v="200"/>
    <x v="3"/>
    <x v="34"/>
    <x v="0"/>
    <s v="U.S. dollars"/>
    <s v="Billions"/>
    <x v="3"/>
    <n v="347.44600000000003"/>
  </r>
  <r>
    <n v="200"/>
    <x v="3"/>
    <x v="34"/>
    <x v="0"/>
    <s v="U.S. dollars"/>
    <s v="Billions"/>
    <x v="4"/>
    <n v="403.52600000000001"/>
  </r>
  <r>
    <n v="200"/>
    <x v="3"/>
    <x v="34"/>
    <x v="0"/>
    <s v="U.S. dollars"/>
    <s v="Billions"/>
    <x v="5"/>
    <n v="464.18099999999998"/>
  </r>
  <r>
    <n v="200"/>
    <x v="3"/>
    <x v="34"/>
    <x v="0"/>
    <s v="U.S. dollars"/>
    <s v="Billions"/>
    <x v="6"/>
    <n v="486.24700000000001"/>
  </r>
  <r>
    <n v="1"/>
    <x v="2"/>
    <x v="34"/>
    <x v="0"/>
    <s v="U.S. dollars"/>
    <s v="Billions"/>
    <x v="0"/>
    <n v="241.65799999999999"/>
  </r>
  <r>
    <n v="1"/>
    <x v="2"/>
    <x v="34"/>
    <x v="0"/>
    <s v="U.S. dollars"/>
    <s v="Billions"/>
    <x v="1"/>
    <n v="195.52799999999999"/>
  </r>
  <r>
    <n v="1"/>
    <x v="2"/>
    <x v="34"/>
    <x v="0"/>
    <s v="U.S. dollars"/>
    <s v="Billions"/>
    <x v="2"/>
    <n v="289.29399999999998"/>
  </r>
  <r>
    <n v="1"/>
    <x v="2"/>
    <x v="34"/>
    <x v="0"/>
    <s v="U.S. dollars"/>
    <s v="Billions"/>
    <x v="3"/>
    <n v="347.44600000000003"/>
  </r>
  <r>
    <n v="1"/>
    <x v="2"/>
    <x v="34"/>
    <x v="0"/>
    <s v="U.S. dollars"/>
    <s v="Billions"/>
    <x v="4"/>
    <n v="403.52600000000001"/>
  </r>
  <r>
    <n v="1"/>
    <x v="2"/>
    <x v="34"/>
    <x v="0"/>
    <s v="U.S. dollars"/>
    <s v="Billions"/>
    <x v="5"/>
    <n v="464.18099999999998"/>
  </r>
  <r>
    <n v="1"/>
    <x v="2"/>
    <x v="34"/>
    <x v="0"/>
    <s v="U.S. dollars"/>
    <s v="Billions"/>
    <x v="6"/>
    <n v="486.24700000000001"/>
  </r>
  <r>
    <n v="400"/>
    <x v="11"/>
    <x v="34"/>
    <x v="0"/>
    <s v="U.S. dollars"/>
    <s v="Billions"/>
    <x v="0"/>
    <n v="241.65799999999999"/>
  </r>
  <r>
    <n v="400"/>
    <x v="11"/>
    <x v="34"/>
    <x v="0"/>
    <s v="U.S. dollars"/>
    <s v="Billions"/>
    <x v="1"/>
    <n v="195.52799999999999"/>
  </r>
  <r>
    <n v="400"/>
    <x v="11"/>
    <x v="34"/>
    <x v="0"/>
    <s v="U.S. dollars"/>
    <s v="Billions"/>
    <x v="2"/>
    <n v="289.29399999999998"/>
  </r>
  <r>
    <n v="400"/>
    <x v="11"/>
    <x v="34"/>
    <x v="0"/>
    <s v="U.S. dollars"/>
    <s v="Billions"/>
    <x v="3"/>
    <n v="347.44600000000003"/>
  </r>
  <r>
    <n v="400"/>
    <x v="11"/>
    <x v="34"/>
    <x v="0"/>
    <s v="U.S. dollars"/>
    <s v="Billions"/>
    <x v="4"/>
    <n v="403.52600000000001"/>
  </r>
  <r>
    <n v="400"/>
    <x v="11"/>
    <x v="34"/>
    <x v="0"/>
    <s v="U.S. dollars"/>
    <s v="Billions"/>
    <x v="5"/>
    <n v="464.18099999999998"/>
  </r>
  <r>
    <n v="400"/>
    <x v="11"/>
    <x v="34"/>
    <x v="0"/>
    <s v="U.S. dollars"/>
    <s v="Billions"/>
    <x v="6"/>
    <n v="486.24700000000001"/>
  </r>
  <r>
    <n v="200"/>
    <x v="3"/>
    <x v="35"/>
    <x v="0"/>
    <s v="U.S. dollars"/>
    <s v="Billions"/>
    <x v="0"/>
    <n v="351.238"/>
  </r>
  <r>
    <n v="200"/>
    <x v="3"/>
    <x v="35"/>
    <x v="0"/>
    <s v="U.S. dollars"/>
    <s v="Billions"/>
    <x v="1"/>
    <n v="373.90199999999999"/>
  </r>
  <r>
    <n v="200"/>
    <x v="3"/>
    <x v="35"/>
    <x v="0"/>
    <s v="U.S. dollars"/>
    <s v="Billions"/>
    <x v="2"/>
    <n v="416.26499999999999"/>
  </r>
  <r>
    <n v="200"/>
    <x v="3"/>
    <x v="35"/>
    <x v="0"/>
    <s v="U.S. dollars"/>
    <s v="Billions"/>
    <x v="3"/>
    <n v="460.20100000000002"/>
  </r>
  <r>
    <n v="200"/>
    <x v="3"/>
    <x v="35"/>
    <x v="0"/>
    <s v="U.S. dollars"/>
    <s v="Billions"/>
    <x v="4"/>
    <n v="446.34899999999999"/>
  </r>
  <r>
    <n v="200"/>
    <x v="3"/>
    <x v="35"/>
    <x v="0"/>
    <s v="U.S. dollars"/>
    <s v="Billions"/>
    <x v="5"/>
    <n v="455.16199999999998"/>
  </r>
  <r>
    <n v="200"/>
    <x v="3"/>
    <x v="35"/>
    <x v="0"/>
    <s v="U.S. dollars"/>
    <s v="Billions"/>
    <x v="6"/>
    <n v="491.815"/>
  </r>
  <r>
    <n v="505"/>
    <x v="4"/>
    <x v="35"/>
    <x v="0"/>
    <s v="U.S. dollars"/>
    <s v="Billions"/>
    <x v="0"/>
    <n v="351.238"/>
  </r>
  <r>
    <n v="505"/>
    <x v="4"/>
    <x v="35"/>
    <x v="0"/>
    <s v="U.S. dollars"/>
    <s v="Billions"/>
    <x v="1"/>
    <n v="373.90199999999999"/>
  </r>
  <r>
    <n v="505"/>
    <x v="4"/>
    <x v="35"/>
    <x v="0"/>
    <s v="U.S. dollars"/>
    <s v="Billions"/>
    <x v="2"/>
    <n v="416.26499999999999"/>
  </r>
  <r>
    <n v="505"/>
    <x v="4"/>
    <x v="35"/>
    <x v="0"/>
    <s v="U.S. dollars"/>
    <s v="Billions"/>
    <x v="3"/>
    <n v="460.20100000000002"/>
  </r>
  <r>
    <n v="505"/>
    <x v="4"/>
    <x v="35"/>
    <x v="0"/>
    <s v="U.S. dollars"/>
    <s v="Billions"/>
    <x v="4"/>
    <n v="446.34899999999999"/>
  </r>
  <r>
    <n v="505"/>
    <x v="4"/>
    <x v="35"/>
    <x v="0"/>
    <s v="U.S. dollars"/>
    <s v="Billions"/>
    <x v="5"/>
    <n v="455.16199999999998"/>
  </r>
  <r>
    <n v="505"/>
    <x v="4"/>
    <x v="35"/>
    <x v="0"/>
    <s v="U.S. dollars"/>
    <s v="Billions"/>
    <x v="6"/>
    <n v="491.815"/>
  </r>
  <r>
    <n v="1"/>
    <x v="2"/>
    <x v="35"/>
    <x v="0"/>
    <s v="U.S. dollars"/>
    <s v="Billions"/>
    <x v="0"/>
    <n v="351.238"/>
  </r>
  <r>
    <n v="1"/>
    <x v="2"/>
    <x v="35"/>
    <x v="0"/>
    <s v="U.S. dollars"/>
    <s v="Billions"/>
    <x v="1"/>
    <n v="373.90199999999999"/>
  </r>
  <r>
    <n v="1"/>
    <x v="2"/>
    <x v="35"/>
    <x v="0"/>
    <s v="U.S. dollars"/>
    <s v="Billions"/>
    <x v="2"/>
    <n v="416.26499999999999"/>
  </r>
  <r>
    <n v="1"/>
    <x v="2"/>
    <x v="35"/>
    <x v="0"/>
    <s v="U.S. dollars"/>
    <s v="Billions"/>
    <x v="3"/>
    <n v="460.20100000000002"/>
  </r>
  <r>
    <n v="1"/>
    <x v="2"/>
    <x v="35"/>
    <x v="0"/>
    <s v="U.S. dollars"/>
    <s v="Billions"/>
    <x v="4"/>
    <n v="446.34899999999999"/>
  </r>
  <r>
    <n v="1"/>
    <x v="2"/>
    <x v="35"/>
    <x v="0"/>
    <s v="U.S. dollars"/>
    <s v="Billions"/>
    <x v="5"/>
    <n v="455.16199999999998"/>
  </r>
  <r>
    <n v="1"/>
    <x v="2"/>
    <x v="35"/>
    <x v="0"/>
    <s v="U.S. dollars"/>
    <s v="Billions"/>
    <x v="6"/>
    <n v="491.815"/>
  </r>
  <r>
    <n v="200"/>
    <x v="3"/>
    <x v="36"/>
    <x v="0"/>
    <s v="U.S. dollars"/>
    <s v="Billions"/>
    <x v="0"/>
    <n v="365.178"/>
  </r>
  <r>
    <n v="200"/>
    <x v="3"/>
    <x v="36"/>
    <x v="0"/>
    <s v="U.S. dollars"/>
    <s v="Billions"/>
    <x v="1"/>
    <n v="337.45600000000002"/>
  </r>
  <r>
    <n v="200"/>
    <x v="3"/>
    <x v="36"/>
    <x v="0"/>
    <s v="U.S. dollars"/>
    <s v="Billions"/>
    <x v="2"/>
    <n v="373.83199999999999"/>
  </r>
  <r>
    <n v="200"/>
    <x v="3"/>
    <x v="36"/>
    <x v="0"/>
    <s v="U.S. dollars"/>
    <s v="Billions"/>
    <x v="3"/>
    <n v="407.02699999999999"/>
  </r>
  <r>
    <n v="200"/>
    <x v="3"/>
    <x v="36"/>
    <x v="0"/>
    <s v="U.S. dollars"/>
    <s v="Billions"/>
    <x v="4"/>
    <n v="415.56900000000002"/>
  </r>
  <r>
    <n v="200"/>
    <x v="3"/>
    <x v="36"/>
    <x v="0"/>
    <s v="U.S. dollars"/>
    <s v="Billions"/>
    <x v="5"/>
    <n v="445.51900000000001"/>
  </r>
  <r>
    <n v="200"/>
    <x v="3"/>
    <x v="36"/>
    <x v="0"/>
    <s v="U.S. dollars"/>
    <s v="Billions"/>
    <x v="6"/>
    <n v="477.82900000000001"/>
  </r>
  <r>
    <n v="510"/>
    <x v="10"/>
    <x v="36"/>
    <x v="0"/>
    <s v="U.S. dollars"/>
    <s v="Billions"/>
    <x v="0"/>
    <n v="365.178"/>
  </r>
  <r>
    <n v="510"/>
    <x v="10"/>
    <x v="36"/>
    <x v="0"/>
    <s v="U.S. dollars"/>
    <s v="Billions"/>
    <x v="1"/>
    <n v="337.45600000000002"/>
  </r>
  <r>
    <n v="510"/>
    <x v="10"/>
    <x v="36"/>
    <x v="0"/>
    <s v="U.S. dollars"/>
    <s v="Billions"/>
    <x v="2"/>
    <n v="373.83199999999999"/>
  </r>
  <r>
    <n v="510"/>
    <x v="10"/>
    <x v="36"/>
    <x v="0"/>
    <s v="U.S. dollars"/>
    <s v="Billions"/>
    <x v="3"/>
    <n v="407.02699999999999"/>
  </r>
  <r>
    <n v="510"/>
    <x v="10"/>
    <x v="36"/>
    <x v="0"/>
    <s v="U.S. dollars"/>
    <s v="Billions"/>
    <x v="4"/>
    <n v="415.56900000000002"/>
  </r>
  <r>
    <n v="510"/>
    <x v="10"/>
    <x v="36"/>
    <x v="0"/>
    <s v="U.S. dollars"/>
    <s v="Billions"/>
    <x v="5"/>
    <n v="445.51900000000001"/>
  </r>
  <r>
    <n v="510"/>
    <x v="10"/>
    <x v="36"/>
    <x v="0"/>
    <s v="U.S. dollars"/>
    <s v="Billions"/>
    <x v="6"/>
    <n v="477.82900000000001"/>
  </r>
  <r>
    <n v="1"/>
    <x v="2"/>
    <x v="36"/>
    <x v="0"/>
    <s v="U.S. dollars"/>
    <s v="Billions"/>
    <x v="0"/>
    <n v="365.178"/>
  </r>
  <r>
    <n v="1"/>
    <x v="2"/>
    <x v="36"/>
    <x v="0"/>
    <s v="U.S. dollars"/>
    <s v="Billions"/>
    <x v="1"/>
    <n v="337.45600000000002"/>
  </r>
  <r>
    <n v="1"/>
    <x v="2"/>
    <x v="36"/>
    <x v="0"/>
    <s v="U.S. dollars"/>
    <s v="Billions"/>
    <x v="2"/>
    <n v="373.83199999999999"/>
  </r>
  <r>
    <n v="1"/>
    <x v="2"/>
    <x v="36"/>
    <x v="0"/>
    <s v="U.S. dollars"/>
    <s v="Billions"/>
    <x v="3"/>
    <n v="407.02699999999999"/>
  </r>
  <r>
    <n v="1"/>
    <x v="2"/>
    <x v="36"/>
    <x v="0"/>
    <s v="U.S. dollars"/>
    <s v="Billions"/>
    <x v="4"/>
    <n v="415.56900000000002"/>
  </r>
  <r>
    <n v="1"/>
    <x v="2"/>
    <x v="36"/>
    <x v="0"/>
    <s v="U.S. dollars"/>
    <s v="Billions"/>
    <x v="5"/>
    <n v="445.51900000000001"/>
  </r>
  <r>
    <n v="1"/>
    <x v="2"/>
    <x v="36"/>
    <x v="0"/>
    <s v="U.S. dollars"/>
    <s v="Billions"/>
    <x v="6"/>
    <n v="477.82900000000001"/>
  </r>
  <r>
    <n v="505"/>
    <x v="4"/>
    <x v="36"/>
    <x v="0"/>
    <s v="U.S. dollars"/>
    <s v="Billions"/>
    <x v="0"/>
    <n v="365.178"/>
  </r>
  <r>
    <n v="505"/>
    <x v="4"/>
    <x v="36"/>
    <x v="0"/>
    <s v="U.S. dollars"/>
    <s v="Billions"/>
    <x v="1"/>
    <n v="337.45600000000002"/>
  </r>
  <r>
    <n v="505"/>
    <x v="4"/>
    <x v="36"/>
    <x v="0"/>
    <s v="U.S. dollars"/>
    <s v="Billions"/>
    <x v="2"/>
    <n v="373.83199999999999"/>
  </r>
  <r>
    <n v="505"/>
    <x v="4"/>
    <x v="36"/>
    <x v="0"/>
    <s v="U.S. dollars"/>
    <s v="Billions"/>
    <x v="3"/>
    <n v="407.02699999999999"/>
  </r>
  <r>
    <n v="505"/>
    <x v="4"/>
    <x v="36"/>
    <x v="0"/>
    <s v="U.S. dollars"/>
    <s v="Billions"/>
    <x v="4"/>
    <n v="415.56900000000002"/>
  </r>
  <r>
    <n v="505"/>
    <x v="4"/>
    <x v="36"/>
    <x v="0"/>
    <s v="U.S. dollars"/>
    <s v="Billions"/>
    <x v="5"/>
    <n v="445.51900000000001"/>
  </r>
  <r>
    <n v="505"/>
    <x v="4"/>
    <x v="36"/>
    <x v="0"/>
    <s v="U.S. dollars"/>
    <s v="Billions"/>
    <x v="6"/>
    <n v="477.82900000000001"/>
  </r>
  <r>
    <n v="1"/>
    <x v="2"/>
    <x v="37"/>
    <x v="0"/>
    <s v="U.S. dollars"/>
    <s v="Billions"/>
    <x v="0"/>
    <n v="346.49900000000002"/>
  </r>
  <r>
    <n v="1"/>
    <x v="2"/>
    <x v="37"/>
    <x v="0"/>
    <s v="U.S. dollars"/>
    <s v="Billions"/>
    <x v="1"/>
    <n v="354.76299999999998"/>
  </r>
  <r>
    <n v="1"/>
    <x v="2"/>
    <x v="37"/>
    <x v="0"/>
    <s v="U.S. dollars"/>
    <s v="Billions"/>
    <x v="2"/>
    <n v="405.68799999999999"/>
  </r>
  <r>
    <n v="1"/>
    <x v="2"/>
    <x v="37"/>
    <x v="0"/>
    <s v="U.S. dollars"/>
    <s v="Billions"/>
    <x v="3"/>
    <n v="400.16699999999997"/>
  </r>
  <r>
    <n v="1"/>
    <x v="2"/>
    <x v="37"/>
    <x v="0"/>
    <s v="U.S. dollars"/>
    <s v="Billions"/>
    <x v="4"/>
    <n v="405.19900000000001"/>
  </r>
  <r>
    <n v="1"/>
    <x v="2"/>
    <x v="37"/>
    <x v="0"/>
    <s v="U.S. dollars"/>
    <s v="Billions"/>
    <x v="5"/>
    <n v="409.98899999999998"/>
  </r>
  <r>
    <n v="1"/>
    <x v="2"/>
    <x v="37"/>
    <x v="0"/>
    <s v="U.S. dollars"/>
    <s v="Billions"/>
    <x v="6"/>
    <n v="424.32600000000002"/>
  </r>
  <r>
    <n v="110"/>
    <x v="0"/>
    <x v="37"/>
    <x v="0"/>
    <s v="U.S. dollars"/>
    <s v="Billions"/>
    <x v="0"/>
    <n v="346.49900000000002"/>
  </r>
  <r>
    <n v="110"/>
    <x v="0"/>
    <x v="37"/>
    <x v="0"/>
    <s v="U.S. dollars"/>
    <s v="Billions"/>
    <x v="1"/>
    <n v="354.76299999999998"/>
  </r>
  <r>
    <n v="110"/>
    <x v="0"/>
    <x v="37"/>
    <x v="0"/>
    <s v="U.S. dollars"/>
    <s v="Billions"/>
    <x v="2"/>
    <n v="405.68799999999999"/>
  </r>
  <r>
    <n v="110"/>
    <x v="0"/>
    <x v="37"/>
    <x v="0"/>
    <s v="U.S. dollars"/>
    <s v="Billions"/>
    <x v="3"/>
    <n v="400.16699999999997"/>
  </r>
  <r>
    <n v="110"/>
    <x v="0"/>
    <x v="37"/>
    <x v="0"/>
    <s v="U.S. dollars"/>
    <s v="Billions"/>
    <x v="4"/>
    <n v="405.19900000000001"/>
  </r>
  <r>
    <n v="110"/>
    <x v="0"/>
    <x v="37"/>
    <x v="0"/>
    <s v="U.S. dollars"/>
    <s v="Billions"/>
    <x v="5"/>
    <n v="409.98899999999998"/>
  </r>
  <r>
    <n v="110"/>
    <x v="0"/>
    <x v="37"/>
    <x v="0"/>
    <s v="U.S. dollars"/>
    <s v="Billions"/>
    <x v="6"/>
    <n v="424.32600000000002"/>
  </r>
  <r>
    <n v="998"/>
    <x v="6"/>
    <x v="37"/>
    <x v="0"/>
    <s v="U.S. dollars"/>
    <s v="Billions"/>
    <x v="0"/>
    <n v="346.49900000000002"/>
  </r>
  <r>
    <n v="998"/>
    <x v="6"/>
    <x v="37"/>
    <x v="0"/>
    <s v="U.S. dollars"/>
    <s v="Billions"/>
    <x v="1"/>
    <n v="354.76299999999998"/>
  </r>
  <r>
    <n v="998"/>
    <x v="6"/>
    <x v="37"/>
    <x v="0"/>
    <s v="U.S. dollars"/>
    <s v="Billions"/>
    <x v="2"/>
    <n v="405.68799999999999"/>
  </r>
  <r>
    <n v="998"/>
    <x v="6"/>
    <x v="37"/>
    <x v="0"/>
    <s v="U.S. dollars"/>
    <s v="Billions"/>
    <x v="3"/>
    <n v="400.16699999999997"/>
  </r>
  <r>
    <n v="998"/>
    <x v="6"/>
    <x v="37"/>
    <x v="0"/>
    <s v="U.S. dollars"/>
    <s v="Billions"/>
    <x v="4"/>
    <n v="405.19900000000001"/>
  </r>
  <r>
    <n v="998"/>
    <x v="6"/>
    <x v="37"/>
    <x v="0"/>
    <s v="U.S. dollars"/>
    <s v="Billions"/>
    <x v="5"/>
    <n v="409.98899999999998"/>
  </r>
  <r>
    <n v="998"/>
    <x v="6"/>
    <x v="37"/>
    <x v="0"/>
    <s v="U.S. dollars"/>
    <s v="Billions"/>
    <x v="6"/>
    <n v="424.32600000000002"/>
  </r>
  <r>
    <n v="123"/>
    <x v="9"/>
    <x v="37"/>
    <x v="0"/>
    <s v="U.S. dollars"/>
    <s v="Billions"/>
    <x v="0"/>
    <n v="346.49900000000002"/>
  </r>
  <r>
    <n v="123"/>
    <x v="9"/>
    <x v="37"/>
    <x v="0"/>
    <s v="U.S. dollars"/>
    <s v="Billions"/>
    <x v="1"/>
    <n v="354.76299999999998"/>
  </r>
  <r>
    <n v="123"/>
    <x v="9"/>
    <x v="37"/>
    <x v="0"/>
    <s v="U.S. dollars"/>
    <s v="Billions"/>
    <x v="2"/>
    <n v="405.68799999999999"/>
  </r>
  <r>
    <n v="123"/>
    <x v="9"/>
    <x v="37"/>
    <x v="0"/>
    <s v="U.S. dollars"/>
    <s v="Billions"/>
    <x v="3"/>
    <n v="400.16699999999997"/>
  </r>
  <r>
    <n v="123"/>
    <x v="9"/>
    <x v="37"/>
    <x v="0"/>
    <s v="U.S. dollars"/>
    <s v="Billions"/>
    <x v="4"/>
    <n v="405.19900000000001"/>
  </r>
  <r>
    <n v="123"/>
    <x v="9"/>
    <x v="37"/>
    <x v="0"/>
    <s v="U.S. dollars"/>
    <s v="Billions"/>
    <x v="5"/>
    <n v="409.98899999999998"/>
  </r>
  <r>
    <n v="123"/>
    <x v="9"/>
    <x v="37"/>
    <x v="0"/>
    <s v="U.S. dollars"/>
    <s v="Billions"/>
    <x v="6"/>
    <n v="424.32600000000002"/>
  </r>
  <r>
    <n v="110"/>
    <x v="0"/>
    <x v="38"/>
    <x v="0"/>
    <s v="U.S. dollars"/>
    <s v="Billions"/>
    <x v="0"/>
    <n v="363.07499999999999"/>
  </r>
  <r>
    <n v="110"/>
    <x v="0"/>
    <x v="38"/>
    <x v="0"/>
    <s v="U.S. dollars"/>
    <s v="Billions"/>
    <x v="1"/>
    <n v="344.94099999999997"/>
  </r>
  <r>
    <n v="110"/>
    <x v="0"/>
    <x v="38"/>
    <x v="0"/>
    <s v="U.S. dollars"/>
    <s v="Billions"/>
    <x v="2"/>
    <n v="368.95400000000001"/>
  </r>
  <r>
    <n v="110"/>
    <x v="0"/>
    <x v="38"/>
    <x v="0"/>
    <s v="U.S. dollars"/>
    <s v="Billions"/>
    <x v="3"/>
    <n v="358.69600000000003"/>
  </r>
  <r>
    <n v="110"/>
    <x v="0"/>
    <x v="38"/>
    <x v="0"/>
    <s v="U.S. dollars"/>
    <s v="Billions"/>
    <x v="4"/>
    <n v="376.96899999999999"/>
  </r>
  <r>
    <n v="110"/>
    <x v="0"/>
    <x v="38"/>
    <x v="0"/>
    <s v="U.S. dollars"/>
    <s v="Billions"/>
    <x v="5"/>
    <n v="406.77499999999998"/>
  </r>
  <r>
    <n v="110"/>
    <x v="0"/>
    <x v="38"/>
    <x v="0"/>
    <s v="U.S. dollars"/>
    <s v="Billions"/>
    <x v="6"/>
    <n v="427.78199999999998"/>
  </r>
  <r>
    <n v="1"/>
    <x v="2"/>
    <x v="38"/>
    <x v="0"/>
    <s v="U.S. dollars"/>
    <s v="Billions"/>
    <x v="0"/>
    <n v="363.07499999999999"/>
  </r>
  <r>
    <n v="1"/>
    <x v="2"/>
    <x v="38"/>
    <x v="0"/>
    <s v="U.S. dollars"/>
    <s v="Billions"/>
    <x v="1"/>
    <n v="344.94099999999997"/>
  </r>
  <r>
    <n v="1"/>
    <x v="2"/>
    <x v="38"/>
    <x v="0"/>
    <s v="U.S. dollars"/>
    <s v="Billions"/>
    <x v="2"/>
    <n v="368.95400000000001"/>
  </r>
  <r>
    <n v="1"/>
    <x v="2"/>
    <x v="38"/>
    <x v="0"/>
    <s v="U.S. dollars"/>
    <s v="Billions"/>
    <x v="3"/>
    <n v="358.69600000000003"/>
  </r>
  <r>
    <n v="1"/>
    <x v="2"/>
    <x v="38"/>
    <x v="0"/>
    <s v="U.S. dollars"/>
    <s v="Billions"/>
    <x v="4"/>
    <n v="376.96899999999999"/>
  </r>
  <r>
    <n v="1"/>
    <x v="2"/>
    <x v="38"/>
    <x v="0"/>
    <s v="U.S. dollars"/>
    <s v="Billions"/>
    <x v="5"/>
    <n v="406.77499999999998"/>
  </r>
  <r>
    <n v="1"/>
    <x v="2"/>
    <x v="38"/>
    <x v="0"/>
    <s v="U.S. dollars"/>
    <s v="Billions"/>
    <x v="6"/>
    <n v="427.78199999999998"/>
  </r>
  <r>
    <n v="123"/>
    <x v="9"/>
    <x v="38"/>
    <x v="0"/>
    <s v="U.S. dollars"/>
    <s v="Billions"/>
    <x v="0"/>
    <n v="363.07499999999999"/>
  </r>
  <r>
    <n v="123"/>
    <x v="9"/>
    <x v="38"/>
    <x v="0"/>
    <s v="U.S. dollars"/>
    <s v="Billions"/>
    <x v="1"/>
    <n v="344.94099999999997"/>
  </r>
  <r>
    <n v="123"/>
    <x v="9"/>
    <x v="38"/>
    <x v="0"/>
    <s v="U.S. dollars"/>
    <s v="Billions"/>
    <x v="2"/>
    <n v="368.95400000000001"/>
  </r>
  <r>
    <n v="123"/>
    <x v="9"/>
    <x v="38"/>
    <x v="0"/>
    <s v="U.S. dollars"/>
    <s v="Billions"/>
    <x v="3"/>
    <n v="358.69600000000003"/>
  </r>
  <r>
    <n v="123"/>
    <x v="9"/>
    <x v="38"/>
    <x v="0"/>
    <s v="U.S. dollars"/>
    <s v="Billions"/>
    <x v="4"/>
    <n v="376.96899999999999"/>
  </r>
  <r>
    <n v="123"/>
    <x v="9"/>
    <x v="38"/>
    <x v="0"/>
    <s v="U.S. dollars"/>
    <s v="Billions"/>
    <x v="5"/>
    <n v="406.77499999999998"/>
  </r>
  <r>
    <n v="123"/>
    <x v="9"/>
    <x v="38"/>
    <x v="0"/>
    <s v="U.S. dollars"/>
    <s v="Billions"/>
    <x v="6"/>
    <n v="427.78199999999998"/>
  </r>
  <r>
    <n v="205"/>
    <x v="7"/>
    <x v="39"/>
    <x v="0"/>
    <s v="U.S. dollars"/>
    <s v="Billions"/>
    <x v="0"/>
    <n v="323.05500000000001"/>
  </r>
  <r>
    <n v="205"/>
    <x v="7"/>
    <x v="39"/>
    <x v="0"/>
    <s v="U.S. dollars"/>
    <s v="Billions"/>
    <x v="1"/>
    <n v="270.34800000000001"/>
  </r>
  <r>
    <n v="205"/>
    <x v="7"/>
    <x v="39"/>
    <x v="0"/>
    <s v="U.S. dollars"/>
    <s v="Billions"/>
    <x v="2"/>
    <n v="318.52499999999998"/>
  </r>
  <r>
    <n v="205"/>
    <x v="7"/>
    <x v="39"/>
    <x v="0"/>
    <s v="U.S. dollars"/>
    <s v="Billions"/>
    <x v="3"/>
    <n v="345.33"/>
  </r>
  <r>
    <n v="205"/>
    <x v="7"/>
    <x v="39"/>
    <x v="0"/>
    <s v="U.S. dollars"/>
    <s v="Billions"/>
    <x v="4"/>
    <n v="363.61599999999999"/>
  </r>
  <r>
    <n v="205"/>
    <x v="7"/>
    <x v="39"/>
    <x v="0"/>
    <s v="U.S. dollars"/>
    <s v="Billions"/>
    <x v="5"/>
    <n v="386.07600000000002"/>
  </r>
  <r>
    <n v="205"/>
    <x v="7"/>
    <x v="39"/>
    <x v="0"/>
    <s v="U.S. dollars"/>
    <s v="Billions"/>
    <x v="6"/>
    <n v="400.48"/>
  </r>
  <r>
    <n v="1"/>
    <x v="2"/>
    <x v="39"/>
    <x v="0"/>
    <s v="U.S. dollars"/>
    <s v="Billions"/>
    <x v="0"/>
    <n v="323.05500000000001"/>
  </r>
  <r>
    <n v="1"/>
    <x v="2"/>
    <x v="39"/>
    <x v="0"/>
    <s v="U.S. dollars"/>
    <s v="Billions"/>
    <x v="1"/>
    <n v="270.34800000000001"/>
  </r>
  <r>
    <n v="1"/>
    <x v="2"/>
    <x v="39"/>
    <x v="0"/>
    <s v="U.S. dollars"/>
    <s v="Billions"/>
    <x v="2"/>
    <n v="318.52499999999998"/>
  </r>
  <r>
    <n v="1"/>
    <x v="2"/>
    <x v="39"/>
    <x v="0"/>
    <s v="U.S. dollars"/>
    <s v="Billions"/>
    <x v="3"/>
    <n v="345.33"/>
  </r>
  <r>
    <n v="1"/>
    <x v="2"/>
    <x v="39"/>
    <x v="0"/>
    <s v="U.S. dollars"/>
    <s v="Billions"/>
    <x v="4"/>
    <n v="363.61599999999999"/>
  </r>
  <r>
    <n v="1"/>
    <x v="2"/>
    <x v="39"/>
    <x v="0"/>
    <s v="U.S. dollars"/>
    <s v="Billions"/>
    <x v="5"/>
    <n v="386.07600000000002"/>
  </r>
  <r>
    <n v="1"/>
    <x v="2"/>
    <x v="39"/>
    <x v="0"/>
    <s v="U.S. dollars"/>
    <s v="Billions"/>
    <x v="6"/>
    <n v="400.48"/>
  </r>
  <r>
    <n v="200"/>
    <x v="3"/>
    <x v="39"/>
    <x v="0"/>
    <s v="U.S. dollars"/>
    <s v="Billions"/>
    <x v="0"/>
    <n v="323.05500000000001"/>
  </r>
  <r>
    <n v="200"/>
    <x v="3"/>
    <x v="39"/>
    <x v="0"/>
    <s v="U.S. dollars"/>
    <s v="Billions"/>
    <x v="1"/>
    <n v="270.34800000000001"/>
  </r>
  <r>
    <n v="200"/>
    <x v="3"/>
    <x v="39"/>
    <x v="0"/>
    <s v="U.S. dollars"/>
    <s v="Billions"/>
    <x v="2"/>
    <n v="318.52499999999998"/>
  </r>
  <r>
    <n v="200"/>
    <x v="3"/>
    <x v="39"/>
    <x v="0"/>
    <s v="U.S. dollars"/>
    <s v="Billions"/>
    <x v="3"/>
    <n v="345.33"/>
  </r>
  <r>
    <n v="200"/>
    <x v="3"/>
    <x v="39"/>
    <x v="0"/>
    <s v="U.S. dollars"/>
    <s v="Billions"/>
    <x v="4"/>
    <n v="363.61599999999999"/>
  </r>
  <r>
    <n v="200"/>
    <x v="3"/>
    <x v="39"/>
    <x v="0"/>
    <s v="U.S. dollars"/>
    <s v="Billions"/>
    <x v="5"/>
    <n v="386.07600000000002"/>
  </r>
  <r>
    <n v="200"/>
    <x v="3"/>
    <x v="39"/>
    <x v="0"/>
    <s v="U.S. dollars"/>
    <s v="Billions"/>
    <x v="6"/>
    <n v="400.48"/>
  </r>
  <r>
    <n v="1"/>
    <x v="2"/>
    <x v="40"/>
    <x v="0"/>
    <s v="U.S. dollars"/>
    <s v="Billions"/>
    <x v="0"/>
    <n v="389.245"/>
  </r>
  <r>
    <n v="1"/>
    <x v="2"/>
    <x v="40"/>
    <x v="0"/>
    <s v="U.S. dollars"/>
    <s v="Billions"/>
    <x v="1"/>
    <n v="338.19299999999998"/>
  </r>
  <r>
    <n v="1"/>
    <x v="2"/>
    <x v="40"/>
    <x v="0"/>
    <s v="U.S. dollars"/>
    <s v="Billions"/>
    <x v="2"/>
    <n v="420.00900000000001"/>
  </r>
  <r>
    <n v="1"/>
    <x v="2"/>
    <x v="40"/>
    <x v="0"/>
    <s v="U.S. dollars"/>
    <s v="Billions"/>
    <x v="3"/>
    <n v="405.10599999999999"/>
  </r>
  <r>
    <n v="1"/>
    <x v="2"/>
    <x v="40"/>
    <x v="0"/>
    <s v="U.S. dollars"/>
    <s v="Billions"/>
    <x v="4"/>
    <n v="377.67599999999999"/>
  </r>
  <r>
    <n v="1"/>
    <x v="2"/>
    <x v="40"/>
    <x v="0"/>
    <s v="U.S. dollars"/>
    <s v="Billions"/>
    <x v="5"/>
    <n v="373.233"/>
  </r>
  <r>
    <n v="1"/>
    <x v="2"/>
    <x v="40"/>
    <x v="0"/>
    <s v="U.S. dollars"/>
    <s v="Billions"/>
    <x v="6"/>
    <n v="384.76499999999999"/>
  </r>
  <r>
    <n v="200"/>
    <x v="3"/>
    <x v="40"/>
    <x v="0"/>
    <s v="U.S. dollars"/>
    <s v="Billions"/>
    <x v="0"/>
    <n v="389.245"/>
  </r>
  <r>
    <n v="200"/>
    <x v="3"/>
    <x v="40"/>
    <x v="0"/>
    <s v="U.S. dollars"/>
    <s v="Billions"/>
    <x v="1"/>
    <n v="338.19299999999998"/>
  </r>
  <r>
    <n v="200"/>
    <x v="3"/>
    <x v="40"/>
    <x v="0"/>
    <s v="U.S. dollars"/>
    <s v="Billions"/>
    <x v="2"/>
    <n v="420.00900000000001"/>
  </r>
  <r>
    <n v="200"/>
    <x v="3"/>
    <x v="40"/>
    <x v="0"/>
    <s v="U.S. dollars"/>
    <s v="Billions"/>
    <x v="3"/>
    <n v="405.10599999999999"/>
  </r>
  <r>
    <n v="200"/>
    <x v="3"/>
    <x v="40"/>
    <x v="0"/>
    <s v="U.S. dollars"/>
    <s v="Billions"/>
    <x v="4"/>
    <n v="377.67599999999999"/>
  </r>
  <r>
    <n v="200"/>
    <x v="3"/>
    <x v="40"/>
    <x v="0"/>
    <s v="U.S. dollars"/>
    <s v="Billions"/>
    <x v="5"/>
    <n v="373.233"/>
  </r>
  <r>
    <n v="200"/>
    <x v="3"/>
    <x v="40"/>
    <x v="0"/>
    <s v="U.S. dollars"/>
    <s v="Billions"/>
    <x v="6"/>
    <n v="384.76499999999999"/>
  </r>
  <r>
    <n v="603"/>
    <x v="12"/>
    <x v="40"/>
    <x v="0"/>
    <s v="U.S. dollars"/>
    <s v="Billions"/>
    <x v="0"/>
    <n v="389.245"/>
  </r>
  <r>
    <n v="603"/>
    <x v="12"/>
    <x v="40"/>
    <x v="0"/>
    <s v="U.S. dollars"/>
    <s v="Billions"/>
    <x v="1"/>
    <n v="338.19299999999998"/>
  </r>
  <r>
    <n v="603"/>
    <x v="12"/>
    <x v="40"/>
    <x v="0"/>
    <s v="U.S. dollars"/>
    <s v="Billions"/>
    <x v="2"/>
    <n v="420.00900000000001"/>
  </r>
  <r>
    <n v="603"/>
    <x v="12"/>
    <x v="40"/>
    <x v="0"/>
    <s v="U.S. dollars"/>
    <s v="Billions"/>
    <x v="3"/>
    <n v="405.10599999999999"/>
  </r>
  <r>
    <n v="603"/>
    <x v="12"/>
    <x v="40"/>
    <x v="0"/>
    <s v="U.S. dollars"/>
    <s v="Billions"/>
    <x v="4"/>
    <n v="377.67599999999999"/>
  </r>
  <r>
    <n v="603"/>
    <x v="12"/>
    <x v="40"/>
    <x v="0"/>
    <s v="U.S. dollars"/>
    <s v="Billions"/>
    <x v="5"/>
    <n v="373.233"/>
  </r>
  <r>
    <n v="603"/>
    <x v="12"/>
    <x v="40"/>
    <x v="0"/>
    <s v="U.S. dollars"/>
    <s v="Billions"/>
    <x v="6"/>
    <n v="384.76499999999999"/>
  </r>
  <r>
    <n v="903"/>
    <x v="8"/>
    <x v="41"/>
    <x v="0"/>
    <s v="U.S. dollars"/>
    <s v="Billions"/>
    <x v="0"/>
    <n v="250.99299999999999"/>
  </r>
  <r>
    <n v="903"/>
    <x v="8"/>
    <x v="41"/>
    <x v="0"/>
    <s v="U.S. dollars"/>
    <s v="Billions"/>
    <x v="1"/>
    <n v="251.69900000000001"/>
  </r>
  <r>
    <n v="903"/>
    <x v="8"/>
    <x v="41"/>
    <x v="0"/>
    <s v="U.S. dollars"/>
    <s v="Billions"/>
    <x v="2"/>
    <n v="286.01499999999999"/>
  </r>
  <r>
    <n v="903"/>
    <x v="8"/>
    <x v="41"/>
    <x v="0"/>
    <s v="U.S. dollars"/>
    <s v="Billions"/>
    <x v="3"/>
    <n v="301.27300000000002"/>
  </r>
  <r>
    <n v="903"/>
    <x v="8"/>
    <x v="41"/>
    <x v="0"/>
    <s v="U.S. dollars"/>
    <s v="Billions"/>
    <x v="4"/>
    <n v="345.89400000000001"/>
  </r>
  <r>
    <n v="903"/>
    <x v="8"/>
    <x v="41"/>
    <x v="0"/>
    <s v="U.S. dollars"/>
    <s v="Billions"/>
    <x v="5"/>
    <n v="369.971"/>
  </r>
  <r>
    <n v="903"/>
    <x v="8"/>
    <x v="41"/>
    <x v="0"/>
    <s v="U.S. dollars"/>
    <s v="Billions"/>
    <x v="6"/>
    <n v="389.68900000000002"/>
  </r>
  <r>
    <n v="998"/>
    <x v="6"/>
    <x v="41"/>
    <x v="0"/>
    <s v="U.S. dollars"/>
    <s v="Billions"/>
    <x v="0"/>
    <n v="250.99299999999999"/>
  </r>
  <r>
    <n v="998"/>
    <x v="6"/>
    <x v="41"/>
    <x v="0"/>
    <s v="U.S. dollars"/>
    <s v="Billions"/>
    <x v="1"/>
    <n v="251.69900000000001"/>
  </r>
  <r>
    <n v="998"/>
    <x v="6"/>
    <x v="41"/>
    <x v="0"/>
    <s v="U.S. dollars"/>
    <s v="Billions"/>
    <x v="2"/>
    <n v="286.01499999999999"/>
  </r>
  <r>
    <n v="998"/>
    <x v="6"/>
    <x v="41"/>
    <x v="0"/>
    <s v="U.S. dollars"/>
    <s v="Billions"/>
    <x v="3"/>
    <n v="301.27300000000002"/>
  </r>
  <r>
    <n v="998"/>
    <x v="6"/>
    <x v="41"/>
    <x v="0"/>
    <s v="U.S. dollars"/>
    <s v="Billions"/>
    <x v="4"/>
    <n v="345.89400000000001"/>
  </r>
  <r>
    <n v="998"/>
    <x v="6"/>
    <x v="41"/>
    <x v="0"/>
    <s v="U.S. dollars"/>
    <s v="Billions"/>
    <x v="5"/>
    <n v="369.971"/>
  </r>
  <r>
    <n v="998"/>
    <x v="6"/>
    <x v="41"/>
    <x v="0"/>
    <s v="U.S. dollars"/>
    <s v="Billions"/>
    <x v="6"/>
    <n v="389.68900000000002"/>
  </r>
  <r>
    <n v="200"/>
    <x v="3"/>
    <x v="41"/>
    <x v="0"/>
    <s v="U.S. dollars"/>
    <s v="Billions"/>
    <x v="0"/>
    <n v="250.99299999999999"/>
  </r>
  <r>
    <n v="200"/>
    <x v="3"/>
    <x v="41"/>
    <x v="0"/>
    <s v="U.S. dollars"/>
    <s v="Billions"/>
    <x v="1"/>
    <n v="251.69900000000001"/>
  </r>
  <r>
    <n v="200"/>
    <x v="3"/>
    <x v="41"/>
    <x v="0"/>
    <s v="U.S. dollars"/>
    <s v="Billions"/>
    <x v="2"/>
    <n v="286.01499999999999"/>
  </r>
  <r>
    <n v="200"/>
    <x v="3"/>
    <x v="41"/>
    <x v="0"/>
    <s v="U.S. dollars"/>
    <s v="Billions"/>
    <x v="3"/>
    <n v="301.27300000000002"/>
  </r>
  <r>
    <n v="200"/>
    <x v="3"/>
    <x v="41"/>
    <x v="0"/>
    <s v="U.S. dollars"/>
    <s v="Billions"/>
    <x v="4"/>
    <n v="345.89400000000001"/>
  </r>
  <r>
    <n v="200"/>
    <x v="3"/>
    <x v="41"/>
    <x v="0"/>
    <s v="U.S. dollars"/>
    <s v="Billions"/>
    <x v="5"/>
    <n v="369.971"/>
  </r>
  <r>
    <n v="200"/>
    <x v="3"/>
    <x v="41"/>
    <x v="0"/>
    <s v="U.S. dollars"/>
    <s v="Billions"/>
    <x v="6"/>
    <n v="389.68900000000002"/>
  </r>
  <r>
    <n v="1"/>
    <x v="2"/>
    <x v="41"/>
    <x v="0"/>
    <s v="U.S. dollars"/>
    <s v="Billions"/>
    <x v="0"/>
    <n v="250.99299999999999"/>
  </r>
  <r>
    <n v="1"/>
    <x v="2"/>
    <x v="41"/>
    <x v="0"/>
    <s v="U.S. dollars"/>
    <s v="Billions"/>
    <x v="1"/>
    <n v="251.69900000000001"/>
  </r>
  <r>
    <n v="1"/>
    <x v="2"/>
    <x v="41"/>
    <x v="0"/>
    <s v="U.S. dollars"/>
    <s v="Billions"/>
    <x v="2"/>
    <n v="286.01499999999999"/>
  </r>
  <r>
    <n v="1"/>
    <x v="2"/>
    <x v="41"/>
    <x v="0"/>
    <s v="U.S. dollars"/>
    <s v="Billions"/>
    <x v="3"/>
    <n v="301.27300000000002"/>
  </r>
  <r>
    <n v="1"/>
    <x v="2"/>
    <x v="41"/>
    <x v="0"/>
    <s v="U.S. dollars"/>
    <s v="Billions"/>
    <x v="4"/>
    <n v="345.89400000000001"/>
  </r>
  <r>
    <n v="1"/>
    <x v="2"/>
    <x v="41"/>
    <x v="0"/>
    <s v="U.S. dollars"/>
    <s v="Billions"/>
    <x v="5"/>
    <n v="369.971"/>
  </r>
  <r>
    <n v="1"/>
    <x v="2"/>
    <x v="41"/>
    <x v="0"/>
    <s v="U.S. dollars"/>
    <s v="Billions"/>
    <x v="6"/>
    <n v="389.68900000000002"/>
  </r>
  <r>
    <n v="1"/>
    <x v="2"/>
    <x v="42"/>
    <x v="0"/>
    <s v="U.S. dollars"/>
    <s v="Billions"/>
    <x v="0"/>
    <n v="317.89400000000001"/>
  </r>
  <r>
    <n v="1"/>
    <x v="2"/>
    <x v="42"/>
    <x v="0"/>
    <s v="U.S. dollars"/>
    <s v="Billions"/>
    <x v="1"/>
    <n v="382.52499999999998"/>
  </r>
  <r>
    <n v="1"/>
    <x v="2"/>
    <x v="42"/>
    <x v="0"/>
    <s v="U.S. dollars"/>
    <s v="Billions"/>
    <x v="2"/>
    <n v="423.3"/>
  </r>
  <r>
    <n v="1"/>
    <x v="2"/>
    <x v="42"/>
    <x v="0"/>
    <s v="U.S. dollars"/>
    <s v="Billions"/>
    <x v="3"/>
    <n v="475.23099999999999"/>
  </r>
  <r>
    <n v="1"/>
    <x v="2"/>
    <x v="42"/>
    <x v="0"/>
    <s v="U.S. dollars"/>
    <s v="Billions"/>
    <x v="4"/>
    <n v="393.90899999999999"/>
  </r>
  <r>
    <n v="1"/>
    <x v="2"/>
    <x v="42"/>
    <x v="0"/>
    <s v="U.S. dollars"/>
    <s v="Billions"/>
    <x v="5"/>
    <n v="347.59399999999999"/>
  </r>
  <r>
    <n v="1"/>
    <x v="2"/>
    <x v="42"/>
    <x v="0"/>
    <s v="U.S. dollars"/>
    <s v="Billions"/>
    <x v="6"/>
    <n v="328.84500000000003"/>
  </r>
  <r>
    <n v="200"/>
    <x v="3"/>
    <x v="42"/>
    <x v="0"/>
    <s v="U.S. dollars"/>
    <s v="Billions"/>
    <x v="0"/>
    <n v="317.89400000000001"/>
  </r>
  <r>
    <n v="200"/>
    <x v="3"/>
    <x v="42"/>
    <x v="0"/>
    <s v="U.S. dollars"/>
    <s v="Billions"/>
    <x v="1"/>
    <n v="382.52499999999998"/>
  </r>
  <r>
    <n v="200"/>
    <x v="3"/>
    <x v="42"/>
    <x v="0"/>
    <s v="U.S. dollars"/>
    <s v="Billions"/>
    <x v="2"/>
    <n v="423.3"/>
  </r>
  <r>
    <n v="200"/>
    <x v="3"/>
    <x v="42"/>
    <x v="0"/>
    <s v="U.S. dollars"/>
    <s v="Billions"/>
    <x v="3"/>
    <n v="475.23099999999999"/>
  </r>
  <r>
    <n v="200"/>
    <x v="3"/>
    <x v="42"/>
    <x v="0"/>
    <s v="U.S. dollars"/>
    <s v="Billions"/>
    <x v="4"/>
    <n v="393.90899999999999"/>
  </r>
  <r>
    <n v="200"/>
    <x v="3"/>
    <x v="42"/>
    <x v="0"/>
    <s v="U.S. dollars"/>
    <s v="Billions"/>
    <x v="5"/>
    <n v="347.59399999999999"/>
  </r>
  <r>
    <n v="200"/>
    <x v="3"/>
    <x v="42"/>
    <x v="0"/>
    <s v="U.S. dollars"/>
    <s v="Billions"/>
    <x v="6"/>
    <n v="328.84500000000003"/>
  </r>
  <r>
    <n v="400"/>
    <x v="11"/>
    <x v="42"/>
    <x v="0"/>
    <s v="U.S. dollars"/>
    <s v="Billions"/>
    <x v="0"/>
    <n v="317.89400000000001"/>
  </r>
  <r>
    <n v="400"/>
    <x v="11"/>
    <x v="42"/>
    <x v="0"/>
    <s v="U.S. dollars"/>
    <s v="Billions"/>
    <x v="1"/>
    <n v="382.52499999999998"/>
  </r>
  <r>
    <n v="400"/>
    <x v="11"/>
    <x v="42"/>
    <x v="0"/>
    <s v="U.S. dollars"/>
    <s v="Billions"/>
    <x v="2"/>
    <n v="423.3"/>
  </r>
  <r>
    <n v="400"/>
    <x v="11"/>
    <x v="42"/>
    <x v="0"/>
    <s v="U.S. dollars"/>
    <s v="Billions"/>
    <x v="3"/>
    <n v="475.23099999999999"/>
  </r>
  <r>
    <n v="400"/>
    <x v="11"/>
    <x v="42"/>
    <x v="0"/>
    <s v="U.S. dollars"/>
    <s v="Billions"/>
    <x v="4"/>
    <n v="393.90899999999999"/>
  </r>
  <r>
    <n v="400"/>
    <x v="11"/>
    <x v="42"/>
    <x v="0"/>
    <s v="U.S. dollars"/>
    <s v="Billions"/>
    <x v="5"/>
    <n v="347.59399999999999"/>
  </r>
  <r>
    <n v="400"/>
    <x v="11"/>
    <x v="42"/>
    <x v="0"/>
    <s v="U.S. dollars"/>
    <s v="Billions"/>
    <x v="6"/>
    <n v="328.84500000000003"/>
  </r>
  <r>
    <n v="205"/>
    <x v="7"/>
    <x v="43"/>
    <x v="0"/>
    <s v="U.S. dollars"/>
    <s v="Billions"/>
    <x v="0"/>
    <n v="278.04000000000002"/>
  </r>
  <r>
    <n v="205"/>
    <x v="7"/>
    <x v="43"/>
    <x v="0"/>
    <s v="U.S. dollars"/>
    <s v="Billions"/>
    <x v="1"/>
    <n v="254.06"/>
  </r>
  <r>
    <n v="205"/>
    <x v="7"/>
    <x v="43"/>
    <x v="0"/>
    <s v="U.S. dollars"/>
    <s v="Billions"/>
    <x v="2"/>
    <n v="315.601"/>
  </r>
  <r>
    <n v="205"/>
    <x v="7"/>
    <x v="43"/>
    <x v="0"/>
    <s v="U.S. dollars"/>
    <s v="Billions"/>
    <x v="3"/>
    <n v="302.16000000000003"/>
  </r>
  <r>
    <n v="205"/>
    <x v="7"/>
    <x v="43"/>
    <x v="0"/>
    <s v="U.S. dollars"/>
    <s v="Billions"/>
    <x v="4"/>
    <n v="335.65800000000002"/>
  </r>
  <r>
    <n v="205"/>
    <x v="7"/>
    <x v="43"/>
    <x v="0"/>
    <s v="U.S. dollars"/>
    <s v="Billions"/>
    <x v="5"/>
    <n v="333.76"/>
  </r>
  <r>
    <n v="205"/>
    <x v="7"/>
    <x v="43"/>
    <x v="0"/>
    <s v="U.S. dollars"/>
    <s v="Billions"/>
    <x v="6"/>
    <n v="374.75299999999999"/>
  </r>
  <r>
    <n v="200"/>
    <x v="3"/>
    <x v="43"/>
    <x v="0"/>
    <s v="U.S. dollars"/>
    <s v="Billions"/>
    <x v="0"/>
    <n v="278.04000000000002"/>
  </r>
  <r>
    <n v="200"/>
    <x v="3"/>
    <x v="43"/>
    <x v="0"/>
    <s v="U.S. dollars"/>
    <s v="Billions"/>
    <x v="1"/>
    <n v="254.06"/>
  </r>
  <r>
    <n v="200"/>
    <x v="3"/>
    <x v="43"/>
    <x v="0"/>
    <s v="U.S. dollars"/>
    <s v="Billions"/>
    <x v="2"/>
    <n v="315.601"/>
  </r>
  <r>
    <n v="200"/>
    <x v="3"/>
    <x v="43"/>
    <x v="0"/>
    <s v="U.S. dollars"/>
    <s v="Billions"/>
    <x v="3"/>
    <n v="302.16000000000003"/>
  </r>
  <r>
    <n v="200"/>
    <x v="3"/>
    <x v="43"/>
    <x v="0"/>
    <s v="U.S. dollars"/>
    <s v="Billions"/>
    <x v="4"/>
    <n v="335.65800000000002"/>
  </r>
  <r>
    <n v="200"/>
    <x v="3"/>
    <x v="43"/>
    <x v="0"/>
    <s v="U.S. dollars"/>
    <s v="Billions"/>
    <x v="5"/>
    <n v="333.76"/>
  </r>
  <r>
    <n v="200"/>
    <x v="3"/>
    <x v="43"/>
    <x v="0"/>
    <s v="U.S. dollars"/>
    <s v="Billions"/>
    <x v="6"/>
    <n v="374.75299999999999"/>
  </r>
  <r>
    <n v="1"/>
    <x v="2"/>
    <x v="43"/>
    <x v="0"/>
    <s v="U.S. dollars"/>
    <s v="Billions"/>
    <x v="0"/>
    <n v="278.04000000000002"/>
  </r>
  <r>
    <n v="1"/>
    <x v="2"/>
    <x v="43"/>
    <x v="0"/>
    <s v="U.S. dollars"/>
    <s v="Billions"/>
    <x v="1"/>
    <n v="254.06"/>
  </r>
  <r>
    <n v="1"/>
    <x v="2"/>
    <x v="43"/>
    <x v="0"/>
    <s v="U.S. dollars"/>
    <s v="Billions"/>
    <x v="2"/>
    <n v="315.601"/>
  </r>
  <r>
    <n v="1"/>
    <x v="2"/>
    <x v="43"/>
    <x v="0"/>
    <s v="U.S. dollars"/>
    <s v="Billions"/>
    <x v="3"/>
    <n v="302.16000000000003"/>
  </r>
  <r>
    <n v="1"/>
    <x v="2"/>
    <x v="43"/>
    <x v="0"/>
    <s v="U.S. dollars"/>
    <s v="Billions"/>
    <x v="4"/>
    <n v="335.65800000000002"/>
  </r>
  <r>
    <n v="1"/>
    <x v="2"/>
    <x v="43"/>
    <x v="0"/>
    <s v="U.S. dollars"/>
    <s v="Billions"/>
    <x v="5"/>
    <n v="333.76"/>
  </r>
  <r>
    <n v="1"/>
    <x v="2"/>
    <x v="43"/>
    <x v="0"/>
    <s v="U.S. dollars"/>
    <s v="Billions"/>
    <x v="6"/>
    <n v="374.75299999999999"/>
  </r>
  <r>
    <n v="123"/>
    <x v="9"/>
    <x v="44"/>
    <x v="0"/>
    <s v="U.S. dollars"/>
    <s v="Billions"/>
    <x v="0"/>
    <n v="252.548"/>
  </r>
  <r>
    <n v="123"/>
    <x v="9"/>
    <x v="44"/>
    <x v="0"/>
    <s v="U.S. dollars"/>
    <s v="Billions"/>
    <x v="1"/>
    <n v="245.97499999999999"/>
  </r>
  <r>
    <n v="123"/>
    <x v="9"/>
    <x v="44"/>
    <x v="0"/>
    <s v="U.S. dollars"/>
    <s v="Billions"/>
    <x v="2"/>
    <n v="281.791"/>
  </r>
  <r>
    <n v="123"/>
    <x v="9"/>
    <x v="44"/>
    <x v="0"/>
    <s v="U.S. dollars"/>
    <s v="Billions"/>
    <x v="3"/>
    <n v="290.56599999999997"/>
  </r>
  <r>
    <n v="123"/>
    <x v="9"/>
    <x v="44"/>
    <x v="0"/>
    <s v="U.S. dollars"/>
    <s v="Billions"/>
    <x v="4"/>
    <n v="332.02499999999998"/>
  </r>
  <r>
    <n v="123"/>
    <x v="9"/>
    <x v="44"/>
    <x v="0"/>
    <s v="U.S. dollars"/>
    <s v="Billions"/>
    <x v="5"/>
    <n v="325.88"/>
  </r>
  <r>
    <n v="123"/>
    <x v="9"/>
    <x v="44"/>
    <x v="0"/>
    <s v="U.S. dollars"/>
    <s v="Billions"/>
    <x v="6"/>
    <n v="337.53"/>
  </r>
  <r>
    <n v="1"/>
    <x v="2"/>
    <x v="44"/>
    <x v="0"/>
    <s v="U.S. dollars"/>
    <s v="Billions"/>
    <x v="0"/>
    <n v="252.548"/>
  </r>
  <r>
    <n v="1"/>
    <x v="2"/>
    <x v="44"/>
    <x v="0"/>
    <s v="U.S. dollars"/>
    <s v="Billions"/>
    <x v="1"/>
    <n v="245.97499999999999"/>
  </r>
  <r>
    <n v="1"/>
    <x v="2"/>
    <x v="44"/>
    <x v="0"/>
    <s v="U.S. dollars"/>
    <s v="Billions"/>
    <x v="2"/>
    <n v="281.791"/>
  </r>
  <r>
    <n v="1"/>
    <x v="2"/>
    <x v="44"/>
    <x v="0"/>
    <s v="U.S. dollars"/>
    <s v="Billions"/>
    <x v="3"/>
    <n v="290.56599999999997"/>
  </r>
  <r>
    <n v="1"/>
    <x v="2"/>
    <x v="44"/>
    <x v="0"/>
    <s v="U.S. dollars"/>
    <s v="Billions"/>
    <x v="4"/>
    <n v="332.02499999999998"/>
  </r>
  <r>
    <n v="1"/>
    <x v="2"/>
    <x v="44"/>
    <x v="0"/>
    <s v="U.S. dollars"/>
    <s v="Billions"/>
    <x v="5"/>
    <n v="325.88"/>
  </r>
  <r>
    <n v="1"/>
    <x v="2"/>
    <x v="44"/>
    <x v="0"/>
    <s v="U.S. dollars"/>
    <s v="Billions"/>
    <x v="6"/>
    <n v="337.53"/>
  </r>
  <r>
    <n v="998"/>
    <x v="6"/>
    <x v="44"/>
    <x v="0"/>
    <s v="U.S. dollars"/>
    <s v="Billions"/>
    <x v="0"/>
    <n v="252.548"/>
  </r>
  <r>
    <n v="998"/>
    <x v="6"/>
    <x v="44"/>
    <x v="0"/>
    <s v="U.S. dollars"/>
    <s v="Billions"/>
    <x v="1"/>
    <n v="245.97499999999999"/>
  </r>
  <r>
    <n v="998"/>
    <x v="6"/>
    <x v="44"/>
    <x v="0"/>
    <s v="U.S. dollars"/>
    <s v="Billions"/>
    <x v="2"/>
    <n v="281.791"/>
  </r>
  <r>
    <n v="998"/>
    <x v="6"/>
    <x v="44"/>
    <x v="0"/>
    <s v="U.S. dollars"/>
    <s v="Billions"/>
    <x v="3"/>
    <n v="290.56599999999997"/>
  </r>
  <r>
    <n v="998"/>
    <x v="6"/>
    <x v="44"/>
    <x v="0"/>
    <s v="U.S. dollars"/>
    <s v="Billions"/>
    <x v="4"/>
    <n v="332.02499999999998"/>
  </r>
  <r>
    <n v="998"/>
    <x v="6"/>
    <x v="44"/>
    <x v="0"/>
    <s v="U.S. dollars"/>
    <s v="Billions"/>
    <x v="5"/>
    <n v="325.88"/>
  </r>
  <r>
    <n v="998"/>
    <x v="6"/>
    <x v="44"/>
    <x v="0"/>
    <s v="U.S. dollars"/>
    <s v="Billions"/>
    <x v="6"/>
    <n v="337.53"/>
  </r>
  <r>
    <n v="110"/>
    <x v="0"/>
    <x v="44"/>
    <x v="0"/>
    <s v="U.S. dollars"/>
    <s v="Billions"/>
    <x v="0"/>
    <n v="252.548"/>
  </r>
  <r>
    <n v="110"/>
    <x v="0"/>
    <x v="44"/>
    <x v="0"/>
    <s v="U.S. dollars"/>
    <s v="Billions"/>
    <x v="1"/>
    <n v="245.97499999999999"/>
  </r>
  <r>
    <n v="110"/>
    <x v="0"/>
    <x v="44"/>
    <x v="0"/>
    <s v="U.S. dollars"/>
    <s v="Billions"/>
    <x v="2"/>
    <n v="281.791"/>
  </r>
  <r>
    <n v="110"/>
    <x v="0"/>
    <x v="44"/>
    <x v="0"/>
    <s v="U.S. dollars"/>
    <s v="Billions"/>
    <x v="3"/>
    <n v="290.56599999999997"/>
  </r>
  <r>
    <n v="110"/>
    <x v="0"/>
    <x v="44"/>
    <x v="0"/>
    <s v="U.S. dollars"/>
    <s v="Billions"/>
    <x v="4"/>
    <n v="332.02499999999998"/>
  </r>
  <r>
    <n v="110"/>
    <x v="0"/>
    <x v="44"/>
    <x v="0"/>
    <s v="U.S. dollars"/>
    <s v="Billions"/>
    <x v="5"/>
    <n v="325.88"/>
  </r>
  <r>
    <n v="110"/>
    <x v="0"/>
    <x v="44"/>
    <x v="0"/>
    <s v="U.S. dollars"/>
    <s v="Billions"/>
    <x v="6"/>
    <n v="337.53"/>
  </r>
  <r>
    <n v="163"/>
    <x v="5"/>
    <x v="45"/>
    <x v="0"/>
    <s v="U.S. dollars"/>
    <s v="Billions"/>
    <x v="0"/>
    <n v="268.54500000000002"/>
  </r>
  <r>
    <n v="163"/>
    <x v="5"/>
    <x v="45"/>
    <x v="0"/>
    <s v="U.S. dollars"/>
    <s v="Billions"/>
    <x v="1"/>
    <n v="271.66800000000001"/>
  </r>
  <r>
    <n v="163"/>
    <x v="5"/>
    <x v="45"/>
    <x v="0"/>
    <s v="U.S. dollars"/>
    <s v="Billions"/>
    <x v="2"/>
    <n v="296.66800000000001"/>
  </r>
  <r>
    <n v="163"/>
    <x v="5"/>
    <x v="45"/>
    <x v="0"/>
    <s v="U.S. dollars"/>
    <s v="Billions"/>
    <x v="3"/>
    <n v="282.10899999999998"/>
  </r>
  <r>
    <n v="163"/>
    <x v="5"/>
    <x v="45"/>
    <x v="0"/>
    <s v="U.S. dollars"/>
    <s v="Billions"/>
    <x v="4"/>
    <n v="300.49900000000002"/>
  </r>
  <r>
    <n v="163"/>
    <x v="5"/>
    <x v="45"/>
    <x v="0"/>
    <s v="U.S. dollars"/>
    <s v="Billions"/>
    <x v="5"/>
    <n v="308.05500000000001"/>
  </r>
  <r>
    <n v="163"/>
    <x v="5"/>
    <x v="45"/>
    <x v="0"/>
    <s v="U.S. dollars"/>
    <s v="Billions"/>
    <x v="6"/>
    <n v="318.58300000000003"/>
  </r>
  <r>
    <n v="1"/>
    <x v="2"/>
    <x v="45"/>
    <x v="0"/>
    <s v="U.S. dollars"/>
    <s v="Billions"/>
    <x v="0"/>
    <n v="268.54500000000002"/>
  </r>
  <r>
    <n v="1"/>
    <x v="2"/>
    <x v="45"/>
    <x v="0"/>
    <s v="U.S. dollars"/>
    <s v="Billions"/>
    <x v="1"/>
    <n v="271.66800000000001"/>
  </r>
  <r>
    <n v="1"/>
    <x v="2"/>
    <x v="45"/>
    <x v="0"/>
    <s v="U.S. dollars"/>
    <s v="Billions"/>
    <x v="2"/>
    <n v="296.66800000000001"/>
  </r>
  <r>
    <n v="1"/>
    <x v="2"/>
    <x v="45"/>
    <x v="0"/>
    <s v="U.S. dollars"/>
    <s v="Billions"/>
    <x v="3"/>
    <n v="282.10899999999998"/>
  </r>
  <r>
    <n v="1"/>
    <x v="2"/>
    <x v="45"/>
    <x v="0"/>
    <s v="U.S. dollars"/>
    <s v="Billions"/>
    <x v="4"/>
    <n v="300.49900000000002"/>
  </r>
  <r>
    <n v="1"/>
    <x v="2"/>
    <x v="45"/>
    <x v="0"/>
    <s v="U.S. dollars"/>
    <s v="Billions"/>
    <x v="5"/>
    <n v="308.05500000000001"/>
  </r>
  <r>
    <n v="1"/>
    <x v="2"/>
    <x v="45"/>
    <x v="0"/>
    <s v="U.S. dollars"/>
    <s v="Billions"/>
    <x v="6"/>
    <n v="318.58300000000003"/>
  </r>
  <r>
    <n v="110"/>
    <x v="0"/>
    <x v="45"/>
    <x v="0"/>
    <s v="U.S. dollars"/>
    <s v="Billions"/>
    <x v="0"/>
    <n v="268.54500000000002"/>
  </r>
  <r>
    <n v="110"/>
    <x v="0"/>
    <x v="45"/>
    <x v="0"/>
    <s v="U.S. dollars"/>
    <s v="Billions"/>
    <x v="1"/>
    <n v="271.66800000000001"/>
  </r>
  <r>
    <n v="110"/>
    <x v="0"/>
    <x v="45"/>
    <x v="0"/>
    <s v="U.S. dollars"/>
    <s v="Billions"/>
    <x v="2"/>
    <n v="296.66800000000001"/>
  </r>
  <r>
    <n v="110"/>
    <x v="0"/>
    <x v="45"/>
    <x v="0"/>
    <s v="U.S. dollars"/>
    <s v="Billions"/>
    <x v="3"/>
    <n v="282.10899999999998"/>
  </r>
  <r>
    <n v="110"/>
    <x v="0"/>
    <x v="45"/>
    <x v="0"/>
    <s v="U.S. dollars"/>
    <s v="Billions"/>
    <x v="4"/>
    <n v="300.49900000000002"/>
  </r>
  <r>
    <n v="110"/>
    <x v="0"/>
    <x v="45"/>
    <x v="0"/>
    <s v="U.S. dollars"/>
    <s v="Billions"/>
    <x v="5"/>
    <n v="308.05500000000001"/>
  </r>
  <r>
    <n v="110"/>
    <x v="0"/>
    <x v="45"/>
    <x v="0"/>
    <s v="U.S. dollars"/>
    <s v="Billions"/>
    <x v="6"/>
    <n v="318.58300000000003"/>
  </r>
  <r>
    <n v="998"/>
    <x v="6"/>
    <x v="45"/>
    <x v="0"/>
    <s v="U.S. dollars"/>
    <s v="Billions"/>
    <x v="0"/>
    <n v="268.54500000000002"/>
  </r>
  <r>
    <n v="998"/>
    <x v="6"/>
    <x v="45"/>
    <x v="0"/>
    <s v="U.S. dollars"/>
    <s v="Billions"/>
    <x v="1"/>
    <n v="271.66800000000001"/>
  </r>
  <r>
    <n v="998"/>
    <x v="6"/>
    <x v="45"/>
    <x v="0"/>
    <s v="U.S. dollars"/>
    <s v="Billions"/>
    <x v="2"/>
    <n v="296.66800000000001"/>
  </r>
  <r>
    <n v="998"/>
    <x v="6"/>
    <x v="45"/>
    <x v="0"/>
    <s v="U.S. dollars"/>
    <s v="Billions"/>
    <x v="3"/>
    <n v="282.10899999999998"/>
  </r>
  <r>
    <n v="998"/>
    <x v="6"/>
    <x v="45"/>
    <x v="0"/>
    <s v="U.S. dollars"/>
    <s v="Billions"/>
    <x v="4"/>
    <n v="300.49900000000002"/>
  </r>
  <r>
    <n v="998"/>
    <x v="6"/>
    <x v="45"/>
    <x v="0"/>
    <s v="U.S. dollars"/>
    <s v="Billions"/>
    <x v="5"/>
    <n v="308.05500000000001"/>
  </r>
  <r>
    <n v="998"/>
    <x v="6"/>
    <x v="45"/>
    <x v="0"/>
    <s v="U.S. dollars"/>
    <s v="Billions"/>
    <x v="6"/>
    <n v="318.58300000000003"/>
  </r>
  <r>
    <n v="110"/>
    <x v="0"/>
    <x v="46"/>
    <x v="0"/>
    <s v="U.S. dollars"/>
    <s v="Billions"/>
    <x v="0"/>
    <n v="240.01300000000001"/>
  </r>
  <r>
    <n v="110"/>
    <x v="0"/>
    <x v="46"/>
    <x v="0"/>
    <s v="U.S. dollars"/>
    <s v="Billions"/>
    <x v="1"/>
    <n v="228.84899999999999"/>
  </r>
  <r>
    <n v="110"/>
    <x v="0"/>
    <x v="46"/>
    <x v="0"/>
    <s v="U.S. dollars"/>
    <s v="Billions"/>
    <x v="2"/>
    <n v="255.70500000000001"/>
  </r>
  <r>
    <n v="110"/>
    <x v="0"/>
    <x v="46"/>
    <x v="0"/>
    <s v="U.S. dollars"/>
    <s v="Billions"/>
    <x v="3"/>
    <n v="255.398"/>
  </r>
  <r>
    <n v="110"/>
    <x v="0"/>
    <x v="46"/>
    <x v="0"/>
    <s v="U.S. dollars"/>
    <s v="Billions"/>
    <x v="4"/>
    <n v="287.42099999999999"/>
  </r>
  <r>
    <n v="110"/>
    <x v="0"/>
    <x v="46"/>
    <x v="0"/>
    <s v="U.S. dollars"/>
    <s v="Billions"/>
    <x v="5"/>
    <n v="298.94900000000001"/>
  </r>
  <r>
    <n v="110"/>
    <x v="0"/>
    <x v="46"/>
    <x v="0"/>
    <s v="U.S. dollars"/>
    <s v="Billions"/>
    <x v="6"/>
    <n v="309.71499999999997"/>
  </r>
  <r>
    <n v="1"/>
    <x v="2"/>
    <x v="46"/>
    <x v="0"/>
    <s v="U.S. dollars"/>
    <s v="Billions"/>
    <x v="0"/>
    <n v="240.01300000000001"/>
  </r>
  <r>
    <n v="1"/>
    <x v="2"/>
    <x v="46"/>
    <x v="0"/>
    <s v="U.S. dollars"/>
    <s v="Billions"/>
    <x v="1"/>
    <n v="228.84899999999999"/>
  </r>
  <r>
    <n v="1"/>
    <x v="2"/>
    <x v="46"/>
    <x v="0"/>
    <s v="U.S. dollars"/>
    <s v="Billions"/>
    <x v="2"/>
    <n v="255.70500000000001"/>
  </r>
  <r>
    <n v="1"/>
    <x v="2"/>
    <x v="46"/>
    <x v="0"/>
    <s v="U.S. dollars"/>
    <s v="Billions"/>
    <x v="3"/>
    <n v="255.398"/>
  </r>
  <r>
    <n v="1"/>
    <x v="2"/>
    <x v="46"/>
    <x v="0"/>
    <s v="U.S. dollars"/>
    <s v="Billions"/>
    <x v="4"/>
    <n v="287.42099999999999"/>
  </r>
  <r>
    <n v="1"/>
    <x v="2"/>
    <x v="46"/>
    <x v="0"/>
    <s v="U.S. dollars"/>
    <s v="Billions"/>
    <x v="5"/>
    <n v="298.94900000000001"/>
  </r>
  <r>
    <n v="1"/>
    <x v="2"/>
    <x v="46"/>
    <x v="0"/>
    <s v="U.S. dollars"/>
    <s v="Billions"/>
    <x v="6"/>
    <n v="309.71499999999997"/>
  </r>
  <r>
    <n v="998"/>
    <x v="6"/>
    <x v="46"/>
    <x v="0"/>
    <s v="U.S. dollars"/>
    <s v="Billions"/>
    <x v="0"/>
    <n v="240.01300000000001"/>
  </r>
  <r>
    <n v="998"/>
    <x v="6"/>
    <x v="46"/>
    <x v="0"/>
    <s v="U.S. dollars"/>
    <s v="Billions"/>
    <x v="1"/>
    <n v="228.84899999999999"/>
  </r>
  <r>
    <n v="998"/>
    <x v="6"/>
    <x v="46"/>
    <x v="0"/>
    <s v="U.S. dollars"/>
    <s v="Billions"/>
    <x v="2"/>
    <n v="255.70500000000001"/>
  </r>
  <r>
    <n v="998"/>
    <x v="6"/>
    <x v="46"/>
    <x v="0"/>
    <s v="U.S. dollars"/>
    <s v="Billions"/>
    <x v="3"/>
    <n v="255.398"/>
  </r>
  <r>
    <n v="998"/>
    <x v="6"/>
    <x v="46"/>
    <x v="0"/>
    <s v="U.S. dollars"/>
    <s v="Billions"/>
    <x v="4"/>
    <n v="287.42099999999999"/>
  </r>
  <r>
    <n v="998"/>
    <x v="6"/>
    <x v="46"/>
    <x v="0"/>
    <s v="U.S. dollars"/>
    <s v="Billions"/>
    <x v="5"/>
    <n v="298.94900000000001"/>
  </r>
  <r>
    <n v="998"/>
    <x v="6"/>
    <x v="46"/>
    <x v="0"/>
    <s v="U.S. dollars"/>
    <s v="Billions"/>
    <x v="6"/>
    <n v="309.71499999999997"/>
  </r>
  <r>
    <n v="163"/>
    <x v="5"/>
    <x v="46"/>
    <x v="0"/>
    <s v="U.S. dollars"/>
    <s v="Billions"/>
    <x v="0"/>
    <n v="240.01300000000001"/>
  </r>
  <r>
    <n v="163"/>
    <x v="5"/>
    <x v="46"/>
    <x v="0"/>
    <s v="U.S. dollars"/>
    <s v="Billions"/>
    <x v="1"/>
    <n v="228.84899999999999"/>
  </r>
  <r>
    <n v="163"/>
    <x v="5"/>
    <x v="46"/>
    <x v="0"/>
    <s v="U.S. dollars"/>
    <s v="Billions"/>
    <x v="2"/>
    <n v="255.70500000000001"/>
  </r>
  <r>
    <n v="163"/>
    <x v="5"/>
    <x v="46"/>
    <x v="0"/>
    <s v="U.S. dollars"/>
    <s v="Billions"/>
    <x v="3"/>
    <n v="255.398"/>
  </r>
  <r>
    <n v="163"/>
    <x v="5"/>
    <x v="46"/>
    <x v="0"/>
    <s v="U.S. dollars"/>
    <s v="Billions"/>
    <x v="4"/>
    <n v="287.42099999999999"/>
  </r>
  <r>
    <n v="163"/>
    <x v="5"/>
    <x v="46"/>
    <x v="0"/>
    <s v="U.S. dollars"/>
    <s v="Billions"/>
    <x v="5"/>
    <n v="298.94900000000001"/>
  </r>
  <r>
    <n v="163"/>
    <x v="5"/>
    <x v="46"/>
    <x v="0"/>
    <s v="U.S. dollars"/>
    <s v="Billions"/>
    <x v="6"/>
    <n v="309.71499999999997"/>
  </r>
  <r>
    <n v="200"/>
    <x v="3"/>
    <x v="47"/>
    <x v="0"/>
    <s v="U.S. dollars"/>
    <s v="Billions"/>
    <x v="0"/>
    <n v="181.667"/>
  </r>
  <r>
    <n v="200"/>
    <x v="3"/>
    <x v="47"/>
    <x v="0"/>
    <s v="U.S. dollars"/>
    <s v="Billions"/>
    <x v="1"/>
    <n v="171.08199999999999"/>
  </r>
  <r>
    <n v="200"/>
    <x v="3"/>
    <x v="47"/>
    <x v="0"/>
    <s v="U.S. dollars"/>
    <s v="Billions"/>
    <x v="2"/>
    <n v="197.11199999999999"/>
  </r>
  <r>
    <n v="200"/>
    <x v="3"/>
    <x v="47"/>
    <x v="0"/>
    <s v="U.S. dollars"/>
    <s v="Billions"/>
    <x v="3"/>
    <n v="225.529"/>
  </r>
  <r>
    <n v="200"/>
    <x v="3"/>
    <x v="47"/>
    <x v="0"/>
    <s v="U.S. dollars"/>
    <s v="Billions"/>
    <x v="4"/>
    <n v="260.51"/>
  </r>
  <r>
    <n v="200"/>
    <x v="3"/>
    <x v="47"/>
    <x v="0"/>
    <s v="U.S. dollars"/>
    <s v="Billions"/>
    <x v="5"/>
    <n v="296.74"/>
  </r>
  <r>
    <n v="200"/>
    <x v="3"/>
    <x v="47"/>
    <x v="0"/>
    <s v="U.S. dollars"/>
    <s v="Billions"/>
    <x v="6"/>
    <n v="312.99"/>
  </r>
  <r>
    <n v="1"/>
    <x v="2"/>
    <x v="47"/>
    <x v="0"/>
    <s v="U.S. dollars"/>
    <s v="Billions"/>
    <x v="0"/>
    <n v="181.667"/>
  </r>
  <r>
    <n v="1"/>
    <x v="2"/>
    <x v="47"/>
    <x v="0"/>
    <s v="U.S. dollars"/>
    <s v="Billions"/>
    <x v="1"/>
    <n v="171.08199999999999"/>
  </r>
  <r>
    <n v="1"/>
    <x v="2"/>
    <x v="47"/>
    <x v="0"/>
    <s v="U.S. dollars"/>
    <s v="Billions"/>
    <x v="2"/>
    <n v="197.11199999999999"/>
  </r>
  <r>
    <n v="1"/>
    <x v="2"/>
    <x v="47"/>
    <x v="0"/>
    <s v="U.S. dollars"/>
    <s v="Billions"/>
    <x v="3"/>
    <n v="225.529"/>
  </r>
  <r>
    <n v="1"/>
    <x v="2"/>
    <x v="47"/>
    <x v="0"/>
    <s v="U.S. dollars"/>
    <s v="Billions"/>
    <x v="4"/>
    <n v="260.51"/>
  </r>
  <r>
    <n v="1"/>
    <x v="2"/>
    <x v="47"/>
    <x v="0"/>
    <s v="U.S. dollars"/>
    <s v="Billions"/>
    <x v="5"/>
    <n v="296.74"/>
  </r>
  <r>
    <n v="1"/>
    <x v="2"/>
    <x v="47"/>
    <x v="0"/>
    <s v="U.S. dollars"/>
    <s v="Billions"/>
    <x v="6"/>
    <n v="312.99"/>
  </r>
  <r>
    <n v="400"/>
    <x v="11"/>
    <x v="47"/>
    <x v="0"/>
    <s v="U.S. dollars"/>
    <s v="Billions"/>
    <x v="0"/>
    <n v="181.667"/>
  </r>
  <r>
    <n v="400"/>
    <x v="11"/>
    <x v="47"/>
    <x v="0"/>
    <s v="U.S. dollars"/>
    <s v="Billions"/>
    <x v="1"/>
    <n v="171.08199999999999"/>
  </r>
  <r>
    <n v="400"/>
    <x v="11"/>
    <x v="47"/>
    <x v="0"/>
    <s v="U.S. dollars"/>
    <s v="Billions"/>
    <x v="2"/>
    <n v="197.11199999999999"/>
  </r>
  <r>
    <n v="400"/>
    <x v="11"/>
    <x v="47"/>
    <x v="0"/>
    <s v="U.S. dollars"/>
    <s v="Billions"/>
    <x v="3"/>
    <n v="225.529"/>
  </r>
  <r>
    <n v="400"/>
    <x v="11"/>
    <x v="47"/>
    <x v="0"/>
    <s v="U.S. dollars"/>
    <s v="Billions"/>
    <x v="4"/>
    <n v="260.51"/>
  </r>
  <r>
    <n v="400"/>
    <x v="11"/>
    <x v="47"/>
    <x v="0"/>
    <s v="U.S. dollars"/>
    <s v="Billions"/>
    <x v="5"/>
    <n v="296.74"/>
  </r>
  <r>
    <n v="400"/>
    <x v="11"/>
    <x v="47"/>
    <x v="0"/>
    <s v="U.S. dollars"/>
    <s v="Billions"/>
    <x v="6"/>
    <n v="312.99"/>
  </r>
  <r>
    <n v="205"/>
    <x v="7"/>
    <x v="48"/>
    <x v="0"/>
    <s v="U.S. dollars"/>
    <s v="Billions"/>
    <x v="0"/>
    <n v="232.41900000000001"/>
  </r>
  <r>
    <n v="205"/>
    <x v="7"/>
    <x v="48"/>
    <x v="0"/>
    <s v="U.S. dollars"/>
    <s v="Billions"/>
    <x v="1"/>
    <n v="206.19900000000001"/>
  </r>
  <r>
    <n v="205"/>
    <x v="7"/>
    <x v="48"/>
    <x v="0"/>
    <s v="U.S. dollars"/>
    <s v="Billions"/>
    <x v="2"/>
    <n v="226.23099999999999"/>
  </r>
  <r>
    <n v="205"/>
    <x v="7"/>
    <x v="48"/>
    <x v="0"/>
    <s v="U.S. dollars"/>
    <s v="Billions"/>
    <x v="3"/>
    <n v="245.00800000000001"/>
  </r>
  <r>
    <n v="205"/>
    <x v="7"/>
    <x v="48"/>
    <x v="0"/>
    <s v="U.S. dollars"/>
    <s v="Billions"/>
    <x v="4"/>
    <n v="267.58499999999998"/>
  </r>
  <r>
    <n v="205"/>
    <x v="7"/>
    <x v="48"/>
    <x v="0"/>
    <s v="U.S. dollars"/>
    <s v="Billions"/>
    <x v="5"/>
    <n v="282.45800000000003"/>
  </r>
  <r>
    <n v="205"/>
    <x v="7"/>
    <x v="48"/>
    <x v="0"/>
    <s v="U.S. dollars"/>
    <s v="Billions"/>
    <x v="6"/>
    <n v="294.78100000000001"/>
  </r>
  <r>
    <n v="1"/>
    <x v="2"/>
    <x v="48"/>
    <x v="0"/>
    <s v="U.S. dollars"/>
    <s v="Billions"/>
    <x v="0"/>
    <n v="232.41900000000001"/>
  </r>
  <r>
    <n v="1"/>
    <x v="2"/>
    <x v="48"/>
    <x v="0"/>
    <s v="U.S. dollars"/>
    <s v="Billions"/>
    <x v="1"/>
    <n v="206.19900000000001"/>
  </r>
  <r>
    <n v="1"/>
    <x v="2"/>
    <x v="48"/>
    <x v="0"/>
    <s v="U.S. dollars"/>
    <s v="Billions"/>
    <x v="2"/>
    <n v="226.23099999999999"/>
  </r>
  <r>
    <n v="1"/>
    <x v="2"/>
    <x v="48"/>
    <x v="0"/>
    <s v="U.S. dollars"/>
    <s v="Billions"/>
    <x v="3"/>
    <n v="245.00800000000001"/>
  </r>
  <r>
    <n v="1"/>
    <x v="2"/>
    <x v="48"/>
    <x v="0"/>
    <s v="U.S. dollars"/>
    <s v="Billions"/>
    <x v="4"/>
    <n v="267.58499999999998"/>
  </r>
  <r>
    <n v="1"/>
    <x v="2"/>
    <x v="48"/>
    <x v="0"/>
    <s v="U.S. dollars"/>
    <s v="Billions"/>
    <x v="5"/>
    <n v="282.45800000000003"/>
  </r>
  <r>
    <n v="1"/>
    <x v="2"/>
    <x v="48"/>
    <x v="0"/>
    <s v="U.S. dollars"/>
    <s v="Billions"/>
    <x v="6"/>
    <n v="294.78100000000001"/>
  </r>
  <r>
    <n v="200"/>
    <x v="3"/>
    <x v="48"/>
    <x v="0"/>
    <s v="U.S. dollars"/>
    <s v="Billions"/>
    <x v="0"/>
    <n v="232.41900000000001"/>
  </r>
  <r>
    <n v="200"/>
    <x v="3"/>
    <x v="48"/>
    <x v="0"/>
    <s v="U.S. dollars"/>
    <s v="Billions"/>
    <x v="1"/>
    <n v="206.19900000000001"/>
  </r>
  <r>
    <n v="200"/>
    <x v="3"/>
    <x v="48"/>
    <x v="0"/>
    <s v="U.S. dollars"/>
    <s v="Billions"/>
    <x v="2"/>
    <n v="226.23099999999999"/>
  </r>
  <r>
    <n v="200"/>
    <x v="3"/>
    <x v="48"/>
    <x v="0"/>
    <s v="U.S. dollars"/>
    <s v="Billions"/>
    <x v="3"/>
    <n v="245.00800000000001"/>
  </r>
  <r>
    <n v="200"/>
    <x v="3"/>
    <x v="48"/>
    <x v="0"/>
    <s v="U.S. dollars"/>
    <s v="Billions"/>
    <x v="4"/>
    <n v="267.58499999999998"/>
  </r>
  <r>
    <n v="200"/>
    <x v="3"/>
    <x v="48"/>
    <x v="0"/>
    <s v="U.S. dollars"/>
    <s v="Billions"/>
    <x v="5"/>
    <n v="282.45800000000003"/>
  </r>
  <r>
    <n v="200"/>
    <x v="3"/>
    <x v="48"/>
    <x v="0"/>
    <s v="U.S. dollars"/>
    <s v="Billions"/>
    <x v="6"/>
    <n v="294.78100000000001"/>
  </r>
  <r>
    <n v="200"/>
    <x v="3"/>
    <x v="49"/>
    <x v="0"/>
    <s v="U.S. dollars"/>
    <s v="Billions"/>
    <x v="0"/>
    <n v="193.36099999999999"/>
  </r>
  <r>
    <n v="200"/>
    <x v="3"/>
    <x v="49"/>
    <x v="0"/>
    <s v="U.S. dollars"/>
    <s v="Billions"/>
    <x v="1"/>
    <n v="164.774"/>
  </r>
  <r>
    <n v="200"/>
    <x v="3"/>
    <x v="49"/>
    <x v="0"/>
    <s v="U.S. dollars"/>
    <s v="Billions"/>
    <x v="2"/>
    <n v="185.88399999999999"/>
  </r>
  <r>
    <n v="200"/>
    <x v="3"/>
    <x v="49"/>
    <x v="0"/>
    <s v="U.S. dollars"/>
    <s v="Billions"/>
    <x v="3"/>
    <n v="225.631"/>
  </r>
  <r>
    <n v="200"/>
    <x v="3"/>
    <x v="49"/>
    <x v="0"/>
    <s v="U.S. dollars"/>
    <s v="Billions"/>
    <x v="4"/>
    <n v="244.74600000000001"/>
  </r>
  <r>
    <n v="200"/>
    <x v="3"/>
    <x v="49"/>
    <x v="0"/>
    <s v="U.S. dollars"/>
    <s v="Billions"/>
    <x v="5"/>
    <n v="266.77999999999997"/>
  </r>
  <r>
    <n v="200"/>
    <x v="3"/>
    <x v="49"/>
    <x v="0"/>
    <s v="U.S. dollars"/>
    <s v="Billions"/>
    <x v="6"/>
    <n v="277.339"/>
  </r>
  <r>
    <n v="1"/>
    <x v="2"/>
    <x v="49"/>
    <x v="0"/>
    <s v="U.S. dollars"/>
    <s v="Billions"/>
    <x v="0"/>
    <n v="193.36099999999999"/>
  </r>
  <r>
    <n v="1"/>
    <x v="2"/>
    <x v="49"/>
    <x v="0"/>
    <s v="U.S. dollars"/>
    <s v="Billions"/>
    <x v="1"/>
    <n v="164.774"/>
  </r>
  <r>
    <n v="1"/>
    <x v="2"/>
    <x v="49"/>
    <x v="0"/>
    <s v="U.S. dollars"/>
    <s v="Billions"/>
    <x v="2"/>
    <n v="185.88399999999999"/>
  </r>
  <r>
    <n v="1"/>
    <x v="2"/>
    <x v="49"/>
    <x v="0"/>
    <s v="U.S. dollars"/>
    <s v="Billions"/>
    <x v="3"/>
    <n v="225.631"/>
  </r>
  <r>
    <n v="1"/>
    <x v="2"/>
    <x v="49"/>
    <x v="0"/>
    <s v="U.S. dollars"/>
    <s v="Billions"/>
    <x v="4"/>
    <n v="244.74600000000001"/>
  </r>
  <r>
    <n v="1"/>
    <x v="2"/>
    <x v="49"/>
    <x v="0"/>
    <s v="U.S. dollars"/>
    <s v="Billions"/>
    <x v="5"/>
    <n v="266.77999999999997"/>
  </r>
  <r>
    <n v="1"/>
    <x v="2"/>
    <x v="49"/>
    <x v="0"/>
    <s v="U.S. dollars"/>
    <s v="Billions"/>
    <x v="6"/>
    <n v="277.339"/>
  </r>
  <r>
    <n v="400"/>
    <x v="11"/>
    <x v="49"/>
    <x v="0"/>
    <s v="U.S. dollars"/>
    <s v="Billions"/>
    <x v="0"/>
    <n v="193.36099999999999"/>
  </r>
  <r>
    <n v="400"/>
    <x v="11"/>
    <x v="49"/>
    <x v="0"/>
    <s v="U.S. dollars"/>
    <s v="Billions"/>
    <x v="1"/>
    <n v="164.774"/>
  </r>
  <r>
    <n v="400"/>
    <x v="11"/>
    <x v="49"/>
    <x v="0"/>
    <s v="U.S. dollars"/>
    <s v="Billions"/>
    <x v="2"/>
    <n v="185.88399999999999"/>
  </r>
  <r>
    <n v="400"/>
    <x v="11"/>
    <x v="49"/>
    <x v="0"/>
    <s v="U.S. dollars"/>
    <s v="Billions"/>
    <x v="3"/>
    <n v="225.631"/>
  </r>
  <r>
    <n v="400"/>
    <x v="11"/>
    <x v="49"/>
    <x v="0"/>
    <s v="U.S. dollars"/>
    <s v="Billions"/>
    <x v="4"/>
    <n v="244.74600000000001"/>
  </r>
  <r>
    <n v="400"/>
    <x v="11"/>
    <x v="49"/>
    <x v="0"/>
    <s v="U.S. dollars"/>
    <s v="Billions"/>
    <x v="5"/>
    <n v="266.77999999999997"/>
  </r>
  <r>
    <n v="400"/>
    <x v="11"/>
    <x v="49"/>
    <x v="0"/>
    <s v="U.S. dollars"/>
    <s v="Billions"/>
    <x v="6"/>
    <n v="277.339"/>
  </r>
  <r>
    <n v="200"/>
    <x v="3"/>
    <x v="50"/>
    <x v="0"/>
    <s v="U.S. dollars"/>
    <s v="Billions"/>
    <x v="0"/>
    <n v="232.55799999999999"/>
  </r>
  <r>
    <n v="200"/>
    <x v="3"/>
    <x v="50"/>
    <x v="0"/>
    <s v="U.S. dollars"/>
    <s v="Billions"/>
    <x v="1"/>
    <n v="181.40199999999999"/>
  </r>
  <r>
    <n v="200"/>
    <x v="3"/>
    <x v="50"/>
    <x v="0"/>
    <s v="U.S. dollars"/>
    <s v="Billions"/>
    <x v="2"/>
    <n v="206.37200000000001"/>
  </r>
  <r>
    <n v="200"/>
    <x v="3"/>
    <x v="50"/>
    <x v="0"/>
    <s v="U.S. dollars"/>
    <s v="Billions"/>
    <x v="3"/>
    <n v="261.36900000000003"/>
  </r>
  <r>
    <n v="200"/>
    <x v="3"/>
    <x v="50"/>
    <x v="0"/>
    <s v="U.S. dollars"/>
    <s v="Billions"/>
    <x v="4"/>
    <n v="254.416"/>
  </r>
  <r>
    <n v="200"/>
    <x v="3"/>
    <x v="50"/>
    <x v="0"/>
    <s v="U.S. dollars"/>
    <s v="Billions"/>
    <x v="5"/>
    <n v="265.89400000000001"/>
  </r>
  <r>
    <n v="200"/>
    <x v="3"/>
    <x v="50"/>
    <x v="0"/>
    <s v="U.S. dollars"/>
    <s v="Billions"/>
    <x v="6"/>
    <n v="278.81099999999998"/>
  </r>
  <r>
    <n v="400"/>
    <x v="11"/>
    <x v="50"/>
    <x v="0"/>
    <s v="U.S. dollars"/>
    <s v="Billions"/>
    <x v="0"/>
    <n v="232.55799999999999"/>
  </r>
  <r>
    <n v="400"/>
    <x v="11"/>
    <x v="50"/>
    <x v="0"/>
    <s v="U.S. dollars"/>
    <s v="Billions"/>
    <x v="1"/>
    <n v="181.40199999999999"/>
  </r>
  <r>
    <n v="400"/>
    <x v="11"/>
    <x v="50"/>
    <x v="0"/>
    <s v="U.S. dollars"/>
    <s v="Billions"/>
    <x v="2"/>
    <n v="206.37200000000001"/>
  </r>
  <r>
    <n v="400"/>
    <x v="11"/>
    <x v="50"/>
    <x v="0"/>
    <s v="U.S. dollars"/>
    <s v="Billions"/>
    <x v="3"/>
    <n v="261.36900000000003"/>
  </r>
  <r>
    <n v="400"/>
    <x v="11"/>
    <x v="50"/>
    <x v="0"/>
    <s v="U.S. dollars"/>
    <s v="Billions"/>
    <x v="4"/>
    <n v="254.416"/>
  </r>
  <r>
    <n v="400"/>
    <x v="11"/>
    <x v="50"/>
    <x v="0"/>
    <s v="U.S. dollars"/>
    <s v="Billions"/>
    <x v="5"/>
    <n v="265.89400000000001"/>
  </r>
  <r>
    <n v="400"/>
    <x v="11"/>
    <x v="50"/>
    <x v="0"/>
    <s v="U.S. dollars"/>
    <s v="Billions"/>
    <x v="6"/>
    <n v="278.81099999999998"/>
  </r>
  <r>
    <n v="1"/>
    <x v="2"/>
    <x v="50"/>
    <x v="0"/>
    <s v="U.S. dollars"/>
    <s v="Billions"/>
    <x v="0"/>
    <n v="232.55799999999999"/>
  </r>
  <r>
    <n v="1"/>
    <x v="2"/>
    <x v="50"/>
    <x v="0"/>
    <s v="U.S. dollars"/>
    <s v="Billions"/>
    <x v="1"/>
    <n v="181.40199999999999"/>
  </r>
  <r>
    <n v="1"/>
    <x v="2"/>
    <x v="50"/>
    <x v="0"/>
    <s v="U.S. dollars"/>
    <s v="Billions"/>
    <x v="2"/>
    <n v="206.37200000000001"/>
  </r>
  <r>
    <n v="1"/>
    <x v="2"/>
    <x v="50"/>
    <x v="0"/>
    <s v="U.S. dollars"/>
    <s v="Billions"/>
    <x v="3"/>
    <n v="261.36900000000003"/>
  </r>
  <r>
    <n v="1"/>
    <x v="2"/>
    <x v="50"/>
    <x v="0"/>
    <s v="U.S. dollars"/>
    <s v="Billions"/>
    <x v="4"/>
    <n v="254.416"/>
  </r>
  <r>
    <n v="1"/>
    <x v="2"/>
    <x v="50"/>
    <x v="0"/>
    <s v="U.S. dollars"/>
    <s v="Billions"/>
    <x v="5"/>
    <n v="265.89400000000001"/>
  </r>
  <r>
    <n v="1"/>
    <x v="2"/>
    <x v="50"/>
    <x v="0"/>
    <s v="U.S. dollars"/>
    <s v="Billions"/>
    <x v="6"/>
    <n v="278.81099999999998"/>
  </r>
  <r>
    <n v="123"/>
    <x v="9"/>
    <x v="51"/>
    <x v="0"/>
    <s v="U.S. dollars"/>
    <s v="Billions"/>
    <x v="0"/>
    <n v="210.762"/>
  </r>
  <r>
    <n v="123"/>
    <x v="9"/>
    <x v="51"/>
    <x v="0"/>
    <s v="U.S. dollars"/>
    <s v="Billions"/>
    <x v="1"/>
    <n v="210.25700000000001"/>
  </r>
  <r>
    <n v="123"/>
    <x v="9"/>
    <x v="51"/>
    <x v="0"/>
    <s v="U.S. dollars"/>
    <s v="Billions"/>
    <x v="2"/>
    <n v="249.73599999999999"/>
  </r>
  <r>
    <n v="123"/>
    <x v="9"/>
    <x v="51"/>
    <x v="0"/>
    <s v="U.S. dollars"/>
    <s v="Billions"/>
    <x v="3"/>
    <n v="242.35"/>
  </r>
  <r>
    <n v="123"/>
    <x v="9"/>
    <x v="51"/>
    <x v="0"/>
    <s v="U.S. dollars"/>
    <s v="Billions"/>
    <x v="4"/>
    <n v="249.04"/>
  </r>
  <r>
    <n v="123"/>
    <x v="9"/>
    <x v="51"/>
    <x v="0"/>
    <s v="U.S. dollars"/>
    <s v="Billions"/>
    <x v="5"/>
    <n v="257.62599999999998"/>
  </r>
  <r>
    <n v="123"/>
    <x v="9"/>
    <x v="51"/>
    <x v="0"/>
    <s v="U.S. dollars"/>
    <s v="Billions"/>
    <x v="6"/>
    <n v="266.774"/>
  </r>
  <r>
    <n v="1"/>
    <x v="2"/>
    <x v="51"/>
    <x v="0"/>
    <s v="U.S. dollars"/>
    <s v="Billions"/>
    <x v="0"/>
    <n v="210.762"/>
  </r>
  <r>
    <n v="1"/>
    <x v="2"/>
    <x v="51"/>
    <x v="0"/>
    <s v="U.S. dollars"/>
    <s v="Billions"/>
    <x v="1"/>
    <n v="210.25700000000001"/>
  </r>
  <r>
    <n v="1"/>
    <x v="2"/>
    <x v="51"/>
    <x v="0"/>
    <s v="U.S. dollars"/>
    <s v="Billions"/>
    <x v="2"/>
    <n v="249.73599999999999"/>
  </r>
  <r>
    <n v="1"/>
    <x v="2"/>
    <x v="51"/>
    <x v="0"/>
    <s v="U.S. dollars"/>
    <s v="Billions"/>
    <x v="3"/>
    <n v="242.35"/>
  </r>
  <r>
    <n v="1"/>
    <x v="2"/>
    <x v="51"/>
    <x v="0"/>
    <s v="U.S. dollars"/>
    <s v="Billions"/>
    <x v="4"/>
    <n v="249.04"/>
  </r>
  <r>
    <n v="1"/>
    <x v="2"/>
    <x v="51"/>
    <x v="0"/>
    <s v="U.S. dollars"/>
    <s v="Billions"/>
    <x v="5"/>
    <n v="257.62599999999998"/>
  </r>
  <r>
    <n v="1"/>
    <x v="2"/>
    <x v="51"/>
    <x v="0"/>
    <s v="U.S. dollars"/>
    <s v="Billions"/>
    <x v="6"/>
    <n v="266.774"/>
  </r>
  <r>
    <n v="110"/>
    <x v="0"/>
    <x v="51"/>
    <x v="0"/>
    <s v="U.S. dollars"/>
    <s v="Billions"/>
    <x v="0"/>
    <n v="210.762"/>
  </r>
  <r>
    <n v="110"/>
    <x v="0"/>
    <x v="51"/>
    <x v="0"/>
    <s v="U.S. dollars"/>
    <s v="Billions"/>
    <x v="1"/>
    <n v="210.25700000000001"/>
  </r>
  <r>
    <n v="110"/>
    <x v="0"/>
    <x v="51"/>
    <x v="0"/>
    <s v="U.S. dollars"/>
    <s v="Billions"/>
    <x v="2"/>
    <n v="249.73599999999999"/>
  </r>
  <r>
    <n v="110"/>
    <x v="0"/>
    <x v="51"/>
    <x v="0"/>
    <s v="U.S. dollars"/>
    <s v="Billions"/>
    <x v="3"/>
    <n v="242.35"/>
  </r>
  <r>
    <n v="110"/>
    <x v="0"/>
    <x v="51"/>
    <x v="0"/>
    <s v="U.S. dollars"/>
    <s v="Billions"/>
    <x v="4"/>
    <n v="249.04"/>
  </r>
  <r>
    <n v="110"/>
    <x v="0"/>
    <x v="51"/>
    <x v="0"/>
    <s v="U.S. dollars"/>
    <s v="Billions"/>
    <x v="5"/>
    <n v="257.62599999999998"/>
  </r>
  <r>
    <n v="110"/>
    <x v="0"/>
    <x v="51"/>
    <x v="0"/>
    <s v="U.S. dollars"/>
    <s v="Billions"/>
    <x v="6"/>
    <n v="266.774"/>
  </r>
  <r>
    <n v="1"/>
    <x v="2"/>
    <x v="52"/>
    <x v="0"/>
    <s v="U.S. dollars"/>
    <s v="Billions"/>
    <x v="0"/>
    <n v="448.12"/>
  </r>
  <r>
    <n v="1"/>
    <x v="2"/>
    <x v="52"/>
    <x v="0"/>
    <s v="U.S. dollars"/>
    <s v="Billions"/>
    <x v="1"/>
    <n v="429.423"/>
  </r>
  <r>
    <n v="1"/>
    <x v="2"/>
    <x v="52"/>
    <x v="0"/>
    <s v="U.S. dollars"/>
    <s v="Billions"/>
    <x v="2"/>
    <n v="441.42399999999998"/>
  </r>
  <r>
    <n v="1"/>
    <x v="2"/>
    <x v="52"/>
    <x v="0"/>
    <s v="U.S. dollars"/>
    <s v="Billions"/>
    <x v="3"/>
    <n v="477.37599999999998"/>
  </r>
  <r>
    <n v="1"/>
    <x v="2"/>
    <x v="52"/>
    <x v="0"/>
    <s v="U.S. dollars"/>
    <s v="Billions"/>
    <x v="4"/>
    <n v="374.947"/>
  </r>
  <r>
    <n v="1"/>
    <x v="2"/>
    <x v="52"/>
    <x v="0"/>
    <s v="U.S. dollars"/>
    <s v="Billions"/>
    <x v="5"/>
    <n v="252.738"/>
  </r>
  <r>
    <n v="1"/>
    <x v="2"/>
    <x v="52"/>
    <x v="0"/>
    <s v="U.S. dollars"/>
    <s v="Billions"/>
    <x v="6"/>
    <n v="251.19800000000001"/>
  </r>
  <r>
    <n v="603"/>
    <x v="12"/>
    <x v="52"/>
    <x v="0"/>
    <s v="U.S. dollars"/>
    <s v="Billions"/>
    <x v="0"/>
    <n v="448.12"/>
  </r>
  <r>
    <n v="603"/>
    <x v="12"/>
    <x v="52"/>
    <x v="0"/>
    <s v="U.S. dollars"/>
    <s v="Billions"/>
    <x v="1"/>
    <n v="429.423"/>
  </r>
  <r>
    <n v="603"/>
    <x v="12"/>
    <x v="52"/>
    <x v="0"/>
    <s v="U.S. dollars"/>
    <s v="Billions"/>
    <x v="2"/>
    <n v="441.42399999999998"/>
  </r>
  <r>
    <n v="603"/>
    <x v="12"/>
    <x v="52"/>
    <x v="0"/>
    <s v="U.S. dollars"/>
    <s v="Billions"/>
    <x v="3"/>
    <n v="477.37599999999998"/>
  </r>
  <r>
    <n v="603"/>
    <x v="12"/>
    <x v="52"/>
    <x v="0"/>
    <s v="U.S. dollars"/>
    <s v="Billions"/>
    <x v="4"/>
    <n v="374.947"/>
  </r>
  <r>
    <n v="603"/>
    <x v="12"/>
    <x v="52"/>
    <x v="0"/>
    <s v="U.S. dollars"/>
    <s v="Billions"/>
    <x v="5"/>
    <n v="252.738"/>
  </r>
  <r>
    <n v="603"/>
    <x v="12"/>
    <x v="52"/>
    <x v="0"/>
    <s v="U.S. dollars"/>
    <s v="Billions"/>
    <x v="6"/>
    <n v="251.19800000000001"/>
  </r>
  <r>
    <n v="200"/>
    <x v="3"/>
    <x v="52"/>
    <x v="0"/>
    <s v="U.S. dollars"/>
    <s v="Billions"/>
    <x v="0"/>
    <n v="448.12"/>
  </r>
  <r>
    <n v="200"/>
    <x v="3"/>
    <x v="52"/>
    <x v="0"/>
    <s v="U.S. dollars"/>
    <s v="Billions"/>
    <x v="1"/>
    <n v="429.423"/>
  </r>
  <r>
    <n v="200"/>
    <x v="3"/>
    <x v="52"/>
    <x v="0"/>
    <s v="U.S. dollars"/>
    <s v="Billions"/>
    <x v="2"/>
    <n v="441.42399999999998"/>
  </r>
  <r>
    <n v="200"/>
    <x v="3"/>
    <x v="52"/>
    <x v="0"/>
    <s v="U.S. dollars"/>
    <s v="Billions"/>
    <x v="3"/>
    <n v="477.37599999999998"/>
  </r>
  <r>
    <n v="200"/>
    <x v="3"/>
    <x v="52"/>
    <x v="0"/>
    <s v="U.S. dollars"/>
    <s v="Billions"/>
    <x v="4"/>
    <n v="374.947"/>
  </r>
  <r>
    <n v="200"/>
    <x v="3"/>
    <x v="52"/>
    <x v="0"/>
    <s v="U.S. dollars"/>
    <s v="Billions"/>
    <x v="5"/>
    <n v="252.738"/>
  </r>
  <r>
    <n v="200"/>
    <x v="3"/>
    <x v="52"/>
    <x v="0"/>
    <s v="U.S. dollars"/>
    <s v="Billions"/>
    <x v="6"/>
    <n v="251.19800000000001"/>
  </r>
  <r>
    <n v="110"/>
    <x v="0"/>
    <x v="53"/>
    <x v="0"/>
    <s v="U.S. dollars"/>
    <s v="Billions"/>
    <x v="0"/>
    <n v="205.27500000000001"/>
  </r>
  <r>
    <n v="110"/>
    <x v="0"/>
    <x v="53"/>
    <x v="0"/>
    <s v="U.S. dollars"/>
    <s v="Billions"/>
    <x v="1"/>
    <n v="188.32900000000001"/>
  </r>
  <r>
    <n v="110"/>
    <x v="0"/>
    <x v="53"/>
    <x v="0"/>
    <s v="U.S. dollars"/>
    <s v="Billions"/>
    <x v="2"/>
    <n v="214.81100000000001"/>
  </r>
  <r>
    <n v="110"/>
    <x v="0"/>
    <x v="53"/>
    <x v="0"/>
    <s v="U.S. dollars"/>
    <s v="Billions"/>
    <x v="3"/>
    <n v="217.75299999999999"/>
  </r>
  <r>
    <n v="110"/>
    <x v="0"/>
    <x v="53"/>
    <x v="0"/>
    <s v="U.S. dollars"/>
    <s v="Billions"/>
    <x v="4"/>
    <n v="238.27500000000001"/>
  </r>
  <r>
    <n v="110"/>
    <x v="0"/>
    <x v="53"/>
    <x v="0"/>
    <s v="U.S. dollars"/>
    <s v="Billions"/>
    <x v="5"/>
    <n v="250.27600000000001"/>
  </r>
  <r>
    <n v="110"/>
    <x v="0"/>
    <x v="53"/>
    <x v="0"/>
    <s v="U.S. dollars"/>
    <s v="Billions"/>
    <x v="6"/>
    <n v="260.452"/>
  </r>
  <r>
    <n v="998"/>
    <x v="6"/>
    <x v="53"/>
    <x v="0"/>
    <s v="U.S. dollars"/>
    <s v="Billions"/>
    <x v="0"/>
    <n v="205.27500000000001"/>
  </r>
  <r>
    <n v="998"/>
    <x v="6"/>
    <x v="53"/>
    <x v="0"/>
    <s v="U.S. dollars"/>
    <s v="Billions"/>
    <x v="1"/>
    <n v="188.32900000000001"/>
  </r>
  <r>
    <n v="998"/>
    <x v="6"/>
    <x v="53"/>
    <x v="0"/>
    <s v="U.S. dollars"/>
    <s v="Billions"/>
    <x v="2"/>
    <n v="214.81100000000001"/>
  </r>
  <r>
    <n v="998"/>
    <x v="6"/>
    <x v="53"/>
    <x v="0"/>
    <s v="U.S. dollars"/>
    <s v="Billions"/>
    <x v="3"/>
    <n v="217.75299999999999"/>
  </r>
  <r>
    <n v="998"/>
    <x v="6"/>
    <x v="53"/>
    <x v="0"/>
    <s v="U.S. dollars"/>
    <s v="Billions"/>
    <x v="4"/>
    <n v="238.27500000000001"/>
  </r>
  <r>
    <n v="998"/>
    <x v="6"/>
    <x v="53"/>
    <x v="0"/>
    <s v="U.S. dollars"/>
    <s v="Billions"/>
    <x v="5"/>
    <n v="250.27600000000001"/>
  </r>
  <r>
    <n v="998"/>
    <x v="6"/>
    <x v="53"/>
    <x v="0"/>
    <s v="U.S. dollars"/>
    <s v="Billions"/>
    <x v="6"/>
    <n v="260.452"/>
  </r>
  <r>
    <n v="1"/>
    <x v="2"/>
    <x v="53"/>
    <x v="0"/>
    <s v="U.S. dollars"/>
    <s v="Billions"/>
    <x v="0"/>
    <n v="205.27500000000001"/>
  </r>
  <r>
    <n v="1"/>
    <x v="2"/>
    <x v="53"/>
    <x v="0"/>
    <s v="U.S. dollars"/>
    <s v="Billions"/>
    <x v="1"/>
    <n v="188.32900000000001"/>
  </r>
  <r>
    <n v="1"/>
    <x v="2"/>
    <x v="53"/>
    <x v="0"/>
    <s v="U.S. dollars"/>
    <s v="Billions"/>
    <x v="2"/>
    <n v="214.81100000000001"/>
  </r>
  <r>
    <n v="1"/>
    <x v="2"/>
    <x v="53"/>
    <x v="0"/>
    <s v="U.S. dollars"/>
    <s v="Billions"/>
    <x v="3"/>
    <n v="217.75299999999999"/>
  </r>
  <r>
    <n v="1"/>
    <x v="2"/>
    <x v="53"/>
    <x v="0"/>
    <s v="U.S. dollars"/>
    <s v="Billions"/>
    <x v="4"/>
    <n v="238.27500000000001"/>
  </r>
  <r>
    <n v="1"/>
    <x v="2"/>
    <x v="53"/>
    <x v="0"/>
    <s v="U.S. dollars"/>
    <s v="Billions"/>
    <x v="5"/>
    <n v="250.27600000000001"/>
  </r>
  <r>
    <n v="1"/>
    <x v="2"/>
    <x v="53"/>
    <x v="0"/>
    <s v="U.S. dollars"/>
    <s v="Billions"/>
    <x v="6"/>
    <n v="260.452"/>
  </r>
  <r>
    <n v="163"/>
    <x v="5"/>
    <x v="53"/>
    <x v="0"/>
    <s v="U.S. dollars"/>
    <s v="Billions"/>
    <x v="0"/>
    <n v="205.27500000000001"/>
  </r>
  <r>
    <n v="163"/>
    <x v="5"/>
    <x v="53"/>
    <x v="0"/>
    <s v="U.S. dollars"/>
    <s v="Billions"/>
    <x v="1"/>
    <n v="188.32900000000001"/>
  </r>
  <r>
    <n v="163"/>
    <x v="5"/>
    <x v="53"/>
    <x v="0"/>
    <s v="U.S. dollars"/>
    <s v="Billions"/>
    <x v="2"/>
    <n v="214.81100000000001"/>
  </r>
  <r>
    <n v="163"/>
    <x v="5"/>
    <x v="53"/>
    <x v="0"/>
    <s v="U.S. dollars"/>
    <s v="Billions"/>
    <x v="3"/>
    <n v="217.75299999999999"/>
  </r>
  <r>
    <n v="163"/>
    <x v="5"/>
    <x v="53"/>
    <x v="0"/>
    <s v="U.S. dollars"/>
    <s v="Billions"/>
    <x v="4"/>
    <n v="238.27500000000001"/>
  </r>
  <r>
    <n v="163"/>
    <x v="5"/>
    <x v="53"/>
    <x v="0"/>
    <s v="U.S. dollars"/>
    <s v="Billions"/>
    <x v="5"/>
    <n v="250.27600000000001"/>
  </r>
  <r>
    <n v="163"/>
    <x v="5"/>
    <x v="53"/>
    <x v="0"/>
    <s v="U.S. dollars"/>
    <s v="Billions"/>
    <x v="6"/>
    <n v="260.452"/>
  </r>
  <r>
    <n v="205"/>
    <x v="7"/>
    <x v="23"/>
    <x v="1"/>
    <s v="Percent change"/>
    <s v="Units"/>
    <x v="0"/>
    <n v="53.548000000000002"/>
  </r>
  <r>
    <n v="205"/>
    <x v="7"/>
    <x v="23"/>
    <x v="1"/>
    <s v="Percent change"/>
    <s v="Units"/>
    <x v="1"/>
    <n v="42.015000000000001"/>
  </r>
  <r>
    <n v="205"/>
    <x v="7"/>
    <x v="23"/>
    <x v="1"/>
    <s v="Percent change"/>
    <s v="Units"/>
    <x v="2"/>
    <n v="48.408999999999999"/>
  </r>
  <r>
    <n v="205"/>
    <x v="7"/>
    <x v="23"/>
    <x v="1"/>
    <s v="Percent change"/>
    <s v="Units"/>
    <x v="3"/>
    <n v="72.430999999999997"/>
  </r>
  <r>
    <n v="205"/>
    <x v="7"/>
    <x v="23"/>
    <x v="1"/>
    <s v="Percent change"/>
    <s v="Units"/>
    <x v="4"/>
    <n v="133.489"/>
  </r>
  <r>
    <n v="205"/>
    <x v="7"/>
    <x v="23"/>
    <x v="1"/>
    <s v="Percent change"/>
    <s v="Units"/>
    <x v="5"/>
    <n v="249.79300000000001"/>
  </r>
  <r>
    <n v="205"/>
    <x v="7"/>
    <x v="23"/>
    <x v="1"/>
    <s v="Percent change"/>
    <s v="Units"/>
    <x v="6"/>
    <n v="59.597000000000001"/>
  </r>
  <r>
    <n v="200"/>
    <x v="3"/>
    <x v="23"/>
    <x v="1"/>
    <s v="Percent change"/>
    <s v="Units"/>
    <x v="0"/>
    <n v="53.548000000000002"/>
  </r>
  <r>
    <n v="200"/>
    <x v="3"/>
    <x v="23"/>
    <x v="1"/>
    <s v="Percent change"/>
    <s v="Units"/>
    <x v="1"/>
    <n v="42.015000000000001"/>
  </r>
  <r>
    <n v="200"/>
    <x v="3"/>
    <x v="23"/>
    <x v="1"/>
    <s v="Percent change"/>
    <s v="Units"/>
    <x v="2"/>
    <n v="48.408999999999999"/>
  </r>
  <r>
    <n v="200"/>
    <x v="3"/>
    <x v="23"/>
    <x v="1"/>
    <s v="Percent change"/>
    <s v="Units"/>
    <x v="3"/>
    <n v="72.430999999999997"/>
  </r>
  <r>
    <n v="200"/>
    <x v="3"/>
    <x v="23"/>
    <x v="1"/>
    <s v="Percent change"/>
    <s v="Units"/>
    <x v="4"/>
    <n v="133.489"/>
  </r>
  <r>
    <n v="200"/>
    <x v="3"/>
    <x v="23"/>
    <x v="1"/>
    <s v="Percent change"/>
    <s v="Units"/>
    <x v="5"/>
    <n v="249.79300000000001"/>
  </r>
  <r>
    <n v="200"/>
    <x v="3"/>
    <x v="23"/>
    <x v="1"/>
    <s v="Percent change"/>
    <s v="Units"/>
    <x v="6"/>
    <n v="59.597000000000001"/>
  </r>
  <r>
    <n v="1"/>
    <x v="2"/>
    <x v="23"/>
    <x v="1"/>
    <s v="Percent change"/>
    <s v="Units"/>
    <x v="0"/>
    <n v="53.548000000000002"/>
  </r>
  <r>
    <n v="1"/>
    <x v="2"/>
    <x v="23"/>
    <x v="1"/>
    <s v="Percent change"/>
    <s v="Units"/>
    <x v="1"/>
    <n v="42.015000000000001"/>
  </r>
  <r>
    <n v="1"/>
    <x v="2"/>
    <x v="23"/>
    <x v="1"/>
    <s v="Percent change"/>
    <s v="Units"/>
    <x v="2"/>
    <n v="48.408999999999999"/>
  </r>
  <r>
    <n v="1"/>
    <x v="2"/>
    <x v="23"/>
    <x v="1"/>
    <s v="Percent change"/>
    <s v="Units"/>
    <x v="3"/>
    <n v="72.430999999999997"/>
  </r>
  <r>
    <n v="1"/>
    <x v="2"/>
    <x v="23"/>
    <x v="1"/>
    <s v="Percent change"/>
    <s v="Units"/>
    <x v="4"/>
    <n v="133.489"/>
  </r>
  <r>
    <n v="1"/>
    <x v="2"/>
    <x v="23"/>
    <x v="1"/>
    <s v="Percent change"/>
    <s v="Units"/>
    <x v="5"/>
    <n v="249.79300000000001"/>
  </r>
  <r>
    <n v="1"/>
    <x v="2"/>
    <x v="23"/>
    <x v="1"/>
    <s v="Percent change"/>
    <s v="Units"/>
    <x v="6"/>
    <n v="59.597000000000001"/>
  </r>
  <r>
    <n v="200"/>
    <x v="3"/>
    <x v="54"/>
    <x v="0"/>
    <s v="U.S. dollars"/>
    <s v="Billions"/>
    <x v="0"/>
    <n v="176.37100000000001"/>
  </r>
  <r>
    <n v="200"/>
    <x v="3"/>
    <x v="54"/>
    <x v="0"/>
    <s v="U.S. dollars"/>
    <s v="Billions"/>
    <x v="1"/>
    <n v="144.411"/>
  </r>
  <r>
    <n v="200"/>
    <x v="3"/>
    <x v="54"/>
    <x v="0"/>
    <s v="U.S. dollars"/>
    <s v="Billions"/>
    <x v="2"/>
    <n v="179.732"/>
  </r>
  <r>
    <n v="200"/>
    <x v="3"/>
    <x v="54"/>
    <x v="0"/>
    <s v="U.S. dollars"/>
    <s v="Billions"/>
    <x v="3"/>
    <n v="236.25800000000001"/>
  </r>
  <r>
    <n v="200"/>
    <x v="3"/>
    <x v="54"/>
    <x v="0"/>
    <s v="U.S. dollars"/>
    <s v="Billions"/>
    <x v="4"/>
    <n v="234.21799999999999"/>
  </r>
  <r>
    <n v="200"/>
    <x v="3"/>
    <x v="54"/>
    <x v="0"/>
    <s v="U.S. dollars"/>
    <s v="Billions"/>
    <x v="5"/>
    <n v="244.68600000000001"/>
  </r>
  <r>
    <n v="200"/>
    <x v="3"/>
    <x v="54"/>
    <x v="0"/>
    <s v="U.S. dollars"/>
    <s v="Billions"/>
    <x v="6"/>
    <n v="251.898"/>
  </r>
  <r>
    <n v="1"/>
    <x v="2"/>
    <x v="54"/>
    <x v="0"/>
    <s v="U.S. dollars"/>
    <s v="Billions"/>
    <x v="0"/>
    <n v="176.37100000000001"/>
  </r>
  <r>
    <n v="1"/>
    <x v="2"/>
    <x v="54"/>
    <x v="0"/>
    <s v="U.S. dollars"/>
    <s v="Billions"/>
    <x v="1"/>
    <n v="144.411"/>
  </r>
  <r>
    <n v="1"/>
    <x v="2"/>
    <x v="54"/>
    <x v="0"/>
    <s v="U.S. dollars"/>
    <s v="Billions"/>
    <x v="2"/>
    <n v="179.732"/>
  </r>
  <r>
    <n v="1"/>
    <x v="2"/>
    <x v="54"/>
    <x v="0"/>
    <s v="U.S. dollars"/>
    <s v="Billions"/>
    <x v="3"/>
    <n v="236.25800000000001"/>
  </r>
  <r>
    <n v="1"/>
    <x v="2"/>
    <x v="54"/>
    <x v="0"/>
    <s v="U.S. dollars"/>
    <s v="Billions"/>
    <x v="4"/>
    <n v="234.21799999999999"/>
  </r>
  <r>
    <n v="1"/>
    <x v="2"/>
    <x v="54"/>
    <x v="0"/>
    <s v="U.S. dollars"/>
    <s v="Billions"/>
    <x v="5"/>
    <n v="244.68600000000001"/>
  </r>
  <r>
    <n v="1"/>
    <x v="2"/>
    <x v="54"/>
    <x v="0"/>
    <s v="U.S. dollars"/>
    <s v="Billions"/>
    <x v="6"/>
    <n v="251.898"/>
  </r>
  <r>
    <n v="400"/>
    <x v="11"/>
    <x v="54"/>
    <x v="0"/>
    <s v="U.S. dollars"/>
    <s v="Billions"/>
    <x v="0"/>
    <n v="176.37100000000001"/>
  </r>
  <r>
    <n v="400"/>
    <x v="11"/>
    <x v="54"/>
    <x v="0"/>
    <s v="U.S. dollars"/>
    <s v="Billions"/>
    <x v="1"/>
    <n v="144.411"/>
  </r>
  <r>
    <n v="400"/>
    <x v="11"/>
    <x v="54"/>
    <x v="0"/>
    <s v="U.S. dollars"/>
    <s v="Billions"/>
    <x v="2"/>
    <n v="179.732"/>
  </r>
  <r>
    <n v="400"/>
    <x v="11"/>
    <x v="54"/>
    <x v="0"/>
    <s v="U.S. dollars"/>
    <s v="Billions"/>
    <x v="3"/>
    <n v="236.25800000000001"/>
  </r>
  <r>
    <n v="400"/>
    <x v="11"/>
    <x v="54"/>
    <x v="0"/>
    <s v="U.S. dollars"/>
    <s v="Billions"/>
    <x v="4"/>
    <n v="234.21799999999999"/>
  </r>
  <r>
    <n v="400"/>
    <x v="11"/>
    <x v="54"/>
    <x v="0"/>
    <s v="U.S. dollars"/>
    <s v="Billions"/>
    <x v="5"/>
    <n v="244.68600000000001"/>
  </r>
  <r>
    <n v="400"/>
    <x v="11"/>
    <x v="54"/>
    <x v="0"/>
    <s v="U.S. dollars"/>
    <s v="Billions"/>
    <x v="6"/>
    <n v="251.898"/>
  </r>
  <r>
    <n v="200"/>
    <x v="3"/>
    <x v="55"/>
    <x v="0"/>
    <s v="U.S. dollars"/>
    <s v="Billions"/>
    <x v="0"/>
    <n v="164.011"/>
  </r>
  <r>
    <n v="200"/>
    <x v="3"/>
    <x v="55"/>
    <x v="0"/>
    <s v="U.S. dollars"/>
    <s v="Billions"/>
    <x v="1"/>
    <n v="157.227"/>
  </r>
  <r>
    <n v="200"/>
    <x v="3"/>
    <x v="55"/>
    <x v="0"/>
    <s v="U.S. dollars"/>
    <s v="Billions"/>
    <x v="2"/>
    <n v="182.09"/>
  </r>
  <r>
    <n v="200"/>
    <x v="3"/>
    <x v="55"/>
    <x v="0"/>
    <s v="U.S. dollars"/>
    <s v="Billions"/>
    <x v="3"/>
    <n v="178.12100000000001"/>
  </r>
  <r>
    <n v="200"/>
    <x v="3"/>
    <x v="55"/>
    <x v="0"/>
    <s v="U.S. dollars"/>
    <s v="Billions"/>
    <x v="4"/>
    <n v="212.61"/>
  </r>
  <r>
    <n v="200"/>
    <x v="3"/>
    <x v="55"/>
    <x v="0"/>
    <s v="U.S. dollars"/>
    <s v="Billions"/>
    <x v="5"/>
    <n v="223.41300000000001"/>
  </r>
  <r>
    <n v="200"/>
    <x v="3"/>
    <x v="55"/>
    <x v="0"/>
    <s v="U.S. dollars"/>
    <s v="Billions"/>
    <x v="6"/>
    <n v="240.12100000000001"/>
  </r>
  <r>
    <n v="1"/>
    <x v="2"/>
    <x v="55"/>
    <x v="0"/>
    <s v="U.S. dollars"/>
    <s v="Billions"/>
    <x v="0"/>
    <n v="164.011"/>
  </r>
  <r>
    <n v="1"/>
    <x v="2"/>
    <x v="55"/>
    <x v="0"/>
    <s v="U.S. dollars"/>
    <s v="Billions"/>
    <x v="1"/>
    <n v="157.227"/>
  </r>
  <r>
    <n v="1"/>
    <x v="2"/>
    <x v="55"/>
    <x v="0"/>
    <s v="U.S. dollars"/>
    <s v="Billions"/>
    <x v="2"/>
    <n v="182.09"/>
  </r>
  <r>
    <n v="1"/>
    <x v="2"/>
    <x v="55"/>
    <x v="0"/>
    <s v="U.S. dollars"/>
    <s v="Billions"/>
    <x v="3"/>
    <n v="178.12100000000001"/>
  </r>
  <r>
    <n v="1"/>
    <x v="2"/>
    <x v="55"/>
    <x v="0"/>
    <s v="U.S. dollars"/>
    <s v="Billions"/>
    <x v="4"/>
    <n v="212.61"/>
  </r>
  <r>
    <n v="1"/>
    <x v="2"/>
    <x v="55"/>
    <x v="0"/>
    <s v="U.S. dollars"/>
    <s v="Billions"/>
    <x v="5"/>
    <n v="223.41300000000001"/>
  </r>
  <r>
    <n v="1"/>
    <x v="2"/>
    <x v="55"/>
    <x v="0"/>
    <s v="U.S. dollars"/>
    <s v="Billions"/>
    <x v="6"/>
    <n v="240.12100000000001"/>
  </r>
  <r>
    <n v="998"/>
    <x v="6"/>
    <x v="55"/>
    <x v="0"/>
    <s v="U.S. dollars"/>
    <s v="Billions"/>
    <x v="0"/>
    <n v="164.011"/>
  </r>
  <r>
    <n v="998"/>
    <x v="6"/>
    <x v="55"/>
    <x v="0"/>
    <s v="U.S. dollars"/>
    <s v="Billions"/>
    <x v="1"/>
    <n v="157.227"/>
  </r>
  <r>
    <n v="998"/>
    <x v="6"/>
    <x v="55"/>
    <x v="0"/>
    <s v="U.S. dollars"/>
    <s v="Billions"/>
    <x v="2"/>
    <n v="182.09"/>
  </r>
  <r>
    <n v="998"/>
    <x v="6"/>
    <x v="55"/>
    <x v="0"/>
    <s v="U.S. dollars"/>
    <s v="Billions"/>
    <x v="3"/>
    <n v="178.12100000000001"/>
  </r>
  <r>
    <n v="998"/>
    <x v="6"/>
    <x v="55"/>
    <x v="0"/>
    <s v="U.S. dollars"/>
    <s v="Billions"/>
    <x v="4"/>
    <n v="212.61"/>
  </r>
  <r>
    <n v="998"/>
    <x v="6"/>
    <x v="55"/>
    <x v="0"/>
    <s v="U.S. dollars"/>
    <s v="Billions"/>
    <x v="5"/>
    <n v="223.41300000000001"/>
  </r>
  <r>
    <n v="998"/>
    <x v="6"/>
    <x v="55"/>
    <x v="0"/>
    <s v="U.S. dollars"/>
    <s v="Billions"/>
    <x v="6"/>
    <n v="240.12100000000001"/>
  </r>
  <r>
    <n v="903"/>
    <x v="8"/>
    <x v="55"/>
    <x v="0"/>
    <s v="U.S. dollars"/>
    <s v="Billions"/>
    <x v="0"/>
    <n v="164.011"/>
  </r>
  <r>
    <n v="903"/>
    <x v="8"/>
    <x v="55"/>
    <x v="0"/>
    <s v="U.S. dollars"/>
    <s v="Billions"/>
    <x v="1"/>
    <n v="157.227"/>
  </r>
  <r>
    <n v="903"/>
    <x v="8"/>
    <x v="55"/>
    <x v="0"/>
    <s v="U.S. dollars"/>
    <s v="Billions"/>
    <x v="2"/>
    <n v="182.09"/>
  </r>
  <r>
    <n v="903"/>
    <x v="8"/>
    <x v="55"/>
    <x v="0"/>
    <s v="U.S. dollars"/>
    <s v="Billions"/>
    <x v="3"/>
    <n v="178.12100000000001"/>
  </r>
  <r>
    <n v="903"/>
    <x v="8"/>
    <x v="55"/>
    <x v="0"/>
    <s v="U.S. dollars"/>
    <s v="Billions"/>
    <x v="4"/>
    <n v="212.61"/>
  </r>
  <r>
    <n v="903"/>
    <x v="8"/>
    <x v="55"/>
    <x v="0"/>
    <s v="U.S. dollars"/>
    <s v="Billions"/>
    <x v="5"/>
    <n v="223.41300000000001"/>
  </r>
  <r>
    <n v="903"/>
    <x v="8"/>
    <x v="55"/>
    <x v="0"/>
    <s v="U.S. dollars"/>
    <s v="Billions"/>
    <x v="6"/>
    <n v="240.12100000000001"/>
  </r>
  <r>
    <n v="1"/>
    <x v="2"/>
    <x v="56"/>
    <x v="0"/>
    <s v="U.S. dollars"/>
    <s v="Billions"/>
    <x v="0"/>
    <n v="92.608000000000004"/>
  </r>
  <r>
    <n v="1"/>
    <x v="2"/>
    <x v="56"/>
    <x v="0"/>
    <s v="U.S. dollars"/>
    <s v="Billions"/>
    <x v="1"/>
    <n v="96.611000000000004"/>
  </r>
  <r>
    <n v="1"/>
    <x v="2"/>
    <x v="56"/>
    <x v="0"/>
    <s v="U.S. dollars"/>
    <s v="Billions"/>
    <x v="2"/>
    <n v="99.269000000000005"/>
  </r>
  <r>
    <n v="1"/>
    <x v="2"/>
    <x v="56"/>
    <x v="0"/>
    <s v="U.S. dollars"/>
    <s v="Billions"/>
    <x v="3"/>
    <n v="118.968"/>
  </r>
  <r>
    <n v="1"/>
    <x v="2"/>
    <x v="56"/>
    <x v="0"/>
    <s v="U.S. dollars"/>
    <s v="Billions"/>
    <x v="4"/>
    <n v="159.74700000000001"/>
  </r>
  <r>
    <n v="1"/>
    <x v="2"/>
    <x v="56"/>
    <x v="0"/>
    <s v="U.S. dollars"/>
    <s v="Billions"/>
    <x v="5"/>
    <n v="205.13"/>
  </r>
  <r>
    <n v="1"/>
    <x v="2"/>
    <x v="56"/>
    <x v="0"/>
    <s v="U.S. dollars"/>
    <s v="Billions"/>
    <x v="6"/>
    <n v="236.04400000000001"/>
  </r>
  <r>
    <n v="200"/>
    <x v="3"/>
    <x v="56"/>
    <x v="0"/>
    <s v="U.S. dollars"/>
    <s v="Billions"/>
    <x v="0"/>
    <n v="92.608000000000004"/>
  </r>
  <r>
    <n v="200"/>
    <x v="3"/>
    <x v="56"/>
    <x v="0"/>
    <s v="U.S. dollars"/>
    <s v="Billions"/>
    <x v="1"/>
    <n v="96.611000000000004"/>
  </r>
  <r>
    <n v="200"/>
    <x v="3"/>
    <x v="56"/>
    <x v="0"/>
    <s v="U.S. dollars"/>
    <s v="Billions"/>
    <x v="2"/>
    <n v="99.269000000000005"/>
  </r>
  <r>
    <n v="200"/>
    <x v="3"/>
    <x v="56"/>
    <x v="0"/>
    <s v="U.S. dollars"/>
    <s v="Billions"/>
    <x v="3"/>
    <n v="118.968"/>
  </r>
  <r>
    <n v="200"/>
    <x v="3"/>
    <x v="56"/>
    <x v="0"/>
    <s v="U.S. dollars"/>
    <s v="Billions"/>
    <x v="4"/>
    <n v="159.74700000000001"/>
  </r>
  <r>
    <n v="200"/>
    <x v="3"/>
    <x v="56"/>
    <x v="0"/>
    <s v="U.S. dollars"/>
    <s v="Billions"/>
    <x v="5"/>
    <n v="205.13"/>
  </r>
  <r>
    <n v="200"/>
    <x v="3"/>
    <x v="56"/>
    <x v="0"/>
    <s v="U.S. dollars"/>
    <s v="Billions"/>
    <x v="6"/>
    <n v="236.04400000000001"/>
  </r>
  <r>
    <n v="603"/>
    <x v="12"/>
    <x v="56"/>
    <x v="0"/>
    <s v="U.S. dollars"/>
    <s v="Billions"/>
    <x v="0"/>
    <n v="92.608000000000004"/>
  </r>
  <r>
    <n v="603"/>
    <x v="12"/>
    <x v="56"/>
    <x v="0"/>
    <s v="U.S. dollars"/>
    <s v="Billions"/>
    <x v="1"/>
    <n v="96.611000000000004"/>
  </r>
  <r>
    <n v="603"/>
    <x v="12"/>
    <x v="56"/>
    <x v="0"/>
    <s v="U.S. dollars"/>
    <s v="Billions"/>
    <x v="2"/>
    <n v="99.269000000000005"/>
  </r>
  <r>
    <n v="603"/>
    <x v="12"/>
    <x v="56"/>
    <x v="0"/>
    <s v="U.S. dollars"/>
    <s v="Billions"/>
    <x v="3"/>
    <n v="118.968"/>
  </r>
  <r>
    <n v="603"/>
    <x v="12"/>
    <x v="56"/>
    <x v="0"/>
    <s v="U.S. dollars"/>
    <s v="Billions"/>
    <x v="4"/>
    <n v="159.74700000000001"/>
  </r>
  <r>
    <n v="603"/>
    <x v="12"/>
    <x v="56"/>
    <x v="0"/>
    <s v="U.S. dollars"/>
    <s v="Billions"/>
    <x v="5"/>
    <n v="205.13"/>
  </r>
  <r>
    <n v="603"/>
    <x v="12"/>
    <x v="56"/>
    <x v="0"/>
    <s v="U.S. dollars"/>
    <s v="Billions"/>
    <x v="6"/>
    <n v="236.04400000000001"/>
  </r>
  <r>
    <n v="200"/>
    <x v="3"/>
    <x v="57"/>
    <x v="0"/>
    <s v="U.S. dollars"/>
    <s v="Billions"/>
    <x v="0"/>
    <n v="154.00899999999999"/>
  </r>
  <r>
    <n v="200"/>
    <x v="3"/>
    <x v="57"/>
    <x v="0"/>
    <s v="U.S. dollars"/>
    <s v="Billions"/>
    <x v="1"/>
    <n v="156.63"/>
  </r>
  <r>
    <n v="200"/>
    <x v="3"/>
    <x v="57"/>
    <x v="0"/>
    <s v="U.S. dollars"/>
    <s v="Billions"/>
    <x v="2"/>
    <n v="199.81200000000001"/>
  </r>
  <r>
    <n v="200"/>
    <x v="3"/>
    <x v="57"/>
    <x v="0"/>
    <s v="U.S. dollars"/>
    <s v="Billions"/>
    <x v="3"/>
    <n v="160.52099999999999"/>
  </r>
  <r>
    <n v="200"/>
    <x v="3"/>
    <x v="57"/>
    <x v="0"/>
    <s v="U.S. dollars"/>
    <s v="Billions"/>
    <x v="4"/>
    <n v="177.19800000000001"/>
  </r>
  <r>
    <n v="200"/>
    <x v="3"/>
    <x v="57"/>
    <x v="0"/>
    <s v="U.S. dollars"/>
    <s v="Billions"/>
    <x v="5"/>
    <n v="188.94300000000001"/>
  </r>
  <r>
    <n v="200"/>
    <x v="3"/>
    <x v="57"/>
    <x v="0"/>
    <s v="U.S. dollars"/>
    <s v="Billions"/>
    <x v="6"/>
    <n v="193.602"/>
  </r>
  <r>
    <n v="1"/>
    <x v="2"/>
    <x v="57"/>
    <x v="0"/>
    <s v="U.S. dollars"/>
    <s v="Billions"/>
    <x v="0"/>
    <n v="154.00899999999999"/>
  </r>
  <r>
    <n v="1"/>
    <x v="2"/>
    <x v="57"/>
    <x v="0"/>
    <s v="U.S. dollars"/>
    <s v="Billions"/>
    <x v="1"/>
    <n v="156.63"/>
  </r>
  <r>
    <n v="1"/>
    <x v="2"/>
    <x v="57"/>
    <x v="0"/>
    <s v="U.S. dollars"/>
    <s v="Billions"/>
    <x v="2"/>
    <n v="199.81200000000001"/>
  </r>
  <r>
    <n v="1"/>
    <x v="2"/>
    <x v="57"/>
    <x v="0"/>
    <s v="U.S. dollars"/>
    <s v="Billions"/>
    <x v="3"/>
    <n v="160.52099999999999"/>
  </r>
  <r>
    <n v="1"/>
    <x v="2"/>
    <x v="57"/>
    <x v="0"/>
    <s v="U.S. dollars"/>
    <s v="Billions"/>
    <x v="4"/>
    <n v="177.19800000000001"/>
  </r>
  <r>
    <n v="1"/>
    <x v="2"/>
    <x v="57"/>
    <x v="0"/>
    <s v="U.S. dollars"/>
    <s v="Billions"/>
    <x v="5"/>
    <n v="188.94300000000001"/>
  </r>
  <r>
    <n v="1"/>
    <x v="2"/>
    <x v="57"/>
    <x v="0"/>
    <s v="U.S. dollars"/>
    <s v="Billions"/>
    <x v="6"/>
    <n v="193.602"/>
  </r>
  <r>
    <n v="903"/>
    <x v="8"/>
    <x v="57"/>
    <x v="0"/>
    <s v="U.S. dollars"/>
    <s v="Billions"/>
    <x v="0"/>
    <n v="154.00899999999999"/>
  </r>
  <r>
    <n v="903"/>
    <x v="8"/>
    <x v="57"/>
    <x v="0"/>
    <s v="U.S. dollars"/>
    <s v="Billions"/>
    <x v="1"/>
    <n v="156.63"/>
  </r>
  <r>
    <n v="903"/>
    <x v="8"/>
    <x v="57"/>
    <x v="0"/>
    <s v="U.S. dollars"/>
    <s v="Billions"/>
    <x v="2"/>
    <n v="199.81200000000001"/>
  </r>
  <r>
    <n v="903"/>
    <x v="8"/>
    <x v="57"/>
    <x v="0"/>
    <s v="U.S. dollars"/>
    <s v="Billions"/>
    <x v="3"/>
    <n v="160.52099999999999"/>
  </r>
  <r>
    <n v="903"/>
    <x v="8"/>
    <x v="57"/>
    <x v="0"/>
    <s v="U.S. dollars"/>
    <s v="Billions"/>
    <x v="4"/>
    <n v="177.19800000000001"/>
  </r>
  <r>
    <n v="903"/>
    <x v="8"/>
    <x v="57"/>
    <x v="0"/>
    <s v="U.S. dollars"/>
    <s v="Billions"/>
    <x v="5"/>
    <n v="188.94300000000001"/>
  </r>
  <r>
    <n v="903"/>
    <x v="8"/>
    <x v="57"/>
    <x v="0"/>
    <s v="U.S. dollars"/>
    <s v="Billions"/>
    <x v="6"/>
    <n v="193.602"/>
  </r>
  <r>
    <n v="1"/>
    <x v="2"/>
    <x v="58"/>
    <x v="0"/>
    <s v="U.S. dollars"/>
    <s v="Billions"/>
    <x v="0"/>
    <n v="138.69499999999999"/>
  </r>
  <r>
    <n v="1"/>
    <x v="2"/>
    <x v="58"/>
    <x v="0"/>
    <s v="U.S. dollars"/>
    <s v="Billions"/>
    <x v="1"/>
    <n v="107.51600000000001"/>
  </r>
  <r>
    <n v="1"/>
    <x v="2"/>
    <x v="58"/>
    <x v="0"/>
    <s v="U.S. dollars"/>
    <s v="Billions"/>
    <x v="2"/>
    <n v="141.773"/>
  </r>
  <r>
    <n v="1"/>
    <x v="2"/>
    <x v="58"/>
    <x v="0"/>
    <s v="U.S. dollars"/>
    <s v="Billions"/>
    <x v="3"/>
    <n v="182.846"/>
  </r>
  <r>
    <n v="1"/>
    <x v="2"/>
    <x v="58"/>
    <x v="0"/>
    <s v="U.S. dollars"/>
    <s v="Billions"/>
    <x v="4"/>
    <n v="161.78399999999999"/>
  </r>
  <r>
    <n v="1"/>
    <x v="2"/>
    <x v="58"/>
    <x v="0"/>
    <s v="U.S. dollars"/>
    <s v="Billions"/>
    <x v="5"/>
    <n v="160.39699999999999"/>
  </r>
  <r>
    <n v="1"/>
    <x v="2"/>
    <x v="58"/>
    <x v="0"/>
    <s v="U.S. dollars"/>
    <s v="Billions"/>
    <x v="6"/>
    <n v="163.37700000000001"/>
  </r>
  <r>
    <n v="400"/>
    <x v="11"/>
    <x v="58"/>
    <x v="0"/>
    <s v="U.S. dollars"/>
    <s v="Billions"/>
    <x v="0"/>
    <n v="138.69499999999999"/>
  </r>
  <r>
    <n v="400"/>
    <x v="11"/>
    <x v="58"/>
    <x v="0"/>
    <s v="U.S. dollars"/>
    <s v="Billions"/>
    <x v="1"/>
    <n v="107.51600000000001"/>
  </r>
  <r>
    <n v="400"/>
    <x v="11"/>
    <x v="58"/>
    <x v="0"/>
    <s v="U.S. dollars"/>
    <s v="Billions"/>
    <x v="2"/>
    <n v="141.773"/>
  </r>
  <r>
    <n v="400"/>
    <x v="11"/>
    <x v="58"/>
    <x v="0"/>
    <s v="U.S. dollars"/>
    <s v="Billions"/>
    <x v="3"/>
    <n v="182.846"/>
  </r>
  <r>
    <n v="400"/>
    <x v="11"/>
    <x v="58"/>
    <x v="0"/>
    <s v="U.S. dollars"/>
    <s v="Billions"/>
    <x v="4"/>
    <n v="161.78399999999999"/>
  </r>
  <r>
    <n v="400"/>
    <x v="11"/>
    <x v="58"/>
    <x v="0"/>
    <s v="U.S. dollars"/>
    <s v="Billions"/>
    <x v="5"/>
    <n v="160.39699999999999"/>
  </r>
  <r>
    <n v="400"/>
    <x v="11"/>
    <x v="58"/>
    <x v="0"/>
    <s v="U.S. dollars"/>
    <s v="Billions"/>
    <x v="6"/>
    <n v="163.37700000000001"/>
  </r>
  <r>
    <n v="200"/>
    <x v="3"/>
    <x v="58"/>
    <x v="0"/>
    <s v="U.S. dollars"/>
    <s v="Billions"/>
    <x v="0"/>
    <n v="138.69499999999999"/>
  </r>
  <r>
    <n v="200"/>
    <x v="3"/>
    <x v="58"/>
    <x v="0"/>
    <s v="U.S. dollars"/>
    <s v="Billions"/>
    <x v="1"/>
    <n v="107.51600000000001"/>
  </r>
  <r>
    <n v="200"/>
    <x v="3"/>
    <x v="58"/>
    <x v="0"/>
    <s v="U.S. dollars"/>
    <s v="Billions"/>
    <x v="2"/>
    <n v="141.773"/>
  </r>
  <r>
    <n v="200"/>
    <x v="3"/>
    <x v="58"/>
    <x v="0"/>
    <s v="U.S. dollars"/>
    <s v="Billions"/>
    <x v="3"/>
    <n v="182.846"/>
  </r>
  <r>
    <n v="200"/>
    <x v="3"/>
    <x v="58"/>
    <x v="0"/>
    <s v="U.S. dollars"/>
    <s v="Billions"/>
    <x v="4"/>
    <n v="161.78399999999999"/>
  </r>
  <r>
    <n v="200"/>
    <x v="3"/>
    <x v="58"/>
    <x v="0"/>
    <s v="U.S. dollars"/>
    <s v="Billions"/>
    <x v="5"/>
    <n v="160.39699999999999"/>
  </r>
  <r>
    <n v="200"/>
    <x v="3"/>
    <x v="58"/>
    <x v="0"/>
    <s v="U.S. dollars"/>
    <s v="Billions"/>
    <x v="6"/>
    <n v="163.37700000000001"/>
  </r>
  <r>
    <n v="400"/>
    <x v="11"/>
    <x v="59"/>
    <x v="0"/>
    <s v="U.S. dollars"/>
    <s v="Billions"/>
    <x v="0"/>
    <n v="128.91999999999999"/>
  </r>
  <r>
    <n v="400"/>
    <x v="11"/>
    <x v="59"/>
    <x v="0"/>
    <s v="U.S. dollars"/>
    <s v="Billions"/>
    <x v="1"/>
    <n v="121.354"/>
  </r>
  <r>
    <n v="400"/>
    <x v="11"/>
    <x v="59"/>
    <x v="0"/>
    <s v="U.S. dollars"/>
    <s v="Billions"/>
    <x v="2"/>
    <n v="141.81800000000001"/>
  </r>
  <r>
    <n v="400"/>
    <x v="11"/>
    <x v="59"/>
    <x v="0"/>
    <s v="U.S. dollars"/>
    <s v="Billions"/>
    <x v="3"/>
    <n v="130.91300000000001"/>
  </r>
  <r>
    <n v="400"/>
    <x v="11"/>
    <x v="59"/>
    <x v="0"/>
    <s v="U.S. dollars"/>
    <s v="Billions"/>
    <x v="4"/>
    <n v="143.96299999999999"/>
  </r>
  <r>
    <n v="400"/>
    <x v="11"/>
    <x v="59"/>
    <x v="0"/>
    <s v="U.S. dollars"/>
    <s v="Billions"/>
    <x v="5"/>
    <n v="152.37700000000001"/>
  </r>
  <r>
    <n v="400"/>
    <x v="11"/>
    <x v="59"/>
    <x v="0"/>
    <s v="U.S. dollars"/>
    <s v="Billions"/>
    <x v="6"/>
    <n v="161.43600000000001"/>
  </r>
  <r>
    <n v="200"/>
    <x v="3"/>
    <x v="59"/>
    <x v="0"/>
    <s v="U.S. dollars"/>
    <s v="Billions"/>
    <x v="0"/>
    <n v="128.91999999999999"/>
  </r>
  <r>
    <n v="200"/>
    <x v="3"/>
    <x v="59"/>
    <x v="0"/>
    <s v="U.S. dollars"/>
    <s v="Billions"/>
    <x v="1"/>
    <n v="121.354"/>
  </r>
  <r>
    <n v="200"/>
    <x v="3"/>
    <x v="59"/>
    <x v="0"/>
    <s v="U.S. dollars"/>
    <s v="Billions"/>
    <x v="2"/>
    <n v="141.81800000000001"/>
  </r>
  <r>
    <n v="200"/>
    <x v="3"/>
    <x v="59"/>
    <x v="0"/>
    <s v="U.S. dollars"/>
    <s v="Billions"/>
    <x v="3"/>
    <n v="130.91300000000001"/>
  </r>
  <r>
    <n v="200"/>
    <x v="3"/>
    <x v="59"/>
    <x v="0"/>
    <s v="U.S. dollars"/>
    <s v="Billions"/>
    <x v="4"/>
    <n v="143.96299999999999"/>
  </r>
  <r>
    <n v="200"/>
    <x v="3"/>
    <x v="59"/>
    <x v="0"/>
    <s v="U.S. dollars"/>
    <s v="Billions"/>
    <x v="5"/>
    <n v="152.37700000000001"/>
  </r>
  <r>
    <n v="200"/>
    <x v="3"/>
    <x v="59"/>
    <x v="0"/>
    <s v="U.S. dollars"/>
    <s v="Billions"/>
    <x v="6"/>
    <n v="161.43600000000001"/>
  </r>
  <r>
    <n v="1"/>
    <x v="2"/>
    <x v="59"/>
    <x v="0"/>
    <s v="U.S. dollars"/>
    <s v="Billions"/>
    <x v="0"/>
    <n v="128.91999999999999"/>
  </r>
  <r>
    <n v="1"/>
    <x v="2"/>
    <x v="59"/>
    <x v="0"/>
    <s v="U.S. dollars"/>
    <s v="Billions"/>
    <x v="1"/>
    <n v="121.354"/>
  </r>
  <r>
    <n v="1"/>
    <x v="2"/>
    <x v="59"/>
    <x v="0"/>
    <s v="U.S. dollars"/>
    <s v="Billions"/>
    <x v="2"/>
    <n v="141.81800000000001"/>
  </r>
  <r>
    <n v="1"/>
    <x v="2"/>
    <x v="59"/>
    <x v="0"/>
    <s v="U.S. dollars"/>
    <s v="Billions"/>
    <x v="3"/>
    <n v="130.91300000000001"/>
  </r>
  <r>
    <n v="1"/>
    <x v="2"/>
    <x v="59"/>
    <x v="0"/>
    <s v="U.S. dollars"/>
    <s v="Billions"/>
    <x v="4"/>
    <n v="143.96299999999999"/>
  </r>
  <r>
    <n v="1"/>
    <x v="2"/>
    <x v="59"/>
    <x v="0"/>
    <s v="U.S. dollars"/>
    <s v="Billions"/>
    <x v="5"/>
    <n v="152.37700000000001"/>
  </r>
  <r>
    <n v="1"/>
    <x v="2"/>
    <x v="59"/>
    <x v="0"/>
    <s v="U.S. dollars"/>
    <s v="Billions"/>
    <x v="6"/>
    <n v="161.43600000000001"/>
  </r>
  <r>
    <n v="400"/>
    <x v="11"/>
    <x v="60"/>
    <x v="1"/>
    <s v="Percent change"/>
    <s v="Units"/>
    <x v="0"/>
    <n v="50.994"/>
  </r>
  <r>
    <n v="400"/>
    <x v="11"/>
    <x v="60"/>
    <x v="1"/>
    <s v="Percent change"/>
    <s v="Units"/>
    <x v="1"/>
    <n v="163.25800000000001"/>
  </r>
  <r>
    <n v="400"/>
    <x v="11"/>
    <x v="60"/>
    <x v="1"/>
    <s v="Percent change"/>
    <s v="Units"/>
    <x v="2"/>
    <n v="359.09199999999998"/>
  </r>
  <r>
    <n v="400"/>
    <x v="11"/>
    <x v="60"/>
    <x v="1"/>
    <s v="Percent change"/>
    <s v="Units"/>
    <x v="3"/>
    <n v="138.80799999999999"/>
  </r>
  <r>
    <n v="400"/>
    <x v="11"/>
    <x v="60"/>
    <x v="1"/>
    <s v="Percent change"/>
    <s v="Units"/>
    <x v="4"/>
    <n v="171.471"/>
  </r>
  <r>
    <n v="400"/>
    <x v="11"/>
    <x v="60"/>
    <x v="1"/>
    <s v="Percent change"/>
    <s v="Units"/>
    <x v="5"/>
    <n v="145.535"/>
  </r>
  <r>
    <n v="400"/>
    <x v="11"/>
    <x v="60"/>
    <x v="1"/>
    <s v="Percent change"/>
    <s v="Units"/>
    <x v="6"/>
    <n v="62.725999999999999"/>
  </r>
  <r>
    <n v="200"/>
    <x v="3"/>
    <x v="60"/>
    <x v="1"/>
    <s v="Percent change"/>
    <s v="Units"/>
    <x v="0"/>
    <n v="50.994"/>
  </r>
  <r>
    <n v="200"/>
    <x v="3"/>
    <x v="60"/>
    <x v="1"/>
    <s v="Percent change"/>
    <s v="Units"/>
    <x v="1"/>
    <n v="163.25800000000001"/>
  </r>
  <r>
    <n v="200"/>
    <x v="3"/>
    <x v="60"/>
    <x v="1"/>
    <s v="Percent change"/>
    <s v="Units"/>
    <x v="2"/>
    <n v="359.09199999999998"/>
  </r>
  <r>
    <n v="200"/>
    <x v="3"/>
    <x v="60"/>
    <x v="1"/>
    <s v="Percent change"/>
    <s v="Units"/>
    <x v="3"/>
    <n v="138.80799999999999"/>
  </r>
  <r>
    <n v="200"/>
    <x v="3"/>
    <x v="60"/>
    <x v="1"/>
    <s v="Percent change"/>
    <s v="Units"/>
    <x v="4"/>
    <n v="171.471"/>
  </r>
  <r>
    <n v="200"/>
    <x v="3"/>
    <x v="60"/>
    <x v="1"/>
    <s v="Percent change"/>
    <s v="Units"/>
    <x v="5"/>
    <n v="145.535"/>
  </r>
  <r>
    <n v="200"/>
    <x v="3"/>
    <x v="60"/>
    <x v="1"/>
    <s v="Percent change"/>
    <s v="Units"/>
    <x v="6"/>
    <n v="62.725999999999999"/>
  </r>
  <r>
    <n v="1"/>
    <x v="2"/>
    <x v="60"/>
    <x v="1"/>
    <s v="Percent change"/>
    <s v="Units"/>
    <x v="0"/>
    <n v="50.994"/>
  </r>
  <r>
    <n v="1"/>
    <x v="2"/>
    <x v="60"/>
    <x v="1"/>
    <s v="Percent change"/>
    <s v="Units"/>
    <x v="1"/>
    <n v="163.25800000000001"/>
  </r>
  <r>
    <n v="1"/>
    <x v="2"/>
    <x v="60"/>
    <x v="1"/>
    <s v="Percent change"/>
    <s v="Units"/>
    <x v="2"/>
    <n v="359.09199999999998"/>
  </r>
  <r>
    <n v="1"/>
    <x v="2"/>
    <x v="60"/>
    <x v="1"/>
    <s v="Percent change"/>
    <s v="Units"/>
    <x v="3"/>
    <n v="138.80799999999999"/>
  </r>
  <r>
    <n v="1"/>
    <x v="2"/>
    <x v="60"/>
    <x v="1"/>
    <s v="Percent change"/>
    <s v="Units"/>
    <x v="4"/>
    <n v="171.471"/>
  </r>
  <r>
    <n v="1"/>
    <x v="2"/>
    <x v="60"/>
    <x v="1"/>
    <s v="Percent change"/>
    <s v="Units"/>
    <x v="5"/>
    <n v="145.535"/>
  </r>
  <r>
    <n v="1"/>
    <x v="2"/>
    <x v="60"/>
    <x v="1"/>
    <s v="Percent change"/>
    <s v="Units"/>
    <x v="6"/>
    <n v="62.725999999999999"/>
  </r>
  <r>
    <n v="110"/>
    <x v="0"/>
    <x v="61"/>
    <x v="0"/>
    <s v="U.S. dollars"/>
    <s v="Billions"/>
    <x v="0"/>
    <n v="105.723"/>
  </r>
  <r>
    <n v="110"/>
    <x v="0"/>
    <x v="61"/>
    <x v="0"/>
    <s v="U.S. dollars"/>
    <s v="Billions"/>
    <x v="1"/>
    <n v="106.646"/>
  </r>
  <r>
    <n v="110"/>
    <x v="0"/>
    <x v="61"/>
    <x v="0"/>
    <s v="U.S. dollars"/>
    <s v="Billions"/>
    <x v="2"/>
    <n v="118.655"/>
  </r>
  <r>
    <n v="110"/>
    <x v="0"/>
    <x v="61"/>
    <x v="0"/>
    <s v="U.S. dollars"/>
    <s v="Billions"/>
    <x v="3"/>
    <n v="115.553"/>
  </r>
  <r>
    <n v="110"/>
    <x v="0"/>
    <x v="61"/>
    <x v="0"/>
    <s v="U.S. dollars"/>
    <s v="Billions"/>
    <x v="4"/>
    <n v="132.12200000000001"/>
  </r>
  <r>
    <n v="110"/>
    <x v="0"/>
    <x v="61"/>
    <x v="0"/>
    <s v="U.S. dollars"/>
    <s v="Billions"/>
    <x v="5"/>
    <n v="140.80799999999999"/>
  </r>
  <r>
    <n v="110"/>
    <x v="0"/>
    <x v="61"/>
    <x v="0"/>
    <s v="U.S. dollars"/>
    <s v="Billions"/>
    <x v="6"/>
    <n v="149.40100000000001"/>
  </r>
  <r>
    <n v="998"/>
    <x v="6"/>
    <x v="61"/>
    <x v="0"/>
    <s v="U.S. dollars"/>
    <s v="Billions"/>
    <x v="0"/>
    <n v="105.723"/>
  </r>
  <r>
    <n v="998"/>
    <x v="6"/>
    <x v="61"/>
    <x v="0"/>
    <s v="U.S. dollars"/>
    <s v="Billions"/>
    <x v="1"/>
    <n v="106.646"/>
  </r>
  <r>
    <n v="998"/>
    <x v="6"/>
    <x v="61"/>
    <x v="0"/>
    <s v="U.S. dollars"/>
    <s v="Billions"/>
    <x v="2"/>
    <n v="118.655"/>
  </r>
  <r>
    <n v="998"/>
    <x v="6"/>
    <x v="61"/>
    <x v="0"/>
    <s v="U.S. dollars"/>
    <s v="Billions"/>
    <x v="3"/>
    <n v="115.553"/>
  </r>
  <r>
    <n v="998"/>
    <x v="6"/>
    <x v="61"/>
    <x v="0"/>
    <s v="U.S. dollars"/>
    <s v="Billions"/>
    <x v="4"/>
    <n v="132.12200000000001"/>
  </r>
  <r>
    <n v="998"/>
    <x v="6"/>
    <x v="61"/>
    <x v="0"/>
    <s v="U.S. dollars"/>
    <s v="Billions"/>
    <x v="5"/>
    <n v="140.80799999999999"/>
  </r>
  <r>
    <n v="998"/>
    <x v="6"/>
    <x v="61"/>
    <x v="0"/>
    <s v="U.S. dollars"/>
    <s v="Billions"/>
    <x v="6"/>
    <n v="149.40100000000001"/>
  </r>
  <r>
    <n v="163"/>
    <x v="5"/>
    <x v="61"/>
    <x v="0"/>
    <s v="U.S. dollars"/>
    <s v="Billions"/>
    <x v="0"/>
    <n v="105.723"/>
  </r>
  <r>
    <n v="163"/>
    <x v="5"/>
    <x v="61"/>
    <x v="0"/>
    <s v="U.S. dollars"/>
    <s v="Billions"/>
    <x v="1"/>
    <n v="106.646"/>
  </r>
  <r>
    <n v="163"/>
    <x v="5"/>
    <x v="61"/>
    <x v="0"/>
    <s v="U.S. dollars"/>
    <s v="Billions"/>
    <x v="2"/>
    <n v="118.655"/>
  </r>
  <r>
    <n v="163"/>
    <x v="5"/>
    <x v="61"/>
    <x v="0"/>
    <s v="U.S. dollars"/>
    <s v="Billions"/>
    <x v="3"/>
    <n v="115.553"/>
  </r>
  <r>
    <n v="163"/>
    <x v="5"/>
    <x v="61"/>
    <x v="0"/>
    <s v="U.S. dollars"/>
    <s v="Billions"/>
    <x v="4"/>
    <n v="132.12200000000001"/>
  </r>
  <r>
    <n v="163"/>
    <x v="5"/>
    <x v="61"/>
    <x v="0"/>
    <s v="U.S. dollars"/>
    <s v="Billions"/>
    <x v="5"/>
    <n v="140.80799999999999"/>
  </r>
  <r>
    <n v="163"/>
    <x v="5"/>
    <x v="61"/>
    <x v="0"/>
    <s v="U.S. dollars"/>
    <s v="Billions"/>
    <x v="6"/>
    <n v="149.40100000000001"/>
  </r>
  <r>
    <n v="1"/>
    <x v="2"/>
    <x v="61"/>
    <x v="0"/>
    <s v="U.S. dollars"/>
    <s v="Billions"/>
    <x v="0"/>
    <n v="105.723"/>
  </r>
  <r>
    <n v="1"/>
    <x v="2"/>
    <x v="61"/>
    <x v="0"/>
    <s v="U.S. dollars"/>
    <s v="Billions"/>
    <x v="1"/>
    <n v="106.646"/>
  </r>
  <r>
    <n v="1"/>
    <x v="2"/>
    <x v="61"/>
    <x v="0"/>
    <s v="U.S. dollars"/>
    <s v="Billions"/>
    <x v="2"/>
    <n v="118.655"/>
  </r>
  <r>
    <n v="1"/>
    <x v="2"/>
    <x v="61"/>
    <x v="0"/>
    <s v="U.S. dollars"/>
    <s v="Billions"/>
    <x v="3"/>
    <n v="115.553"/>
  </r>
  <r>
    <n v="1"/>
    <x v="2"/>
    <x v="61"/>
    <x v="0"/>
    <s v="U.S. dollars"/>
    <s v="Billions"/>
    <x v="4"/>
    <n v="132.12200000000001"/>
  </r>
  <r>
    <n v="1"/>
    <x v="2"/>
    <x v="61"/>
    <x v="0"/>
    <s v="U.S. dollars"/>
    <s v="Billions"/>
    <x v="5"/>
    <n v="140.80799999999999"/>
  </r>
  <r>
    <n v="1"/>
    <x v="2"/>
    <x v="61"/>
    <x v="0"/>
    <s v="U.S. dollars"/>
    <s v="Billions"/>
    <x v="6"/>
    <n v="149.40100000000001"/>
  </r>
  <r>
    <n v="200"/>
    <x v="3"/>
    <x v="62"/>
    <x v="2"/>
    <s v="Percent of GDP"/>
    <s v="Units"/>
    <x v="0"/>
    <n v="136.958"/>
  </r>
  <r>
    <n v="200"/>
    <x v="3"/>
    <x v="62"/>
    <x v="2"/>
    <s v="Percent of GDP"/>
    <s v="Units"/>
    <x v="1"/>
    <n v="152.20099999999999"/>
  </r>
  <r>
    <n v="200"/>
    <x v="3"/>
    <x v="62"/>
    <x v="2"/>
    <s v="Percent of GDP"/>
    <s v="Units"/>
    <x v="2"/>
    <n v="137.44499999999999"/>
  </r>
  <r>
    <n v="200"/>
    <x v="3"/>
    <x v="62"/>
    <x v="2"/>
    <s v="Percent of GDP"/>
    <s v="Units"/>
    <x v="3"/>
    <n v="158.291"/>
  </r>
  <r>
    <n v="200"/>
    <x v="3"/>
    <x v="62"/>
    <x v="2"/>
    <s v="Percent of GDP"/>
    <s v="Units"/>
    <x v="4"/>
    <n v="135.482"/>
  </r>
  <r>
    <n v="200"/>
    <x v="3"/>
    <x v="62"/>
    <x v="2"/>
    <s v="Percent of GDP"/>
    <s v="Units"/>
    <x v="5"/>
    <n v="130.625"/>
  </r>
  <r>
    <n v="200"/>
    <x v="3"/>
    <x v="62"/>
    <x v="2"/>
    <s v="Percent of GDP"/>
    <s v="Units"/>
    <x v="6"/>
    <n v="97.876999999999995"/>
  </r>
  <r>
    <n v="505"/>
    <x v="4"/>
    <x v="62"/>
    <x v="2"/>
    <s v="Percent of GDP"/>
    <s v="Units"/>
    <x v="0"/>
    <n v="136.958"/>
  </r>
  <r>
    <n v="505"/>
    <x v="4"/>
    <x v="62"/>
    <x v="2"/>
    <s v="Percent of GDP"/>
    <s v="Units"/>
    <x v="1"/>
    <n v="152.20099999999999"/>
  </r>
  <r>
    <n v="505"/>
    <x v="4"/>
    <x v="62"/>
    <x v="2"/>
    <s v="Percent of GDP"/>
    <s v="Units"/>
    <x v="2"/>
    <n v="137.44499999999999"/>
  </r>
  <r>
    <n v="505"/>
    <x v="4"/>
    <x v="62"/>
    <x v="2"/>
    <s v="Percent of GDP"/>
    <s v="Units"/>
    <x v="3"/>
    <n v="158.291"/>
  </r>
  <r>
    <n v="505"/>
    <x v="4"/>
    <x v="62"/>
    <x v="2"/>
    <s v="Percent of GDP"/>
    <s v="Units"/>
    <x v="4"/>
    <n v="135.482"/>
  </r>
  <r>
    <n v="505"/>
    <x v="4"/>
    <x v="62"/>
    <x v="2"/>
    <s v="Percent of GDP"/>
    <s v="Units"/>
    <x v="5"/>
    <n v="130.625"/>
  </r>
  <r>
    <n v="505"/>
    <x v="4"/>
    <x v="62"/>
    <x v="2"/>
    <s v="Percent of GDP"/>
    <s v="Units"/>
    <x v="6"/>
    <n v="97.876999999999995"/>
  </r>
  <r>
    <n v="1"/>
    <x v="2"/>
    <x v="63"/>
    <x v="0"/>
    <s v="U.S. dollars"/>
    <s v="Billions"/>
    <x v="0"/>
    <n v="89.031999999999996"/>
  </r>
  <r>
    <n v="1"/>
    <x v="2"/>
    <x v="63"/>
    <x v="0"/>
    <s v="U.S. dollars"/>
    <s v="Billions"/>
    <x v="1"/>
    <n v="78.923000000000002"/>
  </r>
  <r>
    <n v="1"/>
    <x v="2"/>
    <x v="63"/>
    <x v="0"/>
    <s v="U.S. dollars"/>
    <s v="Billions"/>
    <x v="2"/>
    <n v="94.457999999999998"/>
  </r>
  <r>
    <n v="1"/>
    <x v="2"/>
    <x v="63"/>
    <x v="0"/>
    <s v="U.S. dollars"/>
    <s v="Billions"/>
    <x v="3"/>
    <n v="113.873"/>
  </r>
  <r>
    <n v="1"/>
    <x v="2"/>
    <x v="63"/>
    <x v="0"/>
    <s v="U.S. dollars"/>
    <s v="Billions"/>
    <x v="4"/>
    <n v="119.96599999999999"/>
  </r>
  <r>
    <n v="1"/>
    <x v="2"/>
    <x v="63"/>
    <x v="0"/>
    <s v="U.S. dollars"/>
    <s v="Billions"/>
    <x v="5"/>
    <n v="127.35599999999999"/>
  </r>
  <r>
    <n v="1"/>
    <x v="2"/>
    <x v="63"/>
    <x v="0"/>
    <s v="U.S. dollars"/>
    <s v="Billions"/>
    <x v="6"/>
    <n v="136.30000000000001"/>
  </r>
  <r>
    <n v="205"/>
    <x v="7"/>
    <x v="63"/>
    <x v="0"/>
    <s v="U.S. dollars"/>
    <s v="Billions"/>
    <x v="0"/>
    <n v="89.031999999999996"/>
  </r>
  <r>
    <n v="205"/>
    <x v="7"/>
    <x v="63"/>
    <x v="0"/>
    <s v="U.S. dollars"/>
    <s v="Billions"/>
    <x v="1"/>
    <n v="78.923000000000002"/>
  </r>
  <r>
    <n v="205"/>
    <x v="7"/>
    <x v="63"/>
    <x v="0"/>
    <s v="U.S. dollars"/>
    <s v="Billions"/>
    <x v="2"/>
    <n v="94.457999999999998"/>
  </r>
  <r>
    <n v="205"/>
    <x v="7"/>
    <x v="63"/>
    <x v="0"/>
    <s v="U.S. dollars"/>
    <s v="Billions"/>
    <x v="3"/>
    <n v="113.873"/>
  </r>
  <r>
    <n v="205"/>
    <x v="7"/>
    <x v="63"/>
    <x v="0"/>
    <s v="U.S. dollars"/>
    <s v="Billions"/>
    <x v="4"/>
    <n v="119.96599999999999"/>
  </r>
  <r>
    <n v="205"/>
    <x v="7"/>
    <x v="63"/>
    <x v="0"/>
    <s v="U.S. dollars"/>
    <s v="Billions"/>
    <x v="5"/>
    <n v="127.35599999999999"/>
  </r>
  <r>
    <n v="205"/>
    <x v="7"/>
    <x v="63"/>
    <x v="0"/>
    <s v="U.S. dollars"/>
    <s v="Billions"/>
    <x v="6"/>
    <n v="136.30000000000001"/>
  </r>
  <r>
    <n v="200"/>
    <x v="3"/>
    <x v="63"/>
    <x v="0"/>
    <s v="U.S. dollars"/>
    <s v="Billions"/>
    <x v="0"/>
    <n v="89.031999999999996"/>
  </r>
  <r>
    <n v="200"/>
    <x v="3"/>
    <x v="63"/>
    <x v="0"/>
    <s v="U.S. dollars"/>
    <s v="Billions"/>
    <x v="1"/>
    <n v="78.923000000000002"/>
  </r>
  <r>
    <n v="200"/>
    <x v="3"/>
    <x v="63"/>
    <x v="0"/>
    <s v="U.S. dollars"/>
    <s v="Billions"/>
    <x v="2"/>
    <n v="94.457999999999998"/>
  </r>
  <r>
    <n v="200"/>
    <x v="3"/>
    <x v="63"/>
    <x v="0"/>
    <s v="U.S. dollars"/>
    <s v="Billions"/>
    <x v="3"/>
    <n v="113.873"/>
  </r>
  <r>
    <n v="200"/>
    <x v="3"/>
    <x v="63"/>
    <x v="0"/>
    <s v="U.S. dollars"/>
    <s v="Billions"/>
    <x v="4"/>
    <n v="119.96599999999999"/>
  </r>
  <r>
    <n v="200"/>
    <x v="3"/>
    <x v="63"/>
    <x v="0"/>
    <s v="U.S. dollars"/>
    <s v="Billions"/>
    <x v="5"/>
    <n v="127.35599999999999"/>
  </r>
  <r>
    <n v="200"/>
    <x v="3"/>
    <x v="63"/>
    <x v="0"/>
    <s v="U.S. dollars"/>
    <s v="Billions"/>
    <x v="6"/>
    <n v="136.30000000000001"/>
  </r>
  <r>
    <n v="505"/>
    <x v="4"/>
    <x v="64"/>
    <x v="3"/>
    <s v="Percent of GDP"/>
    <s v="Units"/>
    <x v="0"/>
    <n v="108.258"/>
  </r>
  <r>
    <n v="505"/>
    <x v="4"/>
    <x v="64"/>
    <x v="3"/>
    <s v="Percent of GDP"/>
    <s v="Units"/>
    <x v="1"/>
    <n v="101.20399999999999"/>
  </r>
  <r>
    <n v="505"/>
    <x v="4"/>
    <x v="64"/>
    <x v="3"/>
    <s v="Percent of GDP"/>
    <s v="Units"/>
    <x v="2"/>
    <n v="82.86"/>
  </r>
  <r>
    <n v="505"/>
    <x v="4"/>
    <x v="64"/>
    <x v="3"/>
    <s v="Percent of GDP"/>
    <s v="Units"/>
    <x v="3"/>
    <n v="87.275999999999996"/>
  </r>
  <r>
    <n v="505"/>
    <x v="4"/>
    <x v="64"/>
    <x v="3"/>
    <s v="Percent of GDP"/>
    <s v="Units"/>
    <x v="4"/>
    <n v="101.992"/>
  </r>
  <r>
    <n v="505"/>
    <x v="4"/>
    <x v="64"/>
    <x v="3"/>
    <s v="Percent of GDP"/>
    <s v="Units"/>
    <x v="5"/>
    <n v="125.54600000000001"/>
  </r>
  <r>
    <n v="505"/>
    <x v="4"/>
    <x v="64"/>
    <x v="3"/>
    <s v="Percent of GDP"/>
    <s v="Units"/>
    <x v="6"/>
    <n v="107.086"/>
  </r>
  <r>
    <n v="200"/>
    <x v="3"/>
    <x v="64"/>
    <x v="3"/>
    <s v="Percent of GDP"/>
    <s v="Units"/>
    <x v="0"/>
    <n v="108.258"/>
  </r>
  <r>
    <n v="200"/>
    <x v="3"/>
    <x v="64"/>
    <x v="3"/>
    <s v="Percent of GDP"/>
    <s v="Units"/>
    <x v="1"/>
    <n v="101.20399999999999"/>
  </r>
  <r>
    <n v="200"/>
    <x v="3"/>
    <x v="64"/>
    <x v="3"/>
    <s v="Percent of GDP"/>
    <s v="Units"/>
    <x v="2"/>
    <n v="82.86"/>
  </r>
  <r>
    <n v="200"/>
    <x v="3"/>
    <x v="64"/>
    <x v="3"/>
    <s v="Percent of GDP"/>
    <s v="Units"/>
    <x v="3"/>
    <n v="87.275999999999996"/>
  </r>
  <r>
    <n v="200"/>
    <x v="3"/>
    <x v="64"/>
    <x v="3"/>
    <s v="Percent of GDP"/>
    <s v="Units"/>
    <x v="4"/>
    <n v="101.992"/>
  </r>
  <r>
    <n v="200"/>
    <x v="3"/>
    <x v="64"/>
    <x v="3"/>
    <s v="Percent of GDP"/>
    <s v="Units"/>
    <x v="5"/>
    <n v="125.54600000000001"/>
  </r>
  <r>
    <n v="200"/>
    <x v="3"/>
    <x v="64"/>
    <x v="3"/>
    <s v="Percent of GDP"/>
    <s v="Units"/>
    <x v="6"/>
    <n v="107.086"/>
  </r>
  <r>
    <n v="200"/>
    <x v="3"/>
    <x v="65"/>
    <x v="2"/>
    <s v="Percent of GDP"/>
    <s v="Units"/>
    <x v="0"/>
    <n v="111.824"/>
  </r>
  <r>
    <n v="200"/>
    <x v="3"/>
    <x v="65"/>
    <x v="2"/>
    <s v="Percent of GDP"/>
    <s v="Units"/>
    <x v="1"/>
    <n v="138.63"/>
  </r>
  <r>
    <n v="200"/>
    <x v="3"/>
    <x v="65"/>
    <x v="2"/>
    <s v="Percent of GDP"/>
    <s v="Units"/>
    <x v="2"/>
    <n v="109.535"/>
  </r>
  <r>
    <n v="200"/>
    <x v="3"/>
    <x v="65"/>
    <x v="2"/>
    <s v="Percent of GDP"/>
    <s v="Units"/>
    <x v="3"/>
    <n v="127.869"/>
  </r>
  <r>
    <n v="200"/>
    <x v="3"/>
    <x v="65"/>
    <x v="2"/>
    <s v="Percent of GDP"/>
    <s v="Units"/>
    <x v="4"/>
    <n v="123.85299999999999"/>
  </r>
  <r>
    <n v="200"/>
    <x v="3"/>
    <x v="65"/>
    <x v="2"/>
    <s v="Percent of GDP"/>
    <s v="Units"/>
    <x v="5"/>
    <n v="123.19199999999999"/>
  </r>
  <r>
    <n v="200"/>
    <x v="3"/>
    <x v="65"/>
    <x v="2"/>
    <s v="Percent of GDP"/>
    <s v="Units"/>
    <x v="6"/>
    <n v="116.786"/>
  </r>
  <r>
    <n v="505"/>
    <x v="4"/>
    <x v="65"/>
    <x v="2"/>
    <s v="Percent of GDP"/>
    <s v="Units"/>
    <x v="0"/>
    <n v="111.824"/>
  </r>
  <r>
    <n v="505"/>
    <x v="4"/>
    <x v="65"/>
    <x v="2"/>
    <s v="Percent of GDP"/>
    <s v="Units"/>
    <x v="1"/>
    <n v="138.63"/>
  </r>
  <r>
    <n v="505"/>
    <x v="4"/>
    <x v="65"/>
    <x v="2"/>
    <s v="Percent of GDP"/>
    <s v="Units"/>
    <x v="2"/>
    <n v="109.535"/>
  </r>
  <r>
    <n v="505"/>
    <x v="4"/>
    <x v="65"/>
    <x v="2"/>
    <s v="Percent of GDP"/>
    <s v="Units"/>
    <x v="3"/>
    <n v="127.869"/>
  </r>
  <r>
    <n v="505"/>
    <x v="4"/>
    <x v="65"/>
    <x v="2"/>
    <s v="Percent of GDP"/>
    <s v="Units"/>
    <x v="4"/>
    <n v="123.85299999999999"/>
  </r>
  <r>
    <n v="505"/>
    <x v="4"/>
    <x v="65"/>
    <x v="2"/>
    <s v="Percent of GDP"/>
    <s v="Units"/>
    <x v="5"/>
    <n v="123.19199999999999"/>
  </r>
  <r>
    <n v="505"/>
    <x v="4"/>
    <x v="65"/>
    <x v="2"/>
    <s v="Percent of GDP"/>
    <s v="Units"/>
    <x v="6"/>
    <n v="116.786"/>
  </r>
  <r>
    <n v="200"/>
    <x v="3"/>
    <x v="66"/>
    <x v="0"/>
    <s v="U.S. dollars"/>
    <s v="Billions"/>
    <x v="0"/>
    <n v="107.596"/>
  </r>
  <r>
    <n v="200"/>
    <x v="3"/>
    <x v="66"/>
    <x v="0"/>
    <s v="U.S. dollars"/>
    <s v="Billions"/>
    <x v="1"/>
    <n v="95.864999999999995"/>
  </r>
  <r>
    <n v="200"/>
    <x v="3"/>
    <x v="66"/>
    <x v="0"/>
    <s v="U.S. dollars"/>
    <s v="Billions"/>
    <x v="2"/>
    <n v="107.435"/>
  </r>
  <r>
    <n v="200"/>
    <x v="3"/>
    <x v="66"/>
    <x v="0"/>
    <s v="U.S. dollars"/>
    <s v="Billions"/>
    <x v="3"/>
    <n v="116.586"/>
  </r>
  <r>
    <n v="200"/>
    <x v="3"/>
    <x v="66"/>
    <x v="0"/>
    <s v="U.S. dollars"/>
    <s v="Billions"/>
    <x v="4"/>
    <n v="120.175"/>
  </r>
  <r>
    <n v="200"/>
    <x v="3"/>
    <x v="66"/>
    <x v="0"/>
    <s v="U.S. dollars"/>
    <s v="Billions"/>
    <x v="5"/>
    <n v="121.592"/>
  </r>
  <r>
    <n v="200"/>
    <x v="3"/>
    <x v="66"/>
    <x v="0"/>
    <s v="U.S. dollars"/>
    <s v="Billions"/>
    <x v="6"/>
    <n v="124.408"/>
  </r>
  <r>
    <n v="1"/>
    <x v="2"/>
    <x v="66"/>
    <x v="0"/>
    <s v="U.S. dollars"/>
    <s v="Billions"/>
    <x v="0"/>
    <n v="107.596"/>
  </r>
  <r>
    <n v="1"/>
    <x v="2"/>
    <x v="66"/>
    <x v="0"/>
    <s v="U.S. dollars"/>
    <s v="Billions"/>
    <x v="1"/>
    <n v="95.864999999999995"/>
  </r>
  <r>
    <n v="1"/>
    <x v="2"/>
    <x v="66"/>
    <x v="0"/>
    <s v="U.S. dollars"/>
    <s v="Billions"/>
    <x v="2"/>
    <n v="107.435"/>
  </r>
  <r>
    <n v="1"/>
    <x v="2"/>
    <x v="66"/>
    <x v="0"/>
    <s v="U.S. dollars"/>
    <s v="Billions"/>
    <x v="3"/>
    <n v="116.586"/>
  </r>
  <r>
    <n v="1"/>
    <x v="2"/>
    <x v="66"/>
    <x v="0"/>
    <s v="U.S. dollars"/>
    <s v="Billions"/>
    <x v="4"/>
    <n v="120.175"/>
  </r>
  <r>
    <n v="1"/>
    <x v="2"/>
    <x v="66"/>
    <x v="0"/>
    <s v="U.S. dollars"/>
    <s v="Billions"/>
    <x v="5"/>
    <n v="121.592"/>
  </r>
  <r>
    <n v="1"/>
    <x v="2"/>
    <x v="66"/>
    <x v="0"/>
    <s v="U.S. dollars"/>
    <s v="Billions"/>
    <x v="6"/>
    <n v="124.408"/>
  </r>
  <r>
    <n v="205"/>
    <x v="7"/>
    <x v="66"/>
    <x v="0"/>
    <s v="U.S. dollars"/>
    <s v="Billions"/>
    <x v="0"/>
    <n v="107.596"/>
  </r>
  <r>
    <n v="205"/>
    <x v="7"/>
    <x v="66"/>
    <x v="0"/>
    <s v="U.S. dollars"/>
    <s v="Billions"/>
    <x v="1"/>
    <n v="95.864999999999995"/>
  </r>
  <r>
    <n v="205"/>
    <x v="7"/>
    <x v="66"/>
    <x v="0"/>
    <s v="U.S. dollars"/>
    <s v="Billions"/>
    <x v="2"/>
    <n v="107.435"/>
  </r>
  <r>
    <n v="205"/>
    <x v="7"/>
    <x v="66"/>
    <x v="0"/>
    <s v="U.S. dollars"/>
    <s v="Billions"/>
    <x v="3"/>
    <n v="116.586"/>
  </r>
  <r>
    <n v="205"/>
    <x v="7"/>
    <x v="66"/>
    <x v="0"/>
    <s v="U.S. dollars"/>
    <s v="Billions"/>
    <x v="4"/>
    <n v="120.175"/>
  </r>
  <r>
    <n v="205"/>
    <x v="7"/>
    <x v="66"/>
    <x v="0"/>
    <s v="U.S. dollars"/>
    <s v="Billions"/>
    <x v="5"/>
    <n v="121.592"/>
  </r>
  <r>
    <n v="205"/>
    <x v="7"/>
    <x v="66"/>
    <x v="0"/>
    <s v="U.S. dollars"/>
    <s v="Billions"/>
    <x v="6"/>
    <n v="124.408"/>
  </r>
  <r>
    <n v="505"/>
    <x v="4"/>
    <x v="65"/>
    <x v="3"/>
    <s v="Percent of GDP"/>
    <s v="Units"/>
    <x v="0"/>
    <n v="112.89"/>
  </r>
  <r>
    <n v="505"/>
    <x v="4"/>
    <x v="65"/>
    <x v="3"/>
    <s v="Percent of GDP"/>
    <s v="Units"/>
    <x v="1"/>
    <n v="124.749"/>
  </r>
  <r>
    <n v="505"/>
    <x v="4"/>
    <x v="65"/>
    <x v="3"/>
    <s v="Percent of GDP"/>
    <s v="Units"/>
    <x v="2"/>
    <n v="123.38200000000001"/>
  </r>
  <r>
    <n v="505"/>
    <x v="4"/>
    <x v="65"/>
    <x v="3"/>
    <s v="Percent of GDP"/>
    <s v="Units"/>
    <x v="3"/>
    <n v="119.123"/>
  </r>
  <r>
    <n v="505"/>
    <x v="4"/>
    <x v="65"/>
    <x v="3"/>
    <s v="Percent of GDP"/>
    <s v="Units"/>
    <x v="4"/>
    <n v="121.869"/>
  </r>
  <r>
    <n v="505"/>
    <x v="4"/>
    <x v="65"/>
    <x v="3"/>
    <s v="Percent of GDP"/>
    <s v="Units"/>
    <x v="5"/>
    <n v="121.294"/>
  </r>
  <r>
    <n v="505"/>
    <x v="4"/>
    <x v="65"/>
    <x v="3"/>
    <s v="Percent of GDP"/>
    <s v="Units"/>
    <x v="6"/>
    <n v="119.512"/>
  </r>
  <r>
    <n v="200"/>
    <x v="3"/>
    <x v="65"/>
    <x v="3"/>
    <s v="Percent of GDP"/>
    <s v="Units"/>
    <x v="0"/>
    <n v="112.89"/>
  </r>
  <r>
    <n v="200"/>
    <x v="3"/>
    <x v="65"/>
    <x v="3"/>
    <s v="Percent of GDP"/>
    <s v="Units"/>
    <x v="1"/>
    <n v="124.749"/>
  </r>
  <r>
    <n v="200"/>
    <x v="3"/>
    <x v="65"/>
    <x v="3"/>
    <s v="Percent of GDP"/>
    <s v="Units"/>
    <x v="2"/>
    <n v="123.38200000000001"/>
  </r>
  <r>
    <n v="200"/>
    <x v="3"/>
    <x v="65"/>
    <x v="3"/>
    <s v="Percent of GDP"/>
    <s v="Units"/>
    <x v="3"/>
    <n v="119.123"/>
  </r>
  <r>
    <n v="200"/>
    <x v="3"/>
    <x v="65"/>
    <x v="3"/>
    <s v="Percent of GDP"/>
    <s v="Units"/>
    <x v="4"/>
    <n v="121.869"/>
  </r>
  <r>
    <n v="200"/>
    <x v="3"/>
    <x v="65"/>
    <x v="3"/>
    <s v="Percent of GDP"/>
    <s v="Units"/>
    <x v="5"/>
    <n v="121.294"/>
  </r>
  <r>
    <n v="200"/>
    <x v="3"/>
    <x v="65"/>
    <x v="3"/>
    <s v="Percent of GDP"/>
    <s v="Units"/>
    <x v="6"/>
    <n v="119.512"/>
  </r>
  <r>
    <n v="123"/>
    <x v="9"/>
    <x v="67"/>
    <x v="0"/>
    <s v="U.S. dollars"/>
    <s v="Billions"/>
    <x v="0"/>
    <n v="105.126"/>
  </r>
  <r>
    <n v="123"/>
    <x v="9"/>
    <x v="67"/>
    <x v="0"/>
    <s v="U.S. dollars"/>
    <s v="Billions"/>
    <x v="1"/>
    <n v="103.131"/>
  </r>
  <r>
    <n v="123"/>
    <x v="9"/>
    <x v="67"/>
    <x v="0"/>
    <s v="U.S. dollars"/>
    <s v="Billions"/>
    <x v="2"/>
    <n v="106.369"/>
  </r>
  <r>
    <n v="123"/>
    <x v="9"/>
    <x v="67"/>
    <x v="0"/>
    <s v="U.S. dollars"/>
    <s v="Billions"/>
    <x v="3"/>
    <n v="113.435"/>
  </r>
  <r>
    <n v="123"/>
    <x v="9"/>
    <x v="67"/>
    <x v="0"/>
    <s v="U.S. dollars"/>
    <s v="Billions"/>
    <x v="4"/>
    <n v="115.79900000000001"/>
  </r>
  <r>
    <n v="123"/>
    <x v="9"/>
    <x v="67"/>
    <x v="0"/>
    <s v="U.S. dollars"/>
    <s v="Billions"/>
    <x v="5"/>
    <n v="117.76300000000001"/>
  </r>
  <r>
    <n v="123"/>
    <x v="9"/>
    <x v="67"/>
    <x v="0"/>
    <s v="U.S. dollars"/>
    <s v="Billions"/>
    <x v="6"/>
    <n v="120.425"/>
  </r>
  <r>
    <n v="110"/>
    <x v="0"/>
    <x v="67"/>
    <x v="0"/>
    <s v="U.S. dollars"/>
    <s v="Billions"/>
    <x v="0"/>
    <n v="105.126"/>
  </r>
  <r>
    <n v="110"/>
    <x v="0"/>
    <x v="67"/>
    <x v="0"/>
    <s v="U.S. dollars"/>
    <s v="Billions"/>
    <x v="1"/>
    <n v="103.131"/>
  </r>
  <r>
    <n v="110"/>
    <x v="0"/>
    <x v="67"/>
    <x v="0"/>
    <s v="U.S. dollars"/>
    <s v="Billions"/>
    <x v="2"/>
    <n v="106.369"/>
  </r>
  <r>
    <n v="110"/>
    <x v="0"/>
    <x v="67"/>
    <x v="0"/>
    <s v="U.S. dollars"/>
    <s v="Billions"/>
    <x v="3"/>
    <n v="113.435"/>
  </r>
  <r>
    <n v="110"/>
    <x v="0"/>
    <x v="67"/>
    <x v="0"/>
    <s v="U.S. dollars"/>
    <s v="Billions"/>
    <x v="4"/>
    <n v="115.79900000000001"/>
  </r>
  <r>
    <n v="110"/>
    <x v="0"/>
    <x v="67"/>
    <x v="0"/>
    <s v="U.S. dollars"/>
    <s v="Billions"/>
    <x v="5"/>
    <n v="117.76300000000001"/>
  </r>
  <r>
    <n v="110"/>
    <x v="0"/>
    <x v="67"/>
    <x v="0"/>
    <s v="U.S. dollars"/>
    <s v="Billions"/>
    <x v="6"/>
    <n v="120.425"/>
  </r>
  <r>
    <n v="1"/>
    <x v="2"/>
    <x v="67"/>
    <x v="0"/>
    <s v="U.S. dollars"/>
    <s v="Billions"/>
    <x v="0"/>
    <n v="105.126"/>
  </r>
  <r>
    <n v="1"/>
    <x v="2"/>
    <x v="67"/>
    <x v="0"/>
    <s v="U.S. dollars"/>
    <s v="Billions"/>
    <x v="1"/>
    <n v="103.131"/>
  </r>
  <r>
    <n v="1"/>
    <x v="2"/>
    <x v="67"/>
    <x v="0"/>
    <s v="U.S. dollars"/>
    <s v="Billions"/>
    <x v="2"/>
    <n v="106.369"/>
  </r>
  <r>
    <n v="1"/>
    <x v="2"/>
    <x v="67"/>
    <x v="0"/>
    <s v="U.S. dollars"/>
    <s v="Billions"/>
    <x v="3"/>
    <n v="113.435"/>
  </r>
  <r>
    <n v="1"/>
    <x v="2"/>
    <x v="67"/>
    <x v="0"/>
    <s v="U.S. dollars"/>
    <s v="Billions"/>
    <x v="4"/>
    <n v="115.79900000000001"/>
  </r>
  <r>
    <n v="1"/>
    <x v="2"/>
    <x v="67"/>
    <x v="0"/>
    <s v="U.S. dollars"/>
    <s v="Billions"/>
    <x v="5"/>
    <n v="117.76300000000001"/>
  </r>
  <r>
    <n v="1"/>
    <x v="2"/>
    <x v="67"/>
    <x v="0"/>
    <s v="U.S. dollars"/>
    <s v="Billions"/>
    <x v="6"/>
    <n v="120.425"/>
  </r>
  <r>
    <n v="505"/>
    <x v="4"/>
    <x v="62"/>
    <x v="3"/>
    <s v="Percent of GDP"/>
    <s v="Units"/>
    <x v="0"/>
    <n v="105.97"/>
  </r>
  <r>
    <n v="505"/>
    <x v="4"/>
    <x v="62"/>
    <x v="3"/>
    <s v="Percent of GDP"/>
    <s v="Units"/>
    <x v="1"/>
    <n v="109.39100000000001"/>
  </r>
  <r>
    <n v="505"/>
    <x v="4"/>
    <x v="62"/>
    <x v="3"/>
    <s v="Percent of GDP"/>
    <s v="Units"/>
    <x v="2"/>
    <n v="92.957999999999998"/>
  </r>
  <r>
    <n v="505"/>
    <x v="4"/>
    <x v="62"/>
    <x v="3"/>
    <s v="Percent of GDP"/>
    <s v="Units"/>
    <x v="3"/>
    <n v="133.536"/>
  </r>
  <r>
    <n v="505"/>
    <x v="4"/>
    <x v="62"/>
    <x v="3"/>
    <s v="Percent of GDP"/>
    <s v="Units"/>
    <x v="4"/>
    <n v="116.373"/>
  </r>
  <r>
    <n v="505"/>
    <x v="4"/>
    <x v="62"/>
    <x v="3"/>
    <s v="Percent of GDP"/>
    <s v="Units"/>
    <x v="5"/>
    <n v="116.889"/>
  </r>
  <r>
    <n v="505"/>
    <x v="4"/>
    <x v="62"/>
    <x v="3"/>
    <s v="Percent of GDP"/>
    <s v="Units"/>
    <x v="6"/>
    <n v="90.951999999999998"/>
  </r>
  <r>
    <n v="200"/>
    <x v="3"/>
    <x v="62"/>
    <x v="3"/>
    <s v="Percent of GDP"/>
    <s v="Units"/>
    <x v="0"/>
    <n v="105.97"/>
  </r>
  <r>
    <n v="200"/>
    <x v="3"/>
    <x v="62"/>
    <x v="3"/>
    <s v="Percent of GDP"/>
    <s v="Units"/>
    <x v="1"/>
    <n v="109.39100000000001"/>
  </r>
  <r>
    <n v="200"/>
    <x v="3"/>
    <x v="62"/>
    <x v="3"/>
    <s v="Percent of GDP"/>
    <s v="Units"/>
    <x v="2"/>
    <n v="92.957999999999998"/>
  </r>
  <r>
    <n v="200"/>
    <x v="3"/>
    <x v="62"/>
    <x v="3"/>
    <s v="Percent of GDP"/>
    <s v="Units"/>
    <x v="3"/>
    <n v="133.536"/>
  </r>
  <r>
    <n v="200"/>
    <x v="3"/>
    <x v="62"/>
    <x v="3"/>
    <s v="Percent of GDP"/>
    <s v="Units"/>
    <x v="4"/>
    <n v="116.373"/>
  </r>
  <r>
    <n v="200"/>
    <x v="3"/>
    <x v="62"/>
    <x v="3"/>
    <s v="Percent of GDP"/>
    <s v="Units"/>
    <x v="5"/>
    <n v="116.889"/>
  </r>
  <r>
    <n v="200"/>
    <x v="3"/>
    <x v="62"/>
    <x v="3"/>
    <s v="Percent of GDP"/>
    <s v="Units"/>
    <x v="6"/>
    <n v="90.951999999999998"/>
  </r>
  <r>
    <n v="200"/>
    <x v="3"/>
    <x v="68"/>
    <x v="0"/>
    <s v="U.S. dollars"/>
    <s v="Billions"/>
    <x v="0"/>
    <n v="77.156000000000006"/>
  </r>
  <r>
    <n v="200"/>
    <x v="3"/>
    <x v="68"/>
    <x v="0"/>
    <s v="U.S. dollars"/>
    <s v="Billions"/>
    <x v="1"/>
    <n v="77.713999999999999"/>
  </r>
  <r>
    <n v="200"/>
    <x v="3"/>
    <x v="68"/>
    <x v="0"/>
    <s v="U.S. dollars"/>
    <s v="Billions"/>
    <x v="2"/>
    <n v="86.040999999999997"/>
  </r>
  <r>
    <n v="200"/>
    <x v="3"/>
    <x v="68"/>
    <x v="0"/>
    <s v="U.S. dollars"/>
    <s v="Billions"/>
    <x v="3"/>
    <n v="95.004000000000005"/>
  </r>
  <r>
    <n v="200"/>
    <x v="3"/>
    <x v="68"/>
    <x v="0"/>
    <s v="U.S. dollars"/>
    <s v="Billions"/>
    <x v="4"/>
    <n v="102.036"/>
  </r>
  <r>
    <n v="200"/>
    <x v="3"/>
    <x v="68"/>
    <x v="0"/>
    <s v="U.S. dollars"/>
    <s v="Billions"/>
    <x v="5"/>
    <n v="110.035"/>
  </r>
  <r>
    <n v="200"/>
    <x v="3"/>
    <x v="68"/>
    <x v="0"/>
    <s v="U.S. dollars"/>
    <s v="Billions"/>
    <x v="6"/>
    <n v="117.986"/>
  </r>
  <r>
    <n v="205"/>
    <x v="7"/>
    <x v="68"/>
    <x v="0"/>
    <s v="U.S. dollars"/>
    <s v="Billions"/>
    <x v="0"/>
    <n v="77.156000000000006"/>
  </r>
  <r>
    <n v="205"/>
    <x v="7"/>
    <x v="68"/>
    <x v="0"/>
    <s v="U.S. dollars"/>
    <s v="Billions"/>
    <x v="1"/>
    <n v="77.713999999999999"/>
  </r>
  <r>
    <n v="205"/>
    <x v="7"/>
    <x v="68"/>
    <x v="0"/>
    <s v="U.S. dollars"/>
    <s v="Billions"/>
    <x v="2"/>
    <n v="86.040999999999997"/>
  </r>
  <r>
    <n v="205"/>
    <x v="7"/>
    <x v="68"/>
    <x v="0"/>
    <s v="U.S. dollars"/>
    <s v="Billions"/>
    <x v="3"/>
    <n v="95.004000000000005"/>
  </r>
  <r>
    <n v="205"/>
    <x v="7"/>
    <x v="68"/>
    <x v="0"/>
    <s v="U.S. dollars"/>
    <s v="Billions"/>
    <x v="4"/>
    <n v="102.036"/>
  </r>
  <r>
    <n v="205"/>
    <x v="7"/>
    <x v="68"/>
    <x v="0"/>
    <s v="U.S. dollars"/>
    <s v="Billions"/>
    <x v="5"/>
    <n v="110.035"/>
  </r>
  <r>
    <n v="205"/>
    <x v="7"/>
    <x v="68"/>
    <x v="0"/>
    <s v="U.S. dollars"/>
    <s v="Billions"/>
    <x v="6"/>
    <n v="117.986"/>
  </r>
  <r>
    <n v="1"/>
    <x v="2"/>
    <x v="68"/>
    <x v="0"/>
    <s v="U.S. dollars"/>
    <s v="Billions"/>
    <x v="0"/>
    <n v="77.156000000000006"/>
  </r>
  <r>
    <n v="1"/>
    <x v="2"/>
    <x v="68"/>
    <x v="0"/>
    <s v="U.S. dollars"/>
    <s v="Billions"/>
    <x v="1"/>
    <n v="77.713999999999999"/>
  </r>
  <r>
    <n v="1"/>
    <x v="2"/>
    <x v="68"/>
    <x v="0"/>
    <s v="U.S. dollars"/>
    <s v="Billions"/>
    <x v="2"/>
    <n v="86.040999999999997"/>
  </r>
  <r>
    <n v="1"/>
    <x v="2"/>
    <x v="68"/>
    <x v="0"/>
    <s v="U.S. dollars"/>
    <s v="Billions"/>
    <x v="3"/>
    <n v="95.004000000000005"/>
  </r>
  <r>
    <n v="1"/>
    <x v="2"/>
    <x v="68"/>
    <x v="0"/>
    <s v="U.S. dollars"/>
    <s v="Billions"/>
    <x v="4"/>
    <n v="102.036"/>
  </r>
  <r>
    <n v="1"/>
    <x v="2"/>
    <x v="68"/>
    <x v="0"/>
    <s v="U.S. dollars"/>
    <s v="Billions"/>
    <x v="5"/>
    <n v="110.035"/>
  </r>
  <r>
    <n v="1"/>
    <x v="2"/>
    <x v="68"/>
    <x v="0"/>
    <s v="U.S. dollars"/>
    <s v="Billions"/>
    <x v="6"/>
    <n v="117.986"/>
  </r>
  <r>
    <n v="1"/>
    <x v="2"/>
    <x v="69"/>
    <x v="0"/>
    <s v="U.S. dollars"/>
    <s v="Billions"/>
    <x v="0"/>
    <n v="88.061000000000007"/>
  </r>
  <r>
    <n v="1"/>
    <x v="2"/>
    <x v="69"/>
    <x v="0"/>
    <s v="U.S. dollars"/>
    <s v="Billions"/>
    <x v="1"/>
    <n v="75.909000000000006"/>
  </r>
  <r>
    <n v="1"/>
    <x v="2"/>
    <x v="69"/>
    <x v="0"/>
    <s v="U.S. dollars"/>
    <s v="Billions"/>
    <x v="2"/>
    <n v="88.191999999999993"/>
  </r>
  <r>
    <n v="1"/>
    <x v="2"/>
    <x v="69"/>
    <x v="0"/>
    <s v="U.S. dollars"/>
    <s v="Billions"/>
    <x v="3"/>
    <n v="114.667"/>
  </r>
  <r>
    <n v="1"/>
    <x v="2"/>
    <x v="69"/>
    <x v="0"/>
    <s v="U.S. dollars"/>
    <s v="Billions"/>
    <x v="4"/>
    <n v="109.133"/>
  </r>
  <r>
    <n v="1"/>
    <x v="2"/>
    <x v="69"/>
    <x v="0"/>
    <s v="U.S. dollars"/>
    <s v="Billions"/>
    <x v="5"/>
    <n v="108.92700000000001"/>
  </r>
  <r>
    <n v="1"/>
    <x v="2"/>
    <x v="69"/>
    <x v="0"/>
    <s v="U.S. dollars"/>
    <s v="Billions"/>
    <x v="6"/>
    <n v="111.05200000000001"/>
  </r>
  <r>
    <n v="200"/>
    <x v="3"/>
    <x v="69"/>
    <x v="0"/>
    <s v="U.S. dollars"/>
    <s v="Billions"/>
    <x v="0"/>
    <n v="88.061000000000007"/>
  </r>
  <r>
    <n v="200"/>
    <x v="3"/>
    <x v="69"/>
    <x v="0"/>
    <s v="U.S. dollars"/>
    <s v="Billions"/>
    <x v="1"/>
    <n v="75.909000000000006"/>
  </r>
  <r>
    <n v="200"/>
    <x v="3"/>
    <x v="69"/>
    <x v="0"/>
    <s v="U.S. dollars"/>
    <s v="Billions"/>
    <x v="2"/>
    <n v="88.191999999999993"/>
  </r>
  <r>
    <n v="200"/>
    <x v="3"/>
    <x v="69"/>
    <x v="0"/>
    <s v="U.S. dollars"/>
    <s v="Billions"/>
    <x v="3"/>
    <n v="114.667"/>
  </r>
  <r>
    <n v="200"/>
    <x v="3"/>
    <x v="69"/>
    <x v="0"/>
    <s v="U.S. dollars"/>
    <s v="Billions"/>
    <x v="4"/>
    <n v="109.133"/>
  </r>
  <r>
    <n v="200"/>
    <x v="3"/>
    <x v="69"/>
    <x v="0"/>
    <s v="U.S. dollars"/>
    <s v="Billions"/>
    <x v="5"/>
    <n v="108.92700000000001"/>
  </r>
  <r>
    <n v="200"/>
    <x v="3"/>
    <x v="69"/>
    <x v="0"/>
    <s v="U.S. dollars"/>
    <s v="Billions"/>
    <x v="6"/>
    <n v="111.05200000000001"/>
  </r>
  <r>
    <n v="400"/>
    <x v="11"/>
    <x v="69"/>
    <x v="0"/>
    <s v="U.S. dollars"/>
    <s v="Billions"/>
    <x v="0"/>
    <n v="88.061000000000007"/>
  </r>
  <r>
    <n v="400"/>
    <x v="11"/>
    <x v="69"/>
    <x v="0"/>
    <s v="U.S. dollars"/>
    <s v="Billions"/>
    <x v="1"/>
    <n v="75.909000000000006"/>
  </r>
  <r>
    <n v="400"/>
    <x v="11"/>
    <x v="69"/>
    <x v="0"/>
    <s v="U.S. dollars"/>
    <s v="Billions"/>
    <x v="2"/>
    <n v="88.191999999999993"/>
  </r>
  <r>
    <n v="400"/>
    <x v="11"/>
    <x v="69"/>
    <x v="0"/>
    <s v="U.S. dollars"/>
    <s v="Billions"/>
    <x v="3"/>
    <n v="114.667"/>
  </r>
  <r>
    <n v="400"/>
    <x v="11"/>
    <x v="69"/>
    <x v="0"/>
    <s v="U.S. dollars"/>
    <s v="Billions"/>
    <x v="4"/>
    <n v="109.133"/>
  </r>
  <r>
    <n v="400"/>
    <x v="11"/>
    <x v="69"/>
    <x v="0"/>
    <s v="U.S. dollars"/>
    <s v="Billions"/>
    <x v="5"/>
    <n v="108.92700000000001"/>
  </r>
  <r>
    <n v="400"/>
    <x v="11"/>
    <x v="69"/>
    <x v="0"/>
    <s v="U.S. dollars"/>
    <s v="Billions"/>
    <x v="6"/>
    <n v="111.05200000000001"/>
  </r>
  <r>
    <n v="998"/>
    <x v="6"/>
    <x v="70"/>
    <x v="0"/>
    <s v="U.S. dollars"/>
    <s v="Billions"/>
    <x v="0"/>
    <n v="68.888999999999996"/>
  </r>
  <r>
    <n v="998"/>
    <x v="6"/>
    <x v="70"/>
    <x v="0"/>
    <s v="U.S. dollars"/>
    <s v="Billions"/>
    <x v="1"/>
    <n v="70.311000000000007"/>
  </r>
  <r>
    <n v="998"/>
    <x v="6"/>
    <x v="70"/>
    <x v="0"/>
    <s v="U.S. dollars"/>
    <s v="Billions"/>
    <x v="2"/>
    <n v="84.1"/>
  </r>
  <r>
    <n v="998"/>
    <x v="6"/>
    <x v="70"/>
    <x v="0"/>
    <s v="U.S. dollars"/>
    <s v="Billions"/>
    <x v="3"/>
    <n v="90.421999999999997"/>
  </r>
  <r>
    <n v="998"/>
    <x v="6"/>
    <x v="70"/>
    <x v="0"/>
    <s v="U.S. dollars"/>
    <s v="Billions"/>
    <x v="4"/>
    <n v="101.611"/>
  </r>
  <r>
    <n v="998"/>
    <x v="6"/>
    <x v="70"/>
    <x v="0"/>
    <s v="U.S. dollars"/>
    <s v="Billions"/>
    <x v="5"/>
    <n v="107.93300000000001"/>
  </r>
  <r>
    <n v="998"/>
    <x v="6"/>
    <x v="70"/>
    <x v="0"/>
    <s v="U.S. dollars"/>
    <s v="Billions"/>
    <x v="6"/>
    <n v="114.461"/>
  </r>
  <r>
    <n v="903"/>
    <x v="8"/>
    <x v="70"/>
    <x v="0"/>
    <s v="U.S. dollars"/>
    <s v="Billions"/>
    <x v="0"/>
    <n v="68.888999999999996"/>
  </r>
  <r>
    <n v="903"/>
    <x v="8"/>
    <x v="70"/>
    <x v="0"/>
    <s v="U.S. dollars"/>
    <s v="Billions"/>
    <x v="1"/>
    <n v="70.311000000000007"/>
  </r>
  <r>
    <n v="903"/>
    <x v="8"/>
    <x v="70"/>
    <x v="0"/>
    <s v="U.S. dollars"/>
    <s v="Billions"/>
    <x v="2"/>
    <n v="84.1"/>
  </r>
  <r>
    <n v="903"/>
    <x v="8"/>
    <x v="70"/>
    <x v="0"/>
    <s v="U.S. dollars"/>
    <s v="Billions"/>
    <x v="3"/>
    <n v="90.421999999999997"/>
  </r>
  <r>
    <n v="903"/>
    <x v="8"/>
    <x v="70"/>
    <x v="0"/>
    <s v="U.S. dollars"/>
    <s v="Billions"/>
    <x v="4"/>
    <n v="101.611"/>
  </r>
  <r>
    <n v="903"/>
    <x v="8"/>
    <x v="70"/>
    <x v="0"/>
    <s v="U.S. dollars"/>
    <s v="Billions"/>
    <x v="5"/>
    <n v="107.93300000000001"/>
  </r>
  <r>
    <n v="903"/>
    <x v="8"/>
    <x v="70"/>
    <x v="0"/>
    <s v="U.S. dollars"/>
    <s v="Billions"/>
    <x v="6"/>
    <n v="114.461"/>
  </r>
  <r>
    <n v="200"/>
    <x v="3"/>
    <x v="70"/>
    <x v="0"/>
    <s v="U.S. dollars"/>
    <s v="Billions"/>
    <x v="0"/>
    <n v="68.888999999999996"/>
  </r>
  <r>
    <n v="200"/>
    <x v="3"/>
    <x v="70"/>
    <x v="0"/>
    <s v="U.S. dollars"/>
    <s v="Billions"/>
    <x v="1"/>
    <n v="70.311000000000007"/>
  </r>
  <r>
    <n v="200"/>
    <x v="3"/>
    <x v="70"/>
    <x v="0"/>
    <s v="U.S. dollars"/>
    <s v="Billions"/>
    <x v="2"/>
    <n v="84.1"/>
  </r>
  <r>
    <n v="200"/>
    <x v="3"/>
    <x v="70"/>
    <x v="0"/>
    <s v="U.S. dollars"/>
    <s v="Billions"/>
    <x v="3"/>
    <n v="90.421999999999997"/>
  </r>
  <r>
    <n v="200"/>
    <x v="3"/>
    <x v="70"/>
    <x v="0"/>
    <s v="U.S. dollars"/>
    <s v="Billions"/>
    <x v="4"/>
    <n v="101.611"/>
  </r>
  <r>
    <n v="200"/>
    <x v="3"/>
    <x v="70"/>
    <x v="0"/>
    <s v="U.S. dollars"/>
    <s v="Billions"/>
    <x v="5"/>
    <n v="107.93300000000001"/>
  </r>
  <r>
    <n v="200"/>
    <x v="3"/>
    <x v="70"/>
    <x v="0"/>
    <s v="U.S. dollars"/>
    <s v="Billions"/>
    <x v="6"/>
    <n v="114.461"/>
  </r>
  <r>
    <n v="1"/>
    <x v="2"/>
    <x v="70"/>
    <x v="0"/>
    <s v="U.S. dollars"/>
    <s v="Billions"/>
    <x v="0"/>
    <n v="68.888999999999996"/>
  </r>
  <r>
    <n v="1"/>
    <x v="2"/>
    <x v="70"/>
    <x v="0"/>
    <s v="U.S. dollars"/>
    <s v="Billions"/>
    <x v="1"/>
    <n v="70.311000000000007"/>
  </r>
  <r>
    <n v="1"/>
    <x v="2"/>
    <x v="70"/>
    <x v="0"/>
    <s v="U.S. dollars"/>
    <s v="Billions"/>
    <x v="2"/>
    <n v="84.1"/>
  </r>
  <r>
    <n v="1"/>
    <x v="2"/>
    <x v="70"/>
    <x v="0"/>
    <s v="U.S. dollars"/>
    <s v="Billions"/>
    <x v="3"/>
    <n v="90.421999999999997"/>
  </r>
  <r>
    <n v="1"/>
    <x v="2"/>
    <x v="70"/>
    <x v="0"/>
    <s v="U.S. dollars"/>
    <s v="Billions"/>
    <x v="4"/>
    <n v="101.611"/>
  </r>
  <r>
    <n v="1"/>
    <x v="2"/>
    <x v="70"/>
    <x v="0"/>
    <s v="U.S. dollars"/>
    <s v="Billions"/>
    <x v="5"/>
    <n v="107.93300000000001"/>
  </r>
  <r>
    <n v="1"/>
    <x v="2"/>
    <x v="70"/>
    <x v="0"/>
    <s v="U.S. dollars"/>
    <s v="Billions"/>
    <x v="6"/>
    <n v="114.461"/>
  </r>
  <r>
    <n v="200"/>
    <x v="3"/>
    <x v="71"/>
    <x v="0"/>
    <s v="U.S. dollars"/>
    <s v="Billions"/>
    <x v="0"/>
    <n v="100.328"/>
  </r>
  <r>
    <n v="200"/>
    <x v="3"/>
    <x v="71"/>
    <x v="0"/>
    <s v="U.S. dollars"/>
    <s v="Billions"/>
    <x v="1"/>
    <n v="100.91200000000001"/>
  </r>
  <r>
    <n v="200"/>
    <x v="3"/>
    <x v="71"/>
    <x v="0"/>
    <s v="U.S. dollars"/>
    <s v="Billions"/>
    <x v="2"/>
    <n v="109.875"/>
  </r>
  <r>
    <n v="200"/>
    <x v="3"/>
    <x v="71"/>
    <x v="0"/>
    <s v="U.S. dollars"/>
    <s v="Billions"/>
    <x v="3"/>
    <n v="113.70099999999999"/>
  </r>
  <r>
    <n v="200"/>
    <x v="3"/>
    <x v="71"/>
    <x v="0"/>
    <s v="U.S. dollars"/>
    <s v="Billions"/>
    <x v="4"/>
    <n v="108.923"/>
  </r>
  <r>
    <n v="200"/>
    <x v="3"/>
    <x v="71"/>
    <x v="0"/>
    <s v="U.S. dollars"/>
    <s v="Billions"/>
    <x v="5"/>
    <n v="104.001"/>
  </r>
  <r>
    <n v="200"/>
    <x v="3"/>
    <x v="71"/>
    <x v="0"/>
    <s v="U.S. dollars"/>
    <s v="Billions"/>
    <x v="6"/>
    <n v="109.646"/>
  </r>
  <r>
    <n v="603"/>
    <x v="12"/>
    <x v="71"/>
    <x v="0"/>
    <s v="U.S. dollars"/>
    <s v="Billions"/>
    <x v="0"/>
    <n v="100.328"/>
  </r>
  <r>
    <n v="603"/>
    <x v="12"/>
    <x v="71"/>
    <x v="0"/>
    <s v="U.S. dollars"/>
    <s v="Billions"/>
    <x v="1"/>
    <n v="100.91200000000001"/>
  </r>
  <r>
    <n v="603"/>
    <x v="12"/>
    <x v="71"/>
    <x v="0"/>
    <s v="U.S. dollars"/>
    <s v="Billions"/>
    <x v="2"/>
    <n v="109.875"/>
  </r>
  <r>
    <n v="603"/>
    <x v="12"/>
    <x v="71"/>
    <x v="0"/>
    <s v="U.S. dollars"/>
    <s v="Billions"/>
    <x v="3"/>
    <n v="113.70099999999999"/>
  </r>
  <r>
    <n v="603"/>
    <x v="12"/>
    <x v="71"/>
    <x v="0"/>
    <s v="U.S. dollars"/>
    <s v="Billions"/>
    <x v="4"/>
    <n v="108.923"/>
  </r>
  <r>
    <n v="603"/>
    <x v="12"/>
    <x v="71"/>
    <x v="0"/>
    <s v="U.S. dollars"/>
    <s v="Billions"/>
    <x v="5"/>
    <n v="104.001"/>
  </r>
  <r>
    <n v="603"/>
    <x v="12"/>
    <x v="71"/>
    <x v="0"/>
    <s v="U.S. dollars"/>
    <s v="Billions"/>
    <x v="6"/>
    <n v="109.646"/>
  </r>
  <r>
    <n v="1"/>
    <x v="2"/>
    <x v="71"/>
    <x v="0"/>
    <s v="U.S. dollars"/>
    <s v="Billions"/>
    <x v="0"/>
    <n v="100.328"/>
  </r>
  <r>
    <n v="1"/>
    <x v="2"/>
    <x v="71"/>
    <x v="0"/>
    <s v="U.S. dollars"/>
    <s v="Billions"/>
    <x v="1"/>
    <n v="100.91200000000001"/>
  </r>
  <r>
    <n v="1"/>
    <x v="2"/>
    <x v="71"/>
    <x v="0"/>
    <s v="U.S. dollars"/>
    <s v="Billions"/>
    <x v="2"/>
    <n v="109.875"/>
  </r>
  <r>
    <n v="1"/>
    <x v="2"/>
    <x v="71"/>
    <x v="0"/>
    <s v="U.S. dollars"/>
    <s v="Billions"/>
    <x v="3"/>
    <n v="113.70099999999999"/>
  </r>
  <r>
    <n v="1"/>
    <x v="2"/>
    <x v="71"/>
    <x v="0"/>
    <s v="U.S. dollars"/>
    <s v="Billions"/>
    <x v="4"/>
    <n v="108.923"/>
  </r>
  <r>
    <n v="1"/>
    <x v="2"/>
    <x v="71"/>
    <x v="0"/>
    <s v="U.S. dollars"/>
    <s v="Billions"/>
    <x v="5"/>
    <n v="104.001"/>
  </r>
  <r>
    <n v="1"/>
    <x v="2"/>
    <x v="71"/>
    <x v="0"/>
    <s v="U.S. dollars"/>
    <s v="Billions"/>
    <x v="6"/>
    <n v="109.646"/>
  </r>
  <r>
    <n v="505"/>
    <x v="4"/>
    <x v="64"/>
    <x v="2"/>
    <s v="Percent of GDP"/>
    <s v="Units"/>
    <x v="0"/>
    <n v="119.08"/>
  </r>
  <r>
    <n v="505"/>
    <x v="4"/>
    <x v="64"/>
    <x v="2"/>
    <s v="Percent of GDP"/>
    <s v="Units"/>
    <x v="1"/>
    <n v="104.742"/>
  </r>
  <r>
    <n v="505"/>
    <x v="4"/>
    <x v="64"/>
    <x v="2"/>
    <s v="Percent of GDP"/>
    <s v="Units"/>
    <x v="2"/>
    <n v="72.245000000000005"/>
  </r>
  <r>
    <n v="505"/>
    <x v="4"/>
    <x v="64"/>
    <x v="2"/>
    <s v="Percent of GDP"/>
    <s v="Units"/>
    <x v="3"/>
    <n v="69.022000000000006"/>
  </r>
  <r>
    <n v="505"/>
    <x v="4"/>
    <x v="64"/>
    <x v="2"/>
    <s v="Percent of GDP"/>
    <s v="Units"/>
    <x v="4"/>
    <n v="100.697"/>
  </r>
  <r>
    <n v="505"/>
    <x v="4"/>
    <x v="64"/>
    <x v="2"/>
    <s v="Percent of GDP"/>
    <s v="Units"/>
    <x v="5"/>
    <n v="103.169"/>
  </r>
  <r>
    <n v="505"/>
    <x v="4"/>
    <x v="64"/>
    <x v="2"/>
    <s v="Percent of GDP"/>
    <s v="Units"/>
    <x v="6"/>
    <n v="92.272999999999996"/>
  </r>
  <r>
    <n v="200"/>
    <x v="3"/>
    <x v="64"/>
    <x v="2"/>
    <s v="Percent of GDP"/>
    <s v="Units"/>
    <x v="0"/>
    <n v="119.08"/>
  </r>
  <r>
    <n v="200"/>
    <x v="3"/>
    <x v="64"/>
    <x v="2"/>
    <s v="Percent of GDP"/>
    <s v="Units"/>
    <x v="1"/>
    <n v="104.742"/>
  </r>
  <r>
    <n v="200"/>
    <x v="3"/>
    <x v="64"/>
    <x v="2"/>
    <s v="Percent of GDP"/>
    <s v="Units"/>
    <x v="2"/>
    <n v="72.245000000000005"/>
  </r>
  <r>
    <n v="200"/>
    <x v="3"/>
    <x v="64"/>
    <x v="2"/>
    <s v="Percent of GDP"/>
    <s v="Units"/>
    <x v="3"/>
    <n v="69.022000000000006"/>
  </r>
  <r>
    <n v="200"/>
    <x v="3"/>
    <x v="64"/>
    <x v="2"/>
    <s v="Percent of GDP"/>
    <s v="Units"/>
    <x v="4"/>
    <n v="100.697"/>
  </r>
  <r>
    <n v="200"/>
    <x v="3"/>
    <x v="64"/>
    <x v="2"/>
    <s v="Percent of GDP"/>
    <s v="Units"/>
    <x v="5"/>
    <n v="103.169"/>
  </r>
  <r>
    <n v="200"/>
    <x v="3"/>
    <x v="64"/>
    <x v="2"/>
    <s v="Percent of GDP"/>
    <s v="Units"/>
    <x v="6"/>
    <n v="92.272999999999996"/>
  </r>
  <r>
    <n v="200"/>
    <x v="3"/>
    <x v="72"/>
    <x v="0"/>
    <s v="U.S. dollars"/>
    <s v="Billions"/>
    <x v="0"/>
    <n v="73.003"/>
  </r>
  <r>
    <n v="200"/>
    <x v="3"/>
    <x v="72"/>
    <x v="0"/>
    <s v="U.S. dollars"/>
    <s v="Billions"/>
    <x v="1"/>
    <n v="43.787999999999997"/>
  </r>
  <r>
    <n v="200"/>
    <x v="3"/>
    <x v="72"/>
    <x v="0"/>
    <s v="U.S. dollars"/>
    <s v="Billions"/>
    <x v="2"/>
    <n v="57.665999999999997"/>
  </r>
  <r>
    <n v="200"/>
    <x v="3"/>
    <x v="72"/>
    <x v="0"/>
    <s v="U.S. dollars"/>
    <s v="Billions"/>
    <x v="3"/>
    <n v="92.103999999999999"/>
  </r>
  <r>
    <n v="200"/>
    <x v="3"/>
    <x v="72"/>
    <x v="0"/>
    <s v="U.S. dollars"/>
    <s v="Billions"/>
    <x v="4"/>
    <n v="97.116"/>
  </r>
  <r>
    <n v="200"/>
    <x v="3"/>
    <x v="72"/>
    <x v="0"/>
    <s v="U.S. dollars"/>
    <s v="Billions"/>
    <x v="5"/>
    <n v="102.328"/>
  </r>
  <r>
    <n v="200"/>
    <x v="3"/>
    <x v="72"/>
    <x v="0"/>
    <s v="U.S. dollars"/>
    <s v="Billions"/>
    <x v="6"/>
    <n v="105.876"/>
  </r>
  <r>
    <n v="1"/>
    <x v="2"/>
    <x v="72"/>
    <x v="0"/>
    <s v="U.S. dollars"/>
    <s v="Billions"/>
    <x v="0"/>
    <n v="73.003"/>
  </r>
  <r>
    <n v="1"/>
    <x v="2"/>
    <x v="72"/>
    <x v="0"/>
    <s v="U.S. dollars"/>
    <s v="Billions"/>
    <x v="1"/>
    <n v="43.787999999999997"/>
  </r>
  <r>
    <n v="1"/>
    <x v="2"/>
    <x v="72"/>
    <x v="0"/>
    <s v="U.S. dollars"/>
    <s v="Billions"/>
    <x v="2"/>
    <n v="57.665999999999997"/>
  </r>
  <r>
    <n v="1"/>
    <x v="2"/>
    <x v="72"/>
    <x v="0"/>
    <s v="U.S. dollars"/>
    <s v="Billions"/>
    <x v="3"/>
    <n v="92.103999999999999"/>
  </r>
  <r>
    <n v="1"/>
    <x v="2"/>
    <x v="72"/>
    <x v="0"/>
    <s v="U.S. dollars"/>
    <s v="Billions"/>
    <x v="4"/>
    <n v="97.116"/>
  </r>
  <r>
    <n v="1"/>
    <x v="2"/>
    <x v="72"/>
    <x v="0"/>
    <s v="U.S. dollars"/>
    <s v="Billions"/>
    <x v="5"/>
    <n v="102.328"/>
  </r>
  <r>
    <n v="1"/>
    <x v="2"/>
    <x v="72"/>
    <x v="0"/>
    <s v="U.S. dollars"/>
    <s v="Billions"/>
    <x v="6"/>
    <n v="105.876"/>
  </r>
  <r>
    <n v="205"/>
    <x v="7"/>
    <x v="72"/>
    <x v="0"/>
    <s v="U.S. dollars"/>
    <s v="Billions"/>
    <x v="0"/>
    <n v="73.003"/>
  </r>
  <r>
    <n v="205"/>
    <x v="7"/>
    <x v="72"/>
    <x v="0"/>
    <s v="U.S. dollars"/>
    <s v="Billions"/>
    <x v="1"/>
    <n v="43.787999999999997"/>
  </r>
  <r>
    <n v="205"/>
    <x v="7"/>
    <x v="72"/>
    <x v="0"/>
    <s v="U.S. dollars"/>
    <s v="Billions"/>
    <x v="2"/>
    <n v="57.665999999999997"/>
  </r>
  <r>
    <n v="205"/>
    <x v="7"/>
    <x v="72"/>
    <x v="0"/>
    <s v="U.S. dollars"/>
    <s v="Billions"/>
    <x v="3"/>
    <n v="92.103999999999999"/>
  </r>
  <r>
    <n v="205"/>
    <x v="7"/>
    <x v="72"/>
    <x v="0"/>
    <s v="U.S. dollars"/>
    <s v="Billions"/>
    <x v="4"/>
    <n v="97.116"/>
  </r>
  <r>
    <n v="205"/>
    <x v="7"/>
    <x v="72"/>
    <x v="0"/>
    <s v="U.S. dollars"/>
    <s v="Billions"/>
    <x v="5"/>
    <n v="102.328"/>
  </r>
  <r>
    <n v="205"/>
    <x v="7"/>
    <x v="72"/>
    <x v="0"/>
    <s v="U.S. dollars"/>
    <s v="Billions"/>
    <x v="6"/>
    <n v="105.876"/>
  </r>
  <r>
    <n v="1"/>
    <x v="2"/>
    <x v="72"/>
    <x v="1"/>
    <s v="Percent change"/>
    <s v="Units"/>
    <x v="0"/>
    <n v="19906.024000000001"/>
  </r>
  <r>
    <n v="1"/>
    <x v="2"/>
    <x v="72"/>
    <x v="1"/>
    <s v="Percent change"/>
    <s v="Units"/>
    <x v="1"/>
    <n v="2355.1469999999999"/>
  </r>
  <r>
    <n v="1"/>
    <x v="2"/>
    <x v="72"/>
    <x v="1"/>
    <s v="Percent change"/>
    <s v="Units"/>
    <x v="2"/>
    <n v="1588.5129999999999"/>
  </r>
  <r>
    <n v="1"/>
    <x v="2"/>
    <x v="72"/>
    <x v="1"/>
    <s v="Percent change"/>
    <s v="Units"/>
    <x v="3"/>
    <n v="186.542"/>
  </r>
  <r>
    <n v="1"/>
    <x v="2"/>
    <x v="72"/>
    <x v="1"/>
    <s v="Percent change"/>
    <s v="Units"/>
    <x v="4"/>
    <n v="337.45800000000003"/>
  </r>
  <r>
    <n v="1"/>
    <x v="2"/>
    <x v="72"/>
    <x v="1"/>
    <s v="Percent change"/>
    <s v="Units"/>
    <x v="5"/>
    <n v="99.980999999999995"/>
  </r>
  <r>
    <n v="1"/>
    <x v="2"/>
    <x v="72"/>
    <x v="1"/>
    <s v="Percent change"/>
    <s v="Units"/>
    <x v="6"/>
    <n v="150"/>
  </r>
  <r>
    <n v="200"/>
    <x v="3"/>
    <x v="72"/>
    <x v="1"/>
    <s v="Percent change"/>
    <s v="Units"/>
    <x v="0"/>
    <n v="19906.024000000001"/>
  </r>
  <r>
    <n v="200"/>
    <x v="3"/>
    <x v="72"/>
    <x v="1"/>
    <s v="Percent change"/>
    <s v="Units"/>
    <x v="1"/>
    <n v="2355.1469999999999"/>
  </r>
  <r>
    <n v="200"/>
    <x v="3"/>
    <x v="72"/>
    <x v="1"/>
    <s v="Percent change"/>
    <s v="Units"/>
    <x v="2"/>
    <n v="1588.5129999999999"/>
  </r>
  <r>
    <n v="200"/>
    <x v="3"/>
    <x v="72"/>
    <x v="1"/>
    <s v="Percent change"/>
    <s v="Units"/>
    <x v="3"/>
    <n v="186.542"/>
  </r>
  <r>
    <n v="200"/>
    <x v="3"/>
    <x v="72"/>
    <x v="1"/>
    <s v="Percent change"/>
    <s v="Units"/>
    <x v="4"/>
    <n v="337.45800000000003"/>
  </r>
  <r>
    <n v="200"/>
    <x v="3"/>
    <x v="72"/>
    <x v="1"/>
    <s v="Percent change"/>
    <s v="Units"/>
    <x v="5"/>
    <n v="99.980999999999995"/>
  </r>
  <r>
    <n v="200"/>
    <x v="3"/>
    <x v="72"/>
    <x v="1"/>
    <s v="Percent change"/>
    <s v="Units"/>
    <x v="6"/>
    <n v="150"/>
  </r>
  <r>
    <n v="205"/>
    <x v="7"/>
    <x v="72"/>
    <x v="1"/>
    <s v="Percent change"/>
    <s v="Units"/>
    <x v="0"/>
    <n v="19906.024000000001"/>
  </r>
  <r>
    <n v="205"/>
    <x v="7"/>
    <x v="72"/>
    <x v="1"/>
    <s v="Percent change"/>
    <s v="Units"/>
    <x v="1"/>
    <n v="2355.1469999999999"/>
  </r>
  <r>
    <n v="205"/>
    <x v="7"/>
    <x v="72"/>
    <x v="1"/>
    <s v="Percent change"/>
    <s v="Units"/>
    <x v="2"/>
    <n v="1588.5129999999999"/>
  </r>
  <r>
    <n v="205"/>
    <x v="7"/>
    <x v="72"/>
    <x v="1"/>
    <s v="Percent change"/>
    <s v="Units"/>
    <x v="3"/>
    <n v="186.542"/>
  </r>
  <r>
    <n v="205"/>
    <x v="7"/>
    <x v="72"/>
    <x v="1"/>
    <s v="Percent change"/>
    <s v="Units"/>
    <x v="4"/>
    <n v="337.45800000000003"/>
  </r>
  <r>
    <n v="205"/>
    <x v="7"/>
    <x v="72"/>
    <x v="1"/>
    <s v="Percent change"/>
    <s v="Units"/>
    <x v="5"/>
    <n v="99.980999999999995"/>
  </r>
  <r>
    <n v="205"/>
    <x v="7"/>
    <x v="72"/>
    <x v="1"/>
    <s v="Percent change"/>
    <s v="Units"/>
    <x v="6"/>
    <n v="150"/>
  </r>
  <r>
    <n v="400"/>
    <x v="11"/>
    <x v="73"/>
    <x v="0"/>
    <s v="U.S. dollars"/>
    <s v="Billions"/>
    <x v="0"/>
    <n v="60.283999999999999"/>
  </r>
  <r>
    <n v="400"/>
    <x v="11"/>
    <x v="73"/>
    <x v="0"/>
    <s v="U.S. dollars"/>
    <s v="Billions"/>
    <x v="1"/>
    <n v="60.225000000000001"/>
  </r>
  <r>
    <n v="400"/>
    <x v="11"/>
    <x v="73"/>
    <x v="0"/>
    <s v="U.S. dollars"/>
    <s v="Billions"/>
    <x v="2"/>
    <n v="69.600999999999999"/>
  </r>
  <r>
    <n v="400"/>
    <x v="11"/>
    <x v="73"/>
    <x v="0"/>
    <s v="U.S. dollars"/>
    <s v="Billions"/>
    <x v="3"/>
    <n v="81.167000000000002"/>
  </r>
  <r>
    <n v="400"/>
    <x v="11"/>
    <x v="73"/>
    <x v="0"/>
    <s v="U.S. dollars"/>
    <s v="Billions"/>
    <x v="4"/>
    <n v="90.882000000000005"/>
  </r>
  <r>
    <n v="400"/>
    <x v="11"/>
    <x v="73"/>
    <x v="0"/>
    <s v="U.S. dollars"/>
    <s v="Billions"/>
    <x v="5"/>
    <n v="97.956000000000003"/>
  </r>
  <r>
    <n v="400"/>
    <x v="11"/>
    <x v="73"/>
    <x v="0"/>
    <s v="U.S. dollars"/>
    <s v="Billions"/>
    <x v="6"/>
    <n v="109.85299999999999"/>
  </r>
  <r>
    <n v="200"/>
    <x v="3"/>
    <x v="73"/>
    <x v="0"/>
    <s v="U.S. dollars"/>
    <s v="Billions"/>
    <x v="0"/>
    <n v="60.283999999999999"/>
  </r>
  <r>
    <n v="200"/>
    <x v="3"/>
    <x v="73"/>
    <x v="0"/>
    <s v="U.S. dollars"/>
    <s v="Billions"/>
    <x v="1"/>
    <n v="60.225000000000001"/>
  </r>
  <r>
    <n v="200"/>
    <x v="3"/>
    <x v="73"/>
    <x v="0"/>
    <s v="U.S. dollars"/>
    <s v="Billions"/>
    <x v="2"/>
    <n v="69.600999999999999"/>
  </r>
  <r>
    <n v="200"/>
    <x v="3"/>
    <x v="73"/>
    <x v="0"/>
    <s v="U.S. dollars"/>
    <s v="Billions"/>
    <x v="3"/>
    <n v="81.167000000000002"/>
  </r>
  <r>
    <n v="200"/>
    <x v="3"/>
    <x v="73"/>
    <x v="0"/>
    <s v="U.S. dollars"/>
    <s v="Billions"/>
    <x v="4"/>
    <n v="90.882000000000005"/>
  </r>
  <r>
    <n v="200"/>
    <x v="3"/>
    <x v="73"/>
    <x v="0"/>
    <s v="U.S. dollars"/>
    <s v="Billions"/>
    <x v="5"/>
    <n v="97.956000000000003"/>
  </r>
  <r>
    <n v="200"/>
    <x v="3"/>
    <x v="73"/>
    <x v="0"/>
    <s v="U.S. dollars"/>
    <s v="Billions"/>
    <x v="6"/>
    <n v="109.85299999999999"/>
  </r>
  <r>
    <n v="1"/>
    <x v="2"/>
    <x v="73"/>
    <x v="0"/>
    <s v="U.S. dollars"/>
    <s v="Billions"/>
    <x v="0"/>
    <n v="60.283999999999999"/>
  </r>
  <r>
    <n v="1"/>
    <x v="2"/>
    <x v="73"/>
    <x v="0"/>
    <s v="U.S. dollars"/>
    <s v="Billions"/>
    <x v="1"/>
    <n v="60.225000000000001"/>
  </r>
  <r>
    <n v="1"/>
    <x v="2"/>
    <x v="73"/>
    <x v="0"/>
    <s v="U.S. dollars"/>
    <s v="Billions"/>
    <x v="2"/>
    <n v="69.600999999999999"/>
  </r>
  <r>
    <n v="1"/>
    <x v="2"/>
    <x v="73"/>
    <x v="0"/>
    <s v="U.S. dollars"/>
    <s v="Billions"/>
    <x v="3"/>
    <n v="81.167000000000002"/>
  </r>
  <r>
    <n v="1"/>
    <x v="2"/>
    <x v="73"/>
    <x v="0"/>
    <s v="U.S. dollars"/>
    <s v="Billions"/>
    <x v="4"/>
    <n v="90.882000000000005"/>
  </r>
  <r>
    <n v="1"/>
    <x v="2"/>
    <x v="73"/>
    <x v="0"/>
    <s v="U.S. dollars"/>
    <s v="Billions"/>
    <x v="5"/>
    <n v="97.956000000000003"/>
  </r>
  <r>
    <n v="1"/>
    <x v="2"/>
    <x v="73"/>
    <x v="0"/>
    <s v="U.S. dollars"/>
    <s v="Billions"/>
    <x v="6"/>
    <n v="109.85299999999999"/>
  </r>
  <r>
    <n v="205"/>
    <x v="7"/>
    <x v="74"/>
    <x v="0"/>
    <s v="U.S. dollars"/>
    <s v="Billions"/>
    <x v="0"/>
    <n v="64.412000000000006"/>
  </r>
  <r>
    <n v="205"/>
    <x v="7"/>
    <x v="74"/>
    <x v="0"/>
    <s v="U.S. dollars"/>
    <s v="Billions"/>
    <x v="1"/>
    <n v="62.381999999999998"/>
  </r>
  <r>
    <n v="205"/>
    <x v="7"/>
    <x v="74"/>
    <x v="0"/>
    <s v="U.S. dollars"/>
    <s v="Billions"/>
    <x v="2"/>
    <n v="64.953999999999994"/>
  </r>
  <r>
    <n v="205"/>
    <x v="7"/>
    <x v="74"/>
    <x v="0"/>
    <s v="U.S. dollars"/>
    <s v="Billions"/>
    <x v="3"/>
    <n v="69.234999999999999"/>
  </r>
  <r>
    <n v="205"/>
    <x v="7"/>
    <x v="74"/>
    <x v="0"/>
    <s v="U.S. dollars"/>
    <s v="Billions"/>
    <x v="4"/>
    <n v="86.509"/>
  </r>
  <r>
    <n v="205"/>
    <x v="7"/>
    <x v="74"/>
    <x v="0"/>
    <s v="U.S. dollars"/>
    <s v="Billions"/>
    <x v="5"/>
    <n v="96.058000000000007"/>
  </r>
  <r>
    <n v="205"/>
    <x v="7"/>
    <x v="74"/>
    <x v="0"/>
    <s v="U.S. dollars"/>
    <s v="Billions"/>
    <x v="6"/>
    <n v="102.334"/>
  </r>
  <r>
    <n v="1"/>
    <x v="2"/>
    <x v="74"/>
    <x v="0"/>
    <s v="U.S. dollars"/>
    <s v="Billions"/>
    <x v="0"/>
    <n v="64.412000000000006"/>
  </r>
  <r>
    <n v="1"/>
    <x v="2"/>
    <x v="74"/>
    <x v="0"/>
    <s v="U.S. dollars"/>
    <s v="Billions"/>
    <x v="1"/>
    <n v="62.381999999999998"/>
  </r>
  <r>
    <n v="1"/>
    <x v="2"/>
    <x v="74"/>
    <x v="0"/>
    <s v="U.S. dollars"/>
    <s v="Billions"/>
    <x v="2"/>
    <n v="64.953999999999994"/>
  </r>
  <r>
    <n v="1"/>
    <x v="2"/>
    <x v="74"/>
    <x v="0"/>
    <s v="U.S. dollars"/>
    <s v="Billions"/>
    <x v="3"/>
    <n v="69.234999999999999"/>
  </r>
  <r>
    <n v="1"/>
    <x v="2"/>
    <x v="74"/>
    <x v="0"/>
    <s v="U.S. dollars"/>
    <s v="Billions"/>
    <x v="4"/>
    <n v="86.509"/>
  </r>
  <r>
    <n v="1"/>
    <x v="2"/>
    <x v="74"/>
    <x v="0"/>
    <s v="U.S. dollars"/>
    <s v="Billions"/>
    <x v="5"/>
    <n v="96.058000000000007"/>
  </r>
  <r>
    <n v="1"/>
    <x v="2"/>
    <x v="74"/>
    <x v="0"/>
    <s v="U.S. dollars"/>
    <s v="Billions"/>
    <x v="6"/>
    <n v="102.334"/>
  </r>
  <r>
    <n v="200"/>
    <x v="3"/>
    <x v="74"/>
    <x v="0"/>
    <s v="U.S. dollars"/>
    <s v="Billions"/>
    <x v="0"/>
    <n v="64.412000000000006"/>
  </r>
  <r>
    <n v="200"/>
    <x v="3"/>
    <x v="74"/>
    <x v="0"/>
    <s v="U.S. dollars"/>
    <s v="Billions"/>
    <x v="1"/>
    <n v="62.381999999999998"/>
  </r>
  <r>
    <n v="200"/>
    <x v="3"/>
    <x v="74"/>
    <x v="0"/>
    <s v="U.S. dollars"/>
    <s v="Billions"/>
    <x v="2"/>
    <n v="64.953999999999994"/>
  </r>
  <r>
    <n v="200"/>
    <x v="3"/>
    <x v="74"/>
    <x v="0"/>
    <s v="U.S. dollars"/>
    <s v="Billions"/>
    <x v="3"/>
    <n v="69.234999999999999"/>
  </r>
  <r>
    <n v="200"/>
    <x v="3"/>
    <x v="74"/>
    <x v="0"/>
    <s v="U.S. dollars"/>
    <s v="Billions"/>
    <x v="4"/>
    <n v="86.509"/>
  </r>
  <r>
    <n v="200"/>
    <x v="3"/>
    <x v="74"/>
    <x v="0"/>
    <s v="U.S. dollars"/>
    <s v="Billions"/>
    <x v="5"/>
    <n v="96.058000000000007"/>
  </r>
  <r>
    <n v="200"/>
    <x v="3"/>
    <x v="74"/>
    <x v="0"/>
    <s v="U.S. dollars"/>
    <s v="Billions"/>
    <x v="6"/>
    <n v="102.334"/>
  </r>
  <r>
    <n v="200"/>
    <x v="3"/>
    <x v="75"/>
    <x v="0"/>
    <s v="U.S. dollars"/>
    <s v="Billions"/>
    <x v="0"/>
    <n v="84.516000000000005"/>
  </r>
  <r>
    <n v="200"/>
    <x v="3"/>
    <x v="75"/>
    <x v="0"/>
    <s v="U.S. dollars"/>
    <s v="Billions"/>
    <x v="1"/>
    <n v="57.139000000000003"/>
  </r>
  <r>
    <n v="200"/>
    <x v="3"/>
    <x v="75"/>
    <x v="0"/>
    <s v="U.S. dollars"/>
    <s v="Billions"/>
    <x v="2"/>
    <n v="74.861000000000004"/>
  </r>
  <r>
    <n v="200"/>
    <x v="3"/>
    <x v="75"/>
    <x v="0"/>
    <s v="U.S. dollars"/>
    <s v="Billions"/>
    <x v="3"/>
    <n v="122.82599999999999"/>
  </r>
  <r>
    <n v="200"/>
    <x v="3"/>
    <x v="75"/>
    <x v="0"/>
    <s v="U.S. dollars"/>
    <s v="Billions"/>
    <x v="4"/>
    <n v="94.381"/>
  </r>
  <r>
    <n v="200"/>
    <x v="3"/>
    <x v="75"/>
    <x v="0"/>
    <s v="U.S. dollars"/>
    <s v="Billions"/>
    <x v="5"/>
    <n v="92.123000000000005"/>
  </r>
  <r>
    <n v="200"/>
    <x v="3"/>
    <x v="75"/>
    <x v="0"/>
    <s v="U.S. dollars"/>
    <s v="Billions"/>
    <x v="6"/>
    <n v="95.385999999999996"/>
  </r>
  <r>
    <n v="1"/>
    <x v="2"/>
    <x v="75"/>
    <x v="0"/>
    <s v="U.S. dollars"/>
    <s v="Billions"/>
    <x v="0"/>
    <n v="84.516000000000005"/>
  </r>
  <r>
    <n v="1"/>
    <x v="2"/>
    <x v="75"/>
    <x v="0"/>
    <s v="U.S. dollars"/>
    <s v="Billions"/>
    <x v="1"/>
    <n v="57.139000000000003"/>
  </r>
  <r>
    <n v="1"/>
    <x v="2"/>
    <x v="75"/>
    <x v="0"/>
    <s v="U.S. dollars"/>
    <s v="Billions"/>
    <x v="2"/>
    <n v="74.861000000000004"/>
  </r>
  <r>
    <n v="1"/>
    <x v="2"/>
    <x v="75"/>
    <x v="0"/>
    <s v="U.S. dollars"/>
    <s v="Billions"/>
    <x v="3"/>
    <n v="122.82599999999999"/>
  </r>
  <r>
    <n v="1"/>
    <x v="2"/>
    <x v="75"/>
    <x v="0"/>
    <s v="U.S. dollars"/>
    <s v="Billions"/>
    <x v="4"/>
    <n v="94.381"/>
  </r>
  <r>
    <n v="1"/>
    <x v="2"/>
    <x v="75"/>
    <x v="0"/>
    <s v="U.S. dollars"/>
    <s v="Billions"/>
    <x v="5"/>
    <n v="92.123000000000005"/>
  </r>
  <r>
    <n v="1"/>
    <x v="2"/>
    <x v="75"/>
    <x v="0"/>
    <s v="U.S. dollars"/>
    <s v="Billions"/>
    <x v="6"/>
    <n v="95.385999999999996"/>
  </r>
  <r>
    <n v="603"/>
    <x v="12"/>
    <x v="75"/>
    <x v="0"/>
    <s v="U.S. dollars"/>
    <s v="Billions"/>
    <x v="0"/>
    <n v="84.516000000000005"/>
  </r>
  <r>
    <n v="603"/>
    <x v="12"/>
    <x v="75"/>
    <x v="0"/>
    <s v="U.S. dollars"/>
    <s v="Billions"/>
    <x v="1"/>
    <n v="57.139000000000003"/>
  </r>
  <r>
    <n v="603"/>
    <x v="12"/>
    <x v="75"/>
    <x v="0"/>
    <s v="U.S. dollars"/>
    <s v="Billions"/>
    <x v="2"/>
    <n v="74.861000000000004"/>
  </r>
  <r>
    <n v="603"/>
    <x v="12"/>
    <x v="75"/>
    <x v="0"/>
    <s v="U.S. dollars"/>
    <s v="Billions"/>
    <x v="3"/>
    <n v="122.82599999999999"/>
  </r>
  <r>
    <n v="603"/>
    <x v="12"/>
    <x v="75"/>
    <x v="0"/>
    <s v="U.S. dollars"/>
    <s v="Billions"/>
    <x v="4"/>
    <n v="94.381"/>
  </r>
  <r>
    <n v="603"/>
    <x v="12"/>
    <x v="75"/>
    <x v="0"/>
    <s v="U.S. dollars"/>
    <s v="Billions"/>
    <x v="5"/>
    <n v="92.123000000000005"/>
  </r>
  <r>
    <n v="603"/>
    <x v="12"/>
    <x v="75"/>
    <x v="0"/>
    <s v="U.S. dollars"/>
    <s v="Billions"/>
    <x v="6"/>
    <n v="95.385999999999996"/>
  </r>
  <r>
    <n v="163"/>
    <x v="5"/>
    <x v="76"/>
    <x v="0"/>
    <s v="U.S. dollars"/>
    <s v="Billions"/>
    <x v="0"/>
    <n v="69.897999999999996"/>
  </r>
  <r>
    <n v="163"/>
    <x v="5"/>
    <x v="76"/>
    <x v="0"/>
    <s v="U.S. dollars"/>
    <s v="Billions"/>
    <x v="1"/>
    <n v="73.64"/>
  </r>
  <r>
    <n v="163"/>
    <x v="5"/>
    <x v="76"/>
    <x v="0"/>
    <s v="U.S. dollars"/>
    <s v="Billions"/>
    <x v="2"/>
    <n v="85.641000000000005"/>
  </r>
  <r>
    <n v="163"/>
    <x v="5"/>
    <x v="76"/>
    <x v="0"/>
    <s v="U.S. dollars"/>
    <s v="Billions"/>
    <x v="3"/>
    <n v="81.706000000000003"/>
  </r>
  <r>
    <n v="163"/>
    <x v="5"/>
    <x v="76"/>
    <x v="0"/>
    <s v="U.S. dollars"/>
    <s v="Billions"/>
    <x v="4"/>
    <n v="85.78"/>
  </r>
  <r>
    <n v="163"/>
    <x v="5"/>
    <x v="76"/>
    <x v="0"/>
    <s v="U.S. dollars"/>
    <s v="Billions"/>
    <x v="5"/>
    <n v="88.555999999999997"/>
  </r>
  <r>
    <n v="163"/>
    <x v="5"/>
    <x v="76"/>
    <x v="0"/>
    <s v="U.S. dollars"/>
    <s v="Billions"/>
    <x v="6"/>
    <n v="93.366"/>
  </r>
  <r>
    <n v="110"/>
    <x v="0"/>
    <x v="76"/>
    <x v="0"/>
    <s v="U.S. dollars"/>
    <s v="Billions"/>
    <x v="0"/>
    <n v="69.897999999999996"/>
  </r>
  <r>
    <n v="110"/>
    <x v="0"/>
    <x v="76"/>
    <x v="0"/>
    <s v="U.S. dollars"/>
    <s v="Billions"/>
    <x v="1"/>
    <n v="73.64"/>
  </r>
  <r>
    <n v="110"/>
    <x v="0"/>
    <x v="76"/>
    <x v="0"/>
    <s v="U.S. dollars"/>
    <s v="Billions"/>
    <x v="2"/>
    <n v="85.641000000000005"/>
  </r>
  <r>
    <n v="110"/>
    <x v="0"/>
    <x v="76"/>
    <x v="0"/>
    <s v="U.S. dollars"/>
    <s v="Billions"/>
    <x v="3"/>
    <n v="81.706000000000003"/>
  </r>
  <r>
    <n v="110"/>
    <x v="0"/>
    <x v="76"/>
    <x v="0"/>
    <s v="U.S. dollars"/>
    <s v="Billions"/>
    <x v="4"/>
    <n v="85.78"/>
  </r>
  <r>
    <n v="110"/>
    <x v="0"/>
    <x v="76"/>
    <x v="0"/>
    <s v="U.S. dollars"/>
    <s v="Billions"/>
    <x v="5"/>
    <n v="88.555999999999997"/>
  </r>
  <r>
    <n v="110"/>
    <x v="0"/>
    <x v="76"/>
    <x v="0"/>
    <s v="U.S. dollars"/>
    <s v="Billions"/>
    <x v="6"/>
    <n v="93.366"/>
  </r>
  <r>
    <n v="998"/>
    <x v="6"/>
    <x v="76"/>
    <x v="0"/>
    <s v="U.S. dollars"/>
    <s v="Billions"/>
    <x v="0"/>
    <n v="69.897999999999996"/>
  </r>
  <r>
    <n v="998"/>
    <x v="6"/>
    <x v="76"/>
    <x v="0"/>
    <s v="U.S. dollars"/>
    <s v="Billions"/>
    <x v="1"/>
    <n v="73.64"/>
  </r>
  <r>
    <n v="998"/>
    <x v="6"/>
    <x v="76"/>
    <x v="0"/>
    <s v="U.S. dollars"/>
    <s v="Billions"/>
    <x v="2"/>
    <n v="85.641000000000005"/>
  </r>
  <r>
    <n v="998"/>
    <x v="6"/>
    <x v="76"/>
    <x v="0"/>
    <s v="U.S. dollars"/>
    <s v="Billions"/>
    <x v="3"/>
    <n v="81.706000000000003"/>
  </r>
  <r>
    <n v="998"/>
    <x v="6"/>
    <x v="76"/>
    <x v="0"/>
    <s v="U.S. dollars"/>
    <s v="Billions"/>
    <x v="4"/>
    <n v="85.78"/>
  </r>
  <r>
    <n v="998"/>
    <x v="6"/>
    <x v="76"/>
    <x v="0"/>
    <s v="U.S. dollars"/>
    <s v="Billions"/>
    <x v="5"/>
    <n v="88.555999999999997"/>
  </r>
  <r>
    <n v="998"/>
    <x v="6"/>
    <x v="76"/>
    <x v="0"/>
    <s v="U.S. dollars"/>
    <s v="Billions"/>
    <x v="6"/>
    <n v="93.366"/>
  </r>
  <r>
    <n v="1"/>
    <x v="2"/>
    <x v="76"/>
    <x v="0"/>
    <s v="U.S. dollars"/>
    <s v="Billions"/>
    <x v="0"/>
    <n v="69.897999999999996"/>
  </r>
  <r>
    <n v="1"/>
    <x v="2"/>
    <x v="76"/>
    <x v="0"/>
    <s v="U.S. dollars"/>
    <s v="Billions"/>
    <x v="1"/>
    <n v="73.64"/>
  </r>
  <r>
    <n v="1"/>
    <x v="2"/>
    <x v="76"/>
    <x v="0"/>
    <s v="U.S. dollars"/>
    <s v="Billions"/>
    <x v="2"/>
    <n v="85.641000000000005"/>
  </r>
  <r>
    <n v="1"/>
    <x v="2"/>
    <x v="76"/>
    <x v="0"/>
    <s v="U.S. dollars"/>
    <s v="Billions"/>
    <x v="3"/>
    <n v="81.706000000000003"/>
  </r>
  <r>
    <n v="1"/>
    <x v="2"/>
    <x v="76"/>
    <x v="0"/>
    <s v="U.S. dollars"/>
    <s v="Billions"/>
    <x v="4"/>
    <n v="85.78"/>
  </r>
  <r>
    <n v="1"/>
    <x v="2"/>
    <x v="76"/>
    <x v="0"/>
    <s v="U.S. dollars"/>
    <s v="Billions"/>
    <x v="5"/>
    <n v="88.555999999999997"/>
  </r>
  <r>
    <n v="1"/>
    <x v="2"/>
    <x v="76"/>
    <x v="0"/>
    <s v="U.S. dollars"/>
    <s v="Billions"/>
    <x v="6"/>
    <n v="93.366"/>
  </r>
  <r>
    <n v="505"/>
    <x v="4"/>
    <x v="77"/>
    <x v="3"/>
    <s v="Percent of GDP"/>
    <s v="Units"/>
    <x v="0"/>
    <n v="68.147999999999996"/>
  </r>
  <r>
    <n v="505"/>
    <x v="4"/>
    <x v="77"/>
    <x v="3"/>
    <s v="Percent of GDP"/>
    <s v="Units"/>
    <x v="1"/>
    <n v="60.957000000000001"/>
  </r>
  <r>
    <n v="505"/>
    <x v="4"/>
    <x v="77"/>
    <x v="3"/>
    <s v="Percent of GDP"/>
    <s v="Units"/>
    <x v="2"/>
    <n v="44.804000000000002"/>
  </r>
  <r>
    <n v="505"/>
    <x v="4"/>
    <x v="77"/>
    <x v="3"/>
    <s v="Percent of GDP"/>
    <s v="Units"/>
    <x v="3"/>
    <n v="60.259"/>
  </r>
  <r>
    <n v="505"/>
    <x v="4"/>
    <x v="77"/>
    <x v="3"/>
    <s v="Percent of GDP"/>
    <s v="Units"/>
    <x v="4"/>
    <n v="70.960999999999999"/>
  </r>
  <r>
    <n v="505"/>
    <x v="4"/>
    <x v="77"/>
    <x v="3"/>
    <s v="Percent of GDP"/>
    <s v="Units"/>
    <x v="5"/>
    <n v="88.367999999999995"/>
  </r>
  <r>
    <n v="505"/>
    <x v="4"/>
    <x v="77"/>
    <x v="3"/>
    <s v="Percent of GDP"/>
    <s v="Units"/>
    <x v="6"/>
    <n v="85.152000000000001"/>
  </r>
  <r>
    <n v="200"/>
    <x v="3"/>
    <x v="77"/>
    <x v="3"/>
    <s v="Percent of GDP"/>
    <s v="Units"/>
    <x v="0"/>
    <n v="68.147999999999996"/>
  </r>
  <r>
    <n v="200"/>
    <x v="3"/>
    <x v="77"/>
    <x v="3"/>
    <s v="Percent of GDP"/>
    <s v="Units"/>
    <x v="1"/>
    <n v="60.957000000000001"/>
  </r>
  <r>
    <n v="200"/>
    <x v="3"/>
    <x v="77"/>
    <x v="3"/>
    <s v="Percent of GDP"/>
    <s v="Units"/>
    <x v="2"/>
    <n v="44.804000000000002"/>
  </r>
  <r>
    <n v="200"/>
    <x v="3"/>
    <x v="77"/>
    <x v="3"/>
    <s v="Percent of GDP"/>
    <s v="Units"/>
    <x v="3"/>
    <n v="60.259"/>
  </r>
  <r>
    <n v="200"/>
    <x v="3"/>
    <x v="77"/>
    <x v="3"/>
    <s v="Percent of GDP"/>
    <s v="Units"/>
    <x v="4"/>
    <n v="70.960999999999999"/>
  </r>
  <r>
    <n v="200"/>
    <x v="3"/>
    <x v="77"/>
    <x v="3"/>
    <s v="Percent of GDP"/>
    <s v="Units"/>
    <x v="5"/>
    <n v="88.367999999999995"/>
  </r>
  <r>
    <n v="200"/>
    <x v="3"/>
    <x v="77"/>
    <x v="3"/>
    <s v="Percent of GDP"/>
    <s v="Units"/>
    <x v="6"/>
    <n v="85.152000000000001"/>
  </r>
  <r>
    <n v="110"/>
    <x v="0"/>
    <x v="78"/>
    <x v="0"/>
    <s v="U.S. dollars"/>
    <s v="Billions"/>
    <x v="0"/>
    <n v="61.475000000000001"/>
  </r>
  <r>
    <n v="110"/>
    <x v="0"/>
    <x v="78"/>
    <x v="0"/>
    <s v="U.S. dollars"/>
    <s v="Billions"/>
    <x v="1"/>
    <n v="57.718000000000004"/>
  </r>
  <r>
    <n v="110"/>
    <x v="0"/>
    <x v="78"/>
    <x v="0"/>
    <s v="U.S. dollars"/>
    <s v="Billions"/>
    <x v="2"/>
    <n v="69.129000000000005"/>
  </r>
  <r>
    <n v="110"/>
    <x v="0"/>
    <x v="78"/>
    <x v="0"/>
    <s v="U.S. dollars"/>
    <s v="Billions"/>
    <x v="3"/>
    <n v="71.656999999999996"/>
  </r>
  <r>
    <n v="110"/>
    <x v="0"/>
    <x v="78"/>
    <x v="0"/>
    <s v="U.S. dollars"/>
    <s v="Billions"/>
    <x v="4"/>
    <n v="82.043999999999997"/>
  </r>
  <r>
    <n v="110"/>
    <x v="0"/>
    <x v="78"/>
    <x v="0"/>
    <s v="U.S. dollars"/>
    <s v="Billions"/>
    <x v="5"/>
    <n v="88.075999999999993"/>
  </r>
  <r>
    <n v="110"/>
    <x v="0"/>
    <x v="78"/>
    <x v="0"/>
    <s v="U.S. dollars"/>
    <s v="Billions"/>
    <x v="6"/>
    <n v="92.314999999999998"/>
  </r>
  <r>
    <n v="163"/>
    <x v="5"/>
    <x v="78"/>
    <x v="0"/>
    <s v="U.S. dollars"/>
    <s v="Billions"/>
    <x v="0"/>
    <n v="61.475000000000001"/>
  </r>
  <r>
    <n v="163"/>
    <x v="5"/>
    <x v="78"/>
    <x v="0"/>
    <s v="U.S. dollars"/>
    <s v="Billions"/>
    <x v="1"/>
    <n v="57.718000000000004"/>
  </r>
  <r>
    <n v="163"/>
    <x v="5"/>
    <x v="78"/>
    <x v="0"/>
    <s v="U.S. dollars"/>
    <s v="Billions"/>
    <x v="2"/>
    <n v="69.129000000000005"/>
  </r>
  <r>
    <n v="163"/>
    <x v="5"/>
    <x v="78"/>
    <x v="0"/>
    <s v="U.S. dollars"/>
    <s v="Billions"/>
    <x v="3"/>
    <n v="71.656999999999996"/>
  </r>
  <r>
    <n v="163"/>
    <x v="5"/>
    <x v="78"/>
    <x v="0"/>
    <s v="U.S. dollars"/>
    <s v="Billions"/>
    <x v="4"/>
    <n v="82.043999999999997"/>
  </r>
  <r>
    <n v="163"/>
    <x v="5"/>
    <x v="78"/>
    <x v="0"/>
    <s v="U.S. dollars"/>
    <s v="Billions"/>
    <x v="5"/>
    <n v="88.075999999999993"/>
  </r>
  <r>
    <n v="163"/>
    <x v="5"/>
    <x v="78"/>
    <x v="0"/>
    <s v="U.S. dollars"/>
    <s v="Billions"/>
    <x v="6"/>
    <n v="92.314999999999998"/>
  </r>
  <r>
    <n v="998"/>
    <x v="6"/>
    <x v="78"/>
    <x v="0"/>
    <s v="U.S. dollars"/>
    <s v="Billions"/>
    <x v="0"/>
    <n v="61.475000000000001"/>
  </r>
  <r>
    <n v="998"/>
    <x v="6"/>
    <x v="78"/>
    <x v="0"/>
    <s v="U.S. dollars"/>
    <s v="Billions"/>
    <x v="1"/>
    <n v="57.718000000000004"/>
  </r>
  <r>
    <n v="998"/>
    <x v="6"/>
    <x v="78"/>
    <x v="0"/>
    <s v="U.S. dollars"/>
    <s v="Billions"/>
    <x v="2"/>
    <n v="69.129000000000005"/>
  </r>
  <r>
    <n v="998"/>
    <x v="6"/>
    <x v="78"/>
    <x v="0"/>
    <s v="U.S. dollars"/>
    <s v="Billions"/>
    <x v="3"/>
    <n v="71.656999999999996"/>
  </r>
  <r>
    <n v="998"/>
    <x v="6"/>
    <x v="78"/>
    <x v="0"/>
    <s v="U.S. dollars"/>
    <s v="Billions"/>
    <x v="4"/>
    <n v="82.043999999999997"/>
  </r>
  <r>
    <n v="998"/>
    <x v="6"/>
    <x v="78"/>
    <x v="0"/>
    <s v="U.S. dollars"/>
    <s v="Billions"/>
    <x v="5"/>
    <n v="88.075999999999993"/>
  </r>
  <r>
    <n v="998"/>
    <x v="6"/>
    <x v="78"/>
    <x v="0"/>
    <s v="U.S. dollars"/>
    <s v="Billions"/>
    <x v="6"/>
    <n v="92.314999999999998"/>
  </r>
  <r>
    <n v="1"/>
    <x v="2"/>
    <x v="78"/>
    <x v="0"/>
    <s v="U.S. dollars"/>
    <s v="Billions"/>
    <x v="0"/>
    <n v="61.475000000000001"/>
  </r>
  <r>
    <n v="1"/>
    <x v="2"/>
    <x v="78"/>
    <x v="0"/>
    <s v="U.S. dollars"/>
    <s v="Billions"/>
    <x v="1"/>
    <n v="57.718000000000004"/>
  </r>
  <r>
    <n v="1"/>
    <x v="2"/>
    <x v="78"/>
    <x v="0"/>
    <s v="U.S. dollars"/>
    <s v="Billions"/>
    <x v="2"/>
    <n v="69.129000000000005"/>
  </r>
  <r>
    <n v="1"/>
    <x v="2"/>
    <x v="78"/>
    <x v="0"/>
    <s v="U.S. dollars"/>
    <s v="Billions"/>
    <x v="3"/>
    <n v="71.656999999999996"/>
  </r>
  <r>
    <n v="1"/>
    <x v="2"/>
    <x v="78"/>
    <x v="0"/>
    <s v="U.S. dollars"/>
    <s v="Billions"/>
    <x v="4"/>
    <n v="82.043999999999997"/>
  </r>
  <r>
    <n v="1"/>
    <x v="2"/>
    <x v="78"/>
    <x v="0"/>
    <s v="U.S. dollars"/>
    <s v="Billions"/>
    <x v="5"/>
    <n v="88.075999999999993"/>
  </r>
  <r>
    <n v="1"/>
    <x v="2"/>
    <x v="78"/>
    <x v="0"/>
    <s v="U.S. dollars"/>
    <s v="Billions"/>
    <x v="6"/>
    <n v="92.314999999999998"/>
  </r>
  <r>
    <n v="205"/>
    <x v="7"/>
    <x v="79"/>
    <x v="0"/>
    <s v="U.S. dollars"/>
    <s v="Billions"/>
    <x v="0"/>
    <n v="69.721999999999994"/>
  </r>
  <r>
    <n v="205"/>
    <x v="7"/>
    <x v="79"/>
    <x v="0"/>
    <s v="U.S. dollars"/>
    <s v="Billions"/>
    <x v="1"/>
    <n v="57.087000000000003"/>
  </r>
  <r>
    <n v="205"/>
    <x v="7"/>
    <x v="79"/>
    <x v="0"/>
    <s v="U.S. dollars"/>
    <s v="Billions"/>
    <x v="2"/>
    <n v="67.406999999999996"/>
  </r>
  <r>
    <n v="205"/>
    <x v="7"/>
    <x v="79"/>
    <x v="0"/>
    <s v="U.S. dollars"/>
    <s v="Billions"/>
    <x v="3"/>
    <n v="76.522999999999996"/>
  </r>
  <r>
    <n v="205"/>
    <x v="7"/>
    <x v="79"/>
    <x v="0"/>
    <s v="U.S. dollars"/>
    <s v="Billions"/>
    <x v="4"/>
    <n v="83.382000000000005"/>
  </r>
  <r>
    <n v="205"/>
    <x v="7"/>
    <x v="79"/>
    <x v="0"/>
    <s v="U.S. dollars"/>
    <s v="Billions"/>
    <x v="5"/>
    <n v="87.346999999999994"/>
  </r>
  <r>
    <n v="205"/>
    <x v="7"/>
    <x v="79"/>
    <x v="0"/>
    <s v="U.S. dollars"/>
    <s v="Billions"/>
    <x v="6"/>
    <n v="91.730999999999995"/>
  </r>
  <r>
    <n v="200"/>
    <x v="3"/>
    <x v="79"/>
    <x v="0"/>
    <s v="U.S. dollars"/>
    <s v="Billions"/>
    <x v="0"/>
    <n v="69.721999999999994"/>
  </r>
  <r>
    <n v="200"/>
    <x v="3"/>
    <x v="79"/>
    <x v="0"/>
    <s v="U.S. dollars"/>
    <s v="Billions"/>
    <x v="1"/>
    <n v="57.087000000000003"/>
  </r>
  <r>
    <n v="200"/>
    <x v="3"/>
    <x v="79"/>
    <x v="0"/>
    <s v="U.S. dollars"/>
    <s v="Billions"/>
    <x v="2"/>
    <n v="67.406999999999996"/>
  </r>
  <r>
    <n v="200"/>
    <x v="3"/>
    <x v="79"/>
    <x v="0"/>
    <s v="U.S. dollars"/>
    <s v="Billions"/>
    <x v="3"/>
    <n v="76.522999999999996"/>
  </r>
  <r>
    <n v="200"/>
    <x v="3"/>
    <x v="79"/>
    <x v="0"/>
    <s v="U.S. dollars"/>
    <s v="Billions"/>
    <x v="4"/>
    <n v="83.382000000000005"/>
  </r>
  <r>
    <n v="200"/>
    <x v="3"/>
    <x v="79"/>
    <x v="0"/>
    <s v="U.S. dollars"/>
    <s v="Billions"/>
    <x v="5"/>
    <n v="87.346999999999994"/>
  </r>
  <r>
    <n v="200"/>
    <x v="3"/>
    <x v="79"/>
    <x v="0"/>
    <s v="U.S. dollars"/>
    <s v="Billions"/>
    <x v="6"/>
    <n v="91.730999999999995"/>
  </r>
  <r>
    <n v="1"/>
    <x v="2"/>
    <x v="79"/>
    <x v="0"/>
    <s v="U.S. dollars"/>
    <s v="Billions"/>
    <x v="0"/>
    <n v="69.721999999999994"/>
  </r>
  <r>
    <n v="1"/>
    <x v="2"/>
    <x v="79"/>
    <x v="0"/>
    <s v="U.S. dollars"/>
    <s v="Billions"/>
    <x v="1"/>
    <n v="57.087000000000003"/>
  </r>
  <r>
    <n v="1"/>
    <x v="2"/>
    <x v="79"/>
    <x v="0"/>
    <s v="U.S. dollars"/>
    <s v="Billions"/>
    <x v="2"/>
    <n v="67.406999999999996"/>
  </r>
  <r>
    <n v="1"/>
    <x v="2"/>
    <x v="79"/>
    <x v="0"/>
    <s v="U.S. dollars"/>
    <s v="Billions"/>
    <x v="3"/>
    <n v="76.522999999999996"/>
  </r>
  <r>
    <n v="1"/>
    <x v="2"/>
    <x v="79"/>
    <x v="0"/>
    <s v="U.S. dollars"/>
    <s v="Billions"/>
    <x v="4"/>
    <n v="83.382000000000005"/>
  </r>
  <r>
    <n v="1"/>
    <x v="2"/>
    <x v="79"/>
    <x v="0"/>
    <s v="U.S. dollars"/>
    <s v="Billions"/>
    <x v="5"/>
    <n v="87.346999999999994"/>
  </r>
  <r>
    <n v="1"/>
    <x v="2"/>
    <x v="79"/>
    <x v="0"/>
    <s v="U.S. dollars"/>
    <s v="Billions"/>
    <x v="6"/>
    <n v="91.730999999999995"/>
  </r>
  <r>
    <n v="1"/>
    <x v="2"/>
    <x v="80"/>
    <x v="0"/>
    <s v="U.S. dollars"/>
    <s v="Billions"/>
    <x v="0"/>
    <n v="60.383000000000003"/>
  </r>
  <r>
    <n v="1"/>
    <x v="2"/>
    <x v="80"/>
    <x v="0"/>
    <s v="U.S. dollars"/>
    <s v="Billions"/>
    <x v="1"/>
    <n v="63.119"/>
  </r>
  <r>
    <n v="1"/>
    <x v="2"/>
    <x v="80"/>
    <x v="0"/>
    <s v="U.S. dollars"/>
    <s v="Billions"/>
    <x v="2"/>
    <n v="72.832999999999998"/>
  </r>
  <r>
    <n v="1"/>
    <x v="2"/>
    <x v="80"/>
    <x v="0"/>
    <s v="U.S. dollars"/>
    <s v="Billions"/>
    <x v="3"/>
    <n v="72.046000000000006"/>
  </r>
  <r>
    <n v="1"/>
    <x v="2"/>
    <x v="80"/>
    <x v="0"/>
    <s v="U.S. dollars"/>
    <s v="Billions"/>
    <x v="4"/>
    <n v="79.977999999999994"/>
  </r>
  <r>
    <n v="1"/>
    <x v="2"/>
    <x v="80"/>
    <x v="0"/>
    <s v="U.S. dollars"/>
    <s v="Billions"/>
    <x v="5"/>
    <n v="86.911000000000001"/>
  </r>
  <r>
    <n v="1"/>
    <x v="2"/>
    <x v="80"/>
    <x v="0"/>
    <s v="U.S. dollars"/>
    <s v="Billions"/>
    <x v="6"/>
    <n v="93.891999999999996"/>
  </r>
  <r>
    <n v="603"/>
    <x v="12"/>
    <x v="80"/>
    <x v="0"/>
    <s v="U.S. dollars"/>
    <s v="Billions"/>
    <x v="0"/>
    <n v="60.383000000000003"/>
  </r>
  <r>
    <n v="603"/>
    <x v="12"/>
    <x v="80"/>
    <x v="0"/>
    <s v="U.S. dollars"/>
    <s v="Billions"/>
    <x v="1"/>
    <n v="63.119"/>
  </r>
  <r>
    <n v="603"/>
    <x v="12"/>
    <x v="80"/>
    <x v="0"/>
    <s v="U.S. dollars"/>
    <s v="Billions"/>
    <x v="2"/>
    <n v="72.832999999999998"/>
  </r>
  <r>
    <n v="603"/>
    <x v="12"/>
    <x v="80"/>
    <x v="0"/>
    <s v="U.S. dollars"/>
    <s v="Billions"/>
    <x v="3"/>
    <n v="72.046000000000006"/>
  </r>
  <r>
    <n v="603"/>
    <x v="12"/>
    <x v="80"/>
    <x v="0"/>
    <s v="U.S. dollars"/>
    <s v="Billions"/>
    <x v="4"/>
    <n v="79.977999999999994"/>
  </r>
  <r>
    <n v="603"/>
    <x v="12"/>
    <x v="80"/>
    <x v="0"/>
    <s v="U.S. dollars"/>
    <s v="Billions"/>
    <x v="5"/>
    <n v="86.911000000000001"/>
  </r>
  <r>
    <n v="603"/>
    <x v="12"/>
    <x v="80"/>
    <x v="0"/>
    <s v="U.S. dollars"/>
    <s v="Billions"/>
    <x v="6"/>
    <n v="93.891999999999996"/>
  </r>
  <r>
    <n v="200"/>
    <x v="3"/>
    <x v="80"/>
    <x v="0"/>
    <s v="U.S. dollars"/>
    <s v="Billions"/>
    <x v="0"/>
    <n v="60.383000000000003"/>
  </r>
  <r>
    <n v="200"/>
    <x v="3"/>
    <x v="80"/>
    <x v="0"/>
    <s v="U.S. dollars"/>
    <s v="Billions"/>
    <x v="1"/>
    <n v="63.119"/>
  </r>
  <r>
    <n v="200"/>
    <x v="3"/>
    <x v="80"/>
    <x v="0"/>
    <s v="U.S. dollars"/>
    <s v="Billions"/>
    <x v="2"/>
    <n v="72.832999999999998"/>
  </r>
  <r>
    <n v="200"/>
    <x v="3"/>
    <x v="80"/>
    <x v="0"/>
    <s v="U.S. dollars"/>
    <s v="Billions"/>
    <x v="3"/>
    <n v="72.046000000000006"/>
  </r>
  <r>
    <n v="200"/>
    <x v="3"/>
    <x v="80"/>
    <x v="0"/>
    <s v="U.S. dollars"/>
    <s v="Billions"/>
    <x v="4"/>
    <n v="79.977999999999994"/>
  </r>
  <r>
    <n v="200"/>
    <x v="3"/>
    <x v="80"/>
    <x v="0"/>
    <s v="U.S. dollars"/>
    <s v="Billions"/>
    <x v="5"/>
    <n v="86.911000000000001"/>
  </r>
  <r>
    <n v="200"/>
    <x v="3"/>
    <x v="80"/>
    <x v="0"/>
    <s v="U.S. dollars"/>
    <s v="Billions"/>
    <x v="6"/>
    <n v="93.891999999999996"/>
  </r>
  <r>
    <n v="1"/>
    <x v="2"/>
    <x v="60"/>
    <x v="4"/>
    <s v="Percent change"/>
    <s v="Units"/>
    <x v="0"/>
    <n v="1.494"/>
  </r>
  <r>
    <n v="1"/>
    <x v="2"/>
    <x v="60"/>
    <x v="4"/>
    <s v="Percent change"/>
    <s v="Units"/>
    <x v="1"/>
    <n v="-13.821"/>
  </r>
  <r>
    <n v="1"/>
    <x v="2"/>
    <x v="60"/>
    <x v="4"/>
    <s v="Percent change"/>
    <s v="Units"/>
    <x v="2"/>
    <n v="20.861999999999998"/>
  </r>
  <r>
    <n v="1"/>
    <x v="2"/>
    <x v="60"/>
    <x v="4"/>
    <s v="Percent change"/>
    <s v="Units"/>
    <x v="3"/>
    <n v="-3.7229999999999999"/>
  </r>
  <r>
    <n v="1"/>
    <x v="2"/>
    <x v="60"/>
    <x v="4"/>
    <s v="Percent change"/>
    <s v="Units"/>
    <x v="4"/>
    <n v="-70.792000000000002"/>
  </r>
  <r>
    <n v="1"/>
    <x v="2"/>
    <x v="60"/>
    <x v="4"/>
    <s v="Percent change"/>
    <s v="Units"/>
    <x v="5"/>
    <n v="84.641999999999996"/>
  </r>
  <r>
    <n v="1"/>
    <x v="2"/>
    <x v="60"/>
    <x v="4"/>
    <s v="Percent change"/>
    <s v="Units"/>
    <x v="6"/>
    <n v="56.524000000000001"/>
  </r>
  <r>
    <n v="400"/>
    <x v="11"/>
    <x v="60"/>
    <x v="4"/>
    <s v="Percent change"/>
    <s v="Units"/>
    <x v="0"/>
    <n v="1.494"/>
  </r>
  <r>
    <n v="400"/>
    <x v="11"/>
    <x v="60"/>
    <x v="4"/>
    <s v="Percent change"/>
    <s v="Units"/>
    <x v="1"/>
    <n v="-13.821"/>
  </r>
  <r>
    <n v="400"/>
    <x v="11"/>
    <x v="60"/>
    <x v="4"/>
    <s v="Percent change"/>
    <s v="Units"/>
    <x v="2"/>
    <n v="20.861999999999998"/>
  </r>
  <r>
    <n v="400"/>
    <x v="11"/>
    <x v="60"/>
    <x v="4"/>
    <s v="Percent change"/>
    <s v="Units"/>
    <x v="3"/>
    <n v="-3.7229999999999999"/>
  </r>
  <r>
    <n v="400"/>
    <x v="11"/>
    <x v="60"/>
    <x v="4"/>
    <s v="Percent change"/>
    <s v="Units"/>
    <x v="4"/>
    <n v="-70.792000000000002"/>
  </r>
  <r>
    <n v="400"/>
    <x v="11"/>
    <x v="60"/>
    <x v="4"/>
    <s v="Percent change"/>
    <s v="Units"/>
    <x v="5"/>
    <n v="84.641999999999996"/>
  </r>
  <r>
    <n v="400"/>
    <x v="11"/>
    <x v="60"/>
    <x v="4"/>
    <s v="Percent change"/>
    <s v="Units"/>
    <x v="6"/>
    <n v="56.524000000000001"/>
  </r>
  <r>
    <n v="200"/>
    <x v="3"/>
    <x v="60"/>
    <x v="4"/>
    <s v="Percent change"/>
    <s v="Units"/>
    <x v="0"/>
    <n v="1.494"/>
  </r>
  <r>
    <n v="200"/>
    <x v="3"/>
    <x v="60"/>
    <x v="4"/>
    <s v="Percent change"/>
    <s v="Units"/>
    <x v="1"/>
    <n v="-13.821"/>
  </r>
  <r>
    <n v="200"/>
    <x v="3"/>
    <x v="60"/>
    <x v="4"/>
    <s v="Percent change"/>
    <s v="Units"/>
    <x v="2"/>
    <n v="20.861999999999998"/>
  </r>
  <r>
    <n v="200"/>
    <x v="3"/>
    <x v="60"/>
    <x v="4"/>
    <s v="Percent change"/>
    <s v="Units"/>
    <x v="3"/>
    <n v="-3.7229999999999999"/>
  </r>
  <r>
    <n v="200"/>
    <x v="3"/>
    <x v="60"/>
    <x v="4"/>
    <s v="Percent change"/>
    <s v="Units"/>
    <x v="4"/>
    <n v="-70.792000000000002"/>
  </r>
  <r>
    <n v="200"/>
    <x v="3"/>
    <x v="60"/>
    <x v="4"/>
    <s v="Percent change"/>
    <s v="Units"/>
    <x v="5"/>
    <n v="84.641999999999996"/>
  </r>
  <r>
    <n v="200"/>
    <x v="3"/>
    <x v="60"/>
    <x v="4"/>
    <s v="Percent change"/>
    <s v="Units"/>
    <x v="6"/>
    <n v="56.524000000000001"/>
  </r>
  <r>
    <n v="1"/>
    <x v="2"/>
    <x v="81"/>
    <x v="0"/>
    <s v="U.S. dollars"/>
    <s v="Billions"/>
    <x v="0"/>
    <n v="62.23"/>
  </r>
  <r>
    <n v="1"/>
    <x v="2"/>
    <x v="81"/>
    <x v="0"/>
    <s v="U.S. dollars"/>
    <s v="Billions"/>
    <x v="1"/>
    <n v="53.665999999999997"/>
  </r>
  <r>
    <n v="1"/>
    <x v="2"/>
    <x v="81"/>
    <x v="0"/>
    <s v="U.S. dollars"/>
    <s v="Billions"/>
    <x v="2"/>
    <n v="60.762"/>
  </r>
  <r>
    <n v="1"/>
    <x v="2"/>
    <x v="81"/>
    <x v="0"/>
    <s v="U.S. dollars"/>
    <s v="Billions"/>
    <x v="3"/>
    <n v="70.165000000000006"/>
  </r>
  <r>
    <n v="1"/>
    <x v="2"/>
    <x v="81"/>
    <x v="0"/>
    <s v="U.S. dollars"/>
    <s v="Billions"/>
    <x v="4"/>
    <n v="77.241"/>
  </r>
  <r>
    <n v="1"/>
    <x v="2"/>
    <x v="81"/>
    <x v="0"/>
    <s v="U.S. dollars"/>
    <s v="Billions"/>
    <x v="5"/>
    <n v="82.605000000000004"/>
  </r>
  <r>
    <n v="1"/>
    <x v="2"/>
    <x v="81"/>
    <x v="0"/>
    <s v="U.S. dollars"/>
    <s v="Billions"/>
    <x v="6"/>
    <n v="86.293999999999997"/>
  </r>
  <r>
    <n v="205"/>
    <x v="7"/>
    <x v="81"/>
    <x v="0"/>
    <s v="U.S. dollars"/>
    <s v="Billions"/>
    <x v="0"/>
    <n v="62.23"/>
  </r>
  <r>
    <n v="205"/>
    <x v="7"/>
    <x v="81"/>
    <x v="0"/>
    <s v="U.S. dollars"/>
    <s v="Billions"/>
    <x v="1"/>
    <n v="53.665999999999997"/>
  </r>
  <r>
    <n v="205"/>
    <x v="7"/>
    <x v="81"/>
    <x v="0"/>
    <s v="U.S. dollars"/>
    <s v="Billions"/>
    <x v="2"/>
    <n v="60.762"/>
  </r>
  <r>
    <n v="205"/>
    <x v="7"/>
    <x v="81"/>
    <x v="0"/>
    <s v="U.S. dollars"/>
    <s v="Billions"/>
    <x v="3"/>
    <n v="70.165000000000006"/>
  </r>
  <r>
    <n v="205"/>
    <x v="7"/>
    <x v="81"/>
    <x v="0"/>
    <s v="U.S. dollars"/>
    <s v="Billions"/>
    <x v="4"/>
    <n v="77.241"/>
  </r>
  <r>
    <n v="205"/>
    <x v="7"/>
    <x v="81"/>
    <x v="0"/>
    <s v="U.S. dollars"/>
    <s v="Billions"/>
    <x v="5"/>
    <n v="82.605000000000004"/>
  </r>
  <r>
    <n v="205"/>
    <x v="7"/>
    <x v="81"/>
    <x v="0"/>
    <s v="U.S. dollars"/>
    <s v="Billions"/>
    <x v="6"/>
    <n v="86.293999999999997"/>
  </r>
  <r>
    <n v="200"/>
    <x v="3"/>
    <x v="81"/>
    <x v="0"/>
    <s v="U.S. dollars"/>
    <s v="Billions"/>
    <x v="0"/>
    <n v="62.23"/>
  </r>
  <r>
    <n v="200"/>
    <x v="3"/>
    <x v="81"/>
    <x v="0"/>
    <s v="U.S. dollars"/>
    <s v="Billions"/>
    <x v="1"/>
    <n v="53.665999999999997"/>
  </r>
  <r>
    <n v="200"/>
    <x v="3"/>
    <x v="81"/>
    <x v="0"/>
    <s v="U.S. dollars"/>
    <s v="Billions"/>
    <x v="2"/>
    <n v="60.762"/>
  </r>
  <r>
    <n v="200"/>
    <x v="3"/>
    <x v="81"/>
    <x v="0"/>
    <s v="U.S. dollars"/>
    <s v="Billions"/>
    <x v="3"/>
    <n v="70.165000000000006"/>
  </r>
  <r>
    <n v="200"/>
    <x v="3"/>
    <x v="81"/>
    <x v="0"/>
    <s v="U.S. dollars"/>
    <s v="Billions"/>
    <x v="4"/>
    <n v="77.241"/>
  </r>
  <r>
    <n v="200"/>
    <x v="3"/>
    <x v="81"/>
    <x v="0"/>
    <s v="U.S. dollars"/>
    <s v="Billions"/>
    <x v="5"/>
    <n v="82.605000000000004"/>
  </r>
  <r>
    <n v="200"/>
    <x v="3"/>
    <x v="81"/>
    <x v="0"/>
    <s v="U.S. dollars"/>
    <s v="Billions"/>
    <x v="6"/>
    <n v="86.293999999999997"/>
  </r>
  <r>
    <n v="1"/>
    <x v="2"/>
    <x v="82"/>
    <x v="0"/>
    <s v="U.S. dollars"/>
    <s v="Billions"/>
    <x v="0"/>
    <n v="53.034999999999997"/>
  </r>
  <r>
    <n v="1"/>
    <x v="2"/>
    <x v="82"/>
    <x v="0"/>
    <s v="U.S. dollars"/>
    <s v="Billions"/>
    <x v="1"/>
    <n v="52.384999999999998"/>
  </r>
  <r>
    <n v="1"/>
    <x v="2"/>
    <x v="82"/>
    <x v="0"/>
    <s v="U.S. dollars"/>
    <s v="Billions"/>
    <x v="2"/>
    <n v="60.933999999999997"/>
  </r>
  <r>
    <n v="1"/>
    <x v="2"/>
    <x v="82"/>
    <x v="0"/>
    <s v="U.S. dollars"/>
    <s v="Billions"/>
    <x v="3"/>
    <n v="77.962999999999994"/>
  </r>
  <r>
    <n v="1"/>
    <x v="2"/>
    <x v="82"/>
    <x v="0"/>
    <s v="U.S. dollars"/>
    <s v="Billions"/>
    <x v="4"/>
    <n v="77.105999999999995"/>
  </r>
  <r>
    <n v="1"/>
    <x v="2"/>
    <x v="82"/>
    <x v="0"/>
    <s v="U.S. dollars"/>
    <s v="Billions"/>
    <x v="5"/>
    <n v="81.896000000000001"/>
  </r>
  <r>
    <n v="1"/>
    <x v="2"/>
    <x v="82"/>
    <x v="0"/>
    <s v="U.S. dollars"/>
    <s v="Billions"/>
    <x v="6"/>
    <n v="89.001000000000005"/>
  </r>
  <r>
    <n v="200"/>
    <x v="3"/>
    <x v="82"/>
    <x v="0"/>
    <s v="U.S. dollars"/>
    <s v="Billions"/>
    <x v="0"/>
    <n v="53.034999999999997"/>
  </r>
  <r>
    <n v="200"/>
    <x v="3"/>
    <x v="82"/>
    <x v="0"/>
    <s v="U.S. dollars"/>
    <s v="Billions"/>
    <x v="1"/>
    <n v="52.384999999999998"/>
  </r>
  <r>
    <n v="200"/>
    <x v="3"/>
    <x v="82"/>
    <x v="0"/>
    <s v="U.S. dollars"/>
    <s v="Billions"/>
    <x v="2"/>
    <n v="60.933999999999997"/>
  </r>
  <r>
    <n v="200"/>
    <x v="3"/>
    <x v="82"/>
    <x v="0"/>
    <s v="U.S. dollars"/>
    <s v="Billions"/>
    <x v="3"/>
    <n v="77.962999999999994"/>
  </r>
  <r>
    <n v="200"/>
    <x v="3"/>
    <x v="82"/>
    <x v="0"/>
    <s v="U.S. dollars"/>
    <s v="Billions"/>
    <x v="4"/>
    <n v="77.105999999999995"/>
  </r>
  <r>
    <n v="200"/>
    <x v="3"/>
    <x v="82"/>
    <x v="0"/>
    <s v="U.S. dollars"/>
    <s v="Billions"/>
    <x v="5"/>
    <n v="81.896000000000001"/>
  </r>
  <r>
    <n v="200"/>
    <x v="3"/>
    <x v="82"/>
    <x v="0"/>
    <s v="U.S. dollars"/>
    <s v="Billions"/>
    <x v="6"/>
    <n v="89.001000000000005"/>
  </r>
  <r>
    <n v="400"/>
    <x v="11"/>
    <x v="82"/>
    <x v="0"/>
    <s v="U.S. dollars"/>
    <s v="Billions"/>
    <x v="0"/>
    <n v="53.034999999999997"/>
  </r>
  <r>
    <n v="400"/>
    <x v="11"/>
    <x v="82"/>
    <x v="0"/>
    <s v="U.S. dollars"/>
    <s v="Billions"/>
    <x v="1"/>
    <n v="52.384999999999998"/>
  </r>
  <r>
    <n v="400"/>
    <x v="11"/>
    <x v="82"/>
    <x v="0"/>
    <s v="U.S. dollars"/>
    <s v="Billions"/>
    <x v="2"/>
    <n v="60.933999999999997"/>
  </r>
  <r>
    <n v="400"/>
    <x v="11"/>
    <x v="82"/>
    <x v="0"/>
    <s v="U.S. dollars"/>
    <s v="Billions"/>
    <x v="3"/>
    <n v="77.962999999999994"/>
  </r>
  <r>
    <n v="400"/>
    <x v="11"/>
    <x v="82"/>
    <x v="0"/>
    <s v="U.S. dollars"/>
    <s v="Billions"/>
    <x v="4"/>
    <n v="77.105999999999995"/>
  </r>
  <r>
    <n v="400"/>
    <x v="11"/>
    <x v="82"/>
    <x v="0"/>
    <s v="U.S. dollars"/>
    <s v="Billions"/>
    <x v="5"/>
    <n v="81.896000000000001"/>
  </r>
  <r>
    <n v="400"/>
    <x v="11"/>
    <x v="82"/>
    <x v="0"/>
    <s v="U.S. dollars"/>
    <s v="Billions"/>
    <x v="6"/>
    <n v="89.001000000000005"/>
  </r>
  <r>
    <n v="200"/>
    <x v="3"/>
    <x v="83"/>
    <x v="0"/>
    <s v="U.S. dollars"/>
    <s v="Billions"/>
    <x v="0"/>
    <n v="51.514000000000003"/>
  </r>
  <r>
    <n v="200"/>
    <x v="3"/>
    <x v="83"/>
    <x v="0"/>
    <s v="U.S. dollars"/>
    <s v="Billions"/>
    <x v="1"/>
    <n v="53.356000000000002"/>
  </r>
  <r>
    <n v="200"/>
    <x v="3"/>
    <x v="83"/>
    <x v="0"/>
    <s v="U.S. dollars"/>
    <s v="Billions"/>
    <x v="2"/>
    <n v="62.786999999999999"/>
  </r>
  <r>
    <n v="200"/>
    <x v="3"/>
    <x v="83"/>
    <x v="0"/>
    <s v="U.S. dollars"/>
    <s v="Billions"/>
    <x v="3"/>
    <n v="63.563000000000002"/>
  </r>
  <r>
    <n v="200"/>
    <x v="3"/>
    <x v="83"/>
    <x v="0"/>
    <s v="U.S. dollars"/>
    <s v="Billions"/>
    <x v="4"/>
    <n v="75.186999999999998"/>
  </r>
  <r>
    <n v="200"/>
    <x v="3"/>
    <x v="83"/>
    <x v="0"/>
    <s v="U.S. dollars"/>
    <s v="Billions"/>
    <x v="5"/>
    <n v="81.873000000000005"/>
  </r>
  <r>
    <n v="200"/>
    <x v="3"/>
    <x v="83"/>
    <x v="0"/>
    <s v="U.S. dollars"/>
    <s v="Billions"/>
    <x v="6"/>
    <n v="87.738"/>
  </r>
  <r>
    <n v="1"/>
    <x v="2"/>
    <x v="83"/>
    <x v="0"/>
    <s v="U.S. dollars"/>
    <s v="Billions"/>
    <x v="0"/>
    <n v="51.514000000000003"/>
  </r>
  <r>
    <n v="1"/>
    <x v="2"/>
    <x v="83"/>
    <x v="0"/>
    <s v="U.S. dollars"/>
    <s v="Billions"/>
    <x v="1"/>
    <n v="53.356000000000002"/>
  </r>
  <r>
    <n v="1"/>
    <x v="2"/>
    <x v="83"/>
    <x v="0"/>
    <s v="U.S. dollars"/>
    <s v="Billions"/>
    <x v="2"/>
    <n v="62.786999999999999"/>
  </r>
  <r>
    <n v="1"/>
    <x v="2"/>
    <x v="83"/>
    <x v="0"/>
    <s v="U.S. dollars"/>
    <s v="Billions"/>
    <x v="3"/>
    <n v="63.563000000000002"/>
  </r>
  <r>
    <n v="1"/>
    <x v="2"/>
    <x v="83"/>
    <x v="0"/>
    <s v="U.S. dollars"/>
    <s v="Billions"/>
    <x v="4"/>
    <n v="75.186999999999998"/>
  </r>
  <r>
    <n v="1"/>
    <x v="2"/>
    <x v="83"/>
    <x v="0"/>
    <s v="U.S. dollars"/>
    <s v="Billions"/>
    <x v="5"/>
    <n v="81.873000000000005"/>
  </r>
  <r>
    <n v="1"/>
    <x v="2"/>
    <x v="83"/>
    <x v="0"/>
    <s v="U.S. dollars"/>
    <s v="Billions"/>
    <x v="6"/>
    <n v="87.738"/>
  </r>
  <r>
    <n v="903"/>
    <x v="8"/>
    <x v="83"/>
    <x v="0"/>
    <s v="U.S. dollars"/>
    <s v="Billions"/>
    <x v="0"/>
    <n v="51.514000000000003"/>
  </r>
  <r>
    <n v="903"/>
    <x v="8"/>
    <x v="83"/>
    <x v="0"/>
    <s v="U.S. dollars"/>
    <s v="Billions"/>
    <x v="1"/>
    <n v="53.356000000000002"/>
  </r>
  <r>
    <n v="903"/>
    <x v="8"/>
    <x v="83"/>
    <x v="0"/>
    <s v="U.S. dollars"/>
    <s v="Billions"/>
    <x v="2"/>
    <n v="62.786999999999999"/>
  </r>
  <r>
    <n v="903"/>
    <x v="8"/>
    <x v="83"/>
    <x v="0"/>
    <s v="U.S. dollars"/>
    <s v="Billions"/>
    <x v="3"/>
    <n v="63.563000000000002"/>
  </r>
  <r>
    <n v="903"/>
    <x v="8"/>
    <x v="83"/>
    <x v="0"/>
    <s v="U.S. dollars"/>
    <s v="Billions"/>
    <x v="4"/>
    <n v="75.186999999999998"/>
  </r>
  <r>
    <n v="903"/>
    <x v="8"/>
    <x v="83"/>
    <x v="0"/>
    <s v="U.S. dollars"/>
    <s v="Billions"/>
    <x v="5"/>
    <n v="81.873000000000005"/>
  </r>
  <r>
    <n v="903"/>
    <x v="8"/>
    <x v="83"/>
    <x v="0"/>
    <s v="U.S. dollars"/>
    <s v="Billions"/>
    <x v="6"/>
    <n v="87.738"/>
  </r>
  <r>
    <n v="163"/>
    <x v="5"/>
    <x v="84"/>
    <x v="0"/>
    <s v="U.S. dollars"/>
    <s v="Billions"/>
    <x v="0"/>
    <n v="54.814999999999998"/>
  </r>
  <r>
    <n v="163"/>
    <x v="5"/>
    <x v="84"/>
    <x v="0"/>
    <s v="U.S. dollars"/>
    <s v="Billions"/>
    <x v="1"/>
    <n v="56.918999999999997"/>
  </r>
  <r>
    <n v="163"/>
    <x v="5"/>
    <x v="84"/>
    <x v="0"/>
    <s v="U.S. dollars"/>
    <s v="Billions"/>
    <x v="2"/>
    <n v="66.843000000000004"/>
  </r>
  <r>
    <n v="163"/>
    <x v="5"/>
    <x v="84"/>
    <x v="0"/>
    <s v="U.S. dollars"/>
    <s v="Billions"/>
    <x v="3"/>
    <n v="71.03"/>
  </r>
  <r>
    <n v="163"/>
    <x v="5"/>
    <x v="84"/>
    <x v="0"/>
    <s v="U.S. dollars"/>
    <s v="Billions"/>
    <x v="4"/>
    <n v="77.926000000000002"/>
  </r>
  <r>
    <n v="163"/>
    <x v="5"/>
    <x v="84"/>
    <x v="0"/>
    <s v="U.S. dollars"/>
    <s v="Billions"/>
    <x v="5"/>
    <n v="81.17"/>
  </r>
  <r>
    <n v="163"/>
    <x v="5"/>
    <x v="84"/>
    <x v="0"/>
    <s v="U.S. dollars"/>
    <s v="Billions"/>
    <x v="6"/>
    <n v="84.727000000000004"/>
  </r>
  <r>
    <n v="998"/>
    <x v="6"/>
    <x v="84"/>
    <x v="0"/>
    <s v="U.S. dollars"/>
    <s v="Billions"/>
    <x v="0"/>
    <n v="54.814999999999998"/>
  </r>
  <r>
    <n v="998"/>
    <x v="6"/>
    <x v="84"/>
    <x v="0"/>
    <s v="U.S. dollars"/>
    <s v="Billions"/>
    <x v="1"/>
    <n v="56.918999999999997"/>
  </r>
  <r>
    <n v="998"/>
    <x v="6"/>
    <x v="84"/>
    <x v="0"/>
    <s v="U.S. dollars"/>
    <s v="Billions"/>
    <x v="2"/>
    <n v="66.843000000000004"/>
  </r>
  <r>
    <n v="998"/>
    <x v="6"/>
    <x v="84"/>
    <x v="0"/>
    <s v="U.S. dollars"/>
    <s v="Billions"/>
    <x v="3"/>
    <n v="71.03"/>
  </r>
  <r>
    <n v="998"/>
    <x v="6"/>
    <x v="84"/>
    <x v="0"/>
    <s v="U.S. dollars"/>
    <s v="Billions"/>
    <x v="4"/>
    <n v="77.926000000000002"/>
  </r>
  <r>
    <n v="998"/>
    <x v="6"/>
    <x v="84"/>
    <x v="0"/>
    <s v="U.S. dollars"/>
    <s v="Billions"/>
    <x v="5"/>
    <n v="81.17"/>
  </r>
  <r>
    <n v="998"/>
    <x v="6"/>
    <x v="84"/>
    <x v="0"/>
    <s v="U.S. dollars"/>
    <s v="Billions"/>
    <x v="6"/>
    <n v="84.727000000000004"/>
  </r>
  <r>
    <n v="1"/>
    <x v="2"/>
    <x v="84"/>
    <x v="0"/>
    <s v="U.S. dollars"/>
    <s v="Billions"/>
    <x v="0"/>
    <n v="54.814999999999998"/>
  </r>
  <r>
    <n v="1"/>
    <x v="2"/>
    <x v="84"/>
    <x v="0"/>
    <s v="U.S. dollars"/>
    <s v="Billions"/>
    <x v="1"/>
    <n v="56.918999999999997"/>
  </r>
  <r>
    <n v="1"/>
    <x v="2"/>
    <x v="84"/>
    <x v="0"/>
    <s v="U.S. dollars"/>
    <s v="Billions"/>
    <x v="2"/>
    <n v="66.843000000000004"/>
  </r>
  <r>
    <n v="1"/>
    <x v="2"/>
    <x v="84"/>
    <x v="0"/>
    <s v="U.S. dollars"/>
    <s v="Billions"/>
    <x v="3"/>
    <n v="71.03"/>
  </r>
  <r>
    <n v="1"/>
    <x v="2"/>
    <x v="84"/>
    <x v="0"/>
    <s v="U.S. dollars"/>
    <s v="Billions"/>
    <x v="4"/>
    <n v="77.926000000000002"/>
  </r>
  <r>
    <n v="1"/>
    <x v="2"/>
    <x v="84"/>
    <x v="0"/>
    <s v="U.S. dollars"/>
    <s v="Billions"/>
    <x v="5"/>
    <n v="81.17"/>
  </r>
  <r>
    <n v="1"/>
    <x v="2"/>
    <x v="84"/>
    <x v="0"/>
    <s v="U.S. dollars"/>
    <s v="Billions"/>
    <x v="6"/>
    <n v="84.727000000000004"/>
  </r>
  <r>
    <n v="110"/>
    <x v="0"/>
    <x v="84"/>
    <x v="0"/>
    <s v="U.S. dollars"/>
    <s v="Billions"/>
    <x v="0"/>
    <n v="54.814999999999998"/>
  </r>
  <r>
    <n v="110"/>
    <x v="0"/>
    <x v="84"/>
    <x v="0"/>
    <s v="U.S. dollars"/>
    <s v="Billions"/>
    <x v="1"/>
    <n v="56.918999999999997"/>
  </r>
  <r>
    <n v="110"/>
    <x v="0"/>
    <x v="84"/>
    <x v="0"/>
    <s v="U.S. dollars"/>
    <s v="Billions"/>
    <x v="2"/>
    <n v="66.843000000000004"/>
  </r>
  <r>
    <n v="110"/>
    <x v="0"/>
    <x v="84"/>
    <x v="0"/>
    <s v="U.S. dollars"/>
    <s v="Billions"/>
    <x v="3"/>
    <n v="71.03"/>
  </r>
  <r>
    <n v="110"/>
    <x v="0"/>
    <x v="84"/>
    <x v="0"/>
    <s v="U.S. dollars"/>
    <s v="Billions"/>
    <x v="4"/>
    <n v="77.926000000000002"/>
  </r>
  <r>
    <n v="110"/>
    <x v="0"/>
    <x v="84"/>
    <x v="0"/>
    <s v="U.S. dollars"/>
    <s v="Billions"/>
    <x v="5"/>
    <n v="81.17"/>
  </r>
  <r>
    <n v="110"/>
    <x v="0"/>
    <x v="84"/>
    <x v="0"/>
    <s v="U.S. dollars"/>
    <s v="Billions"/>
    <x v="6"/>
    <n v="84.727000000000004"/>
  </r>
  <r>
    <n v="200"/>
    <x v="3"/>
    <x v="85"/>
    <x v="0"/>
    <s v="U.S. dollars"/>
    <s v="Billions"/>
    <x v="0"/>
    <n v="58.796999999999997"/>
  </r>
  <r>
    <n v="200"/>
    <x v="3"/>
    <x v="85"/>
    <x v="0"/>
    <s v="U.S. dollars"/>
    <s v="Billions"/>
    <x v="1"/>
    <n v="63.372999999999998"/>
  </r>
  <r>
    <n v="200"/>
    <x v="3"/>
    <x v="85"/>
    <x v="0"/>
    <s v="U.S. dollars"/>
    <s v="Billions"/>
    <x v="2"/>
    <n v="67.963999999999999"/>
  </r>
  <r>
    <n v="200"/>
    <x v="3"/>
    <x v="85"/>
    <x v="0"/>
    <s v="U.S. dollars"/>
    <s v="Billions"/>
    <x v="3"/>
    <n v="74.128"/>
  </r>
  <r>
    <n v="200"/>
    <x v="3"/>
    <x v="85"/>
    <x v="0"/>
    <s v="U.S. dollars"/>
    <s v="Billions"/>
    <x v="4"/>
    <n v="79.447000000000003"/>
  </r>
  <r>
    <n v="200"/>
    <x v="3"/>
    <x v="85"/>
    <x v="0"/>
    <s v="U.S. dollars"/>
    <s v="Billions"/>
    <x v="5"/>
    <n v="79.605000000000004"/>
  </r>
  <r>
    <n v="200"/>
    <x v="3"/>
    <x v="85"/>
    <x v="0"/>
    <s v="U.S. dollars"/>
    <s v="Billions"/>
    <x v="6"/>
    <n v="86.126000000000005"/>
  </r>
  <r>
    <n v="1"/>
    <x v="2"/>
    <x v="85"/>
    <x v="0"/>
    <s v="U.S. dollars"/>
    <s v="Billions"/>
    <x v="0"/>
    <n v="58.796999999999997"/>
  </r>
  <r>
    <n v="1"/>
    <x v="2"/>
    <x v="85"/>
    <x v="0"/>
    <s v="U.S. dollars"/>
    <s v="Billions"/>
    <x v="1"/>
    <n v="63.372999999999998"/>
  </r>
  <r>
    <n v="1"/>
    <x v="2"/>
    <x v="85"/>
    <x v="0"/>
    <s v="U.S. dollars"/>
    <s v="Billions"/>
    <x v="2"/>
    <n v="67.963999999999999"/>
  </r>
  <r>
    <n v="1"/>
    <x v="2"/>
    <x v="85"/>
    <x v="0"/>
    <s v="U.S. dollars"/>
    <s v="Billions"/>
    <x v="3"/>
    <n v="74.128"/>
  </r>
  <r>
    <n v="1"/>
    <x v="2"/>
    <x v="85"/>
    <x v="0"/>
    <s v="U.S. dollars"/>
    <s v="Billions"/>
    <x v="4"/>
    <n v="79.447000000000003"/>
  </r>
  <r>
    <n v="1"/>
    <x v="2"/>
    <x v="85"/>
    <x v="0"/>
    <s v="U.S. dollars"/>
    <s v="Billions"/>
    <x v="5"/>
    <n v="79.605000000000004"/>
  </r>
  <r>
    <n v="1"/>
    <x v="2"/>
    <x v="85"/>
    <x v="0"/>
    <s v="U.S. dollars"/>
    <s v="Billions"/>
    <x v="6"/>
    <n v="86.126000000000005"/>
  </r>
  <r>
    <n v="603"/>
    <x v="12"/>
    <x v="85"/>
    <x v="0"/>
    <s v="U.S. dollars"/>
    <s v="Billions"/>
    <x v="0"/>
    <n v="58.796999999999997"/>
  </r>
  <r>
    <n v="603"/>
    <x v="12"/>
    <x v="85"/>
    <x v="0"/>
    <s v="U.S. dollars"/>
    <s v="Billions"/>
    <x v="1"/>
    <n v="63.372999999999998"/>
  </r>
  <r>
    <n v="603"/>
    <x v="12"/>
    <x v="85"/>
    <x v="0"/>
    <s v="U.S. dollars"/>
    <s v="Billions"/>
    <x v="2"/>
    <n v="67.963999999999999"/>
  </r>
  <r>
    <n v="603"/>
    <x v="12"/>
    <x v="85"/>
    <x v="0"/>
    <s v="U.S. dollars"/>
    <s v="Billions"/>
    <x v="3"/>
    <n v="74.128"/>
  </r>
  <r>
    <n v="603"/>
    <x v="12"/>
    <x v="85"/>
    <x v="0"/>
    <s v="U.S. dollars"/>
    <s v="Billions"/>
    <x v="4"/>
    <n v="79.447000000000003"/>
  </r>
  <r>
    <n v="603"/>
    <x v="12"/>
    <x v="85"/>
    <x v="0"/>
    <s v="U.S. dollars"/>
    <s v="Billions"/>
    <x v="5"/>
    <n v="79.605000000000004"/>
  </r>
  <r>
    <n v="603"/>
    <x v="12"/>
    <x v="85"/>
    <x v="0"/>
    <s v="U.S. dollars"/>
    <s v="Billions"/>
    <x v="6"/>
    <n v="86.126000000000005"/>
  </r>
  <r>
    <n v="200"/>
    <x v="3"/>
    <x v="86"/>
    <x v="0"/>
    <s v="U.S. dollars"/>
    <s v="Billions"/>
    <x v="0"/>
    <n v="48.173999999999999"/>
  </r>
  <r>
    <n v="200"/>
    <x v="3"/>
    <x v="86"/>
    <x v="0"/>
    <s v="U.S. dollars"/>
    <s v="Billions"/>
    <x v="1"/>
    <n v="42.692999999999998"/>
  </r>
  <r>
    <n v="200"/>
    <x v="3"/>
    <x v="86"/>
    <x v="0"/>
    <s v="U.S. dollars"/>
    <s v="Billions"/>
    <x v="2"/>
    <n v="54.825000000000003"/>
  </r>
  <r>
    <n v="200"/>
    <x v="3"/>
    <x v="86"/>
    <x v="0"/>
    <s v="U.S. dollars"/>
    <s v="Billions"/>
    <x v="3"/>
    <n v="78.721000000000004"/>
  </r>
  <r>
    <n v="200"/>
    <x v="3"/>
    <x v="86"/>
    <x v="0"/>
    <s v="U.S. dollars"/>
    <s v="Billions"/>
    <x v="4"/>
    <n v="76.638999999999996"/>
  </r>
  <r>
    <n v="200"/>
    <x v="3"/>
    <x v="86"/>
    <x v="0"/>
    <s v="U.S. dollars"/>
    <s v="Billions"/>
    <x v="5"/>
    <n v="78.748999999999995"/>
  </r>
  <r>
    <n v="200"/>
    <x v="3"/>
    <x v="86"/>
    <x v="0"/>
    <s v="U.S. dollars"/>
    <s v="Billions"/>
    <x v="6"/>
    <n v="81.438000000000002"/>
  </r>
  <r>
    <n v="1"/>
    <x v="2"/>
    <x v="86"/>
    <x v="0"/>
    <s v="U.S. dollars"/>
    <s v="Billions"/>
    <x v="0"/>
    <n v="48.173999999999999"/>
  </r>
  <r>
    <n v="1"/>
    <x v="2"/>
    <x v="86"/>
    <x v="0"/>
    <s v="U.S. dollars"/>
    <s v="Billions"/>
    <x v="1"/>
    <n v="42.692999999999998"/>
  </r>
  <r>
    <n v="1"/>
    <x v="2"/>
    <x v="86"/>
    <x v="0"/>
    <s v="U.S. dollars"/>
    <s v="Billions"/>
    <x v="2"/>
    <n v="54.825000000000003"/>
  </r>
  <r>
    <n v="1"/>
    <x v="2"/>
    <x v="86"/>
    <x v="0"/>
    <s v="U.S. dollars"/>
    <s v="Billions"/>
    <x v="3"/>
    <n v="78.721000000000004"/>
  </r>
  <r>
    <n v="1"/>
    <x v="2"/>
    <x v="86"/>
    <x v="0"/>
    <s v="U.S. dollars"/>
    <s v="Billions"/>
    <x v="4"/>
    <n v="76.638999999999996"/>
  </r>
  <r>
    <n v="1"/>
    <x v="2"/>
    <x v="86"/>
    <x v="0"/>
    <s v="U.S. dollars"/>
    <s v="Billions"/>
    <x v="5"/>
    <n v="78.748999999999995"/>
  </r>
  <r>
    <n v="1"/>
    <x v="2"/>
    <x v="86"/>
    <x v="0"/>
    <s v="U.S. dollars"/>
    <s v="Billions"/>
    <x v="6"/>
    <n v="81.438000000000002"/>
  </r>
  <r>
    <n v="400"/>
    <x v="11"/>
    <x v="86"/>
    <x v="0"/>
    <s v="U.S. dollars"/>
    <s v="Billions"/>
    <x v="0"/>
    <n v="48.173999999999999"/>
  </r>
  <r>
    <n v="400"/>
    <x v="11"/>
    <x v="86"/>
    <x v="0"/>
    <s v="U.S. dollars"/>
    <s v="Billions"/>
    <x v="1"/>
    <n v="42.692999999999998"/>
  </r>
  <r>
    <n v="400"/>
    <x v="11"/>
    <x v="86"/>
    <x v="0"/>
    <s v="U.S. dollars"/>
    <s v="Billions"/>
    <x v="2"/>
    <n v="54.825000000000003"/>
  </r>
  <r>
    <n v="400"/>
    <x v="11"/>
    <x v="86"/>
    <x v="0"/>
    <s v="U.S. dollars"/>
    <s v="Billions"/>
    <x v="3"/>
    <n v="78.721000000000004"/>
  </r>
  <r>
    <n v="400"/>
    <x v="11"/>
    <x v="86"/>
    <x v="0"/>
    <s v="U.S. dollars"/>
    <s v="Billions"/>
    <x v="4"/>
    <n v="76.638999999999996"/>
  </r>
  <r>
    <n v="400"/>
    <x v="11"/>
    <x v="86"/>
    <x v="0"/>
    <s v="U.S. dollars"/>
    <s v="Billions"/>
    <x v="5"/>
    <n v="78.748999999999995"/>
  </r>
  <r>
    <n v="400"/>
    <x v="11"/>
    <x v="86"/>
    <x v="0"/>
    <s v="U.S. dollars"/>
    <s v="Billions"/>
    <x v="6"/>
    <n v="81.438000000000002"/>
  </r>
  <r>
    <n v="400"/>
    <x v="11"/>
    <x v="58"/>
    <x v="2"/>
    <s v="Percent of GDP"/>
    <s v="Units"/>
    <x v="0"/>
    <n v="61.713999999999999"/>
  </r>
  <r>
    <n v="400"/>
    <x v="11"/>
    <x v="58"/>
    <x v="2"/>
    <s v="Percent of GDP"/>
    <s v="Units"/>
    <x v="1"/>
    <n v="60.591000000000001"/>
  </r>
  <r>
    <n v="400"/>
    <x v="11"/>
    <x v="58"/>
    <x v="2"/>
    <s v="Percent of GDP"/>
    <s v="Units"/>
    <x v="2"/>
    <n v="59.204999999999998"/>
  </r>
  <r>
    <n v="400"/>
    <x v="11"/>
    <x v="58"/>
    <x v="2"/>
    <s v="Percent of GDP"/>
    <s v="Units"/>
    <x v="3"/>
    <n v="70.207999999999998"/>
  </r>
  <r>
    <n v="400"/>
    <x v="11"/>
    <x v="58"/>
    <x v="2"/>
    <s v="Percent of GDP"/>
    <s v="Units"/>
    <x v="4"/>
    <n v="80.238"/>
  </r>
  <r>
    <n v="400"/>
    <x v="11"/>
    <x v="58"/>
    <x v="2"/>
    <s v="Percent of GDP"/>
    <s v="Units"/>
    <x v="5"/>
    <n v="77.671999999999997"/>
  </r>
  <r>
    <n v="400"/>
    <x v="11"/>
    <x v="58"/>
    <x v="2"/>
    <s v="Percent of GDP"/>
    <s v="Units"/>
    <x v="6"/>
    <n v="76.876000000000005"/>
  </r>
  <r>
    <n v="200"/>
    <x v="3"/>
    <x v="58"/>
    <x v="2"/>
    <s v="Percent of GDP"/>
    <s v="Units"/>
    <x v="0"/>
    <n v="61.713999999999999"/>
  </r>
  <r>
    <n v="200"/>
    <x v="3"/>
    <x v="58"/>
    <x v="2"/>
    <s v="Percent of GDP"/>
    <s v="Units"/>
    <x v="1"/>
    <n v="60.591000000000001"/>
  </r>
  <r>
    <n v="200"/>
    <x v="3"/>
    <x v="58"/>
    <x v="2"/>
    <s v="Percent of GDP"/>
    <s v="Units"/>
    <x v="2"/>
    <n v="59.204999999999998"/>
  </r>
  <r>
    <n v="200"/>
    <x v="3"/>
    <x v="58"/>
    <x v="2"/>
    <s v="Percent of GDP"/>
    <s v="Units"/>
    <x v="3"/>
    <n v="70.207999999999998"/>
  </r>
  <r>
    <n v="200"/>
    <x v="3"/>
    <x v="58"/>
    <x v="2"/>
    <s v="Percent of GDP"/>
    <s v="Units"/>
    <x v="4"/>
    <n v="80.238"/>
  </r>
  <r>
    <n v="200"/>
    <x v="3"/>
    <x v="58"/>
    <x v="2"/>
    <s v="Percent of GDP"/>
    <s v="Units"/>
    <x v="5"/>
    <n v="77.671999999999997"/>
  </r>
  <r>
    <n v="200"/>
    <x v="3"/>
    <x v="58"/>
    <x v="2"/>
    <s v="Percent of GDP"/>
    <s v="Units"/>
    <x v="6"/>
    <n v="76.876000000000005"/>
  </r>
  <r>
    <n v="1"/>
    <x v="2"/>
    <x v="87"/>
    <x v="0"/>
    <s v="U.S. dollars"/>
    <s v="Billions"/>
    <x v="0"/>
    <n v="68.352999999999994"/>
  </r>
  <r>
    <n v="1"/>
    <x v="2"/>
    <x v="87"/>
    <x v="0"/>
    <s v="U.S. dollars"/>
    <s v="Billions"/>
    <x v="1"/>
    <n v="70.007999999999996"/>
  </r>
  <r>
    <n v="1"/>
    <x v="2"/>
    <x v="87"/>
    <x v="0"/>
    <s v="U.S. dollars"/>
    <s v="Billions"/>
    <x v="2"/>
    <n v="79.599000000000004"/>
  </r>
  <r>
    <n v="1"/>
    <x v="2"/>
    <x v="87"/>
    <x v="0"/>
    <s v="U.S. dollars"/>
    <s v="Billions"/>
    <x v="3"/>
    <n v="72.242999999999995"/>
  </r>
  <r>
    <n v="1"/>
    <x v="2"/>
    <x v="87"/>
    <x v="0"/>
    <s v="U.S. dollars"/>
    <s v="Billions"/>
    <x v="4"/>
    <n v="76.277000000000001"/>
  </r>
  <r>
    <n v="1"/>
    <x v="2"/>
    <x v="87"/>
    <x v="0"/>
    <s v="U.S. dollars"/>
    <s v="Billions"/>
    <x v="5"/>
    <n v="75.244"/>
  </r>
  <r>
    <n v="1"/>
    <x v="2"/>
    <x v="87"/>
    <x v="0"/>
    <s v="U.S. dollars"/>
    <s v="Billions"/>
    <x v="6"/>
    <n v="76.019000000000005"/>
  </r>
  <r>
    <n v="200"/>
    <x v="3"/>
    <x v="87"/>
    <x v="0"/>
    <s v="U.S. dollars"/>
    <s v="Billions"/>
    <x v="0"/>
    <n v="68.352999999999994"/>
  </r>
  <r>
    <n v="200"/>
    <x v="3"/>
    <x v="87"/>
    <x v="0"/>
    <s v="U.S. dollars"/>
    <s v="Billions"/>
    <x v="1"/>
    <n v="70.007999999999996"/>
  </r>
  <r>
    <n v="200"/>
    <x v="3"/>
    <x v="87"/>
    <x v="0"/>
    <s v="U.S. dollars"/>
    <s v="Billions"/>
    <x v="2"/>
    <n v="79.599000000000004"/>
  </r>
  <r>
    <n v="200"/>
    <x v="3"/>
    <x v="87"/>
    <x v="0"/>
    <s v="U.S. dollars"/>
    <s v="Billions"/>
    <x v="3"/>
    <n v="72.242999999999995"/>
  </r>
  <r>
    <n v="200"/>
    <x v="3"/>
    <x v="87"/>
    <x v="0"/>
    <s v="U.S. dollars"/>
    <s v="Billions"/>
    <x v="4"/>
    <n v="76.277000000000001"/>
  </r>
  <r>
    <n v="200"/>
    <x v="3"/>
    <x v="87"/>
    <x v="0"/>
    <s v="U.S. dollars"/>
    <s v="Billions"/>
    <x v="5"/>
    <n v="75.244"/>
  </r>
  <r>
    <n v="200"/>
    <x v="3"/>
    <x v="87"/>
    <x v="0"/>
    <s v="U.S. dollars"/>
    <s v="Billions"/>
    <x v="6"/>
    <n v="76.019000000000005"/>
  </r>
  <r>
    <n v="603"/>
    <x v="12"/>
    <x v="87"/>
    <x v="0"/>
    <s v="U.S. dollars"/>
    <s v="Billions"/>
    <x v="0"/>
    <n v="68.352999999999994"/>
  </r>
  <r>
    <n v="603"/>
    <x v="12"/>
    <x v="87"/>
    <x v="0"/>
    <s v="U.S. dollars"/>
    <s v="Billions"/>
    <x v="1"/>
    <n v="70.007999999999996"/>
  </r>
  <r>
    <n v="603"/>
    <x v="12"/>
    <x v="87"/>
    <x v="0"/>
    <s v="U.S. dollars"/>
    <s v="Billions"/>
    <x v="2"/>
    <n v="79.599000000000004"/>
  </r>
  <r>
    <n v="603"/>
    <x v="12"/>
    <x v="87"/>
    <x v="0"/>
    <s v="U.S. dollars"/>
    <s v="Billions"/>
    <x v="3"/>
    <n v="72.242999999999995"/>
  </r>
  <r>
    <n v="603"/>
    <x v="12"/>
    <x v="87"/>
    <x v="0"/>
    <s v="U.S. dollars"/>
    <s v="Billions"/>
    <x v="4"/>
    <n v="76.277000000000001"/>
  </r>
  <r>
    <n v="603"/>
    <x v="12"/>
    <x v="87"/>
    <x v="0"/>
    <s v="U.S. dollars"/>
    <s v="Billions"/>
    <x v="5"/>
    <n v="75.244"/>
  </r>
  <r>
    <n v="603"/>
    <x v="12"/>
    <x v="87"/>
    <x v="0"/>
    <s v="U.S. dollars"/>
    <s v="Billions"/>
    <x v="6"/>
    <n v="76.019000000000005"/>
  </r>
  <r>
    <n v="1"/>
    <x v="2"/>
    <x v="88"/>
    <x v="4"/>
    <s v="Percent change"/>
    <s v="Units"/>
    <x v="0"/>
    <n v="-11.728999999999999"/>
  </r>
  <r>
    <n v="1"/>
    <x v="2"/>
    <x v="88"/>
    <x v="4"/>
    <s v="Percent change"/>
    <s v="Units"/>
    <x v="1"/>
    <n v="-50.536999999999999"/>
  </r>
  <r>
    <n v="1"/>
    <x v="2"/>
    <x v="88"/>
    <x v="4"/>
    <s v="Percent change"/>
    <s v="Units"/>
    <x v="2"/>
    <n v="-78.84"/>
  </r>
  <r>
    <n v="1"/>
    <x v="2"/>
    <x v="88"/>
    <x v="4"/>
    <s v="Percent change"/>
    <s v="Units"/>
    <x v="3"/>
    <n v="99.771000000000001"/>
  </r>
  <r>
    <n v="1"/>
    <x v="2"/>
    <x v="88"/>
    <x v="4"/>
    <s v="Percent change"/>
    <s v="Units"/>
    <x v="4"/>
    <n v="87.879000000000005"/>
  </r>
  <r>
    <n v="1"/>
    <x v="2"/>
    <x v="88"/>
    <x v="4"/>
    <s v="Percent change"/>
    <s v="Units"/>
    <x v="5"/>
    <n v="75.132999999999996"/>
  </r>
  <r>
    <n v="1"/>
    <x v="2"/>
    <x v="88"/>
    <x v="4"/>
    <s v="Percent change"/>
    <s v="Units"/>
    <x v="6"/>
    <n v="26.745999999999999"/>
  </r>
  <r>
    <n v="200"/>
    <x v="3"/>
    <x v="88"/>
    <x v="4"/>
    <s v="Percent change"/>
    <s v="Units"/>
    <x v="0"/>
    <n v="-11.728999999999999"/>
  </r>
  <r>
    <n v="200"/>
    <x v="3"/>
    <x v="88"/>
    <x v="4"/>
    <s v="Percent change"/>
    <s v="Units"/>
    <x v="1"/>
    <n v="-50.536999999999999"/>
  </r>
  <r>
    <n v="200"/>
    <x v="3"/>
    <x v="88"/>
    <x v="4"/>
    <s v="Percent change"/>
    <s v="Units"/>
    <x v="2"/>
    <n v="-78.84"/>
  </r>
  <r>
    <n v="200"/>
    <x v="3"/>
    <x v="88"/>
    <x v="4"/>
    <s v="Percent change"/>
    <s v="Units"/>
    <x v="3"/>
    <n v="99.771000000000001"/>
  </r>
  <r>
    <n v="200"/>
    <x v="3"/>
    <x v="88"/>
    <x v="4"/>
    <s v="Percent change"/>
    <s v="Units"/>
    <x v="4"/>
    <n v="87.879000000000005"/>
  </r>
  <r>
    <n v="200"/>
    <x v="3"/>
    <x v="88"/>
    <x v="4"/>
    <s v="Percent change"/>
    <s v="Units"/>
    <x v="5"/>
    <n v="75.132999999999996"/>
  </r>
  <r>
    <n v="200"/>
    <x v="3"/>
    <x v="88"/>
    <x v="4"/>
    <s v="Percent change"/>
    <s v="Units"/>
    <x v="6"/>
    <n v="26.745999999999999"/>
  </r>
  <r>
    <n v="505"/>
    <x v="4"/>
    <x v="88"/>
    <x v="4"/>
    <s v="Percent change"/>
    <s v="Units"/>
    <x v="0"/>
    <n v="-11.728999999999999"/>
  </r>
  <r>
    <n v="505"/>
    <x v="4"/>
    <x v="88"/>
    <x v="4"/>
    <s v="Percent change"/>
    <s v="Units"/>
    <x v="1"/>
    <n v="-50.536999999999999"/>
  </r>
  <r>
    <n v="505"/>
    <x v="4"/>
    <x v="88"/>
    <x v="4"/>
    <s v="Percent change"/>
    <s v="Units"/>
    <x v="2"/>
    <n v="-78.84"/>
  </r>
  <r>
    <n v="505"/>
    <x v="4"/>
    <x v="88"/>
    <x v="4"/>
    <s v="Percent change"/>
    <s v="Units"/>
    <x v="3"/>
    <n v="99.771000000000001"/>
  </r>
  <r>
    <n v="505"/>
    <x v="4"/>
    <x v="88"/>
    <x v="4"/>
    <s v="Percent change"/>
    <s v="Units"/>
    <x v="4"/>
    <n v="87.879000000000005"/>
  </r>
  <r>
    <n v="505"/>
    <x v="4"/>
    <x v="88"/>
    <x v="4"/>
    <s v="Percent change"/>
    <s v="Units"/>
    <x v="5"/>
    <n v="75.132999999999996"/>
  </r>
  <r>
    <n v="505"/>
    <x v="4"/>
    <x v="88"/>
    <x v="4"/>
    <s v="Percent change"/>
    <s v="Units"/>
    <x v="6"/>
    <n v="26.745999999999999"/>
  </r>
  <r>
    <n v="200"/>
    <x v="3"/>
    <x v="89"/>
    <x v="0"/>
    <s v="U.S. dollars"/>
    <s v="Billions"/>
    <x v="0"/>
    <n v="50.890999999999998"/>
  </r>
  <r>
    <n v="200"/>
    <x v="3"/>
    <x v="89"/>
    <x v="0"/>
    <s v="U.S. dollars"/>
    <s v="Billions"/>
    <x v="1"/>
    <n v="49.613"/>
  </r>
  <r>
    <n v="200"/>
    <x v="3"/>
    <x v="89"/>
    <x v="0"/>
    <s v="U.S. dollars"/>
    <s v="Billions"/>
    <x v="2"/>
    <n v="58.182000000000002"/>
  </r>
  <r>
    <n v="200"/>
    <x v="3"/>
    <x v="89"/>
    <x v="0"/>
    <s v="U.S. dollars"/>
    <s v="Billions"/>
    <x v="3"/>
    <n v="65.927000000000007"/>
  </r>
  <r>
    <n v="200"/>
    <x v="3"/>
    <x v="89"/>
    <x v="0"/>
    <s v="U.S. dollars"/>
    <s v="Billions"/>
    <x v="4"/>
    <n v="67.268000000000001"/>
  </r>
  <r>
    <n v="200"/>
    <x v="3"/>
    <x v="89"/>
    <x v="0"/>
    <s v="U.S. dollars"/>
    <s v="Billions"/>
    <x v="5"/>
    <n v="73.760999999999996"/>
  </r>
  <r>
    <n v="200"/>
    <x v="3"/>
    <x v="89"/>
    <x v="0"/>
    <s v="U.S. dollars"/>
    <s v="Billions"/>
    <x v="6"/>
    <n v="83.081999999999994"/>
  </r>
  <r>
    <n v="1"/>
    <x v="2"/>
    <x v="89"/>
    <x v="0"/>
    <s v="U.S. dollars"/>
    <s v="Billions"/>
    <x v="0"/>
    <n v="50.890999999999998"/>
  </r>
  <r>
    <n v="1"/>
    <x v="2"/>
    <x v="89"/>
    <x v="0"/>
    <s v="U.S. dollars"/>
    <s v="Billions"/>
    <x v="1"/>
    <n v="49.613"/>
  </r>
  <r>
    <n v="1"/>
    <x v="2"/>
    <x v="89"/>
    <x v="0"/>
    <s v="U.S. dollars"/>
    <s v="Billions"/>
    <x v="2"/>
    <n v="58.182000000000002"/>
  </r>
  <r>
    <n v="1"/>
    <x v="2"/>
    <x v="89"/>
    <x v="0"/>
    <s v="U.S. dollars"/>
    <s v="Billions"/>
    <x v="3"/>
    <n v="65.927000000000007"/>
  </r>
  <r>
    <n v="1"/>
    <x v="2"/>
    <x v="89"/>
    <x v="0"/>
    <s v="U.S. dollars"/>
    <s v="Billions"/>
    <x v="4"/>
    <n v="67.268000000000001"/>
  </r>
  <r>
    <n v="1"/>
    <x v="2"/>
    <x v="89"/>
    <x v="0"/>
    <s v="U.S. dollars"/>
    <s v="Billions"/>
    <x v="5"/>
    <n v="73.760999999999996"/>
  </r>
  <r>
    <n v="1"/>
    <x v="2"/>
    <x v="89"/>
    <x v="0"/>
    <s v="U.S. dollars"/>
    <s v="Billions"/>
    <x v="6"/>
    <n v="83.081999999999994"/>
  </r>
  <r>
    <n v="603"/>
    <x v="12"/>
    <x v="89"/>
    <x v="0"/>
    <s v="U.S. dollars"/>
    <s v="Billions"/>
    <x v="0"/>
    <n v="50.890999999999998"/>
  </r>
  <r>
    <n v="603"/>
    <x v="12"/>
    <x v="89"/>
    <x v="0"/>
    <s v="U.S. dollars"/>
    <s v="Billions"/>
    <x v="1"/>
    <n v="49.613"/>
  </r>
  <r>
    <n v="603"/>
    <x v="12"/>
    <x v="89"/>
    <x v="0"/>
    <s v="U.S. dollars"/>
    <s v="Billions"/>
    <x v="2"/>
    <n v="58.182000000000002"/>
  </r>
  <r>
    <n v="603"/>
    <x v="12"/>
    <x v="89"/>
    <x v="0"/>
    <s v="U.S. dollars"/>
    <s v="Billions"/>
    <x v="3"/>
    <n v="65.927000000000007"/>
  </r>
  <r>
    <n v="603"/>
    <x v="12"/>
    <x v="89"/>
    <x v="0"/>
    <s v="U.S. dollars"/>
    <s v="Billions"/>
    <x v="4"/>
    <n v="67.268000000000001"/>
  </r>
  <r>
    <n v="603"/>
    <x v="12"/>
    <x v="89"/>
    <x v="0"/>
    <s v="U.S. dollars"/>
    <s v="Billions"/>
    <x v="5"/>
    <n v="73.760999999999996"/>
  </r>
  <r>
    <n v="603"/>
    <x v="12"/>
    <x v="89"/>
    <x v="0"/>
    <s v="U.S. dollars"/>
    <s v="Billions"/>
    <x v="6"/>
    <n v="83.081999999999994"/>
  </r>
  <r>
    <n v="998"/>
    <x v="6"/>
    <x v="90"/>
    <x v="0"/>
    <s v="U.S. dollars"/>
    <s v="Billions"/>
    <x v="0"/>
    <n v="54.393000000000001"/>
  </r>
  <r>
    <n v="998"/>
    <x v="6"/>
    <x v="90"/>
    <x v="0"/>
    <s v="U.S. dollars"/>
    <s v="Billions"/>
    <x v="1"/>
    <n v="53.691000000000003"/>
  </r>
  <r>
    <n v="998"/>
    <x v="6"/>
    <x v="90"/>
    <x v="0"/>
    <s v="U.S. dollars"/>
    <s v="Billions"/>
    <x v="2"/>
    <n v="61.872999999999998"/>
  </r>
  <r>
    <n v="998"/>
    <x v="6"/>
    <x v="90"/>
    <x v="0"/>
    <s v="U.S. dollars"/>
    <s v="Billions"/>
    <x v="3"/>
    <n v="60.110999999999997"/>
  </r>
  <r>
    <n v="998"/>
    <x v="6"/>
    <x v="90"/>
    <x v="0"/>
    <s v="U.S. dollars"/>
    <s v="Billions"/>
    <x v="4"/>
    <n v="68.236000000000004"/>
  </r>
  <r>
    <n v="998"/>
    <x v="6"/>
    <x v="90"/>
    <x v="0"/>
    <s v="U.S. dollars"/>
    <s v="Billions"/>
    <x v="5"/>
    <n v="72.100999999999999"/>
  </r>
  <r>
    <n v="998"/>
    <x v="6"/>
    <x v="90"/>
    <x v="0"/>
    <s v="U.S. dollars"/>
    <s v="Billions"/>
    <x v="6"/>
    <n v="75.096000000000004"/>
  </r>
  <r>
    <n v="1"/>
    <x v="2"/>
    <x v="90"/>
    <x v="0"/>
    <s v="U.S. dollars"/>
    <s v="Billions"/>
    <x v="0"/>
    <n v="54.393000000000001"/>
  </r>
  <r>
    <n v="1"/>
    <x v="2"/>
    <x v="90"/>
    <x v="0"/>
    <s v="U.S. dollars"/>
    <s v="Billions"/>
    <x v="1"/>
    <n v="53.691000000000003"/>
  </r>
  <r>
    <n v="1"/>
    <x v="2"/>
    <x v="90"/>
    <x v="0"/>
    <s v="U.S. dollars"/>
    <s v="Billions"/>
    <x v="2"/>
    <n v="61.872999999999998"/>
  </r>
  <r>
    <n v="1"/>
    <x v="2"/>
    <x v="90"/>
    <x v="0"/>
    <s v="U.S. dollars"/>
    <s v="Billions"/>
    <x v="3"/>
    <n v="60.110999999999997"/>
  </r>
  <r>
    <n v="1"/>
    <x v="2"/>
    <x v="90"/>
    <x v="0"/>
    <s v="U.S. dollars"/>
    <s v="Billions"/>
    <x v="4"/>
    <n v="68.236000000000004"/>
  </r>
  <r>
    <n v="1"/>
    <x v="2"/>
    <x v="90"/>
    <x v="0"/>
    <s v="U.S. dollars"/>
    <s v="Billions"/>
    <x v="5"/>
    <n v="72.100999999999999"/>
  </r>
  <r>
    <n v="1"/>
    <x v="2"/>
    <x v="90"/>
    <x v="0"/>
    <s v="U.S. dollars"/>
    <s v="Billions"/>
    <x v="6"/>
    <n v="75.096000000000004"/>
  </r>
  <r>
    <n v="110"/>
    <x v="0"/>
    <x v="90"/>
    <x v="0"/>
    <s v="U.S. dollars"/>
    <s v="Billions"/>
    <x v="0"/>
    <n v="54.393000000000001"/>
  </r>
  <r>
    <n v="110"/>
    <x v="0"/>
    <x v="90"/>
    <x v="0"/>
    <s v="U.S. dollars"/>
    <s v="Billions"/>
    <x v="1"/>
    <n v="53.691000000000003"/>
  </r>
  <r>
    <n v="110"/>
    <x v="0"/>
    <x v="90"/>
    <x v="0"/>
    <s v="U.S. dollars"/>
    <s v="Billions"/>
    <x v="2"/>
    <n v="61.872999999999998"/>
  </r>
  <r>
    <n v="110"/>
    <x v="0"/>
    <x v="90"/>
    <x v="0"/>
    <s v="U.S. dollars"/>
    <s v="Billions"/>
    <x v="3"/>
    <n v="60.110999999999997"/>
  </r>
  <r>
    <n v="110"/>
    <x v="0"/>
    <x v="90"/>
    <x v="0"/>
    <s v="U.S. dollars"/>
    <s v="Billions"/>
    <x v="4"/>
    <n v="68.236000000000004"/>
  </r>
  <r>
    <n v="110"/>
    <x v="0"/>
    <x v="90"/>
    <x v="0"/>
    <s v="U.S. dollars"/>
    <s v="Billions"/>
    <x v="5"/>
    <n v="72.100999999999999"/>
  </r>
  <r>
    <n v="110"/>
    <x v="0"/>
    <x v="90"/>
    <x v="0"/>
    <s v="U.S. dollars"/>
    <s v="Billions"/>
    <x v="6"/>
    <n v="75.096000000000004"/>
  </r>
  <r>
    <n v="163"/>
    <x v="5"/>
    <x v="90"/>
    <x v="0"/>
    <s v="U.S. dollars"/>
    <s v="Billions"/>
    <x v="0"/>
    <n v="54.393000000000001"/>
  </r>
  <r>
    <n v="163"/>
    <x v="5"/>
    <x v="90"/>
    <x v="0"/>
    <s v="U.S. dollars"/>
    <s v="Billions"/>
    <x v="1"/>
    <n v="53.691000000000003"/>
  </r>
  <r>
    <n v="163"/>
    <x v="5"/>
    <x v="90"/>
    <x v="0"/>
    <s v="U.S. dollars"/>
    <s v="Billions"/>
    <x v="2"/>
    <n v="61.872999999999998"/>
  </r>
  <r>
    <n v="163"/>
    <x v="5"/>
    <x v="90"/>
    <x v="0"/>
    <s v="U.S. dollars"/>
    <s v="Billions"/>
    <x v="3"/>
    <n v="60.110999999999997"/>
  </r>
  <r>
    <n v="163"/>
    <x v="5"/>
    <x v="90"/>
    <x v="0"/>
    <s v="U.S. dollars"/>
    <s v="Billions"/>
    <x v="4"/>
    <n v="68.236000000000004"/>
  </r>
  <r>
    <n v="163"/>
    <x v="5"/>
    <x v="90"/>
    <x v="0"/>
    <s v="U.S. dollars"/>
    <s v="Billions"/>
    <x v="5"/>
    <n v="72.100999999999999"/>
  </r>
  <r>
    <n v="163"/>
    <x v="5"/>
    <x v="90"/>
    <x v="0"/>
    <s v="U.S. dollars"/>
    <s v="Billions"/>
    <x v="6"/>
    <n v="75.096000000000004"/>
  </r>
  <r>
    <n v="1"/>
    <x v="2"/>
    <x v="91"/>
    <x v="0"/>
    <s v="U.S. dollars"/>
    <s v="Billions"/>
    <x v="0"/>
    <n v="64.414000000000001"/>
  </r>
  <r>
    <n v="1"/>
    <x v="2"/>
    <x v="91"/>
    <x v="0"/>
    <s v="U.S. dollars"/>
    <s v="Billions"/>
    <x v="1"/>
    <n v="61.311999999999998"/>
  </r>
  <r>
    <n v="1"/>
    <x v="2"/>
    <x v="91"/>
    <x v="0"/>
    <s v="U.S. dollars"/>
    <s v="Billions"/>
    <x v="2"/>
    <n v="68.206999999999994"/>
  </r>
  <r>
    <n v="1"/>
    <x v="2"/>
    <x v="91"/>
    <x v="0"/>
    <s v="U.S. dollars"/>
    <s v="Billions"/>
    <x v="3"/>
    <n v="72.834999999999994"/>
  </r>
  <r>
    <n v="1"/>
    <x v="2"/>
    <x v="91"/>
    <x v="0"/>
    <s v="U.S. dollars"/>
    <s v="Billions"/>
    <x v="4"/>
    <n v="71.805000000000007"/>
  </r>
  <r>
    <n v="1"/>
    <x v="2"/>
    <x v="91"/>
    <x v="0"/>
    <s v="U.S. dollars"/>
    <s v="Billions"/>
    <x v="5"/>
    <n v="69.048000000000002"/>
  </r>
  <r>
    <n v="1"/>
    <x v="2"/>
    <x v="91"/>
    <x v="0"/>
    <s v="U.S. dollars"/>
    <s v="Billions"/>
    <x v="6"/>
    <n v="70.814999999999998"/>
  </r>
  <r>
    <n v="903"/>
    <x v="8"/>
    <x v="91"/>
    <x v="0"/>
    <s v="U.S. dollars"/>
    <s v="Billions"/>
    <x v="0"/>
    <n v="64.414000000000001"/>
  </r>
  <r>
    <n v="903"/>
    <x v="8"/>
    <x v="91"/>
    <x v="0"/>
    <s v="U.S. dollars"/>
    <s v="Billions"/>
    <x v="1"/>
    <n v="61.311999999999998"/>
  </r>
  <r>
    <n v="903"/>
    <x v="8"/>
    <x v="91"/>
    <x v="0"/>
    <s v="U.S. dollars"/>
    <s v="Billions"/>
    <x v="2"/>
    <n v="68.206999999999994"/>
  </r>
  <r>
    <n v="903"/>
    <x v="8"/>
    <x v="91"/>
    <x v="0"/>
    <s v="U.S. dollars"/>
    <s v="Billions"/>
    <x v="3"/>
    <n v="72.834999999999994"/>
  </r>
  <r>
    <n v="903"/>
    <x v="8"/>
    <x v="91"/>
    <x v="0"/>
    <s v="U.S. dollars"/>
    <s v="Billions"/>
    <x v="4"/>
    <n v="71.805000000000007"/>
  </r>
  <r>
    <n v="903"/>
    <x v="8"/>
    <x v="91"/>
    <x v="0"/>
    <s v="U.S. dollars"/>
    <s v="Billions"/>
    <x v="5"/>
    <n v="69.048000000000002"/>
  </r>
  <r>
    <n v="903"/>
    <x v="8"/>
    <x v="91"/>
    <x v="0"/>
    <s v="U.S. dollars"/>
    <s v="Billions"/>
    <x v="6"/>
    <n v="70.814999999999998"/>
  </r>
  <r>
    <n v="200"/>
    <x v="3"/>
    <x v="91"/>
    <x v="0"/>
    <s v="U.S. dollars"/>
    <s v="Billions"/>
    <x v="0"/>
    <n v="64.414000000000001"/>
  </r>
  <r>
    <n v="200"/>
    <x v="3"/>
    <x v="91"/>
    <x v="0"/>
    <s v="U.S. dollars"/>
    <s v="Billions"/>
    <x v="1"/>
    <n v="61.311999999999998"/>
  </r>
  <r>
    <n v="200"/>
    <x v="3"/>
    <x v="91"/>
    <x v="0"/>
    <s v="U.S. dollars"/>
    <s v="Billions"/>
    <x v="2"/>
    <n v="68.206999999999994"/>
  </r>
  <r>
    <n v="200"/>
    <x v="3"/>
    <x v="91"/>
    <x v="0"/>
    <s v="U.S. dollars"/>
    <s v="Billions"/>
    <x v="3"/>
    <n v="72.834999999999994"/>
  </r>
  <r>
    <n v="200"/>
    <x v="3"/>
    <x v="91"/>
    <x v="0"/>
    <s v="U.S. dollars"/>
    <s v="Billions"/>
    <x v="4"/>
    <n v="71.805000000000007"/>
  </r>
  <r>
    <n v="200"/>
    <x v="3"/>
    <x v="91"/>
    <x v="0"/>
    <s v="U.S. dollars"/>
    <s v="Billions"/>
    <x v="5"/>
    <n v="69.048000000000002"/>
  </r>
  <r>
    <n v="200"/>
    <x v="3"/>
    <x v="91"/>
    <x v="0"/>
    <s v="U.S. dollars"/>
    <s v="Billions"/>
    <x v="6"/>
    <n v="70.814999999999998"/>
  </r>
  <r>
    <n v="200"/>
    <x v="3"/>
    <x v="92"/>
    <x v="3"/>
    <s v="Percent of GDP"/>
    <s v="Units"/>
    <x v="0"/>
    <n v="65.765000000000001"/>
  </r>
  <r>
    <n v="200"/>
    <x v="3"/>
    <x v="92"/>
    <x v="3"/>
    <s v="Percent of GDP"/>
    <s v="Units"/>
    <x v="1"/>
    <n v="68.094999999999999"/>
  </r>
  <r>
    <n v="200"/>
    <x v="3"/>
    <x v="92"/>
    <x v="3"/>
    <s v="Percent of GDP"/>
    <s v="Units"/>
    <x v="2"/>
    <n v="70.093999999999994"/>
  </r>
  <r>
    <n v="200"/>
    <x v="3"/>
    <x v="92"/>
    <x v="3"/>
    <s v="Percent of GDP"/>
    <s v="Units"/>
    <x v="3"/>
    <n v="66.325000000000003"/>
  </r>
  <r>
    <n v="200"/>
    <x v="3"/>
    <x v="92"/>
    <x v="3"/>
    <s v="Percent of GDP"/>
    <s v="Units"/>
    <x v="4"/>
    <n v="62.006999999999998"/>
  </r>
  <r>
    <n v="200"/>
    <x v="3"/>
    <x v="92"/>
    <x v="3"/>
    <s v="Percent of GDP"/>
    <s v="Units"/>
    <x v="5"/>
    <n v="68.430000000000007"/>
  </r>
  <r>
    <n v="200"/>
    <x v="3"/>
    <x v="92"/>
    <x v="3"/>
    <s v="Percent of GDP"/>
    <s v="Units"/>
    <x v="6"/>
    <n v="66.917000000000002"/>
  </r>
  <r>
    <n v="505"/>
    <x v="4"/>
    <x v="92"/>
    <x v="3"/>
    <s v="Percent of GDP"/>
    <s v="Units"/>
    <x v="0"/>
    <n v="65.765000000000001"/>
  </r>
  <r>
    <n v="505"/>
    <x v="4"/>
    <x v="92"/>
    <x v="3"/>
    <s v="Percent of GDP"/>
    <s v="Units"/>
    <x v="1"/>
    <n v="68.094999999999999"/>
  </r>
  <r>
    <n v="505"/>
    <x v="4"/>
    <x v="92"/>
    <x v="3"/>
    <s v="Percent of GDP"/>
    <s v="Units"/>
    <x v="2"/>
    <n v="70.093999999999994"/>
  </r>
  <r>
    <n v="505"/>
    <x v="4"/>
    <x v="92"/>
    <x v="3"/>
    <s v="Percent of GDP"/>
    <s v="Units"/>
    <x v="3"/>
    <n v="66.325000000000003"/>
  </r>
  <r>
    <n v="505"/>
    <x v="4"/>
    <x v="92"/>
    <x v="3"/>
    <s v="Percent of GDP"/>
    <s v="Units"/>
    <x v="4"/>
    <n v="62.006999999999998"/>
  </r>
  <r>
    <n v="505"/>
    <x v="4"/>
    <x v="92"/>
    <x v="3"/>
    <s v="Percent of GDP"/>
    <s v="Units"/>
    <x v="5"/>
    <n v="68.430000000000007"/>
  </r>
  <r>
    <n v="505"/>
    <x v="4"/>
    <x v="92"/>
    <x v="3"/>
    <s v="Percent of GDP"/>
    <s v="Units"/>
    <x v="6"/>
    <n v="66.917000000000002"/>
  </r>
  <r>
    <n v="200"/>
    <x v="3"/>
    <x v="93"/>
    <x v="0"/>
    <s v="U.S. dollars"/>
    <s v="Billions"/>
    <x v="0"/>
    <n v="68.802000000000007"/>
  </r>
  <r>
    <n v="200"/>
    <x v="3"/>
    <x v="93"/>
    <x v="0"/>
    <s v="U.S. dollars"/>
    <s v="Billions"/>
    <x v="1"/>
    <n v="77.801000000000002"/>
  </r>
  <r>
    <n v="200"/>
    <x v="3"/>
    <x v="93"/>
    <x v="0"/>
    <s v="U.S. dollars"/>
    <s v="Billions"/>
    <x v="2"/>
    <n v="68.054000000000002"/>
  </r>
  <r>
    <n v="200"/>
    <x v="3"/>
    <x v="93"/>
    <x v="0"/>
    <s v="U.S. dollars"/>
    <s v="Billions"/>
    <x v="3"/>
    <n v="61.765999999999998"/>
  </r>
  <r>
    <n v="200"/>
    <x v="3"/>
    <x v="93"/>
    <x v="0"/>
    <s v="U.S. dollars"/>
    <s v="Billions"/>
    <x v="4"/>
    <n v="64.495999999999995"/>
  </r>
  <r>
    <n v="200"/>
    <x v="3"/>
    <x v="93"/>
    <x v="0"/>
    <s v="U.S. dollars"/>
    <s v="Billions"/>
    <x v="5"/>
    <n v="68.006"/>
  </r>
  <r>
    <n v="200"/>
    <x v="3"/>
    <x v="93"/>
    <x v="0"/>
    <s v="U.S. dollars"/>
    <s v="Billions"/>
    <x v="6"/>
    <n v="73.539000000000001"/>
  </r>
  <r>
    <n v="505"/>
    <x v="4"/>
    <x v="93"/>
    <x v="0"/>
    <s v="U.S. dollars"/>
    <s v="Billions"/>
    <x v="0"/>
    <n v="68.802000000000007"/>
  </r>
  <r>
    <n v="505"/>
    <x v="4"/>
    <x v="93"/>
    <x v="0"/>
    <s v="U.S. dollars"/>
    <s v="Billions"/>
    <x v="1"/>
    <n v="77.801000000000002"/>
  </r>
  <r>
    <n v="505"/>
    <x v="4"/>
    <x v="93"/>
    <x v="0"/>
    <s v="U.S. dollars"/>
    <s v="Billions"/>
    <x v="2"/>
    <n v="68.054000000000002"/>
  </r>
  <r>
    <n v="505"/>
    <x v="4"/>
    <x v="93"/>
    <x v="0"/>
    <s v="U.S. dollars"/>
    <s v="Billions"/>
    <x v="3"/>
    <n v="61.765999999999998"/>
  </r>
  <r>
    <n v="505"/>
    <x v="4"/>
    <x v="93"/>
    <x v="0"/>
    <s v="U.S. dollars"/>
    <s v="Billions"/>
    <x v="4"/>
    <n v="64.495999999999995"/>
  </r>
  <r>
    <n v="505"/>
    <x v="4"/>
    <x v="93"/>
    <x v="0"/>
    <s v="U.S. dollars"/>
    <s v="Billions"/>
    <x v="5"/>
    <n v="68.006"/>
  </r>
  <r>
    <n v="505"/>
    <x v="4"/>
    <x v="93"/>
    <x v="0"/>
    <s v="U.S. dollars"/>
    <s v="Billions"/>
    <x v="6"/>
    <n v="73.539000000000001"/>
  </r>
  <r>
    <n v="1"/>
    <x v="2"/>
    <x v="93"/>
    <x v="0"/>
    <s v="U.S. dollars"/>
    <s v="Billions"/>
    <x v="0"/>
    <n v="68.802000000000007"/>
  </r>
  <r>
    <n v="1"/>
    <x v="2"/>
    <x v="93"/>
    <x v="0"/>
    <s v="U.S. dollars"/>
    <s v="Billions"/>
    <x v="1"/>
    <n v="77.801000000000002"/>
  </r>
  <r>
    <n v="1"/>
    <x v="2"/>
    <x v="93"/>
    <x v="0"/>
    <s v="U.S. dollars"/>
    <s v="Billions"/>
    <x v="2"/>
    <n v="68.054000000000002"/>
  </r>
  <r>
    <n v="1"/>
    <x v="2"/>
    <x v="93"/>
    <x v="0"/>
    <s v="U.S. dollars"/>
    <s v="Billions"/>
    <x v="3"/>
    <n v="61.765999999999998"/>
  </r>
  <r>
    <n v="1"/>
    <x v="2"/>
    <x v="93"/>
    <x v="0"/>
    <s v="U.S. dollars"/>
    <s v="Billions"/>
    <x v="4"/>
    <n v="64.495999999999995"/>
  </r>
  <r>
    <n v="1"/>
    <x v="2"/>
    <x v="93"/>
    <x v="0"/>
    <s v="U.S. dollars"/>
    <s v="Billions"/>
    <x v="5"/>
    <n v="68.006"/>
  </r>
  <r>
    <n v="1"/>
    <x v="2"/>
    <x v="93"/>
    <x v="0"/>
    <s v="U.S. dollars"/>
    <s v="Billions"/>
    <x v="6"/>
    <n v="73.539000000000001"/>
  </r>
  <r>
    <n v="200"/>
    <x v="3"/>
    <x v="92"/>
    <x v="2"/>
    <s v="Percent of GDP"/>
    <s v="Units"/>
    <x v="0"/>
    <n v="63.954000000000001"/>
  </r>
  <r>
    <n v="200"/>
    <x v="3"/>
    <x v="92"/>
    <x v="2"/>
    <s v="Percent of GDP"/>
    <s v="Units"/>
    <x v="1"/>
    <n v="70.644999999999996"/>
  </r>
  <r>
    <n v="200"/>
    <x v="3"/>
    <x v="92"/>
    <x v="2"/>
    <s v="Percent of GDP"/>
    <s v="Units"/>
    <x v="2"/>
    <n v="70.275999999999996"/>
  </r>
  <r>
    <n v="200"/>
    <x v="3"/>
    <x v="92"/>
    <x v="2"/>
    <s v="Percent of GDP"/>
    <s v="Units"/>
    <x v="3"/>
    <n v="66.992000000000004"/>
  </r>
  <r>
    <n v="200"/>
    <x v="3"/>
    <x v="92"/>
    <x v="2"/>
    <s v="Percent of GDP"/>
    <s v="Units"/>
    <x v="4"/>
    <n v="62.006999999999998"/>
  </r>
  <r>
    <n v="200"/>
    <x v="3"/>
    <x v="92"/>
    <x v="2"/>
    <s v="Percent of GDP"/>
    <s v="Units"/>
    <x v="5"/>
    <n v="67.61"/>
  </r>
  <r>
    <n v="200"/>
    <x v="3"/>
    <x v="92"/>
    <x v="2"/>
    <s v="Percent of GDP"/>
    <s v="Units"/>
    <x v="6"/>
    <n v="65.676000000000002"/>
  </r>
  <r>
    <n v="505"/>
    <x v="4"/>
    <x v="92"/>
    <x v="2"/>
    <s v="Percent of GDP"/>
    <s v="Units"/>
    <x v="0"/>
    <n v="63.954000000000001"/>
  </r>
  <r>
    <n v="505"/>
    <x v="4"/>
    <x v="92"/>
    <x v="2"/>
    <s v="Percent of GDP"/>
    <s v="Units"/>
    <x v="1"/>
    <n v="70.644999999999996"/>
  </r>
  <r>
    <n v="505"/>
    <x v="4"/>
    <x v="92"/>
    <x v="2"/>
    <s v="Percent of GDP"/>
    <s v="Units"/>
    <x v="2"/>
    <n v="70.275999999999996"/>
  </r>
  <r>
    <n v="505"/>
    <x v="4"/>
    <x v="92"/>
    <x v="2"/>
    <s v="Percent of GDP"/>
    <s v="Units"/>
    <x v="3"/>
    <n v="66.992000000000004"/>
  </r>
  <r>
    <n v="505"/>
    <x v="4"/>
    <x v="92"/>
    <x v="2"/>
    <s v="Percent of GDP"/>
    <s v="Units"/>
    <x v="4"/>
    <n v="62.006999999999998"/>
  </r>
  <r>
    <n v="505"/>
    <x v="4"/>
    <x v="92"/>
    <x v="2"/>
    <s v="Percent of GDP"/>
    <s v="Units"/>
    <x v="5"/>
    <n v="67.61"/>
  </r>
  <r>
    <n v="505"/>
    <x v="4"/>
    <x v="92"/>
    <x v="2"/>
    <s v="Percent of GDP"/>
    <s v="Units"/>
    <x v="6"/>
    <n v="65.676000000000002"/>
  </r>
  <r>
    <n v="200"/>
    <x v="3"/>
    <x v="94"/>
    <x v="4"/>
    <s v="Percent change"/>
    <s v="Units"/>
    <x v="0"/>
    <n v="-0.38100000000000001"/>
  </r>
  <r>
    <n v="200"/>
    <x v="3"/>
    <x v="94"/>
    <x v="4"/>
    <s v="Percent change"/>
    <s v="Units"/>
    <x v="1"/>
    <n v="64.201999999999998"/>
  </r>
  <r>
    <n v="200"/>
    <x v="3"/>
    <x v="94"/>
    <x v="4"/>
    <s v="Percent change"/>
    <s v="Units"/>
    <x v="2"/>
    <n v="-12.891"/>
  </r>
  <r>
    <n v="200"/>
    <x v="3"/>
    <x v="94"/>
    <x v="4"/>
    <s v="Percent change"/>
    <s v="Units"/>
    <x v="3"/>
    <n v="-17.773"/>
  </r>
  <r>
    <n v="200"/>
    <x v="3"/>
    <x v="94"/>
    <x v="4"/>
    <s v="Percent change"/>
    <s v="Units"/>
    <x v="4"/>
    <n v="7.46"/>
  </r>
  <r>
    <n v="200"/>
    <x v="3"/>
    <x v="94"/>
    <x v="4"/>
    <s v="Percent change"/>
    <s v="Units"/>
    <x v="5"/>
    <n v="66.834000000000003"/>
  </r>
  <r>
    <n v="200"/>
    <x v="3"/>
    <x v="94"/>
    <x v="4"/>
    <s v="Percent change"/>
    <s v="Units"/>
    <x v="6"/>
    <n v="12.157"/>
  </r>
  <r>
    <n v="1"/>
    <x v="2"/>
    <x v="94"/>
    <x v="4"/>
    <s v="Percent change"/>
    <s v="Units"/>
    <x v="0"/>
    <n v="-0.38100000000000001"/>
  </r>
  <r>
    <n v="1"/>
    <x v="2"/>
    <x v="94"/>
    <x v="4"/>
    <s v="Percent change"/>
    <s v="Units"/>
    <x v="1"/>
    <n v="64.201999999999998"/>
  </r>
  <r>
    <n v="1"/>
    <x v="2"/>
    <x v="94"/>
    <x v="4"/>
    <s v="Percent change"/>
    <s v="Units"/>
    <x v="2"/>
    <n v="-12.891"/>
  </r>
  <r>
    <n v="1"/>
    <x v="2"/>
    <x v="94"/>
    <x v="4"/>
    <s v="Percent change"/>
    <s v="Units"/>
    <x v="3"/>
    <n v="-17.773"/>
  </r>
  <r>
    <n v="1"/>
    <x v="2"/>
    <x v="94"/>
    <x v="4"/>
    <s v="Percent change"/>
    <s v="Units"/>
    <x v="4"/>
    <n v="7.46"/>
  </r>
  <r>
    <n v="1"/>
    <x v="2"/>
    <x v="94"/>
    <x v="4"/>
    <s v="Percent change"/>
    <s v="Units"/>
    <x v="5"/>
    <n v="66.834000000000003"/>
  </r>
  <r>
    <n v="1"/>
    <x v="2"/>
    <x v="94"/>
    <x v="4"/>
    <s v="Percent change"/>
    <s v="Units"/>
    <x v="6"/>
    <n v="12.157"/>
  </r>
  <r>
    <n v="603"/>
    <x v="12"/>
    <x v="94"/>
    <x v="4"/>
    <s v="Percent change"/>
    <s v="Units"/>
    <x v="0"/>
    <n v="-0.38100000000000001"/>
  </r>
  <r>
    <n v="603"/>
    <x v="12"/>
    <x v="94"/>
    <x v="4"/>
    <s v="Percent change"/>
    <s v="Units"/>
    <x v="1"/>
    <n v="64.201999999999998"/>
  </r>
  <r>
    <n v="603"/>
    <x v="12"/>
    <x v="94"/>
    <x v="4"/>
    <s v="Percent change"/>
    <s v="Units"/>
    <x v="2"/>
    <n v="-12.891"/>
  </r>
  <r>
    <n v="603"/>
    <x v="12"/>
    <x v="94"/>
    <x v="4"/>
    <s v="Percent change"/>
    <s v="Units"/>
    <x v="3"/>
    <n v="-17.773"/>
  </r>
  <r>
    <n v="603"/>
    <x v="12"/>
    <x v="94"/>
    <x v="4"/>
    <s v="Percent change"/>
    <s v="Units"/>
    <x v="4"/>
    <n v="7.46"/>
  </r>
  <r>
    <n v="603"/>
    <x v="12"/>
    <x v="94"/>
    <x v="4"/>
    <s v="Percent change"/>
    <s v="Units"/>
    <x v="5"/>
    <n v="66.834000000000003"/>
  </r>
  <r>
    <n v="603"/>
    <x v="12"/>
    <x v="94"/>
    <x v="4"/>
    <s v="Percent change"/>
    <s v="Units"/>
    <x v="6"/>
    <n v="12.157"/>
  </r>
  <r>
    <n v="400"/>
    <x v="11"/>
    <x v="95"/>
    <x v="2"/>
    <s v="Percent of GDP"/>
    <s v="Units"/>
    <x v="0"/>
    <n v="59.24"/>
  </r>
  <r>
    <n v="400"/>
    <x v="11"/>
    <x v="95"/>
    <x v="2"/>
    <s v="Percent of GDP"/>
    <s v="Units"/>
    <x v="1"/>
    <n v="35.069000000000003"/>
  </r>
  <r>
    <n v="400"/>
    <x v="11"/>
    <x v="95"/>
    <x v="2"/>
    <s v="Percent of GDP"/>
    <s v="Units"/>
    <x v="2"/>
    <n v="79.534000000000006"/>
  </r>
  <r>
    <n v="400"/>
    <x v="11"/>
    <x v="95"/>
    <x v="2"/>
    <s v="Percent of GDP"/>
    <s v="Units"/>
    <x v="3"/>
    <n v="85.784000000000006"/>
  </r>
  <r>
    <n v="400"/>
    <x v="11"/>
    <x v="95"/>
    <x v="2"/>
    <s v="Percent of GDP"/>
    <s v="Units"/>
    <x v="4"/>
    <n v="71.834000000000003"/>
  </r>
  <r>
    <n v="400"/>
    <x v="11"/>
    <x v="95"/>
    <x v="2"/>
    <s v="Percent of GDP"/>
    <s v="Units"/>
    <x v="5"/>
    <n v="61.649000000000001"/>
  </r>
  <r>
    <n v="400"/>
    <x v="11"/>
    <x v="95"/>
    <x v="2"/>
    <s v="Percent of GDP"/>
    <s v="Units"/>
    <x v="6"/>
    <n v="60.576000000000001"/>
  </r>
  <r>
    <n v="200"/>
    <x v="3"/>
    <x v="95"/>
    <x v="2"/>
    <s v="Percent of GDP"/>
    <s v="Units"/>
    <x v="0"/>
    <n v="59.24"/>
  </r>
  <r>
    <n v="200"/>
    <x v="3"/>
    <x v="95"/>
    <x v="2"/>
    <s v="Percent of GDP"/>
    <s v="Units"/>
    <x v="1"/>
    <n v="35.069000000000003"/>
  </r>
  <r>
    <n v="200"/>
    <x v="3"/>
    <x v="95"/>
    <x v="2"/>
    <s v="Percent of GDP"/>
    <s v="Units"/>
    <x v="2"/>
    <n v="79.534000000000006"/>
  </r>
  <r>
    <n v="200"/>
    <x v="3"/>
    <x v="95"/>
    <x v="2"/>
    <s v="Percent of GDP"/>
    <s v="Units"/>
    <x v="3"/>
    <n v="85.784000000000006"/>
  </r>
  <r>
    <n v="200"/>
    <x v="3"/>
    <x v="95"/>
    <x v="2"/>
    <s v="Percent of GDP"/>
    <s v="Units"/>
    <x v="4"/>
    <n v="71.834000000000003"/>
  </r>
  <r>
    <n v="200"/>
    <x v="3"/>
    <x v="95"/>
    <x v="2"/>
    <s v="Percent of GDP"/>
    <s v="Units"/>
    <x v="5"/>
    <n v="61.649000000000001"/>
  </r>
  <r>
    <n v="200"/>
    <x v="3"/>
    <x v="95"/>
    <x v="2"/>
    <s v="Percent of GDP"/>
    <s v="Units"/>
    <x v="6"/>
    <n v="60.576000000000001"/>
  </r>
  <r>
    <n v="200"/>
    <x v="3"/>
    <x v="96"/>
    <x v="2"/>
    <s v="Percent of GDP"/>
    <s v="Units"/>
    <x v="0"/>
    <n v="77.001000000000005"/>
  </r>
  <r>
    <n v="200"/>
    <x v="3"/>
    <x v="96"/>
    <x v="2"/>
    <s v="Percent of GDP"/>
    <s v="Units"/>
    <x v="1"/>
    <n v="67.147999999999996"/>
  </r>
  <r>
    <n v="200"/>
    <x v="3"/>
    <x v="96"/>
    <x v="2"/>
    <s v="Percent of GDP"/>
    <s v="Units"/>
    <x v="2"/>
    <n v="71.272999999999996"/>
  </r>
  <r>
    <n v="200"/>
    <x v="3"/>
    <x v="96"/>
    <x v="2"/>
    <s v="Percent of GDP"/>
    <s v="Units"/>
    <x v="3"/>
    <n v="67.048000000000002"/>
  </r>
  <r>
    <n v="200"/>
    <x v="3"/>
    <x v="96"/>
    <x v="2"/>
    <s v="Percent of GDP"/>
    <s v="Units"/>
    <x v="4"/>
    <n v="59.427999999999997"/>
  </r>
  <r>
    <n v="200"/>
    <x v="3"/>
    <x v="96"/>
    <x v="2"/>
    <s v="Percent of GDP"/>
    <s v="Units"/>
    <x v="5"/>
    <n v="61.238"/>
  </r>
  <r>
    <n v="200"/>
    <x v="3"/>
    <x v="96"/>
    <x v="2"/>
    <s v="Percent of GDP"/>
    <s v="Units"/>
    <x v="6"/>
    <n v="65.375"/>
  </r>
  <r>
    <n v="505"/>
    <x v="4"/>
    <x v="96"/>
    <x v="2"/>
    <s v="Percent of GDP"/>
    <s v="Units"/>
    <x v="0"/>
    <n v="77.001000000000005"/>
  </r>
  <r>
    <n v="505"/>
    <x v="4"/>
    <x v="96"/>
    <x v="2"/>
    <s v="Percent of GDP"/>
    <s v="Units"/>
    <x v="1"/>
    <n v="67.147999999999996"/>
  </r>
  <r>
    <n v="505"/>
    <x v="4"/>
    <x v="96"/>
    <x v="2"/>
    <s v="Percent of GDP"/>
    <s v="Units"/>
    <x v="2"/>
    <n v="71.272999999999996"/>
  </r>
  <r>
    <n v="505"/>
    <x v="4"/>
    <x v="96"/>
    <x v="2"/>
    <s v="Percent of GDP"/>
    <s v="Units"/>
    <x v="3"/>
    <n v="67.048000000000002"/>
  </r>
  <r>
    <n v="505"/>
    <x v="4"/>
    <x v="96"/>
    <x v="2"/>
    <s v="Percent of GDP"/>
    <s v="Units"/>
    <x v="4"/>
    <n v="59.427999999999997"/>
  </r>
  <r>
    <n v="505"/>
    <x v="4"/>
    <x v="96"/>
    <x v="2"/>
    <s v="Percent of GDP"/>
    <s v="Units"/>
    <x v="5"/>
    <n v="61.238"/>
  </r>
  <r>
    <n v="505"/>
    <x v="4"/>
    <x v="96"/>
    <x v="2"/>
    <s v="Percent of GDP"/>
    <s v="Units"/>
    <x v="6"/>
    <n v="65.375"/>
  </r>
  <r>
    <n v="200"/>
    <x v="3"/>
    <x v="96"/>
    <x v="3"/>
    <s v="Percent of GDP"/>
    <s v="Units"/>
    <x v="0"/>
    <n v="57.412999999999997"/>
  </r>
  <r>
    <n v="200"/>
    <x v="3"/>
    <x v="96"/>
    <x v="3"/>
    <s v="Percent of GDP"/>
    <s v="Units"/>
    <x v="1"/>
    <n v="60.710999999999999"/>
  </r>
  <r>
    <n v="200"/>
    <x v="3"/>
    <x v="96"/>
    <x v="3"/>
    <s v="Percent of GDP"/>
    <s v="Units"/>
    <x v="2"/>
    <n v="66.811000000000007"/>
  </r>
  <r>
    <n v="200"/>
    <x v="3"/>
    <x v="96"/>
    <x v="3"/>
    <s v="Percent of GDP"/>
    <s v="Units"/>
    <x v="3"/>
    <n v="59.25"/>
  </r>
  <r>
    <n v="200"/>
    <x v="3"/>
    <x v="96"/>
    <x v="3"/>
    <s v="Percent of GDP"/>
    <s v="Units"/>
    <x v="4"/>
    <n v="57.856999999999999"/>
  </r>
  <r>
    <n v="200"/>
    <x v="3"/>
    <x v="96"/>
    <x v="3"/>
    <s v="Percent of GDP"/>
    <s v="Units"/>
    <x v="5"/>
    <n v="59.972000000000001"/>
  </r>
  <r>
    <n v="200"/>
    <x v="3"/>
    <x v="96"/>
    <x v="3"/>
    <s v="Percent of GDP"/>
    <s v="Units"/>
    <x v="6"/>
    <n v="65.777000000000001"/>
  </r>
  <r>
    <n v="505"/>
    <x v="4"/>
    <x v="96"/>
    <x v="3"/>
    <s v="Percent of GDP"/>
    <s v="Units"/>
    <x v="0"/>
    <n v="57.412999999999997"/>
  </r>
  <r>
    <n v="505"/>
    <x v="4"/>
    <x v="96"/>
    <x v="3"/>
    <s v="Percent of GDP"/>
    <s v="Units"/>
    <x v="1"/>
    <n v="60.710999999999999"/>
  </r>
  <r>
    <n v="505"/>
    <x v="4"/>
    <x v="96"/>
    <x v="3"/>
    <s v="Percent of GDP"/>
    <s v="Units"/>
    <x v="2"/>
    <n v="66.811000000000007"/>
  </r>
  <r>
    <n v="505"/>
    <x v="4"/>
    <x v="96"/>
    <x v="3"/>
    <s v="Percent of GDP"/>
    <s v="Units"/>
    <x v="3"/>
    <n v="59.25"/>
  </r>
  <r>
    <n v="505"/>
    <x v="4"/>
    <x v="96"/>
    <x v="3"/>
    <s v="Percent of GDP"/>
    <s v="Units"/>
    <x v="4"/>
    <n v="57.856999999999999"/>
  </r>
  <r>
    <n v="505"/>
    <x v="4"/>
    <x v="96"/>
    <x v="3"/>
    <s v="Percent of GDP"/>
    <s v="Units"/>
    <x v="5"/>
    <n v="59.972000000000001"/>
  </r>
  <r>
    <n v="505"/>
    <x v="4"/>
    <x v="96"/>
    <x v="3"/>
    <s v="Percent of GDP"/>
    <s v="Units"/>
    <x v="6"/>
    <n v="65.777000000000001"/>
  </r>
  <r>
    <n v="200"/>
    <x v="3"/>
    <x v="16"/>
    <x v="1"/>
    <s v="Percent change"/>
    <s v="Units"/>
    <x v="0"/>
    <n v="15.177"/>
  </r>
  <r>
    <n v="200"/>
    <x v="3"/>
    <x v="16"/>
    <x v="1"/>
    <s v="Percent change"/>
    <s v="Units"/>
    <x v="1"/>
    <n v="12.279"/>
  </r>
  <r>
    <n v="200"/>
    <x v="3"/>
    <x v="16"/>
    <x v="1"/>
    <s v="Percent change"/>
    <s v="Units"/>
    <x v="2"/>
    <n v="19.596"/>
  </r>
  <r>
    <n v="200"/>
    <x v="3"/>
    <x v="16"/>
    <x v="1"/>
    <s v="Percent change"/>
    <s v="Units"/>
    <x v="3"/>
    <n v="72.308999999999997"/>
  </r>
  <r>
    <n v="200"/>
    <x v="3"/>
    <x v="16"/>
    <x v="1"/>
    <s v="Percent change"/>
    <s v="Units"/>
    <x v="4"/>
    <n v="53.859000000000002"/>
  </r>
  <r>
    <n v="200"/>
    <x v="3"/>
    <x v="16"/>
    <x v="1"/>
    <s v="Percent change"/>
    <s v="Units"/>
    <x v="5"/>
    <n v="59.52"/>
  </r>
  <r>
    <n v="200"/>
    <x v="3"/>
    <x v="16"/>
    <x v="1"/>
    <s v="Percent change"/>
    <s v="Units"/>
    <x v="6"/>
    <n v="38.414000000000001"/>
  </r>
  <r>
    <n v="1"/>
    <x v="2"/>
    <x v="16"/>
    <x v="1"/>
    <s v="Percent change"/>
    <s v="Units"/>
    <x v="0"/>
    <n v="15.177"/>
  </r>
  <r>
    <n v="1"/>
    <x v="2"/>
    <x v="16"/>
    <x v="1"/>
    <s v="Percent change"/>
    <s v="Units"/>
    <x v="1"/>
    <n v="12.279"/>
  </r>
  <r>
    <n v="1"/>
    <x v="2"/>
    <x v="16"/>
    <x v="1"/>
    <s v="Percent change"/>
    <s v="Units"/>
    <x v="2"/>
    <n v="19.596"/>
  </r>
  <r>
    <n v="1"/>
    <x v="2"/>
    <x v="16"/>
    <x v="1"/>
    <s v="Percent change"/>
    <s v="Units"/>
    <x v="3"/>
    <n v="72.308999999999997"/>
  </r>
  <r>
    <n v="1"/>
    <x v="2"/>
    <x v="16"/>
    <x v="1"/>
    <s v="Percent change"/>
    <s v="Units"/>
    <x v="4"/>
    <n v="53.859000000000002"/>
  </r>
  <r>
    <n v="1"/>
    <x v="2"/>
    <x v="16"/>
    <x v="1"/>
    <s v="Percent change"/>
    <s v="Units"/>
    <x v="5"/>
    <n v="59.52"/>
  </r>
  <r>
    <n v="1"/>
    <x v="2"/>
    <x v="16"/>
    <x v="1"/>
    <s v="Percent change"/>
    <s v="Units"/>
    <x v="6"/>
    <n v="38.414000000000001"/>
  </r>
  <r>
    <n v="903"/>
    <x v="8"/>
    <x v="16"/>
    <x v="1"/>
    <s v="Percent change"/>
    <s v="Units"/>
    <x v="0"/>
    <n v="15.177"/>
  </r>
  <r>
    <n v="903"/>
    <x v="8"/>
    <x v="16"/>
    <x v="1"/>
    <s v="Percent change"/>
    <s v="Units"/>
    <x v="1"/>
    <n v="12.279"/>
  </r>
  <r>
    <n v="903"/>
    <x v="8"/>
    <x v="16"/>
    <x v="1"/>
    <s v="Percent change"/>
    <s v="Units"/>
    <x v="2"/>
    <n v="19.596"/>
  </r>
  <r>
    <n v="903"/>
    <x v="8"/>
    <x v="16"/>
    <x v="1"/>
    <s v="Percent change"/>
    <s v="Units"/>
    <x v="3"/>
    <n v="72.308999999999997"/>
  </r>
  <r>
    <n v="903"/>
    <x v="8"/>
    <x v="16"/>
    <x v="1"/>
    <s v="Percent change"/>
    <s v="Units"/>
    <x v="4"/>
    <n v="53.859000000000002"/>
  </r>
  <r>
    <n v="903"/>
    <x v="8"/>
    <x v="16"/>
    <x v="1"/>
    <s v="Percent change"/>
    <s v="Units"/>
    <x v="5"/>
    <n v="59.52"/>
  </r>
  <r>
    <n v="903"/>
    <x v="8"/>
    <x v="16"/>
    <x v="1"/>
    <s v="Percent change"/>
    <s v="Units"/>
    <x v="6"/>
    <n v="38.414000000000001"/>
  </r>
  <r>
    <n v="123"/>
    <x v="9"/>
    <x v="30"/>
    <x v="2"/>
    <s v="Percent of GDP"/>
    <s v="Units"/>
    <x v="0"/>
    <n v="56.725000000000001"/>
  </r>
  <r>
    <n v="123"/>
    <x v="9"/>
    <x v="30"/>
    <x v="2"/>
    <s v="Percent of GDP"/>
    <s v="Units"/>
    <x v="1"/>
    <n v="54.151000000000003"/>
  </r>
  <r>
    <n v="123"/>
    <x v="9"/>
    <x v="30"/>
    <x v="2"/>
    <s v="Percent of GDP"/>
    <s v="Units"/>
    <x v="2"/>
    <n v="56.618000000000002"/>
  </r>
  <r>
    <n v="123"/>
    <x v="9"/>
    <x v="30"/>
    <x v="2"/>
    <s v="Percent of GDP"/>
    <s v="Units"/>
    <x v="3"/>
    <n v="63.052999999999997"/>
  </r>
  <r>
    <n v="123"/>
    <x v="9"/>
    <x v="30"/>
    <x v="2"/>
    <s v="Percent of GDP"/>
    <s v="Units"/>
    <x v="4"/>
    <n v="59.146000000000001"/>
  </r>
  <r>
    <n v="123"/>
    <x v="9"/>
    <x v="30"/>
    <x v="2"/>
    <s v="Percent of GDP"/>
    <s v="Units"/>
    <x v="5"/>
    <n v="58.235999999999997"/>
  </r>
  <r>
    <n v="123"/>
    <x v="9"/>
    <x v="30"/>
    <x v="2"/>
    <s v="Percent of GDP"/>
    <s v="Units"/>
    <x v="6"/>
    <n v="55.554000000000002"/>
  </r>
  <r>
    <n v="110"/>
    <x v="0"/>
    <x v="30"/>
    <x v="2"/>
    <s v="Percent of GDP"/>
    <s v="Units"/>
    <x v="0"/>
    <n v="56.725000000000001"/>
  </r>
  <r>
    <n v="110"/>
    <x v="0"/>
    <x v="30"/>
    <x v="2"/>
    <s v="Percent of GDP"/>
    <s v="Units"/>
    <x v="1"/>
    <n v="54.151000000000003"/>
  </r>
  <r>
    <n v="110"/>
    <x v="0"/>
    <x v="30"/>
    <x v="2"/>
    <s v="Percent of GDP"/>
    <s v="Units"/>
    <x v="2"/>
    <n v="56.618000000000002"/>
  </r>
  <r>
    <n v="110"/>
    <x v="0"/>
    <x v="30"/>
    <x v="2"/>
    <s v="Percent of GDP"/>
    <s v="Units"/>
    <x v="3"/>
    <n v="63.052999999999997"/>
  </r>
  <r>
    <n v="110"/>
    <x v="0"/>
    <x v="30"/>
    <x v="2"/>
    <s v="Percent of GDP"/>
    <s v="Units"/>
    <x v="4"/>
    <n v="59.146000000000001"/>
  </r>
  <r>
    <n v="110"/>
    <x v="0"/>
    <x v="30"/>
    <x v="2"/>
    <s v="Percent of GDP"/>
    <s v="Units"/>
    <x v="5"/>
    <n v="58.235999999999997"/>
  </r>
  <r>
    <n v="110"/>
    <x v="0"/>
    <x v="30"/>
    <x v="2"/>
    <s v="Percent of GDP"/>
    <s v="Units"/>
    <x v="6"/>
    <n v="55.554000000000002"/>
  </r>
  <r>
    <n v="400"/>
    <x v="11"/>
    <x v="54"/>
    <x v="5"/>
    <s v="Percent of GDP"/>
    <s v="Units"/>
    <x v="0"/>
    <n v="46.151000000000003"/>
  </r>
  <r>
    <n v="400"/>
    <x v="11"/>
    <x v="54"/>
    <x v="5"/>
    <s v="Percent of GDP"/>
    <s v="Units"/>
    <x v="1"/>
    <n v="41.781999999999996"/>
  </r>
  <r>
    <n v="400"/>
    <x v="11"/>
    <x v="54"/>
    <x v="5"/>
    <s v="Percent of GDP"/>
    <s v="Units"/>
    <x v="2"/>
    <n v="53.265999999999998"/>
  </r>
  <r>
    <n v="400"/>
    <x v="11"/>
    <x v="54"/>
    <x v="5"/>
    <s v="Percent of GDP"/>
    <s v="Units"/>
    <x v="3"/>
    <n v="57.957999999999998"/>
  </r>
  <r>
    <n v="400"/>
    <x v="11"/>
    <x v="54"/>
    <x v="5"/>
    <s v="Percent of GDP"/>
    <s v="Units"/>
    <x v="4"/>
    <n v="56.781999999999996"/>
  </r>
  <r>
    <n v="400"/>
    <x v="11"/>
    <x v="54"/>
    <x v="5"/>
    <s v="Percent of GDP"/>
    <s v="Units"/>
    <x v="5"/>
    <n v="57.976999999999997"/>
  </r>
  <r>
    <n v="400"/>
    <x v="11"/>
    <x v="54"/>
    <x v="5"/>
    <s v="Percent of GDP"/>
    <s v="Units"/>
    <x v="6"/>
    <n v="55.942"/>
  </r>
  <r>
    <n v="200"/>
    <x v="3"/>
    <x v="54"/>
    <x v="5"/>
    <s v="Percent of GDP"/>
    <s v="Units"/>
    <x v="0"/>
    <n v="46.151000000000003"/>
  </r>
  <r>
    <n v="200"/>
    <x v="3"/>
    <x v="54"/>
    <x v="5"/>
    <s v="Percent of GDP"/>
    <s v="Units"/>
    <x v="1"/>
    <n v="41.781999999999996"/>
  </r>
  <r>
    <n v="200"/>
    <x v="3"/>
    <x v="54"/>
    <x v="5"/>
    <s v="Percent of GDP"/>
    <s v="Units"/>
    <x v="2"/>
    <n v="53.265999999999998"/>
  </r>
  <r>
    <n v="200"/>
    <x v="3"/>
    <x v="54"/>
    <x v="5"/>
    <s v="Percent of GDP"/>
    <s v="Units"/>
    <x v="3"/>
    <n v="57.957999999999998"/>
  </r>
  <r>
    <n v="200"/>
    <x v="3"/>
    <x v="54"/>
    <x v="5"/>
    <s v="Percent of GDP"/>
    <s v="Units"/>
    <x v="4"/>
    <n v="56.781999999999996"/>
  </r>
  <r>
    <n v="200"/>
    <x v="3"/>
    <x v="54"/>
    <x v="5"/>
    <s v="Percent of GDP"/>
    <s v="Units"/>
    <x v="5"/>
    <n v="57.976999999999997"/>
  </r>
  <r>
    <n v="200"/>
    <x v="3"/>
    <x v="54"/>
    <x v="5"/>
    <s v="Percent of GDP"/>
    <s v="Units"/>
    <x v="6"/>
    <n v="55.942"/>
  </r>
  <r>
    <n v="1"/>
    <x v="2"/>
    <x v="54"/>
    <x v="5"/>
    <s v="Percent of GDP"/>
    <s v="Units"/>
    <x v="0"/>
    <n v="46.151000000000003"/>
  </r>
  <r>
    <n v="1"/>
    <x v="2"/>
    <x v="54"/>
    <x v="5"/>
    <s v="Percent of GDP"/>
    <s v="Units"/>
    <x v="1"/>
    <n v="41.781999999999996"/>
  </r>
  <r>
    <n v="1"/>
    <x v="2"/>
    <x v="54"/>
    <x v="5"/>
    <s v="Percent of GDP"/>
    <s v="Units"/>
    <x v="2"/>
    <n v="53.265999999999998"/>
  </r>
  <r>
    <n v="1"/>
    <x v="2"/>
    <x v="54"/>
    <x v="5"/>
    <s v="Percent of GDP"/>
    <s v="Units"/>
    <x v="3"/>
    <n v="57.957999999999998"/>
  </r>
  <r>
    <n v="1"/>
    <x v="2"/>
    <x v="54"/>
    <x v="5"/>
    <s v="Percent of GDP"/>
    <s v="Units"/>
    <x v="4"/>
    <n v="56.781999999999996"/>
  </r>
  <r>
    <n v="1"/>
    <x v="2"/>
    <x v="54"/>
    <x v="5"/>
    <s v="Percent of GDP"/>
    <s v="Units"/>
    <x v="5"/>
    <n v="57.976999999999997"/>
  </r>
  <r>
    <n v="1"/>
    <x v="2"/>
    <x v="54"/>
    <x v="5"/>
    <s v="Percent of GDP"/>
    <s v="Units"/>
    <x v="6"/>
    <n v="55.942"/>
  </r>
  <r>
    <n v="200"/>
    <x v="3"/>
    <x v="57"/>
    <x v="3"/>
    <s v="Percent of GDP"/>
    <s v="Units"/>
    <x v="0"/>
    <n v="41.49"/>
  </r>
  <r>
    <n v="200"/>
    <x v="3"/>
    <x v="57"/>
    <x v="3"/>
    <s v="Percent of GDP"/>
    <s v="Units"/>
    <x v="1"/>
    <n v="45.6"/>
  </r>
  <r>
    <n v="200"/>
    <x v="3"/>
    <x v="57"/>
    <x v="3"/>
    <s v="Percent of GDP"/>
    <s v="Units"/>
    <x v="2"/>
    <n v="40.488"/>
  </r>
  <r>
    <n v="200"/>
    <x v="3"/>
    <x v="57"/>
    <x v="3"/>
    <s v="Percent of GDP"/>
    <s v="Units"/>
    <x v="3"/>
    <n v="66"/>
  </r>
  <r>
    <n v="200"/>
    <x v="3"/>
    <x v="57"/>
    <x v="3"/>
    <s v="Percent of GDP"/>
    <s v="Units"/>
    <x v="4"/>
    <n v="74.908000000000001"/>
  </r>
  <r>
    <n v="200"/>
    <x v="3"/>
    <x v="57"/>
    <x v="3"/>
    <s v="Percent of GDP"/>
    <s v="Units"/>
    <x v="5"/>
    <n v="57.304000000000002"/>
  </r>
  <r>
    <n v="200"/>
    <x v="3"/>
    <x v="57"/>
    <x v="3"/>
    <s v="Percent of GDP"/>
    <s v="Units"/>
    <x v="6"/>
    <n v="48.878999999999998"/>
  </r>
  <r>
    <n v="903"/>
    <x v="8"/>
    <x v="57"/>
    <x v="3"/>
    <s v="Percent of GDP"/>
    <s v="Units"/>
    <x v="0"/>
    <n v="41.49"/>
  </r>
  <r>
    <n v="903"/>
    <x v="8"/>
    <x v="57"/>
    <x v="3"/>
    <s v="Percent of GDP"/>
    <s v="Units"/>
    <x v="1"/>
    <n v="45.6"/>
  </r>
  <r>
    <n v="903"/>
    <x v="8"/>
    <x v="57"/>
    <x v="3"/>
    <s v="Percent of GDP"/>
    <s v="Units"/>
    <x v="2"/>
    <n v="40.488"/>
  </r>
  <r>
    <n v="903"/>
    <x v="8"/>
    <x v="57"/>
    <x v="3"/>
    <s v="Percent of GDP"/>
    <s v="Units"/>
    <x v="3"/>
    <n v="66"/>
  </r>
  <r>
    <n v="903"/>
    <x v="8"/>
    <x v="57"/>
    <x v="3"/>
    <s v="Percent of GDP"/>
    <s v="Units"/>
    <x v="4"/>
    <n v="74.908000000000001"/>
  </r>
  <r>
    <n v="903"/>
    <x v="8"/>
    <x v="57"/>
    <x v="3"/>
    <s v="Percent of GDP"/>
    <s v="Units"/>
    <x v="5"/>
    <n v="57.304000000000002"/>
  </r>
  <r>
    <n v="903"/>
    <x v="8"/>
    <x v="57"/>
    <x v="3"/>
    <s v="Percent of GDP"/>
    <s v="Units"/>
    <x v="6"/>
    <n v="48.878999999999998"/>
  </r>
  <r>
    <n v="119"/>
    <x v="1"/>
    <x v="6"/>
    <x v="3"/>
    <s v="Percent of GDP"/>
    <s v="Units"/>
    <x v="0"/>
    <n v="55.351999999999997"/>
  </r>
  <r>
    <n v="119"/>
    <x v="1"/>
    <x v="6"/>
    <x v="3"/>
    <s v="Percent of GDP"/>
    <s v="Units"/>
    <x v="1"/>
    <n v="61.347000000000001"/>
  </r>
  <r>
    <n v="119"/>
    <x v="1"/>
    <x v="6"/>
    <x v="3"/>
    <s v="Percent of GDP"/>
    <s v="Units"/>
    <x v="2"/>
    <n v="59.118000000000002"/>
  </r>
  <r>
    <n v="119"/>
    <x v="1"/>
    <x v="6"/>
    <x v="3"/>
    <s v="Percent of GDP"/>
    <s v="Units"/>
    <x v="3"/>
    <n v="58.33"/>
  </r>
  <r>
    <n v="119"/>
    <x v="1"/>
    <x v="6"/>
    <x v="3"/>
    <s v="Percent of GDP"/>
    <s v="Units"/>
    <x v="4"/>
    <n v="57.344000000000001"/>
  </r>
  <r>
    <n v="119"/>
    <x v="1"/>
    <x v="6"/>
    <x v="3"/>
    <s v="Percent of GDP"/>
    <s v="Units"/>
    <x v="5"/>
    <n v="56.927"/>
  </r>
  <r>
    <n v="119"/>
    <x v="1"/>
    <x v="6"/>
    <x v="3"/>
    <s v="Percent of GDP"/>
    <s v="Units"/>
    <x v="6"/>
    <n v="56.765999999999998"/>
  </r>
  <r>
    <n v="110"/>
    <x v="0"/>
    <x v="6"/>
    <x v="3"/>
    <s v="Percent of GDP"/>
    <s v="Units"/>
    <x v="0"/>
    <n v="55.351999999999997"/>
  </r>
  <r>
    <n v="110"/>
    <x v="0"/>
    <x v="6"/>
    <x v="3"/>
    <s v="Percent of GDP"/>
    <s v="Units"/>
    <x v="1"/>
    <n v="61.347000000000001"/>
  </r>
  <r>
    <n v="110"/>
    <x v="0"/>
    <x v="6"/>
    <x v="3"/>
    <s v="Percent of GDP"/>
    <s v="Units"/>
    <x v="2"/>
    <n v="59.118000000000002"/>
  </r>
  <r>
    <n v="110"/>
    <x v="0"/>
    <x v="6"/>
    <x v="3"/>
    <s v="Percent of GDP"/>
    <s v="Units"/>
    <x v="3"/>
    <n v="58.33"/>
  </r>
  <r>
    <n v="110"/>
    <x v="0"/>
    <x v="6"/>
    <x v="3"/>
    <s v="Percent of GDP"/>
    <s v="Units"/>
    <x v="4"/>
    <n v="57.344000000000001"/>
  </r>
  <r>
    <n v="110"/>
    <x v="0"/>
    <x v="6"/>
    <x v="3"/>
    <s v="Percent of GDP"/>
    <s v="Units"/>
    <x v="5"/>
    <n v="56.927"/>
  </r>
  <r>
    <n v="110"/>
    <x v="0"/>
    <x v="6"/>
    <x v="3"/>
    <s v="Percent of GDP"/>
    <s v="Units"/>
    <x v="6"/>
    <n v="56.765999999999998"/>
  </r>
  <r>
    <n v="163"/>
    <x v="5"/>
    <x v="6"/>
    <x v="3"/>
    <s v="Percent of GDP"/>
    <s v="Units"/>
    <x v="0"/>
    <n v="55.351999999999997"/>
  </r>
  <r>
    <n v="163"/>
    <x v="5"/>
    <x v="6"/>
    <x v="3"/>
    <s v="Percent of GDP"/>
    <s v="Units"/>
    <x v="1"/>
    <n v="61.347000000000001"/>
  </r>
  <r>
    <n v="163"/>
    <x v="5"/>
    <x v="6"/>
    <x v="3"/>
    <s v="Percent of GDP"/>
    <s v="Units"/>
    <x v="2"/>
    <n v="59.118000000000002"/>
  </r>
  <r>
    <n v="163"/>
    <x v="5"/>
    <x v="6"/>
    <x v="3"/>
    <s v="Percent of GDP"/>
    <s v="Units"/>
    <x v="3"/>
    <n v="58.33"/>
  </r>
  <r>
    <n v="163"/>
    <x v="5"/>
    <x v="6"/>
    <x v="3"/>
    <s v="Percent of GDP"/>
    <s v="Units"/>
    <x v="4"/>
    <n v="57.344000000000001"/>
  </r>
  <r>
    <n v="163"/>
    <x v="5"/>
    <x v="6"/>
    <x v="3"/>
    <s v="Percent of GDP"/>
    <s v="Units"/>
    <x v="5"/>
    <n v="56.927"/>
  </r>
  <r>
    <n v="163"/>
    <x v="5"/>
    <x v="6"/>
    <x v="3"/>
    <s v="Percent of GDP"/>
    <s v="Units"/>
    <x v="6"/>
    <n v="56.765999999999998"/>
  </r>
  <r>
    <n v="998"/>
    <x v="6"/>
    <x v="6"/>
    <x v="3"/>
    <s v="Percent of GDP"/>
    <s v="Units"/>
    <x v="0"/>
    <n v="55.351999999999997"/>
  </r>
  <r>
    <n v="998"/>
    <x v="6"/>
    <x v="6"/>
    <x v="3"/>
    <s v="Percent of GDP"/>
    <s v="Units"/>
    <x v="1"/>
    <n v="61.347000000000001"/>
  </r>
  <r>
    <n v="998"/>
    <x v="6"/>
    <x v="6"/>
    <x v="3"/>
    <s v="Percent of GDP"/>
    <s v="Units"/>
    <x v="2"/>
    <n v="59.118000000000002"/>
  </r>
  <r>
    <n v="998"/>
    <x v="6"/>
    <x v="6"/>
    <x v="3"/>
    <s v="Percent of GDP"/>
    <s v="Units"/>
    <x v="3"/>
    <n v="58.33"/>
  </r>
  <r>
    <n v="998"/>
    <x v="6"/>
    <x v="6"/>
    <x v="3"/>
    <s v="Percent of GDP"/>
    <s v="Units"/>
    <x v="4"/>
    <n v="57.344000000000001"/>
  </r>
  <r>
    <n v="998"/>
    <x v="6"/>
    <x v="6"/>
    <x v="3"/>
    <s v="Percent of GDP"/>
    <s v="Units"/>
    <x v="5"/>
    <n v="56.927"/>
  </r>
  <r>
    <n v="998"/>
    <x v="6"/>
    <x v="6"/>
    <x v="3"/>
    <s v="Percent of GDP"/>
    <s v="Units"/>
    <x v="6"/>
    <n v="56.765999999999998"/>
  </r>
  <r>
    <n v="400"/>
    <x v="11"/>
    <x v="95"/>
    <x v="3"/>
    <s v="Percent of GDP"/>
    <s v="Units"/>
    <x v="0"/>
    <n v="47.31"/>
  </r>
  <r>
    <n v="400"/>
    <x v="11"/>
    <x v="95"/>
    <x v="3"/>
    <s v="Percent of GDP"/>
    <s v="Units"/>
    <x v="1"/>
    <n v="57.341999999999999"/>
  </r>
  <r>
    <n v="400"/>
    <x v="11"/>
    <x v="95"/>
    <x v="3"/>
    <s v="Percent of GDP"/>
    <s v="Units"/>
    <x v="2"/>
    <n v="64.706000000000003"/>
  </r>
  <r>
    <n v="400"/>
    <x v="11"/>
    <x v="95"/>
    <x v="3"/>
    <s v="Percent of GDP"/>
    <s v="Units"/>
    <x v="3"/>
    <n v="62.189"/>
  </r>
  <r>
    <n v="400"/>
    <x v="11"/>
    <x v="95"/>
    <x v="3"/>
    <s v="Percent of GDP"/>
    <s v="Units"/>
    <x v="4"/>
    <n v="63.350999999999999"/>
  </r>
  <r>
    <n v="400"/>
    <x v="11"/>
    <x v="95"/>
    <x v="3"/>
    <s v="Percent of GDP"/>
    <s v="Units"/>
    <x v="5"/>
    <n v="56.433999999999997"/>
  </r>
  <r>
    <n v="400"/>
    <x v="11"/>
    <x v="95"/>
    <x v="3"/>
    <s v="Percent of GDP"/>
    <s v="Units"/>
    <x v="6"/>
    <n v="56.390999999999998"/>
  </r>
  <r>
    <n v="200"/>
    <x v="3"/>
    <x v="95"/>
    <x v="3"/>
    <s v="Percent of GDP"/>
    <s v="Units"/>
    <x v="0"/>
    <n v="47.31"/>
  </r>
  <r>
    <n v="200"/>
    <x v="3"/>
    <x v="95"/>
    <x v="3"/>
    <s v="Percent of GDP"/>
    <s v="Units"/>
    <x v="1"/>
    <n v="57.341999999999999"/>
  </r>
  <r>
    <n v="200"/>
    <x v="3"/>
    <x v="95"/>
    <x v="3"/>
    <s v="Percent of GDP"/>
    <s v="Units"/>
    <x v="2"/>
    <n v="64.706000000000003"/>
  </r>
  <r>
    <n v="200"/>
    <x v="3"/>
    <x v="95"/>
    <x v="3"/>
    <s v="Percent of GDP"/>
    <s v="Units"/>
    <x v="3"/>
    <n v="62.189"/>
  </r>
  <r>
    <n v="200"/>
    <x v="3"/>
    <x v="95"/>
    <x v="3"/>
    <s v="Percent of GDP"/>
    <s v="Units"/>
    <x v="4"/>
    <n v="63.350999999999999"/>
  </r>
  <r>
    <n v="200"/>
    <x v="3"/>
    <x v="95"/>
    <x v="3"/>
    <s v="Percent of GDP"/>
    <s v="Units"/>
    <x v="5"/>
    <n v="56.433999999999997"/>
  </r>
  <r>
    <n v="200"/>
    <x v="3"/>
    <x v="95"/>
    <x v="3"/>
    <s v="Percent of GDP"/>
    <s v="Units"/>
    <x v="6"/>
    <n v="56.390999999999998"/>
  </r>
  <r>
    <n v="1"/>
    <x v="2"/>
    <x v="97"/>
    <x v="0"/>
    <s v="U.S. dollars"/>
    <s v="Billions"/>
    <x v="0"/>
    <n v="37.892000000000003"/>
  </r>
  <r>
    <n v="1"/>
    <x v="2"/>
    <x v="97"/>
    <x v="0"/>
    <s v="U.S. dollars"/>
    <s v="Billions"/>
    <x v="1"/>
    <n v="37.901000000000003"/>
  </r>
  <r>
    <n v="1"/>
    <x v="2"/>
    <x v="97"/>
    <x v="0"/>
    <s v="U.S. dollars"/>
    <s v="Billions"/>
    <x v="2"/>
    <n v="42.747"/>
  </r>
  <r>
    <n v="1"/>
    <x v="2"/>
    <x v="97"/>
    <x v="0"/>
    <s v="U.S. dollars"/>
    <s v="Billions"/>
    <x v="3"/>
    <n v="47.567"/>
  </r>
  <r>
    <n v="1"/>
    <x v="2"/>
    <x v="97"/>
    <x v="0"/>
    <s v="U.S. dollars"/>
    <s v="Billions"/>
    <x v="4"/>
    <n v="51.819000000000003"/>
  </r>
  <r>
    <n v="1"/>
    <x v="2"/>
    <x v="97"/>
    <x v="0"/>
    <s v="U.S. dollars"/>
    <s v="Billions"/>
    <x v="5"/>
    <n v="56.31"/>
  </r>
  <r>
    <n v="1"/>
    <x v="2"/>
    <x v="97"/>
    <x v="0"/>
    <s v="U.S. dollars"/>
    <s v="Billions"/>
    <x v="6"/>
    <n v="62.055999999999997"/>
  </r>
  <r>
    <n v="200"/>
    <x v="3"/>
    <x v="97"/>
    <x v="0"/>
    <s v="U.S. dollars"/>
    <s v="Billions"/>
    <x v="0"/>
    <n v="37.892000000000003"/>
  </r>
  <r>
    <n v="200"/>
    <x v="3"/>
    <x v="97"/>
    <x v="0"/>
    <s v="U.S. dollars"/>
    <s v="Billions"/>
    <x v="1"/>
    <n v="37.901000000000003"/>
  </r>
  <r>
    <n v="200"/>
    <x v="3"/>
    <x v="97"/>
    <x v="0"/>
    <s v="U.S. dollars"/>
    <s v="Billions"/>
    <x v="2"/>
    <n v="42.747"/>
  </r>
  <r>
    <n v="200"/>
    <x v="3"/>
    <x v="97"/>
    <x v="0"/>
    <s v="U.S. dollars"/>
    <s v="Billions"/>
    <x v="3"/>
    <n v="47.567"/>
  </r>
  <r>
    <n v="200"/>
    <x v="3"/>
    <x v="97"/>
    <x v="0"/>
    <s v="U.S. dollars"/>
    <s v="Billions"/>
    <x v="4"/>
    <n v="51.819000000000003"/>
  </r>
  <r>
    <n v="200"/>
    <x v="3"/>
    <x v="97"/>
    <x v="0"/>
    <s v="U.S. dollars"/>
    <s v="Billions"/>
    <x v="5"/>
    <n v="56.31"/>
  </r>
  <r>
    <n v="200"/>
    <x v="3"/>
    <x v="97"/>
    <x v="0"/>
    <s v="U.S. dollars"/>
    <s v="Billions"/>
    <x v="6"/>
    <n v="62.055999999999997"/>
  </r>
  <r>
    <n v="603"/>
    <x v="12"/>
    <x v="97"/>
    <x v="0"/>
    <s v="U.S. dollars"/>
    <s v="Billions"/>
    <x v="0"/>
    <n v="37.892000000000003"/>
  </r>
  <r>
    <n v="603"/>
    <x v="12"/>
    <x v="97"/>
    <x v="0"/>
    <s v="U.S. dollars"/>
    <s v="Billions"/>
    <x v="1"/>
    <n v="37.901000000000003"/>
  </r>
  <r>
    <n v="603"/>
    <x v="12"/>
    <x v="97"/>
    <x v="0"/>
    <s v="U.S. dollars"/>
    <s v="Billions"/>
    <x v="2"/>
    <n v="42.747"/>
  </r>
  <r>
    <n v="603"/>
    <x v="12"/>
    <x v="97"/>
    <x v="0"/>
    <s v="U.S. dollars"/>
    <s v="Billions"/>
    <x v="3"/>
    <n v="47.567"/>
  </r>
  <r>
    <n v="603"/>
    <x v="12"/>
    <x v="97"/>
    <x v="0"/>
    <s v="U.S. dollars"/>
    <s v="Billions"/>
    <x v="4"/>
    <n v="51.819000000000003"/>
  </r>
  <r>
    <n v="603"/>
    <x v="12"/>
    <x v="97"/>
    <x v="0"/>
    <s v="U.S. dollars"/>
    <s v="Billions"/>
    <x v="5"/>
    <n v="56.31"/>
  </r>
  <r>
    <n v="603"/>
    <x v="12"/>
    <x v="97"/>
    <x v="0"/>
    <s v="U.S. dollars"/>
    <s v="Billions"/>
    <x v="6"/>
    <n v="62.055999999999997"/>
  </r>
  <r>
    <n v="110"/>
    <x v="0"/>
    <x v="45"/>
    <x v="3"/>
    <s v="Percent of GDP"/>
    <s v="Units"/>
    <x v="0"/>
    <n v="53.338000000000001"/>
  </r>
  <r>
    <n v="110"/>
    <x v="0"/>
    <x v="45"/>
    <x v="3"/>
    <s v="Percent of GDP"/>
    <s v="Units"/>
    <x v="1"/>
    <n v="57.186"/>
  </r>
  <r>
    <n v="110"/>
    <x v="0"/>
    <x v="45"/>
    <x v="3"/>
    <s v="Percent of GDP"/>
    <s v="Units"/>
    <x v="2"/>
    <n v="55.819000000000003"/>
  </r>
  <r>
    <n v="110"/>
    <x v="0"/>
    <x v="45"/>
    <x v="3"/>
    <s v="Percent of GDP"/>
    <s v="Units"/>
    <x v="3"/>
    <n v="53.514000000000003"/>
  </r>
  <r>
    <n v="110"/>
    <x v="0"/>
    <x v="45"/>
    <x v="3"/>
    <s v="Percent of GDP"/>
    <s v="Units"/>
    <x v="4"/>
    <n v="55.344000000000001"/>
  </r>
  <r>
    <n v="110"/>
    <x v="0"/>
    <x v="45"/>
    <x v="3"/>
    <s v="Percent of GDP"/>
    <s v="Units"/>
    <x v="5"/>
    <n v="55.219000000000001"/>
  </r>
  <r>
    <n v="110"/>
    <x v="0"/>
    <x v="45"/>
    <x v="3"/>
    <s v="Percent of GDP"/>
    <s v="Units"/>
    <x v="6"/>
    <n v="55.058999999999997"/>
  </r>
  <r>
    <n v="998"/>
    <x v="6"/>
    <x v="45"/>
    <x v="3"/>
    <s v="Percent of GDP"/>
    <s v="Units"/>
    <x v="0"/>
    <n v="53.338000000000001"/>
  </r>
  <r>
    <n v="998"/>
    <x v="6"/>
    <x v="45"/>
    <x v="3"/>
    <s v="Percent of GDP"/>
    <s v="Units"/>
    <x v="1"/>
    <n v="57.186"/>
  </r>
  <r>
    <n v="998"/>
    <x v="6"/>
    <x v="45"/>
    <x v="3"/>
    <s v="Percent of GDP"/>
    <s v="Units"/>
    <x v="2"/>
    <n v="55.819000000000003"/>
  </r>
  <r>
    <n v="998"/>
    <x v="6"/>
    <x v="45"/>
    <x v="3"/>
    <s v="Percent of GDP"/>
    <s v="Units"/>
    <x v="3"/>
    <n v="53.514000000000003"/>
  </r>
  <r>
    <n v="998"/>
    <x v="6"/>
    <x v="45"/>
    <x v="3"/>
    <s v="Percent of GDP"/>
    <s v="Units"/>
    <x v="4"/>
    <n v="55.344000000000001"/>
  </r>
  <r>
    <n v="998"/>
    <x v="6"/>
    <x v="45"/>
    <x v="3"/>
    <s v="Percent of GDP"/>
    <s v="Units"/>
    <x v="5"/>
    <n v="55.219000000000001"/>
  </r>
  <r>
    <n v="998"/>
    <x v="6"/>
    <x v="45"/>
    <x v="3"/>
    <s v="Percent of GDP"/>
    <s v="Units"/>
    <x v="6"/>
    <n v="55.058999999999997"/>
  </r>
  <r>
    <n v="163"/>
    <x v="5"/>
    <x v="45"/>
    <x v="3"/>
    <s v="Percent of GDP"/>
    <s v="Units"/>
    <x v="0"/>
    <n v="53.338000000000001"/>
  </r>
  <r>
    <n v="163"/>
    <x v="5"/>
    <x v="45"/>
    <x v="3"/>
    <s v="Percent of GDP"/>
    <s v="Units"/>
    <x v="1"/>
    <n v="57.186"/>
  </r>
  <r>
    <n v="163"/>
    <x v="5"/>
    <x v="45"/>
    <x v="3"/>
    <s v="Percent of GDP"/>
    <s v="Units"/>
    <x v="2"/>
    <n v="55.819000000000003"/>
  </r>
  <r>
    <n v="163"/>
    <x v="5"/>
    <x v="45"/>
    <x v="3"/>
    <s v="Percent of GDP"/>
    <s v="Units"/>
    <x v="3"/>
    <n v="53.514000000000003"/>
  </r>
  <r>
    <n v="163"/>
    <x v="5"/>
    <x v="45"/>
    <x v="3"/>
    <s v="Percent of GDP"/>
    <s v="Units"/>
    <x v="4"/>
    <n v="55.344000000000001"/>
  </r>
  <r>
    <n v="163"/>
    <x v="5"/>
    <x v="45"/>
    <x v="3"/>
    <s v="Percent of GDP"/>
    <s v="Units"/>
    <x v="5"/>
    <n v="55.219000000000001"/>
  </r>
  <r>
    <n v="163"/>
    <x v="5"/>
    <x v="45"/>
    <x v="3"/>
    <s v="Percent of GDP"/>
    <s v="Units"/>
    <x v="6"/>
    <n v="55.058999999999997"/>
  </r>
  <r>
    <n v="998"/>
    <x v="6"/>
    <x v="21"/>
    <x v="3"/>
    <s v="Percent of GDP"/>
    <s v="Units"/>
    <x v="0"/>
    <n v="51.908999999999999"/>
  </r>
  <r>
    <n v="998"/>
    <x v="6"/>
    <x v="21"/>
    <x v="3"/>
    <s v="Percent of GDP"/>
    <s v="Units"/>
    <x v="1"/>
    <n v="58.753"/>
  </r>
  <r>
    <n v="998"/>
    <x v="6"/>
    <x v="21"/>
    <x v="3"/>
    <s v="Percent of GDP"/>
    <s v="Units"/>
    <x v="2"/>
    <n v="54.844999999999999"/>
  </r>
  <r>
    <n v="998"/>
    <x v="6"/>
    <x v="21"/>
    <x v="3"/>
    <s v="Percent of GDP"/>
    <s v="Units"/>
    <x v="3"/>
    <n v="53.155999999999999"/>
  </r>
  <r>
    <n v="998"/>
    <x v="6"/>
    <x v="21"/>
    <x v="3"/>
    <s v="Percent of GDP"/>
    <s v="Units"/>
    <x v="4"/>
    <n v="54.761000000000003"/>
  </r>
  <r>
    <n v="998"/>
    <x v="6"/>
    <x v="21"/>
    <x v="3"/>
    <s v="Percent of GDP"/>
    <s v="Units"/>
    <x v="5"/>
    <n v="55.069000000000003"/>
  </r>
  <r>
    <n v="998"/>
    <x v="6"/>
    <x v="21"/>
    <x v="3"/>
    <s v="Percent of GDP"/>
    <s v="Units"/>
    <x v="6"/>
    <n v="55.302"/>
  </r>
  <r>
    <n v="163"/>
    <x v="5"/>
    <x v="21"/>
    <x v="3"/>
    <s v="Percent of GDP"/>
    <s v="Units"/>
    <x v="0"/>
    <n v="51.908999999999999"/>
  </r>
  <r>
    <n v="163"/>
    <x v="5"/>
    <x v="21"/>
    <x v="3"/>
    <s v="Percent of GDP"/>
    <s v="Units"/>
    <x v="1"/>
    <n v="58.753"/>
  </r>
  <r>
    <n v="163"/>
    <x v="5"/>
    <x v="21"/>
    <x v="3"/>
    <s v="Percent of GDP"/>
    <s v="Units"/>
    <x v="2"/>
    <n v="54.844999999999999"/>
  </r>
  <r>
    <n v="163"/>
    <x v="5"/>
    <x v="21"/>
    <x v="3"/>
    <s v="Percent of GDP"/>
    <s v="Units"/>
    <x v="3"/>
    <n v="53.155999999999999"/>
  </r>
  <r>
    <n v="163"/>
    <x v="5"/>
    <x v="21"/>
    <x v="3"/>
    <s v="Percent of GDP"/>
    <s v="Units"/>
    <x v="4"/>
    <n v="54.761000000000003"/>
  </r>
  <r>
    <n v="163"/>
    <x v="5"/>
    <x v="21"/>
    <x v="3"/>
    <s v="Percent of GDP"/>
    <s v="Units"/>
    <x v="5"/>
    <n v="55.069000000000003"/>
  </r>
  <r>
    <n v="163"/>
    <x v="5"/>
    <x v="21"/>
    <x v="3"/>
    <s v="Percent of GDP"/>
    <s v="Units"/>
    <x v="6"/>
    <n v="55.302"/>
  </r>
  <r>
    <n v="110"/>
    <x v="0"/>
    <x v="21"/>
    <x v="3"/>
    <s v="Percent of GDP"/>
    <s v="Units"/>
    <x v="0"/>
    <n v="51.908999999999999"/>
  </r>
  <r>
    <n v="110"/>
    <x v="0"/>
    <x v="21"/>
    <x v="3"/>
    <s v="Percent of GDP"/>
    <s v="Units"/>
    <x v="1"/>
    <n v="58.753"/>
  </r>
  <r>
    <n v="110"/>
    <x v="0"/>
    <x v="21"/>
    <x v="3"/>
    <s v="Percent of GDP"/>
    <s v="Units"/>
    <x v="2"/>
    <n v="54.844999999999999"/>
  </r>
  <r>
    <n v="110"/>
    <x v="0"/>
    <x v="21"/>
    <x v="3"/>
    <s v="Percent of GDP"/>
    <s v="Units"/>
    <x v="3"/>
    <n v="53.155999999999999"/>
  </r>
  <r>
    <n v="110"/>
    <x v="0"/>
    <x v="21"/>
    <x v="3"/>
    <s v="Percent of GDP"/>
    <s v="Units"/>
    <x v="4"/>
    <n v="54.761000000000003"/>
  </r>
  <r>
    <n v="110"/>
    <x v="0"/>
    <x v="21"/>
    <x v="3"/>
    <s v="Percent of GDP"/>
    <s v="Units"/>
    <x v="5"/>
    <n v="55.069000000000003"/>
  </r>
  <r>
    <n v="110"/>
    <x v="0"/>
    <x v="21"/>
    <x v="3"/>
    <s v="Percent of GDP"/>
    <s v="Units"/>
    <x v="6"/>
    <n v="55.302"/>
  </r>
  <r>
    <n v="200"/>
    <x v="3"/>
    <x v="98"/>
    <x v="1"/>
    <s v="Percent change"/>
    <s v="Units"/>
    <x v="0"/>
    <n v="49.287999999999997"/>
  </r>
  <r>
    <n v="200"/>
    <x v="3"/>
    <x v="98"/>
    <x v="1"/>
    <s v="Percent change"/>
    <s v="Units"/>
    <x v="1"/>
    <n v="23.984000000000002"/>
  </r>
  <r>
    <n v="200"/>
    <x v="3"/>
    <x v="98"/>
    <x v="1"/>
    <s v="Percent change"/>
    <s v="Units"/>
    <x v="2"/>
    <n v="30.228999999999999"/>
  </r>
  <r>
    <n v="200"/>
    <x v="3"/>
    <x v="98"/>
    <x v="1"/>
    <s v="Percent change"/>
    <s v="Units"/>
    <x v="3"/>
    <n v="-3.21"/>
  </r>
  <r>
    <n v="200"/>
    <x v="3"/>
    <x v="98"/>
    <x v="1"/>
    <s v="Percent change"/>
    <s v="Units"/>
    <x v="4"/>
    <n v="40.195"/>
  </r>
  <r>
    <n v="200"/>
    <x v="3"/>
    <x v="98"/>
    <x v="1"/>
    <s v="Percent change"/>
    <s v="Units"/>
    <x v="5"/>
    <n v="54.753999999999998"/>
  </r>
  <r>
    <n v="200"/>
    <x v="3"/>
    <x v="98"/>
    <x v="1"/>
    <s v="Percent change"/>
    <s v="Units"/>
    <x v="6"/>
    <n v="21.739000000000001"/>
  </r>
  <r>
    <n v="1"/>
    <x v="2"/>
    <x v="98"/>
    <x v="1"/>
    <s v="Percent change"/>
    <s v="Units"/>
    <x v="0"/>
    <n v="49.287999999999997"/>
  </r>
  <r>
    <n v="1"/>
    <x v="2"/>
    <x v="98"/>
    <x v="1"/>
    <s v="Percent change"/>
    <s v="Units"/>
    <x v="1"/>
    <n v="23.984000000000002"/>
  </r>
  <r>
    <n v="1"/>
    <x v="2"/>
    <x v="98"/>
    <x v="1"/>
    <s v="Percent change"/>
    <s v="Units"/>
    <x v="2"/>
    <n v="30.228999999999999"/>
  </r>
  <r>
    <n v="1"/>
    <x v="2"/>
    <x v="98"/>
    <x v="1"/>
    <s v="Percent change"/>
    <s v="Units"/>
    <x v="3"/>
    <n v="-3.21"/>
  </r>
  <r>
    <n v="1"/>
    <x v="2"/>
    <x v="98"/>
    <x v="1"/>
    <s v="Percent change"/>
    <s v="Units"/>
    <x v="4"/>
    <n v="40.195"/>
  </r>
  <r>
    <n v="1"/>
    <x v="2"/>
    <x v="98"/>
    <x v="1"/>
    <s v="Percent change"/>
    <s v="Units"/>
    <x v="5"/>
    <n v="54.753999999999998"/>
  </r>
  <r>
    <n v="1"/>
    <x v="2"/>
    <x v="98"/>
    <x v="1"/>
    <s v="Percent change"/>
    <s v="Units"/>
    <x v="6"/>
    <n v="21.739000000000001"/>
  </r>
  <r>
    <n v="603"/>
    <x v="12"/>
    <x v="98"/>
    <x v="1"/>
    <s v="Percent change"/>
    <s v="Units"/>
    <x v="0"/>
    <n v="49.287999999999997"/>
  </r>
  <r>
    <n v="603"/>
    <x v="12"/>
    <x v="98"/>
    <x v="1"/>
    <s v="Percent change"/>
    <s v="Units"/>
    <x v="1"/>
    <n v="23.984000000000002"/>
  </r>
  <r>
    <n v="603"/>
    <x v="12"/>
    <x v="98"/>
    <x v="1"/>
    <s v="Percent change"/>
    <s v="Units"/>
    <x v="2"/>
    <n v="30.228999999999999"/>
  </r>
  <r>
    <n v="603"/>
    <x v="12"/>
    <x v="98"/>
    <x v="1"/>
    <s v="Percent change"/>
    <s v="Units"/>
    <x v="3"/>
    <n v="-3.21"/>
  </r>
  <r>
    <n v="603"/>
    <x v="12"/>
    <x v="98"/>
    <x v="1"/>
    <s v="Percent change"/>
    <s v="Units"/>
    <x v="4"/>
    <n v="40.195"/>
  </r>
  <r>
    <n v="603"/>
    <x v="12"/>
    <x v="98"/>
    <x v="1"/>
    <s v="Percent change"/>
    <s v="Units"/>
    <x v="5"/>
    <n v="54.753999999999998"/>
  </r>
  <r>
    <n v="603"/>
    <x v="12"/>
    <x v="98"/>
    <x v="1"/>
    <s v="Percent change"/>
    <s v="Units"/>
    <x v="6"/>
    <n v="21.739000000000001"/>
  </r>
  <r>
    <n v="1"/>
    <x v="2"/>
    <x v="99"/>
    <x v="0"/>
    <s v="U.S. dollars"/>
    <s v="Billions"/>
    <x v="0"/>
    <n v="41.905000000000001"/>
  </r>
  <r>
    <n v="1"/>
    <x v="2"/>
    <x v="99"/>
    <x v="0"/>
    <s v="U.S. dollars"/>
    <s v="Billions"/>
    <x v="1"/>
    <n v="42.54"/>
  </r>
  <r>
    <n v="1"/>
    <x v="2"/>
    <x v="99"/>
    <x v="0"/>
    <s v="U.S. dollars"/>
    <s v="Billions"/>
    <x v="2"/>
    <n v="46.688000000000002"/>
  </r>
  <r>
    <n v="1"/>
    <x v="2"/>
    <x v="99"/>
    <x v="0"/>
    <s v="U.S. dollars"/>
    <s v="Billions"/>
    <x v="3"/>
    <n v="46.265000000000001"/>
  </r>
  <r>
    <n v="1"/>
    <x v="2"/>
    <x v="99"/>
    <x v="0"/>
    <s v="U.S. dollars"/>
    <s v="Billions"/>
    <x v="4"/>
    <n v="51.283000000000001"/>
  </r>
  <r>
    <n v="1"/>
    <x v="2"/>
    <x v="99"/>
    <x v="0"/>
    <s v="U.S. dollars"/>
    <s v="Billions"/>
    <x v="5"/>
    <n v="54.707999999999998"/>
  </r>
  <r>
    <n v="1"/>
    <x v="2"/>
    <x v="99"/>
    <x v="0"/>
    <s v="U.S. dollars"/>
    <s v="Billions"/>
    <x v="6"/>
    <n v="55.847000000000001"/>
  </r>
  <r>
    <n v="200"/>
    <x v="3"/>
    <x v="99"/>
    <x v="0"/>
    <s v="U.S. dollars"/>
    <s v="Billions"/>
    <x v="0"/>
    <n v="41.905000000000001"/>
  </r>
  <r>
    <n v="200"/>
    <x v="3"/>
    <x v="99"/>
    <x v="0"/>
    <s v="U.S. dollars"/>
    <s v="Billions"/>
    <x v="1"/>
    <n v="42.54"/>
  </r>
  <r>
    <n v="200"/>
    <x v="3"/>
    <x v="99"/>
    <x v="0"/>
    <s v="U.S. dollars"/>
    <s v="Billions"/>
    <x v="2"/>
    <n v="46.688000000000002"/>
  </r>
  <r>
    <n v="200"/>
    <x v="3"/>
    <x v="99"/>
    <x v="0"/>
    <s v="U.S. dollars"/>
    <s v="Billions"/>
    <x v="3"/>
    <n v="46.265000000000001"/>
  </r>
  <r>
    <n v="200"/>
    <x v="3"/>
    <x v="99"/>
    <x v="0"/>
    <s v="U.S. dollars"/>
    <s v="Billions"/>
    <x v="4"/>
    <n v="51.283000000000001"/>
  </r>
  <r>
    <n v="200"/>
    <x v="3"/>
    <x v="99"/>
    <x v="0"/>
    <s v="U.S. dollars"/>
    <s v="Billions"/>
    <x v="5"/>
    <n v="54.707999999999998"/>
  </r>
  <r>
    <n v="200"/>
    <x v="3"/>
    <x v="99"/>
    <x v="0"/>
    <s v="U.S. dollars"/>
    <s v="Billions"/>
    <x v="6"/>
    <n v="55.847000000000001"/>
  </r>
  <r>
    <n v="400"/>
    <x v="11"/>
    <x v="99"/>
    <x v="0"/>
    <s v="U.S. dollars"/>
    <s v="Billions"/>
    <x v="0"/>
    <n v="41.905000000000001"/>
  </r>
  <r>
    <n v="400"/>
    <x v="11"/>
    <x v="99"/>
    <x v="0"/>
    <s v="U.S. dollars"/>
    <s v="Billions"/>
    <x v="1"/>
    <n v="42.54"/>
  </r>
  <r>
    <n v="400"/>
    <x v="11"/>
    <x v="99"/>
    <x v="0"/>
    <s v="U.S. dollars"/>
    <s v="Billions"/>
    <x v="2"/>
    <n v="46.688000000000002"/>
  </r>
  <r>
    <n v="400"/>
    <x v="11"/>
    <x v="99"/>
    <x v="0"/>
    <s v="U.S. dollars"/>
    <s v="Billions"/>
    <x v="3"/>
    <n v="46.265000000000001"/>
  </r>
  <r>
    <n v="400"/>
    <x v="11"/>
    <x v="99"/>
    <x v="0"/>
    <s v="U.S. dollars"/>
    <s v="Billions"/>
    <x v="4"/>
    <n v="51.283000000000001"/>
  </r>
  <r>
    <n v="400"/>
    <x v="11"/>
    <x v="99"/>
    <x v="0"/>
    <s v="U.S. dollars"/>
    <s v="Billions"/>
    <x v="5"/>
    <n v="54.707999999999998"/>
  </r>
  <r>
    <n v="400"/>
    <x v="11"/>
    <x v="99"/>
    <x v="0"/>
    <s v="U.S. dollars"/>
    <s v="Billions"/>
    <x v="6"/>
    <n v="55.847000000000001"/>
  </r>
  <r>
    <n v="110"/>
    <x v="0"/>
    <x v="100"/>
    <x v="0"/>
    <s v="U.S. dollars"/>
    <s v="Billions"/>
    <x v="0"/>
    <n v="55.082000000000001"/>
  </r>
  <r>
    <n v="110"/>
    <x v="0"/>
    <x v="100"/>
    <x v="0"/>
    <s v="U.S. dollars"/>
    <s v="Billions"/>
    <x v="1"/>
    <n v="25.344000000000001"/>
  </r>
  <r>
    <n v="110"/>
    <x v="0"/>
    <x v="100"/>
    <x v="0"/>
    <s v="U.S. dollars"/>
    <s v="Billions"/>
    <x v="2"/>
    <n v="30.969000000000001"/>
  </r>
  <r>
    <n v="110"/>
    <x v="0"/>
    <x v="100"/>
    <x v="0"/>
    <s v="U.S. dollars"/>
    <s v="Billions"/>
    <x v="3"/>
    <n v="24.463999999999999"/>
  </r>
  <r>
    <n v="110"/>
    <x v="0"/>
    <x v="100"/>
    <x v="0"/>
    <s v="U.S. dollars"/>
    <s v="Billions"/>
    <x v="4"/>
    <n v="47.061"/>
  </r>
  <r>
    <n v="110"/>
    <x v="0"/>
    <x v="100"/>
    <x v="0"/>
    <s v="U.S. dollars"/>
    <s v="Billions"/>
    <x v="5"/>
    <n v="54.677"/>
  </r>
  <r>
    <n v="110"/>
    <x v="0"/>
    <x v="100"/>
    <x v="0"/>
    <s v="U.S. dollars"/>
    <s v="Billions"/>
    <x v="6"/>
    <n v="61.777000000000001"/>
  </r>
  <r>
    <n v="123"/>
    <x v="9"/>
    <x v="100"/>
    <x v="0"/>
    <s v="U.S. dollars"/>
    <s v="Billions"/>
    <x v="0"/>
    <n v="55.082000000000001"/>
  </r>
  <r>
    <n v="123"/>
    <x v="9"/>
    <x v="100"/>
    <x v="0"/>
    <s v="U.S. dollars"/>
    <s v="Billions"/>
    <x v="1"/>
    <n v="25.344000000000001"/>
  </r>
  <r>
    <n v="123"/>
    <x v="9"/>
    <x v="100"/>
    <x v="0"/>
    <s v="U.S. dollars"/>
    <s v="Billions"/>
    <x v="2"/>
    <n v="30.969000000000001"/>
  </r>
  <r>
    <n v="123"/>
    <x v="9"/>
    <x v="100"/>
    <x v="0"/>
    <s v="U.S. dollars"/>
    <s v="Billions"/>
    <x v="3"/>
    <n v="24.463999999999999"/>
  </r>
  <r>
    <n v="123"/>
    <x v="9"/>
    <x v="100"/>
    <x v="0"/>
    <s v="U.S. dollars"/>
    <s v="Billions"/>
    <x v="4"/>
    <n v="47.061"/>
  </r>
  <r>
    <n v="123"/>
    <x v="9"/>
    <x v="100"/>
    <x v="0"/>
    <s v="U.S. dollars"/>
    <s v="Billions"/>
    <x v="5"/>
    <n v="54.677"/>
  </r>
  <r>
    <n v="123"/>
    <x v="9"/>
    <x v="100"/>
    <x v="0"/>
    <s v="U.S. dollars"/>
    <s v="Billions"/>
    <x v="6"/>
    <n v="61.777000000000001"/>
  </r>
  <r>
    <n v="1"/>
    <x v="2"/>
    <x v="100"/>
    <x v="0"/>
    <s v="U.S. dollars"/>
    <s v="Billions"/>
    <x v="0"/>
    <n v="55.082000000000001"/>
  </r>
  <r>
    <n v="1"/>
    <x v="2"/>
    <x v="100"/>
    <x v="0"/>
    <s v="U.S. dollars"/>
    <s v="Billions"/>
    <x v="1"/>
    <n v="25.344000000000001"/>
  </r>
  <r>
    <n v="1"/>
    <x v="2"/>
    <x v="100"/>
    <x v="0"/>
    <s v="U.S. dollars"/>
    <s v="Billions"/>
    <x v="2"/>
    <n v="30.969000000000001"/>
  </r>
  <r>
    <n v="1"/>
    <x v="2"/>
    <x v="100"/>
    <x v="0"/>
    <s v="U.S. dollars"/>
    <s v="Billions"/>
    <x v="3"/>
    <n v="24.463999999999999"/>
  </r>
  <r>
    <n v="1"/>
    <x v="2"/>
    <x v="100"/>
    <x v="0"/>
    <s v="U.S. dollars"/>
    <s v="Billions"/>
    <x v="4"/>
    <n v="47.061"/>
  </r>
  <r>
    <n v="1"/>
    <x v="2"/>
    <x v="100"/>
    <x v="0"/>
    <s v="U.S. dollars"/>
    <s v="Billions"/>
    <x v="5"/>
    <n v="54.677"/>
  </r>
  <r>
    <n v="1"/>
    <x v="2"/>
    <x v="100"/>
    <x v="0"/>
    <s v="U.S. dollars"/>
    <s v="Billions"/>
    <x v="6"/>
    <n v="61.777000000000001"/>
  </r>
  <r>
    <n v="1"/>
    <x v="2"/>
    <x v="101"/>
    <x v="0"/>
    <s v="U.S. dollars"/>
    <s v="Billions"/>
    <x v="0"/>
    <n v="44.566000000000003"/>
  </r>
  <r>
    <n v="1"/>
    <x v="2"/>
    <x v="101"/>
    <x v="0"/>
    <s v="U.S. dollars"/>
    <s v="Billions"/>
    <x v="1"/>
    <n v="43.762"/>
  </r>
  <r>
    <n v="1"/>
    <x v="2"/>
    <x v="101"/>
    <x v="0"/>
    <s v="U.S. dollars"/>
    <s v="Billions"/>
    <x v="2"/>
    <n v="46.362000000000002"/>
  </r>
  <r>
    <n v="1"/>
    <x v="2"/>
    <x v="101"/>
    <x v="0"/>
    <s v="U.S. dollars"/>
    <s v="Billions"/>
    <x v="3"/>
    <n v="48.722000000000001"/>
  </r>
  <r>
    <n v="1"/>
    <x v="2"/>
    <x v="101"/>
    <x v="0"/>
    <s v="U.S. dollars"/>
    <s v="Billions"/>
    <x v="4"/>
    <n v="50.988999999999997"/>
  </r>
  <r>
    <n v="1"/>
    <x v="2"/>
    <x v="101"/>
    <x v="0"/>
    <s v="U.S. dollars"/>
    <s v="Billions"/>
    <x v="5"/>
    <n v="53.57"/>
  </r>
  <r>
    <n v="1"/>
    <x v="2"/>
    <x v="101"/>
    <x v="0"/>
    <s v="U.S. dollars"/>
    <s v="Billions"/>
    <x v="6"/>
    <n v="56.555999999999997"/>
  </r>
  <r>
    <n v="400"/>
    <x v="11"/>
    <x v="101"/>
    <x v="0"/>
    <s v="U.S. dollars"/>
    <s v="Billions"/>
    <x v="0"/>
    <n v="44.566000000000003"/>
  </r>
  <r>
    <n v="400"/>
    <x v="11"/>
    <x v="101"/>
    <x v="0"/>
    <s v="U.S. dollars"/>
    <s v="Billions"/>
    <x v="1"/>
    <n v="43.762"/>
  </r>
  <r>
    <n v="400"/>
    <x v="11"/>
    <x v="101"/>
    <x v="0"/>
    <s v="U.S. dollars"/>
    <s v="Billions"/>
    <x v="2"/>
    <n v="46.362000000000002"/>
  </r>
  <r>
    <n v="400"/>
    <x v="11"/>
    <x v="101"/>
    <x v="0"/>
    <s v="U.S. dollars"/>
    <s v="Billions"/>
    <x v="3"/>
    <n v="48.722000000000001"/>
  </r>
  <r>
    <n v="400"/>
    <x v="11"/>
    <x v="101"/>
    <x v="0"/>
    <s v="U.S. dollars"/>
    <s v="Billions"/>
    <x v="4"/>
    <n v="50.988999999999997"/>
  </r>
  <r>
    <n v="400"/>
    <x v="11"/>
    <x v="101"/>
    <x v="0"/>
    <s v="U.S. dollars"/>
    <s v="Billions"/>
    <x v="5"/>
    <n v="53.57"/>
  </r>
  <r>
    <n v="400"/>
    <x v="11"/>
    <x v="101"/>
    <x v="0"/>
    <s v="U.S. dollars"/>
    <s v="Billions"/>
    <x v="6"/>
    <n v="56.555999999999997"/>
  </r>
  <r>
    <n v="200"/>
    <x v="3"/>
    <x v="101"/>
    <x v="0"/>
    <s v="U.S. dollars"/>
    <s v="Billions"/>
    <x v="0"/>
    <n v="44.566000000000003"/>
  </r>
  <r>
    <n v="200"/>
    <x v="3"/>
    <x v="101"/>
    <x v="0"/>
    <s v="U.S. dollars"/>
    <s v="Billions"/>
    <x v="1"/>
    <n v="43.762"/>
  </r>
  <r>
    <n v="200"/>
    <x v="3"/>
    <x v="101"/>
    <x v="0"/>
    <s v="U.S. dollars"/>
    <s v="Billions"/>
    <x v="2"/>
    <n v="46.362000000000002"/>
  </r>
  <r>
    <n v="200"/>
    <x v="3"/>
    <x v="101"/>
    <x v="0"/>
    <s v="U.S. dollars"/>
    <s v="Billions"/>
    <x v="3"/>
    <n v="48.722000000000001"/>
  </r>
  <r>
    <n v="200"/>
    <x v="3"/>
    <x v="101"/>
    <x v="0"/>
    <s v="U.S. dollars"/>
    <s v="Billions"/>
    <x v="4"/>
    <n v="50.988999999999997"/>
  </r>
  <r>
    <n v="200"/>
    <x v="3"/>
    <x v="101"/>
    <x v="0"/>
    <s v="U.S. dollars"/>
    <s v="Billions"/>
    <x v="5"/>
    <n v="53.57"/>
  </r>
  <r>
    <n v="200"/>
    <x v="3"/>
    <x v="101"/>
    <x v="0"/>
    <s v="U.S. dollars"/>
    <s v="Billions"/>
    <x v="6"/>
    <n v="56.555999999999997"/>
  </r>
  <r>
    <n v="603"/>
    <x v="12"/>
    <x v="102"/>
    <x v="0"/>
    <s v="U.S. dollars"/>
    <s v="Billions"/>
    <x v="0"/>
    <n v="39.673000000000002"/>
  </r>
  <r>
    <n v="603"/>
    <x v="12"/>
    <x v="102"/>
    <x v="0"/>
    <s v="U.S. dollars"/>
    <s v="Billions"/>
    <x v="1"/>
    <n v="40.863"/>
  </r>
  <r>
    <n v="603"/>
    <x v="12"/>
    <x v="102"/>
    <x v="0"/>
    <s v="U.S. dollars"/>
    <s v="Billions"/>
    <x v="2"/>
    <n v="45.390999999999998"/>
  </r>
  <r>
    <n v="603"/>
    <x v="12"/>
    <x v="102"/>
    <x v="0"/>
    <s v="U.S. dollars"/>
    <s v="Billions"/>
    <x v="3"/>
    <n v="44.508000000000003"/>
  </r>
  <r>
    <n v="603"/>
    <x v="12"/>
    <x v="102"/>
    <x v="0"/>
    <s v="U.S. dollars"/>
    <s v="Billions"/>
    <x v="4"/>
    <n v="48.957999999999998"/>
  </r>
  <r>
    <n v="603"/>
    <x v="12"/>
    <x v="102"/>
    <x v="0"/>
    <s v="U.S. dollars"/>
    <s v="Billions"/>
    <x v="5"/>
    <n v="53.204999999999998"/>
  </r>
  <r>
    <n v="603"/>
    <x v="12"/>
    <x v="102"/>
    <x v="0"/>
    <s v="U.S. dollars"/>
    <s v="Billions"/>
    <x v="6"/>
    <n v="57.661000000000001"/>
  </r>
  <r>
    <n v="1"/>
    <x v="2"/>
    <x v="102"/>
    <x v="0"/>
    <s v="U.S. dollars"/>
    <s v="Billions"/>
    <x v="0"/>
    <n v="39.673000000000002"/>
  </r>
  <r>
    <n v="1"/>
    <x v="2"/>
    <x v="102"/>
    <x v="0"/>
    <s v="U.S. dollars"/>
    <s v="Billions"/>
    <x v="1"/>
    <n v="40.863"/>
  </r>
  <r>
    <n v="1"/>
    <x v="2"/>
    <x v="102"/>
    <x v="0"/>
    <s v="U.S. dollars"/>
    <s v="Billions"/>
    <x v="2"/>
    <n v="45.390999999999998"/>
  </r>
  <r>
    <n v="1"/>
    <x v="2"/>
    <x v="102"/>
    <x v="0"/>
    <s v="U.S. dollars"/>
    <s v="Billions"/>
    <x v="3"/>
    <n v="44.508000000000003"/>
  </r>
  <r>
    <n v="1"/>
    <x v="2"/>
    <x v="102"/>
    <x v="0"/>
    <s v="U.S. dollars"/>
    <s v="Billions"/>
    <x v="4"/>
    <n v="48.957999999999998"/>
  </r>
  <r>
    <n v="1"/>
    <x v="2"/>
    <x v="102"/>
    <x v="0"/>
    <s v="U.S. dollars"/>
    <s v="Billions"/>
    <x v="5"/>
    <n v="53.204999999999998"/>
  </r>
  <r>
    <n v="1"/>
    <x v="2"/>
    <x v="102"/>
    <x v="0"/>
    <s v="U.S. dollars"/>
    <s v="Billions"/>
    <x v="6"/>
    <n v="57.661000000000001"/>
  </r>
  <r>
    <n v="200"/>
    <x v="3"/>
    <x v="102"/>
    <x v="0"/>
    <s v="U.S. dollars"/>
    <s v="Billions"/>
    <x v="0"/>
    <n v="39.673000000000002"/>
  </r>
  <r>
    <n v="200"/>
    <x v="3"/>
    <x v="102"/>
    <x v="0"/>
    <s v="U.S. dollars"/>
    <s v="Billions"/>
    <x v="1"/>
    <n v="40.863"/>
  </r>
  <r>
    <n v="200"/>
    <x v="3"/>
    <x v="102"/>
    <x v="0"/>
    <s v="U.S. dollars"/>
    <s v="Billions"/>
    <x v="2"/>
    <n v="45.390999999999998"/>
  </r>
  <r>
    <n v="200"/>
    <x v="3"/>
    <x v="102"/>
    <x v="0"/>
    <s v="U.S. dollars"/>
    <s v="Billions"/>
    <x v="3"/>
    <n v="44.508000000000003"/>
  </r>
  <r>
    <n v="200"/>
    <x v="3"/>
    <x v="102"/>
    <x v="0"/>
    <s v="U.S. dollars"/>
    <s v="Billions"/>
    <x v="4"/>
    <n v="48.957999999999998"/>
  </r>
  <r>
    <n v="200"/>
    <x v="3"/>
    <x v="102"/>
    <x v="0"/>
    <s v="U.S. dollars"/>
    <s v="Billions"/>
    <x v="5"/>
    <n v="53.204999999999998"/>
  </r>
  <r>
    <n v="200"/>
    <x v="3"/>
    <x v="102"/>
    <x v="0"/>
    <s v="U.S. dollars"/>
    <s v="Billions"/>
    <x v="6"/>
    <n v="57.661000000000001"/>
  </r>
  <r>
    <n v="505"/>
    <x v="4"/>
    <x v="88"/>
    <x v="2"/>
    <s v="Percent of GDP"/>
    <s v="Units"/>
    <x v="0"/>
    <n v="42.353000000000002"/>
  </r>
  <r>
    <n v="505"/>
    <x v="4"/>
    <x v="88"/>
    <x v="2"/>
    <s v="Percent of GDP"/>
    <s v="Units"/>
    <x v="1"/>
    <n v="45.439"/>
  </r>
  <r>
    <n v="505"/>
    <x v="4"/>
    <x v="88"/>
    <x v="2"/>
    <s v="Percent of GDP"/>
    <s v="Units"/>
    <x v="2"/>
    <n v="57.622"/>
  </r>
  <r>
    <n v="505"/>
    <x v="4"/>
    <x v="88"/>
    <x v="2"/>
    <s v="Percent of GDP"/>
    <s v="Units"/>
    <x v="3"/>
    <n v="57.734999999999999"/>
  </r>
  <r>
    <n v="505"/>
    <x v="4"/>
    <x v="88"/>
    <x v="2"/>
    <s v="Percent of GDP"/>
    <s v="Units"/>
    <x v="4"/>
    <n v="49.216000000000001"/>
  </r>
  <r>
    <n v="505"/>
    <x v="4"/>
    <x v="88"/>
    <x v="2"/>
    <s v="Percent of GDP"/>
    <s v="Units"/>
    <x v="5"/>
    <n v="52.563000000000002"/>
  </r>
  <r>
    <n v="505"/>
    <x v="4"/>
    <x v="88"/>
    <x v="2"/>
    <s v="Percent of GDP"/>
    <s v="Units"/>
    <x v="6"/>
    <n v="48.749000000000002"/>
  </r>
  <r>
    <n v="200"/>
    <x v="3"/>
    <x v="88"/>
    <x v="2"/>
    <s v="Percent of GDP"/>
    <s v="Units"/>
    <x v="0"/>
    <n v="42.353000000000002"/>
  </r>
  <r>
    <n v="200"/>
    <x v="3"/>
    <x v="88"/>
    <x v="2"/>
    <s v="Percent of GDP"/>
    <s v="Units"/>
    <x v="1"/>
    <n v="45.439"/>
  </r>
  <r>
    <n v="200"/>
    <x v="3"/>
    <x v="88"/>
    <x v="2"/>
    <s v="Percent of GDP"/>
    <s v="Units"/>
    <x v="2"/>
    <n v="57.622"/>
  </r>
  <r>
    <n v="200"/>
    <x v="3"/>
    <x v="88"/>
    <x v="2"/>
    <s v="Percent of GDP"/>
    <s v="Units"/>
    <x v="3"/>
    <n v="57.734999999999999"/>
  </r>
  <r>
    <n v="200"/>
    <x v="3"/>
    <x v="88"/>
    <x v="2"/>
    <s v="Percent of GDP"/>
    <s v="Units"/>
    <x v="4"/>
    <n v="49.216000000000001"/>
  </r>
  <r>
    <n v="200"/>
    <x v="3"/>
    <x v="88"/>
    <x v="2"/>
    <s v="Percent of GDP"/>
    <s v="Units"/>
    <x v="5"/>
    <n v="52.563000000000002"/>
  </r>
  <r>
    <n v="200"/>
    <x v="3"/>
    <x v="88"/>
    <x v="2"/>
    <s v="Percent of GDP"/>
    <s v="Units"/>
    <x v="6"/>
    <n v="48.749000000000002"/>
  </r>
  <r>
    <n v="200"/>
    <x v="3"/>
    <x v="103"/>
    <x v="2"/>
    <s v="Percent of GDP"/>
    <s v="Units"/>
    <x v="0"/>
    <n v="47.784999999999997"/>
  </r>
  <r>
    <n v="200"/>
    <x v="3"/>
    <x v="103"/>
    <x v="2"/>
    <s v="Percent of GDP"/>
    <s v="Units"/>
    <x v="1"/>
    <n v="54.426000000000002"/>
  </r>
  <r>
    <n v="200"/>
    <x v="3"/>
    <x v="103"/>
    <x v="2"/>
    <s v="Percent of GDP"/>
    <s v="Units"/>
    <x v="2"/>
    <n v="48.792000000000002"/>
  </r>
  <r>
    <n v="200"/>
    <x v="3"/>
    <x v="103"/>
    <x v="2"/>
    <s v="Percent of GDP"/>
    <s v="Units"/>
    <x v="3"/>
    <n v="43.643000000000001"/>
  </r>
  <r>
    <n v="200"/>
    <x v="3"/>
    <x v="103"/>
    <x v="2"/>
    <s v="Percent of GDP"/>
    <s v="Units"/>
    <x v="4"/>
    <n v="52.484000000000002"/>
  </r>
  <r>
    <n v="200"/>
    <x v="3"/>
    <x v="103"/>
    <x v="2"/>
    <s v="Percent of GDP"/>
    <s v="Units"/>
    <x v="5"/>
    <n v="52.414000000000001"/>
  </r>
  <r>
    <n v="200"/>
    <x v="3"/>
    <x v="103"/>
    <x v="2"/>
    <s v="Percent of GDP"/>
    <s v="Units"/>
    <x v="6"/>
    <n v="47.122"/>
  </r>
  <r>
    <n v="603"/>
    <x v="12"/>
    <x v="103"/>
    <x v="2"/>
    <s v="Percent of GDP"/>
    <s v="Units"/>
    <x v="0"/>
    <n v="47.784999999999997"/>
  </r>
  <r>
    <n v="603"/>
    <x v="12"/>
    <x v="103"/>
    <x v="2"/>
    <s v="Percent of GDP"/>
    <s v="Units"/>
    <x v="1"/>
    <n v="54.426000000000002"/>
  </r>
  <r>
    <n v="603"/>
    <x v="12"/>
    <x v="103"/>
    <x v="2"/>
    <s v="Percent of GDP"/>
    <s v="Units"/>
    <x v="2"/>
    <n v="48.792000000000002"/>
  </r>
  <r>
    <n v="603"/>
    <x v="12"/>
    <x v="103"/>
    <x v="2"/>
    <s v="Percent of GDP"/>
    <s v="Units"/>
    <x v="3"/>
    <n v="43.643000000000001"/>
  </r>
  <r>
    <n v="603"/>
    <x v="12"/>
    <x v="103"/>
    <x v="2"/>
    <s v="Percent of GDP"/>
    <s v="Units"/>
    <x v="4"/>
    <n v="52.484000000000002"/>
  </r>
  <r>
    <n v="603"/>
    <x v="12"/>
    <x v="103"/>
    <x v="2"/>
    <s v="Percent of GDP"/>
    <s v="Units"/>
    <x v="5"/>
    <n v="52.414000000000001"/>
  </r>
  <r>
    <n v="603"/>
    <x v="12"/>
    <x v="103"/>
    <x v="2"/>
    <s v="Percent of GDP"/>
    <s v="Units"/>
    <x v="6"/>
    <n v="47.122"/>
  </r>
  <r>
    <n v="998"/>
    <x v="6"/>
    <x v="27"/>
    <x v="3"/>
    <s v="Percent of GDP"/>
    <s v="Units"/>
    <x v="0"/>
    <n v="48.673999999999999"/>
  </r>
  <r>
    <n v="998"/>
    <x v="6"/>
    <x v="27"/>
    <x v="3"/>
    <s v="Percent of GDP"/>
    <s v="Units"/>
    <x v="1"/>
    <n v="56.805999999999997"/>
  </r>
  <r>
    <n v="998"/>
    <x v="6"/>
    <x v="27"/>
    <x v="3"/>
    <s v="Percent of GDP"/>
    <s v="Units"/>
    <x v="2"/>
    <n v="56.18"/>
  </r>
  <r>
    <n v="998"/>
    <x v="6"/>
    <x v="27"/>
    <x v="3"/>
    <s v="Percent of GDP"/>
    <s v="Units"/>
    <x v="3"/>
    <n v="53.177"/>
  </r>
  <r>
    <n v="998"/>
    <x v="6"/>
    <x v="27"/>
    <x v="3"/>
    <s v="Percent of GDP"/>
    <s v="Units"/>
    <x v="4"/>
    <n v="51.573"/>
  </r>
  <r>
    <n v="998"/>
    <x v="6"/>
    <x v="27"/>
    <x v="3"/>
    <s v="Percent of GDP"/>
    <s v="Units"/>
    <x v="5"/>
    <n v="52.11"/>
  </r>
  <r>
    <n v="998"/>
    <x v="6"/>
    <x v="27"/>
    <x v="3"/>
    <s v="Percent of GDP"/>
    <s v="Units"/>
    <x v="6"/>
    <n v="51.609000000000002"/>
  </r>
  <r>
    <n v="110"/>
    <x v="0"/>
    <x v="27"/>
    <x v="3"/>
    <s v="Percent of GDP"/>
    <s v="Units"/>
    <x v="0"/>
    <n v="48.673999999999999"/>
  </r>
  <r>
    <n v="110"/>
    <x v="0"/>
    <x v="27"/>
    <x v="3"/>
    <s v="Percent of GDP"/>
    <s v="Units"/>
    <x v="1"/>
    <n v="56.805999999999997"/>
  </r>
  <r>
    <n v="110"/>
    <x v="0"/>
    <x v="27"/>
    <x v="3"/>
    <s v="Percent of GDP"/>
    <s v="Units"/>
    <x v="2"/>
    <n v="56.18"/>
  </r>
  <r>
    <n v="110"/>
    <x v="0"/>
    <x v="27"/>
    <x v="3"/>
    <s v="Percent of GDP"/>
    <s v="Units"/>
    <x v="3"/>
    <n v="53.177"/>
  </r>
  <r>
    <n v="110"/>
    <x v="0"/>
    <x v="27"/>
    <x v="3"/>
    <s v="Percent of GDP"/>
    <s v="Units"/>
    <x v="4"/>
    <n v="51.573"/>
  </r>
  <r>
    <n v="110"/>
    <x v="0"/>
    <x v="27"/>
    <x v="3"/>
    <s v="Percent of GDP"/>
    <s v="Units"/>
    <x v="5"/>
    <n v="52.11"/>
  </r>
  <r>
    <n v="110"/>
    <x v="0"/>
    <x v="27"/>
    <x v="3"/>
    <s v="Percent of GDP"/>
    <s v="Units"/>
    <x v="6"/>
    <n v="51.609000000000002"/>
  </r>
  <r>
    <n v="163"/>
    <x v="5"/>
    <x v="27"/>
    <x v="3"/>
    <s v="Percent of GDP"/>
    <s v="Units"/>
    <x v="0"/>
    <n v="48.673999999999999"/>
  </r>
  <r>
    <n v="163"/>
    <x v="5"/>
    <x v="27"/>
    <x v="3"/>
    <s v="Percent of GDP"/>
    <s v="Units"/>
    <x v="1"/>
    <n v="56.805999999999997"/>
  </r>
  <r>
    <n v="163"/>
    <x v="5"/>
    <x v="27"/>
    <x v="3"/>
    <s v="Percent of GDP"/>
    <s v="Units"/>
    <x v="2"/>
    <n v="56.18"/>
  </r>
  <r>
    <n v="163"/>
    <x v="5"/>
    <x v="27"/>
    <x v="3"/>
    <s v="Percent of GDP"/>
    <s v="Units"/>
    <x v="3"/>
    <n v="53.177"/>
  </r>
  <r>
    <n v="163"/>
    <x v="5"/>
    <x v="27"/>
    <x v="3"/>
    <s v="Percent of GDP"/>
    <s v="Units"/>
    <x v="4"/>
    <n v="51.573"/>
  </r>
  <r>
    <n v="163"/>
    <x v="5"/>
    <x v="27"/>
    <x v="3"/>
    <s v="Percent of GDP"/>
    <s v="Units"/>
    <x v="5"/>
    <n v="52.11"/>
  </r>
  <r>
    <n v="163"/>
    <x v="5"/>
    <x v="27"/>
    <x v="3"/>
    <s v="Percent of GDP"/>
    <s v="Units"/>
    <x v="6"/>
    <n v="51.609000000000002"/>
  </r>
  <r>
    <n v="110"/>
    <x v="0"/>
    <x v="6"/>
    <x v="2"/>
    <s v="Percent of GDP"/>
    <s v="Units"/>
    <x v="0"/>
    <n v="52.286999999999999"/>
  </r>
  <r>
    <n v="110"/>
    <x v="0"/>
    <x v="6"/>
    <x v="2"/>
    <s v="Percent of GDP"/>
    <s v="Units"/>
    <x v="1"/>
    <n v="52.363"/>
  </r>
  <r>
    <n v="110"/>
    <x v="0"/>
    <x v="6"/>
    <x v="2"/>
    <s v="Percent of GDP"/>
    <s v="Units"/>
    <x v="2"/>
    <n v="52.637"/>
  </r>
  <r>
    <n v="110"/>
    <x v="0"/>
    <x v="6"/>
    <x v="2"/>
    <s v="Percent of GDP"/>
    <s v="Units"/>
    <x v="3"/>
    <n v="53.524000000000001"/>
  </r>
  <r>
    <n v="110"/>
    <x v="0"/>
    <x v="6"/>
    <x v="2"/>
    <s v="Percent of GDP"/>
    <s v="Units"/>
    <x v="4"/>
    <n v="51.85"/>
  </r>
  <r>
    <n v="110"/>
    <x v="0"/>
    <x v="6"/>
    <x v="2"/>
    <s v="Percent of GDP"/>
    <s v="Units"/>
    <x v="5"/>
    <n v="52.036000000000001"/>
  </r>
  <r>
    <n v="110"/>
    <x v="0"/>
    <x v="6"/>
    <x v="2"/>
    <s v="Percent of GDP"/>
    <s v="Units"/>
    <x v="6"/>
    <n v="51.869"/>
  </r>
  <r>
    <n v="119"/>
    <x v="1"/>
    <x v="6"/>
    <x v="2"/>
    <s v="Percent of GDP"/>
    <s v="Units"/>
    <x v="0"/>
    <n v="52.286999999999999"/>
  </r>
  <r>
    <n v="119"/>
    <x v="1"/>
    <x v="6"/>
    <x v="2"/>
    <s v="Percent of GDP"/>
    <s v="Units"/>
    <x v="1"/>
    <n v="52.363"/>
  </r>
  <r>
    <n v="119"/>
    <x v="1"/>
    <x v="6"/>
    <x v="2"/>
    <s v="Percent of GDP"/>
    <s v="Units"/>
    <x v="2"/>
    <n v="52.637"/>
  </r>
  <r>
    <n v="119"/>
    <x v="1"/>
    <x v="6"/>
    <x v="2"/>
    <s v="Percent of GDP"/>
    <s v="Units"/>
    <x v="3"/>
    <n v="53.524000000000001"/>
  </r>
  <r>
    <n v="119"/>
    <x v="1"/>
    <x v="6"/>
    <x v="2"/>
    <s v="Percent of GDP"/>
    <s v="Units"/>
    <x v="4"/>
    <n v="51.85"/>
  </r>
  <r>
    <n v="119"/>
    <x v="1"/>
    <x v="6"/>
    <x v="2"/>
    <s v="Percent of GDP"/>
    <s v="Units"/>
    <x v="5"/>
    <n v="52.036000000000001"/>
  </r>
  <r>
    <n v="119"/>
    <x v="1"/>
    <x v="6"/>
    <x v="2"/>
    <s v="Percent of GDP"/>
    <s v="Units"/>
    <x v="6"/>
    <n v="51.869"/>
  </r>
  <r>
    <n v="998"/>
    <x v="6"/>
    <x v="6"/>
    <x v="2"/>
    <s v="Percent of GDP"/>
    <s v="Units"/>
    <x v="0"/>
    <n v="52.286999999999999"/>
  </r>
  <r>
    <n v="998"/>
    <x v="6"/>
    <x v="6"/>
    <x v="2"/>
    <s v="Percent of GDP"/>
    <s v="Units"/>
    <x v="1"/>
    <n v="52.363"/>
  </r>
  <r>
    <n v="998"/>
    <x v="6"/>
    <x v="6"/>
    <x v="2"/>
    <s v="Percent of GDP"/>
    <s v="Units"/>
    <x v="2"/>
    <n v="52.637"/>
  </r>
  <r>
    <n v="998"/>
    <x v="6"/>
    <x v="6"/>
    <x v="2"/>
    <s v="Percent of GDP"/>
    <s v="Units"/>
    <x v="3"/>
    <n v="53.524000000000001"/>
  </r>
  <r>
    <n v="998"/>
    <x v="6"/>
    <x v="6"/>
    <x v="2"/>
    <s v="Percent of GDP"/>
    <s v="Units"/>
    <x v="4"/>
    <n v="51.85"/>
  </r>
  <r>
    <n v="998"/>
    <x v="6"/>
    <x v="6"/>
    <x v="2"/>
    <s v="Percent of GDP"/>
    <s v="Units"/>
    <x v="5"/>
    <n v="52.036000000000001"/>
  </r>
  <r>
    <n v="998"/>
    <x v="6"/>
    <x v="6"/>
    <x v="2"/>
    <s v="Percent of GDP"/>
    <s v="Units"/>
    <x v="6"/>
    <n v="51.869"/>
  </r>
  <r>
    <n v="163"/>
    <x v="5"/>
    <x v="6"/>
    <x v="2"/>
    <s v="Percent of GDP"/>
    <s v="Units"/>
    <x v="0"/>
    <n v="52.286999999999999"/>
  </r>
  <r>
    <n v="163"/>
    <x v="5"/>
    <x v="6"/>
    <x v="2"/>
    <s v="Percent of GDP"/>
    <s v="Units"/>
    <x v="1"/>
    <n v="52.363"/>
  </r>
  <r>
    <n v="163"/>
    <x v="5"/>
    <x v="6"/>
    <x v="2"/>
    <s v="Percent of GDP"/>
    <s v="Units"/>
    <x v="2"/>
    <n v="52.637"/>
  </r>
  <r>
    <n v="163"/>
    <x v="5"/>
    <x v="6"/>
    <x v="2"/>
    <s v="Percent of GDP"/>
    <s v="Units"/>
    <x v="3"/>
    <n v="53.524000000000001"/>
  </r>
  <r>
    <n v="163"/>
    <x v="5"/>
    <x v="6"/>
    <x v="2"/>
    <s v="Percent of GDP"/>
    <s v="Units"/>
    <x v="4"/>
    <n v="51.85"/>
  </r>
  <r>
    <n v="163"/>
    <x v="5"/>
    <x v="6"/>
    <x v="2"/>
    <s v="Percent of GDP"/>
    <s v="Units"/>
    <x v="5"/>
    <n v="52.036000000000001"/>
  </r>
  <r>
    <n v="163"/>
    <x v="5"/>
    <x v="6"/>
    <x v="2"/>
    <s v="Percent of GDP"/>
    <s v="Units"/>
    <x v="6"/>
    <n v="51.869"/>
  </r>
  <r>
    <n v="163"/>
    <x v="5"/>
    <x v="45"/>
    <x v="2"/>
    <s v="Percent of GDP"/>
    <s v="Units"/>
    <x v="0"/>
    <n v="52.393000000000001"/>
  </r>
  <r>
    <n v="163"/>
    <x v="5"/>
    <x v="45"/>
    <x v="2"/>
    <s v="Percent of GDP"/>
    <s v="Units"/>
    <x v="1"/>
    <n v="51.616999999999997"/>
  </r>
  <r>
    <n v="163"/>
    <x v="5"/>
    <x v="45"/>
    <x v="2"/>
    <s v="Percent of GDP"/>
    <s v="Units"/>
    <x v="2"/>
    <n v="53"/>
  </r>
  <r>
    <n v="163"/>
    <x v="5"/>
    <x v="45"/>
    <x v="2"/>
    <s v="Percent of GDP"/>
    <s v="Units"/>
    <x v="3"/>
    <n v="52.73"/>
  </r>
  <r>
    <n v="163"/>
    <x v="5"/>
    <x v="45"/>
    <x v="2"/>
    <s v="Percent of GDP"/>
    <s v="Units"/>
    <x v="4"/>
    <n v="52.52"/>
  </r>
  <r>
    <n v="163"/>
    <x v="5"/>
    <x v="45"/>
    <x v="2"/>
    <s v="Percent of GDP"/>
    <s v="Units"/>
    <x v="5"/>
    <n v="51.732999999999997"/>
  </r>
  <r>
    <n v="163"/>
    <x v="5"/>
    <x v="45"/>
    <x v="2"/>
    <s v="Percent of GDP"/>
    <s v="Units"/>
    <x v="6"/>
    <n v="51.609000000000002"/>
  </r>
  <r>
    <n v="110"/>
    <x v="0"/>
    <x v="45"/>
    <x v="2"/>
    <s v="Percent of GDP"/>
    <s v="Units"/>
    <x v="0"/>
    <n v="52.393000000000001"/>
  </r>
  <r>
    <n v="110"/>
    <x v="0"/>
    <x v="45"/>
    <x v="2"/>
    <s v="Percent of GDP"/>
    <s v="Units"/>
    <x v="1"/>
    <n v="51.616999999999997"/>
  </r>
  <r>
    <n v="110"/>
    <x v="0"/>
    <x v="45"/>
    <x v="2"/>
    <s v="Percent of GDP"/>
    <s v="Units"/>
    <x v="2"/>
    <n v="53"/>
  </r>
  <r>
    <n v="110"/>
    <x v="0"/>
    <x v="45"/>
    <x v="2"/>
    <s v="Percent of GDP"/>
    <s v="Units"/>
    <x v="3"/>
    <n v="52.73"/>
  </r>
  <r>
    <n v="110"/>
    <x v="0"/>
    <x v="45"/>
    <x v="2"/>
    <s v="Percent of GDP"/>
    <s v="Units"/>
    <x v="4"/>
    <n v="52.52"/>
  </r>
  <r>
    <n v="110"/>
    <x v="0"/>
    <x v="45"/>
    <x v="2"/>
    <s v="Percent of GDP"/>
    <s v="Units"/>
    <x v="5"/>
    <n v="51.732999999999997"/>
  </r>
  <r>
    <n v="110"/>
    <x v="0"/>
    <x v="45"/>
    <x v="2"/>
    <s v="Percent of GDP"/>
    <s v="Units"/>
    <x v="6"/>
    <n v="51.609000000000002"/>
  </r>
  <r>
    <n v="998"/>
    <x v="6"/>
    <x v="45"/>
    <x v="2"/>
    <s v="Percent of GDP"/>
    <s v="Units"/>
    <x v="0"/>
    <n v="52.393000000000001"/>
  </r>
  <r>
    <n v="998"/>
    <x v="6"/>
    <x v="45"/>
    <x v="2"/>
    <s v="Percent of GDP"/>
    <s v="Units"/>
    <x v="1"/>
    <n v="51.616999999999997"/>
  </r>
  <r>
    <n v="998"/>
    <x v="6"/>
    <x v="45"/>
    <x v="2"/>
    <s v="Percent of GDP"/>
    <s v="Units"/>
    <x v="2"/>
    <n v="53"/>
  </r>
  <r>
    <n v="998"/>
    <x v="6"/>
    <x v="45"/>
    <x v="2"/>
    <s v="Percent of GDP"/>
    <s v="Units"/>
    <x v="3"/>
    <n v="52.73"/>
  </r>
  <r>
    <n v="998"/>
    <x v="6"/>
    <x v="45"/>
    <x v="2"/>
    <s v="Percent of GDP"/>
    <s v="Units"/>
    <x v="4"/>
    <n v="52.52"/>
  </r>
  <r>
    <n v="998"/>
    <x v="6"/>
    <x v="45"/>
    <x v="2"/>
    <s v="Percent of GDP"/>
    <s v="Units"/>
    <x v="5"/>
    <n v="51.732999999999997"/>
  </r>
  <r>
    <n v="998"/>
    <x v="6"/>
    <x v="45"/>
    <x v="2"/>
    <s v="Percent of GDP"/>
    <s v="Units"/>
    <x v="6"/>
    <n v="51.609000000000002"/>
  </r>
  <r>
    <n v="1"/>
    <x v="2"/>
    <x v="58"/>
    <x v="5"/>
    <s v="Percent of GDP"/>
    <s v="Units"/>
    <x v="0"/>
    <n v="37.445"/>
  </r>
  <r>
    <n v="1"/>
    <x v="2"/>
    <x v="58"/>
    <x v="5"/>
    <s v="Percent of GDP"/>
    <s v="Units"/>
    <x v="1"/>
    <n v="34.396999999999998"/>
  </r>
  <r>
    <n v="1"/>
    <x v="2"/>
    <x v="58"/>
    <x v="5"/>
    <s v="Percent of GDP"/>
    <s v="Units"/>
    <x v="2"/>
    <n v="55.207000000000001"/>
  </r>
  <r>
    <n v="1"/>
    <x v="2"/>
    <x v="58"/>
    <x v="5"/>
    <s v="Percent of GDP"/>
    <s v="Units"/>
    <x v="3"/>
    <n v="53.896000000000001"/>
  </r>
  <r>
    <n v="1"/>
    <x v="2"/>
    <x v="58"/>
    <x v="5"/>
    <s v="Percent of GDP"/>
    <s v="Units"/>
    <x v="4"/>
    <n v="53.183"/>
  </r>
  <r>
    <n v="1"/>
    <x v="2"/>
    <x v="58"/>
    <x v="5"/>
    <s v="Percent of GDP"/>
    <s v="Units"/>
    <x v="5"/>
    <n v="51.545999999999999"/>
  </r>
  <r>
    <n v="1"/>
    <x v="2"/>
    <x v="58"/>
    <x v="5"/>
    <s v="Percent of GDP"/>
    <s v="Units"/>
    <x v="6"/>
    <n v="49.109000000000002"/>
  </r>
  <r>
    <n v="400"/>
    <x v="11"/>
    <x v="58"/>
    <x v="5"/>
    <s v="Percent of GDP"/>
    <s v="Units"/>
    <x v="0"/>
    <n v="37.445"/>
  </r>
  <r>
    <n v="400"/>
    <x v="11"/>
    <x v="58"/>
    <x v="5"/>
    <s v="Percent of GDP"/>
    <s v="Units"/>
    <x v="1"/>
    <n v="34.396999999999998"/>
  </r>
  <r>
    <n v="400"/>
    <x v="11"/>
    <x v="58"/>
    <x v="5"/>
    <s v="Percent of GDP"/>
    <s v="Units"/>
    <x v="2"/>
    <n v="55.207000000000001"/>
  </r>
  <r>
    <n v="400"/>
    <x v="11"/>
    <x v="58"/>
    <x v="5"/>
    <s v="Percent of GDP"/>
    <s v="Units"/>
    <x v="3"/>
    <n v="53.896000000000001"/>
  </r>
  <r>
    <n v="400"/>
    <x v="11"/>
    <x v="58"/>
    <x v="5"/>
    <s v="Percent of GDP"/>
    <s v="Units"/>
    <x v="4"/>
    <n v="53.183"/>
  </r>
  <r>
    <n v="400"/>
    <x v="11"/>
    <x v="58"/>
    <x v="5"/>
    <s v="Percent of GDP"/>
    <s v="Units"/>
    <x v="5"/>
    <n v="51.545999999999999"/>
  </r>
  <r>
    <n v="400"/>
    <x v="11"/>
    <x v="58"/>
    <x v="5"/>
    <s v="Percent of GDP"/>
    <s v="Units"/>
    <x v="6"/>
    <n v="49.109000000000002"/>
  </r>
  <r>
    <n v="200"/>
    <x v="3"/>
    <x v="58"/>
    <x v="5"/>
    <s v="Percent of GDP"/>
    <s v="Units"/>
    <x v="0"/>
    <n v="37.445"/>
  </r>
  <r>
    <n v="200"/>
    <x v="3"/>
    <x v="58"/>
    <x v="5"/>
    <s v="Percent of GDP"/>
    <s v="Units"/>
    <x v="1"/>
    <n v="34.396999999999998"/>
  </r>
  <r>
    <n v="200"/>
    <x v="3"/>
    <x v="58"/>
    <x v="5"/>
    <s v="Percent of GDP"/>
    <s v="Units"/>
    <x v="2"/>
    <n v="55.207000000000001"/>
  </r>
  <r>
    <n v="200"/>
    <x v="3"/>
    <x v="58"/>
    <x v="5"/>
    <s v="Percent of GDP"/>
    <s v="Units"/>
    <x v="3"/>
    <n v="53.896000000000001"/>
  </r>
  <r>
    <n v="200"/>
    <x v="3"/>
    <x v="58"/>
    <x v="5"/>
    <s v="Percent of GDP"/>
    <s v="Units"/>
    <x v="4"/>
    <n v="53.183"/>
  </r>
  <r>
    <n v="200"/>
    <x v="3"/>
    <x v="58"/>
    <x v="5"/>
    <s v="Percent of GDP"/>
    <s v="Units"/>
    <x v="5"/>
    <n v="51.545999999999999"/>
  </r>
  <r>
    <n v="200"/>
    <x v="3"/>
    <x v="58"/>
    <x v="5"/>
    <s v="Percent of GDP"/>
    <s v="Units"/>
    <x v="6"/>
    <n v="49.109000000000002"/>
  </r>
  <r>
    <n v="110"/>
    <x v="0"/>
    <x v="8"/>
    <x v="3"/>
    <s v="Percent of GDP"/>
    <s v="Units"/>
    <x v="0"/>
    <n v="48.472000000000001"/>
  </r>
  <r>
    <n v="110"/>
    <x v="0"/>
    <x v="8"/>
    <x v="3"/>
    <s v="Percent of GDP"/>
    <s v="Units"/>
    <x v="1"/>
    <n v="56.780999999999999"/>
  </r>
  <r>
    <n v="110"/>
    <x v="0"/>
    <x v="8"/>
    <x v="3"/>
    <s v="Percent of GDP"/>
    <s v="Units"/>
    <x v="2"/>
    <n v="56.277000000000001"/>
  </r>
  <r>
    <n v="110"/>
    <x v="0"/>
    <x v="8"/>
    <x v="3"/>
    <s v="Percent of GDP"/>
    <s v="Units"/>
    <x v="3"/>
    <n v="56.259"/>
  </r>
  <r>
    <n v="110"/>
    <x v="0"/>
    <x v="8"/>
    <x v="3"/>
    <s v="Percent of GDP"/>
    <s v="Units"/>
    <x v="4"/>
    <n v="54.957000000000001"/>
  </r>
  <r>
    <n v="110"/>
    <x v="0"/>
    <x v="8"/>
    <x v="3"/>
    <s v="Percent of GDP"/>
    <s v="Units"/>
    <x v="5"/>
    <n v="50.927999999999997"/>
  </r>
  <r>
    <n v="110"/>
    <x v="0"/>
    <x v="8"/>
    <x v="3"/>
    <s v="Percent of GDP"/>
    <s v="Units"/>
    <x v="6"/>
    <n v="50.317"/>
  </r>
  <r>
    <n v="119"/>
    <x v="1"/>
    <x v="8"/>
    <x v="3"/>
    <s v="Percent of GDP"/>
    <s v="Units"/>
    <x v="0"/>
    <n v="48.472000000000001"/>
  </r>
  <r>
    <n v="119"/>
    <x v="1"/>
    <x v="8"/>
    <x v="3"/>
    <s v="Percent of GDP"/>
    <s v="Units"/>
    <x v="1"/>
    <n v="56.780999999999999"/>
  </r>
  <r>
    <n v="119"/>
    <x v="1"/>
    <x v="8"/>
    <x v="3"/>
    <s v="Percent of GDP"/>
    <s v="Units"/>
    <x v="2"/>
    <n v="56.277000000000001"/>
  </r>
  <r>
    <n v="119"/>
    <x v="1"/>
    <x v="8"/>
    <x v="3"/>
    <s v="Percent of GDP"/>
    <s v="Units"/>
    <x v="3"/>
    <n v="56.259"/>
  </r>
  <r>
    <n v="119"/>
    <x v="1"/>
    <x v="8"/>
    <x v="3"/>
    <s v="Percent of GDP"/>
    <s v="Units"/>
    <x v="4"/>
    <n v="54.957000000000001"/>
  </r>
  <r>
    <n v="119"/>
    <x v="1"/>
    <x v="8"/>
    <x v="3"/>
    <s v="Percent of GDP"/>
    <s v="Units"/>
    <x v="5"/>
    <n v="50.927999999999997"/>
  </r>
  <r>
    <n v="119"/>
    <x v="1"/>
    <x v="8"/>
    <x v="3"/>
    <s v="Percent of GDP"/>
    <s v="Units"/>
    <x v="6"/>
    <n v="50.317"/>
  </r>
  <r>
    <n v="163"/>
    <x v="5"/>
    <x v="8"/>
    <x v="3"/>
    <s v="Percent of GDP"/>
    <s v="Units"/>
    <x v="0"/>
    <n v="48.472000000000001"/>
  </r>
  <r>
    <n v="163"/>
    <x v="5"/>
    <x v="8"/>
    <x v="3"/>
    <s v="Percent of GDP"/>
    <s v="Units"/>
    <x v="1"/>
    <n v="56.780999999999999"/>
  </r>
  <r>
    <n v="163"/>
    <x v="5"/>
    <x v="8"/>
    <x v="3"/>
    <s v="Percent of GDP"/>
    <s v="Units"/>
    <x v="2"/>
    <n v="56.277000000000001"/>
  </r>
  <r>
    <n v="163"/>
    <x v="5"/>
    <x v="8"/>
    <x v="3"/>
    <s v="Percent of GDP"/>
    <s v="Units"/>
    <x v="3"/>
    <n v="56.259"/>
  </r>
  <r>
    <n v="163"/>
    <x v="5"/>
    <x v="8"/>
    <x v="3"/>
    <s v="Percent of GDP"/>
    <s v="Units"/>
    <x v="4"/>
    <n v="54.957000000000001"/>
  </r>
  <r>
    <n v="163"/>
    <x v="5"/>
    <x v="8"/>
    <x v="3"/>
    <s v="Percent of GDP"/>
    <s v="Units"/>
    <x v="5"/>
    <n v="50.927999999999997"/>
  </r>
  <r>
    <n v="163"/>
    <x v="5"/>
    <x v="8"/>
    <x v="3"/>
    <s v="Percent of GDP"/>
    <s v="Units"/>
    <x v="6"/>
    <n v="50.317"/>
  </r>
  <r>
    <n v="998"/>
    <x v="6"/>
    <x v="8"/>
    <x v="3"/>
    <s v="Percent of GDP"/>
    <s v="Units"/>
    <x v="0"/>
    <n v="48.472000000000001"/>
  </r>
  <r>
    <n v="998"/>
    <x v="6"/>
    <x v="8"/>
    <x v="3"/>
    <s v="Percent of GDP"/>
    <s v="Units"/>
    <x v="1"/>
    <n v="56.780999999999999"/>
  </r>
  <r>
    <n v="998"/>
    <x v="6"/>
    <x v="8"/>
    <x v="3"/>
    <s v="Percent of GDP"/>
    <s v="Units"/>
    <x v="2"/>
    <n v="56.277000000000001"/>
  </r>
  <r>
    <n v="998"/>
    <x v="6"/>
    <x v="8"/>
    <x v="3"/>
    <s v="Percent of GDP"/>
    <s v="Units"/>
    <x v="3"/>
    <n v="56.259"/>
  </r>
  <r>
    <n v="998"/>
    <x v="6"/>
    <x v="8"/>
    <x v="3"/>
    <s v="Percent of GDP"/>
    <s v="Units"/>
    <x v="4"/>
    <n v="54.957000000000001"/>
  </r>
  <r>
    <n v="998"/>
    <x v="6"/>
    <x v="8"/>
    <x v="3"/>
    <s v="Percent of GDP"/>
    <s v="Units"/>
    <x v="5"/>
    <n v="50.927999999999997"/>
  </r>
  <r>
    <n v="998"/>
    <x v="6"/>
    <x v="8"/>
    <x v="3"/>
    <s v="Percent of GDP"/>
    <s v="Units"/>
    <x v="6"/>
    <n v="50.317"/>
  </r>
  <r>
    <n v="163"/>
    <x v="5"/>
    <x v="21"/>
    <x v="2"/>
    <s v="Percent of GDP"/>
    <s v="Units"/>
    <x v="0"/>
    <n v="49.917999999999999"/>
  </r>
  <r>
    <n v="163"/>
    <x v="5"/>
    <x v="21"/>
    <x v="2"/>
    <s v="Percent of GDP"/>
    <s v="Units"/>
    <x v="1"/>
    <n v="49.887"/>
  </r>
  <r>
    <n v="163"/>
    <x v="5"/>
    <x v="21"/>
    <x v="2"/>
    <s v="Percent of GDP"/>
    <s v="Units"/>
    <x v="2"/>
    <n v="49.473999999999997"/>
  </r>
  <r>
    <n v="163"/>
    <x v="5"/>
    <x v="21"/>
    <x v="2"/>
    <s v="Percent of GDP"/>
    <s v="Units"/>
    <x v="3"/>
    <n v="49.616999999999997"/>
  </r>
  <r>
    <n v="163"/>
    <x v="5"/>
    <x v="21"/>
    <x v="2"/>
    <s v="Percent of GDP"/>
    <s v="Units"/>
    <x v="4"/>
    <n v="50.13"/>
  </r>
  <r>
    <n v="163"/>
    <x v="5"/>
    <x v="21"/>
    <x v="2"/>
    <s v="Percent of GDP"/>
    <s v="Units"/>
    <x v="5"/>
    <n v="50.673000000000002"/>
  </r>
  <r>
    <n v="163"/>
    <x v="5"/>
    <x v="21"/>
    <x v="2"/>
    <s v="Percent of GDP"/>
    <s v="Units"/>
    <x v="6"/>
    <n v="50.643000000000001"/>
  </r>
  <r>
    <n v="998"/>
    <x v="6"/>
    <x v="21"/>
    <x v="2"/>
    <s v="Percent of GDP"/>
    <s v="Units"/>
    <x v="0"/>
    <n v="49.917999999999999"/>
  </r>
  <r>
    <n v="998"/>
    <x v="6"/>
    <x v="21"/>
    <x v="2"/>
    <s v="Percent of GDP"/>
    <s v="Units"/>
    <x v="1"/>
    <n v="49.887"/>
  </r>
  <r>
    <n v="998"/>
    <x v="6"/>
    <x v="21"/>
    <x v="2"/>
    <s v="Percent of GDP"/>
    <s v="Units"/>
    <x v="2"/>
    <n v="49.473999999999997"/>
  </r>
  <r>
    <n v="998"/>
    <x v="6"/>
    <x v="21"/>
    <x v="2"/>
    <s v="Percent of GDP"/>
    <s v="Units"/>
    <x v="3"/>
    <n v="49.616999999999997"/>
  </r>
  <r>
    <n v="998"/>
    <x v="6"/>
    <x v="21"/>
    <x v="2"/>
    <s v="Percent of GDP"/>
    <s v="Units"/>
    <x v="4"/>
    <n v="50.13"/>
  </r>
  <r>
    <n v="998"/>
    <x v="6"/>
    <x v="21"/>
    <x v="2"/>
    <s v="Percent of GDP"/>
    <s v="Units"/>
    <x v="5"/>
    <n v="50.673000000000002"/>
  </r>
  <r>
    <n v="998"/>
    <x v="6"/>
    <x v="21"/>
    <x v="2"/>
    <s v="Percent of GDP"/>
    <s v="Units"/>
    <x v="6"/>
    <n v="50.643000000000001"/>
  </r>
  <r>
    <n v="110"/>
    <x v="0"/>
    <x v="21"/>
    <x v="2"/>
    <s v="Percent of GDP"/>
    <s v="Units"/>
    <x v="0"/>
    <n v="49.917999999999999"/>
  </r>
  <r>
    <n v="110"/>
    <x v="0"/>
    <x v="21"/>
    <x v="2"/>
    <s v="Percent of GDP"/>
    <s v="Units"/>
    <x v="1"/>
    <n v="49.887"/>
  </r>
  <r>
    <n v="110"/>
    <x v="0"/>
    <x v="21"/>
    <x v="2"/>
    <s v="Percent of GDP"/>
    <s v="Units"/>
    <x v="2"/>
    <n v="49.473999999999997"/>
  </r>
  <r>
    <n v="110"/>
    <x v="0"/>
    <x v="21"/>
    <x v="2"/>
    <s v="Percent of GDP"/>
    <s v="Units"/>
    <x v="3"/>
    <n v="49.616999999999997"/>
  </r>
  <r>
    <n v="110"/>
    <x v="0"/>
    <x v="21"/>
    <x v="2"/>
    <s v="Percent of GDP"/>
    <s v="Units"/>
    <x v="4"/>
    <n v="50.13"/>
  </r>
  <r>
    <n v="110"/>
    <x v="0"/>
    <x v="21"/>
    <x v="2"/>
    <s v="Percent of GDP"/>
    <s v="Units"/>
    <x v="5"/>
    <n v="50.673000000000002"/>
  </r>
  <r>
    <n v="110"/>
    <x v="0"/>
    <x v="21"/>
    <x v="2"/>
    <s v="Percent of GDP"/>
    <s v="Units"/>
    <x v="6"/>
    <n v="50.643000000000001"/>
  </r>
  <r>
    <n v="505"/>
    <x v="4"/>
    <x v="88"/>
    <x v="3"/>
    <s v="Percent of GDP"/>
    <s v="Units"/>
    <x v="0"/>
    <n v="42.713000000000001"/>
  </r>
  <r>
    <n v="505"/>
    <x v="4"/>
    <x v="88"/>
    <x v="3"/>
    <s v="Percent of GDP"/>
    <s v="Units"/>
    <x v="1"/>
    <n v="58.530999999999999"/>
  </r>
  <r>
    <n v="505"/>
    <x v="4"/>
    <x v="88"/>
    <x v="3"/>
    <s v="Percent of GDP"/>
    <s v="Units"/>
    <x v="2"/>
    <n v="65.253"/>
  </r>
  <r>
    <n v="505"/>
    <x v="4"/>
    <x v="88"/>
    <x v="3"/>
    <s v="Percent of GDP"/>
    <s v="Units"/>
    <x v="3"/>
    <n v="60.970999999999997"/>
  </r>
  <r>
    <n v="505"/>
    <x v="4"/>
    <x v="88"/>
    <x v="3"/>
    <s v="Percent of GDP"/>
    <s v="Units"/>
    <x v="4"/>
    <n v="48.865000000000002"/>
  </r>
  <r>
    <n v="505"/>
    <x v="4"/>
    <x v="88"/>
    <x v="3"/>
    <s v="Percent of GDP"/>
    <s v="Units"/>
    <x v="5"/>
    <n v="50.640999999999998"/>
  </r>
  <r>
    <n v="505"/>
    <x v="4"/>
    <x v="88"/>
    <x v="3"/>
    <s v="Percent of GDP"/>
    <s v="Units"/>
    <x v="6"/>
    <n v="48.371000000000002"/>
  </r>
  <r>
    <n v="200"/>
    <x v="3"/>
    <x v="88"/>
    <x v="3"/>
    <s v="Percent of GDP"/>
    <s v="Units"/>
    <x v="0"/>
    <n v="42.713000000000001"/>
  </r>
  <r>
    <n v="200"/>
    <x v="3"/>
    <x v="88"/>
    <x v="3"/>
    <s v="Percent of GDP"/>
    <s v="Units"/>
    <x v="1"/>
    <n v="58.530999999999999"/>
  </r>
  <r>
    <n v="200"/>
    <x v="3"/>
    <x v="88"/>
    <x v="3"/>
    <s v="Percent of GDP"/>
    <s v="Units"/>
    <x v="2"/>
    <n v="65.253"/>
  </r>
  <r>
    <n v="200"/>
    <x v="3"/>
    <x v="88"/>
    <x v="3"/>
    <s v="Percent of GDP"/>
    <s v="Units"/>
    <x v="3"/>
    <n v="60.970999999999997"/>
  </r>
  <r>
    <n v="200"/>
    <x v="3"/>
    <x v="88"/>
    <x v="3"/>
    <s v="Percent of GDP"/>
    <s v="Units"/>
    <x v="4"/>
    <n v="48.865000000000002"/>
  </r>
  <r>
    <n v="200"/>
    <x v="3"/>
    <x v="88"/>
    <x v="3"/>
    <s v="Percent of GDP"/>
    <s v="Units"/>
    <x v="5"/>
    <n v="50.640999999999998"/>
  </r>
  <r>
    <n v="200"/>
    <x v="3"/>
    <x v="88"/>
    <x v="3"/>
    <s v="Percent of GDP"/>
    <s v="Units"/>
    <x v="6"/>
    <n v="48.371000000000002"/>
  </r>
  <r>
    <n v="400"/>
    <x v="11"/>
    <x v="58"/>
    <x v="3"/>
    <s v="Percent of GDP"/>
    <s v="Units"/>
    <x v="0"/>
    <n v="50.624000000000002"/>
  </r>
  <r>
    <n v="400"/>
    <x v="11"/>
    <x v="58"/>
    <x v="3"/>
    <s v="Percent of GDP"/>
    <s v="Units"/>
    <x v="1"/>
    <n v="64.557000000000002"/>
  </r>
  <r>
    <n v="400"/>
    <x v="11"/>
    <x v="58"/>
    <x v="3"/>
    <s v="Percent of GDP"/>
    <s v="Units"/>
    <x v="2"/>
    <n v="50.335000000000001"/>
  </r>
  <r>
    <n v="400"/>
    <x v="11"/>
    <x v="58"/>
    <x v="3"/>
    <s v="Percent of GDP"/>
    <s v="Units"/>
    <x v="3"/>
    <n v="39.613999999999997"/>
  </r>
  <r>
    <n v="400"/>
    <x v="11"/>
    <x v="58"/>
    <x v="3"/>
    <s v="Percent of GDP"/>
    <s v="Units"/>
    <x v="4"/>
    <n v="50.795000000000002"/>
  </r>
  <r>
    <n v="400"/>
    <x v="11"/>
    <x v="58"/>
    <x v="3"/>
    <s v="Percent of GDP"/>
    <s v="Units"/>
    <x v="5"/>
    <n v="50.384999999999998"/>
  </r>
  <r>
    <n v="400"/>
    <x v="11"/>
    <x v="58"/>
    <x v="3"/>
    <s v="Percent of GDP"/>
    <s v="Units"/>
    <x v="6"/>
    <n v="48.789000000000001"/>
  </r>
  <r>
    <n v="200"/>
    <x v="3"/>
    <x v="58"/>
    <x v="3"/>
    <s v="Percent of GDP"/>
    <s v="Units"/>
    <x v="0"/>
    <n v="50.624000000000002"/>
  </r>
  <r>
    <n v="200"/>
    <x v="3"/>
    <x v="58"/>
    <x v="3"/>
    <s v="Percent of GDP"/>
    <s v="Units"/>
    <x v="1"/>
    <n v="64.557000000000002"/>
  </r>
  <r>
    <n v="200"/>
    <x v="3"/>
    <x v="58"/>
    <x v="3"/>
    <s v="Percent of GDP"/>
    <s v="Units"/>
    <x v="2"/>
    <n v="50.335000000000001"/>
  </r>
  <r>
    <n v="200"/>
    <x v="3"/>
    <x v="58"/>
    <x v="3"/>
    <s v="Percent of GDP"/>
    <s v="Units"/>
    <x v="3"/>
    <n v="39.613999999999997"/>
  </r>
  <r>
    <n v="200"/>
    <x v="3"/>
    <x v="58"/>
    <x v="3"/>
    <s v="Percent of GDP"/>
    <s v="Units"/>
    <x v="4"/>
    <n v="50.795000000000002"/>
  </r>
  <r>
    <n v="200"/>
    <x v="3"/>
    <x v="58"/>
    <x v="3"/>
    <s v="Percent of GDP"/>
    <s v="Units"/>
    <x v="5"/>
    <n v="50.384999999999998"/>
  </r>
  <r>
    <n v="200"/>
    <x v="3"/>
    <x v="58"/>
    <x v="3"/>
    <s v="Percent of GDP"/>
    <s v="Units"/>
    <x v="6"/>
    <n v="48.789000000000001"/>
  </r>
  <r>
    <n v="603"/>
    <x v="12"/>
    <x v="104"/>
    <x v="6"/>
    <s v="Percent change"/>
    <s v="Units"/>
    <x v="0"/>
    <n v="-8.5679999999999996"/>
  </r>
  <r>
    <n v="603"/>
    <x v="12"/>
    <x v="104"/>
    <x v="6"/>
    <s v="Percent change"/>
    <s v="Units"/>
    <x v="1"/>
    <n v="-4.7949999999999999"/>
  </r>
  <r>
    <n v="603"/>
    <x v="12"/>
    <x v="104"/>
    <x v="6"/>
    <s v="Percent change"/>
    <s v="Units"/>
    <x v="2"/>
    <n v="-1.671"/>
  </r>
  <r>
    <n v="603"/>
    <x v="12"/>
    <x v="104"/>
    <x v="6"/>
    <s v="Percent change"/>
    <s v="Units"/>
    <x v="3"/>
    <n v="33.912999999999997"/>
  </r>
  <r>
    <n v="603"/>
    <x v="12"/>
    <x v="104"/>
    <x v="6"/>
    <s v="Percent change"/>
    <s v="Units"/>
    <x v="4"/>
    <n v="-25.023"/>
  </r>
  <r>
    <n v="603"/>
    <x v="12"/>
    <x v="104"/>
    <x v="6"/>
    <s v="Percent change"/>
    <s v="Units"/>
    <x v="5"/>
    <n v="50.38"/>
  </r>
  <r>
    <n v="603"/>
    <x v="12"/>
    <x v="104"/>
    <x v="6"/>
    <s v="Percent change"/>
    <s v="Units"/>
    <x v="6"/>
    <n v="12.307"/>
  </r>
  <r>
    <n v="1"/>
    <x v="2"/>
    <x v="104"/>
    <x v="6"/>
    <s v="Percent change"/>
    <s v="Units"/>
    <x v="0"/>
    <n v="-8.5679999999999996"/>
  </r>
  <r>
    <n v="1"/>
    <x v="2"/>
    <x v="104"/>
    <x v="6"/>
    <s v="Percent change"/>
    <s v="Units"/>
    <x v="1"/>
    <n v="-4.7949999999999999"/>
  </r>
  <r>
    <n v="1"/>
    <x v="2"/>
    <x v="104"/>
    <x v="6"/>
    <s v="Percent change"/>
    <s v="Units"/>
    <x v="2"/>
    <n v="-1.671"/>
  </r>
  <r>
    <n v="1"/>
    <x v="2"/>
    <x v="104"/>
    <x v="6"/>
    <s v="Percent change"/>
    <s v="Units"/>
    <x v="3"/>
    <n v="33.912999999999997"/>
  </r>
  <r>
    <n v="1"/>
    <x v="2"/>
    <x v="104"/>
    <x v="6"/>
    <s v="Percent change"/>
    <s v="Units"/>
    <x v="4"/>
    <n v="-25.023"/>
  </r>
  <r>
    <n v="1"/>
    <x v="2"/>
    <x v="104"/>
    <x v="6"/>
    <s v="Percent change"/>
    <s v="Units"/>
    <x v="5"/>
    <n v="50.38"/>
  </r>
  <r>
    <n v="1"/>
    <x v="2"/>
    <x v="104"/>
    <x v="6"/>
    <s v="Percent change"/>
    <s v="Units"/>
    <x v="6"/>
    <n v="12.307"/>
  </r>
  <r>
    <n v="200"/>
    <x v="3"/>
    <x v="104"/>
    <x v="6"/>
    <s v="Percent change"/>
    <s v="Units"/>
    <x v="0"/>
    <n v="-8.5679999999999996"/>
  </r>
  <r>
    <n v="200"/>
    <x v="3"/>
    <x v="104"/>
    <x v="6"/>
    <s v="Percent change"/>
    <s v="Units"/>
    <x v="1"/>
    <n v="-4.7949999999999999"/>
  </r>
  <r>
    <n v="200"/>
    <x v="3"/>
    <x v="104"/>
    <x v="6"/>
    <s v="Percent change"/>
    <s v="Units"/>
    <x v="2"/>
    <n v="-1.671"/>
  </r>
  <r>
    <n v="200"/>
    <x v="3"/>
    <x v="104"/>
    <x v="6"/>
    <s v="Percent change"/>
    <s v="Units"/>
    <x v="3"/>
    <n v="33.912999999999997"/>
  </r>
  <r>
    <n v="200"/>
    <x v="3"/>
    <x v="104"/>
    <x v="6"/>
    <s v="Percent change"/>
    <s v="Units"/>
    <x v="4"/>
    <n v="-25.023"/>
  </r>
  <r>
    <n v="200"/>
    <x v="3"/>
    <x v="104"/>
    <x v="6"/>
    <s v="Percent change"/>
    <s v="Units"/>
    <x v="5"/>
    <n v="50.38"/>
  </r>
  <r>
    <n v="200"/>
    <x v="3"/>
    <x v="104"/>
    <x v="6"/>
    <s v="Percent change"/>
    <s v="Units"/>
    <x v="6"/>
    <n v="12.307"/>
  </r>
  <r>
    <n v="1"/>
    <x v="2"/>
    <x v="105"/>
    <x v="5"/>
    <s v="Percent of GDP"/>
    <s v="Units"/>
    <x v="0"/>
    <n v="29.222999999999999"/>
  </r>
  <r>
    <n v="1"/>
    <x v="2"/>
    <x v="105"/>
    <x v="5"/>
    <s v="Percent of GDP"/>
    <s v="Units"/>
    <x v="1"/>
    <n v="37.564999999999998"/>
  </r>
  <r>
    <n v="1"/>
    <x v="2"/>
    <x v="105"/>
    <x v="5"/>
    <s v="Percent of GDP"/>
    <s v="Units"/>
    <x v="2"/>
    <n v="47.284999999999997"/>
  </r>
  <r>
    <n v="1"/>
    <x v="2"/>
    <x v="105"/>
    <x v="5"/>
    <s v="Percent of GDP"/>
    <s v="Units"/>
    <x v="3"/>
    <n v="47.853000000000002"/>
  </r>
  <r>
    <n v="1"/>
    <x v="2"/>
    <x v="105"/>
    <x v="5"/>
    <s v="Percent of GDP"/>
    <s v="Units"/>
    <x v="4"/>
    <n v="46.905000000000001"/>
  </r>
  <r>
    <n v="1"/>
    <x v="2"/>
    <x v="105"/>
    <x v="5"/>
    <s v="Percent of GDP"/>
    <s v="Units"/>
    <x v="5"/>
    <n v="49.994999999999997"/>
  </r>
  <r>
    <n v="1"/>
    <x v="2"/>
    <x v="105"/>
    <x v="5"/>
    <s v="Percent of GDP"/>
    <s v="Units"/>
    <x v="6"/>
    <n v="52.076000000000001"/>
  </r>
  <r>
    <n v="200"/>
    <x v="3"/>
    <x v="105"/>
    <x v="5"/>
    <s v="Percent of GDP"/>
    <s v="Units"/>
    <x v="0"/>
    <n v="29.222999999999999"/>
  </r>
  <r>
    <n v="200"/>
    <x v="3"/>
    <x v="105"/>
    <x v="5"/>
    <s v="Percent of GDP"/>
    <s v="Units"/>
    <x v="1"/>
    <n v="37.564999999999998"/>
  </r>
  <r>
    <n v="200"/>
    <x v="3"/>
    <x v="105"/>
    <x v="5"/>
    <s v="Percent of GDP"/>
    <s v="Units"/>
    <x v="2"/>
    <n v="47.284999999999997"/>
  </r>
  <r>
    <n v="200"/>
    <x v="3"/>
    <x v="105"/>
    <x v="5"/>
    <s v="Percent of GDP"/>
    <s v="Units"/>
    <x v="3"/>
    <n v="47.853000000000002"/>
  </r>
  <r>
    <n v="200"/>
    <x v="3"/>
    <x v="105"/>
    <x v="5"/>
    <s v="Percent of GDP"/>
    <s v="Units"/>
    <x v="4"/>
    <n v="46.905000000000001"/>
  </r>
  <r>
    <n v="200"/>
    <x v="3"/>
    <x v="105"/>
    <x v="5"/>
    <s v="Percent of GDP"/>
    <s v="Units"/>
    <x v="5"/>
    <n v="49.994999999999997"/>
  </r>
  <r>
    <n v="200"/>
    <x v="3"/>
    <x v="105"/>
    <x v="5"/>
    <s v="Percent of GDP"/>
    <s v="Units"/>
    <x v="6"/>
    <n v="52.076000000000001"/>
  </r>
  <r>
    <n v="205"/>
    <x v="7"/>
    <x v="105"/>
    <x v="5"/>
    <s v="Percent of GDP"/>
    <s v="Units"/>
    <x v="0"/>
    <n v="29.222999999999999"/>
  </r>
  <r>
    <n v="205"/>
    <x v="7"/>
    <x v="105"/>
    <x v="5"/>
    <s v="Percent of GDP"/>
    <s v="Units"/>
    <x v="1"/>
    <n v="37.564999999999998"/>
  </r>
  <r>
    <n v="205"/>
    <x v="7"/>
    <x v="105"/>
    <x v="5"/>
    <s v="Percent of GDP"/>
    <s v="Units"/>
    <x v="2"/>
    <n v="47.284999999999997"/>
  </r>
  <r>
    <n v="205"/>
    <x v="7"/>
    <x v="105"/>
    <x v="5"/>
    <s v="Percent of GDP"/>
    <s v="Units"/>
    <x v="3"/>
    <n v="47.853000000000002"/>
  </r>
  <r>
    <n v="205"/>
    <x v="7"/>
    <x v="105"/>
    <x v="5"/>
    <s v="Percent of GDP"/>
    <s v="Units"/>
    <x v="4"/>
    <n v="46.905000000000001"/>
  </r>
  <r>
    <n v="205"/>
    <x v="7"/>
    <x v="105"/>
    <x v="5"/>
    <s v="Percent of GDP"/>
    <s v="Units"/>
    <x v="5"/>
    <n v="49.994999999999997"/>
  </r>
  <r>
    <n v="205"/>
    <x v="7"/>
    <x v="105"/>
    <x v="5"/>
    <s v="Percent of GDP"/>
    <s v="Units"/>
    <x v="6"/>
    <n v="52.076000000000001"/>
  </r>
  <r>
    <n v="603"/>
    <x v="12"/>
    <x v="103"/>
    <x v="3"/>
    <s v="Percent of GDP"/>
    <s v="Units"/>
    <x v="0"/>
    <n v="53.515000000000001"/>
  </r>
  <r>
    <n v="603"/>
    <x v="12"/>
    <x v="103"/>
    <x v="3"/>
    <s v="Percent of GDP"/>
    <s v="Units"/>
    <x v="1"/>
    <n v="54.436"/>
  </r>
  <r>
    <n v="603"/>
    <x v="12"/>
    <x v="103"/>
    <x v="3"/>
    <s v="Percent of GDP"/>
    <s v="Units"/>
    <x v="2"/>
    <n v="54.177"/>
  </r>
  <r>
    <n v="603"/>
    <x v="12"/>
    <x v="103"/>
    <x v="3"/>
    <s v="Percent of GDP"/>
    <s v="Units"/>
    <x v="3"/>
    <n v="48.845999999999997"/>
  </r>
  <r>
    <n v="603"/>
    <x v="12"/>
    <x v="103"/>
    <x v="3"/>
    <s v="Percent of GDP"/>
    <s v="Units"/>
    <x v="4"/>
    <n v="49.359000000000002"/>
  </r>
  <r>
    <n v="603"/>
    <x v="12"/>
    <x v="103"/>
    <x v="3"/>
    <s v="Percent of GDP"/>
    <s v="Units"/>
    <x v="5"/>
    <n v="49.664000000000001"/>
  </r>
  <r>
    <n v="603"/>
    <x v="12"/>
    <x v="103"/>
    <x v="3"/>
    <s v="Percent of GDP"/>
    <s v="Units"/>
    <x v="6"/>
    <n v="49.277999999999999"/>
  </r>
  <r>
    <n v="200"/>
    <x v="3"/>
    <x v="103"/>
    <x v="3"/>
    <s v="Percent of GDP"/>
    <s v="Units"/>
    <x v="0"/>
    <n v="53.515000000000001"/>
  </r>
  <r>
    <n v="200"/>
    <x v="3"/>
    <x v="103"/>
    <x v="3"/>
    <s v="Percent of GDP"/>
    <s v="Units"/>
    <x v="1"/>
    <n v="54.436"/>
  </r>
  <r>
    <n v="200"/>
    <x v="3"/>
    <x v="103"/>
    <x v="3"/>
    <s v="Percent of GDP"/>
    <s v="Units"/>
    <x v="2"/>
    <n v="54.177"/>
  </r>
  <r>
    <n v="200"/>
    <x v="3"/>
    <x v="103"/>
    <x v="3"/>
    <s v="Percent of GDP"/>
    <s v="Units"/>
    <x v="3"/>
    <n v="48.845999999999997"/>
  </r>
  <r>
    <n v="200"/>
    <x v="3"/>
    <x v="103"/>
    <x v="3"/>
    <s v="Percent of GDP"/>
    <s v="Units"/>
    <x v="4"/>
    <n v="49.359000000000002"/>
  </r>
  <r>
    <n v="200"/>
    <x v="3"/>
    <x v="103"/>
    <x v="3"/>
    <s v="Percent of GDP"/>
    <s v="Units"/>
    <x v="5"/>
    <n v="49.664000000000001"/>
  </r>
  <r>
    <n v="200"/>
    <x v="3"/>
    <x v="103"/>
    <x v="3"/>
    <s v="Percent of GDP"/>
    <s v="Units"/>
    <x v="6"/>
    <n v="49.277999999999999"/>
  </r>
  <r>
    <n v="998"/>
    <x v="6"/>
    <x v="27"/>
    <x v="2"/>
    <s v="Percent of GDP"/>
    <s v="Units"/>
    <x v="0"/>
    <n v="49.241999999999997"/>
  </r>
  <r>
    <n v="998"/>
    <x v="6"/>
    <x v="27"/>
    <x v="2"/>
    <s v="Percent of GDP"/>
    <s v="Units"/>
    <x v="1"/>
    <n v="48.814999999999998"/>
  </r>
  <r>
    <n v="998"/>
    <x v="6"/>
    <x v="27"/>
    <x v="2"/>
    <s v="Percent of GDP"/>
    <s v="Units"/>
    <x v="2"/>
    <n v="50.384999999999998"/>
  </r>
  <r>
    <n v="998"/>
    <x v="6"/>
    <x v="27"/>
    <x v="2"/>
    <s v="Percent of GDP"/>
    <s v="Units"/>
    <x v="3"/>
    <n v="49.639000000000003"/>
  </r>
  <r>
    <n v="998"/>
    <x v="6"/>
    <x v="27"/>
    <x v="2"/>
    <s v="Percent of GDP"/>
    <s v="Units"/>
    <x v="4"/>
    <n v="49.128"/>
  </r>
  <r>
    <n v="998"/>
    <x v="6"/>
    <x v="27"/>
    <x v="2"/>
    <s v="Percent of GDP"/>
    <s v="Units"/>
    <x v="5"/>
    <n v="49.469000000000001"/>
  </r>
  <r>
    <n v="998"/>
    <x v="6"/>
    <x v="27"/>
    <x v="2"/>
    <s v="Percent of GDP"/>
    <s v="Units"/>
    <x v="6"/>
    <n v="49.27"/>
  </r>
  <r>
    <n v="163"/>
    <x v="5"/>
    <x v="27"/>
    <x v="2"/>
    <s v="Percent of GDP"/>
    <s v="Units"/>
    <x v="0"/>
    <n v="49.241999999999997"/>
  </r>
  <r>
    <n v="163"/>
    <x v="5"/>
    <x v="27"/>
    <x v="2"/>
    <s v="Percent of GDP"/>
    <s v="Units"/>
    <x v="1"/>
    <n v="48.814999999999998"/>
  </r>
  <r>
    <n v="163"/>
    <x v="5"/>
    <x v="27"/>
    <x v="2"/>
    <s v="Percent of GDP"/>
    <s v="Units"/>
    <x v="2"/>
    <n v="50.384999999999998"/>
  </r>
  <r>
    <n v="163"/>
    <x v="5"/>
    <x v="27"/>
    <x v="2"/>
    <s v="Percent of GDP"/>
    <s v="Units"/>
    <x v="3"/>
    <n v="49.639000000000003"/>
  </r>
  <r>
    <n v="163"/>
    <x v="5"/>
    <x v="27"/>
    <x v="2"/>
    <s v="Percent of GDP"/>
    <s v="Units"/>
    <x v="4"/>
    <n v="49.128"/>
  </r>
  <r>
    <n v="163"/>
    <x v="5"/>
    <x v="27"/>
    <x v="2"/>
    <s v="Percent of GDP"/>
    <s v="Units"/>
    <x v="5"/>
    <n v="49.469000000000001"/>
  </r>
  <r>
    <n v="163"/>
    <x v="5"/>
    <x v="27"/>
    <x v="2"/>
    <s v="Percent of GDP"/>
    <s v="Units"/>
    <x v="6"/>
    <n v="49.27"/>
  </r>
  <r>
    <n v="110"/>
    <x v="0"/>
    <x v="27"/>
    <x v="2"/>
    <s v="Percent of GDP"/>
    <s v="Units"/>
    <x v="0"/>
    <n v="49.241999999999997"/>
  </r>
  <r>
    <n v="110"/>
    <x v="0"/>
    <x v="27"/>
    <x v="2"/>
    <s v="Percent of GDP"/>
    <s v="Units"/>
    <x v="1"/>
    <n v="48.814999999999998"/>
  </r>
  <r>
    <n v="110"/>
    <x v="0"/>
    <x v="27"/>
    <x v="2"/>
    <s v="Percent of GDP"/>
    <s v="Units"/>
    <x v="2"/>
    <n v="50.384999999999998"/>
  </r>
  <r>
    <n v="110"/>
    <x v="0"/>
    <x v="27"/>
    <x v="2"/>
    <s v="Percent of GDP"/>
    <s v="Units"/>
    <x v="3"/>
    <n v="49.639000000000003"/>
  </r>
  <r>
    <n v="110"/>
    <x v="0"/>
    <x v="27"/>
    <x v="2"/>
    <s v="Percent of GDP"/>
    <s v="Units"/>
    <x v="4"/>
    <n v="49.128"/>
  </r>
  <r>
    <n v="110"/>
    <x v="0"/>
    <x v="27"/>
    <x v="2"/>
    <s v="Percent of GDP"/>
    <s v="Units"/>
    <x v="5"/>
    <n v="49.469000000000001"/>
  </r>
  <r>
    <n v="110"/>
    <x v="0"/>
    <x v="27"/>
    <x v="2"/>
    <s v="Percent of GDP"/>
    <s v="Units"/>
    <x v="6"/>
    <n v="49.27"/>
  </r>
  <r>
    <n v="200"/>
    <x v="3"/>
    <x v="106"/>
    <x v="0"/>
    <s v="U.S. dollars"/>
    <s v="Billions"/>
    <x v="0"/>
    <n v="41.192999999999998"/>
  </r>
  <r>
    <n v="200"/>
    <x v="3"/>
    <x v="106"/>
    <x v="0"/>
    <s v="U.S. dollars"/>
    <s v="Billions"/>
    <x v="1"/>
    <n v="36.896999999999998"/>
  </r>
  <r>
    <n v="200"/>
    <x v="3"/>
    <x v="106"/>
    <x v="0"/>
    <s v="U.S. dollars"/>
    <s v="Billions"/>
    <x v="2"/>
    <n v="40.703000000000003"/>
  </r>
  <r>
    <n v="200"/>
    <x v="3"/>
    <x v="106"/>
    <x v="0"/>
    <s v="U.S. dollars"/>
    <s v="Billions"/>
    <x v="3"/>
    <n v="44.314999999999998"/>
  </r>
  <r>
    <n v="200"/>
    <x v="3"/>
    <x v="106"/>
    <x v="0"/>
    <s v="U.S. dollars"/>
    <s v="Billions"/>
    <x v="4"/>
    <n v="46.472999999999999"/>
  </r>
  <r>
    <n v="200"/>
    <x v="3"/>
    <x v="106"/>
    <x v="0"/>
    <s v="U.S. dollars"/>
    <s v="Billions"/>
    <x v="5"/>
    <n v="49.334000000000003"/>
  </r>
  <r>
    <n v="200"/>
    <x v="3"/>
    <x v="106"/>
    <x v="0"/>
    <s v="U.S. dollars"/>
    <s v="Billions"/>
    <x v="6"/>
    <n v="52.52"/>
  </r>
  <r>
    <n v="1"/>
    <x v="2"/>
    <x v="106"/>
    <x v="0"/>
    <s v="U.S. dollars"/>
    <s v="Billions"/>
    <x v="0"/>
    <n v="41.192999999999998"/>
  </r>
  <r>
    <n v="1"/>
    <x v="2"/>
    <x v="106"/>
    <x v="0"/>
    <s v="U.S. dollars"/>
    <s v="Billions"/>
    <x v="1"/>
    <n v="36.896999999999998"/>
  </r>
  <r>
    <n v="1"/>
    <x v="2"/>
    <x v="106"/>
    <x v="0"/>
    <s v="U.S. dollars"/>
    <s v="Billions"/>
    <x v="2"/>
    <n v="40.703000000000003"/>
  </r>
  <r>
    <n v="1"/>
    <x v="2"/>
    <x v="106"/>
    <x v="0"/>
    <s v="U.S. dollars"/>
    <s v="Billions"/>
    <x v="3"/>
    <n v="44.314999999999998"/>
  </r>
  <r>
    <n v="1"/>
    <x v="2"/>
    <x v="106"/>
    <x v="0"/>
    <s v="U.S. dollars"/>
    <s v="Billions"/>
    <x v="4"/>
    <n v="46.472999999999999"/>
  </r>
  <r>
    <n v="1"/>
    <x v="2"/>
    <x v="106"/>
    <x v="0"/>
    <s v="U.S. dollars"/>
    <s v="Billions"/>
    <x v="5"/>
    <n v="49.334000000000003"/>
  </r>
  <r>
    <n v="1"/>
    <x v="2"/>
    <x v="106"/>
    <x v="0"/>
    <s v="U.S. dollars"/>
    <s v="Billions"/>
    <x v="6"/>
    <n v="52.52"/>
  </r>
  <r>
    <n v="205"/>
    <x v="7"/>
    <x v="106"/>
    <x v="0"/>
    <s v="U.S. dollars"/>
    <s v="Billions"/>
    <x v="0"/>
    <n v="41.192999999999998"/>
  </r>
  <r>
    <n v="205"/>
    <x v="7"/>
    <x v="106"/>
    <x v="0"/>
    <s v="U.S. dollars"/>
    <s v="Billions"/>
    <x v="1"/>
    <n v="36.896999999999998"/>
  </r>
  <r>
    <n v="205"/>
    <x v="7"/>
    <x v="106"/>
    <x v="0"/>
    <s v="U.S. dollars"/>
    <s v="Billions"/>
    <x v="2"/>
    <n v="40.703000000000003"/>
  </r>
  <r>
    <n v="205"/>
    <x v="7"/>
    <x v="106"/>
    <x v="0"/>
    <s v="U.S. dollars"/>
    <s v="Billions"/>
    <x v="3"/>
    <n v="44.314999999999998"/>
  </r>
  <r>
    <n v="205"/>
    <x v="7"/>
    <x v="106"/>
    <x v="0"/>
    <s v="U.S. dollars"/>
    <s v="Billions"/>
    <x v="4"/>
    <n v="46.472999999999999"/>
  </r>
  <r>
    <n v="205"/>
    <x v="7"/>
    <x v="106"/>
    <x v="0"/>
    <s v="U.S. dollars"/>
    <s v="Billions"/>
    <x v="5"/>
    <n v="49.334000000000003"/>
  </r>
  <r>
    <n v="205"/>
    <x v="7"/>
    <x v="106"/>
    <x v="0"/>
    <s v="U.S. dollars"/>
    <s v="Billions"/>
    <x v="6"/>
    <n v="52.52"/>
  </r>
  <r>
    <n v="110"/>
    <x v="0"/>
    <x v="37"/>
    <x v="2"/>
    <s v="Percent of GDP"/>
    <s v="Units"/>
    <x v="0"/>
    <n v="53.798999999999999"/>
  </r>
  <r>
    <n v="110"/>
    <x v="0"/>
    <x v="37"/>
    <x v="2"/>
    <s v="Percent of GDP"/>
    <s v="Units"/>
    <x v="1"/>
    <n v="53.856999999999999"/>
  </r>
  <r>
    <n v="110"/>
    <x v="0"/>
    <x v="37"/>
    <x v="2"/>
    <s v="Percent of GDP"/>
    <s v="Units"/>
    <x v="2"/>
    <n v="53.862000000000002"/>
  </r>
  <r>
    <n v="110"/>
    <x v="0"/>
    <x v="37"/>
    <x v="2"/>
    <s v="Percent of GDP"/>
    <s v="Units"/>
    <x v="3"/>
    <n v="48.317999999999998"/>
  </r>
  <r>
    <n v="110"/>
    <x v="0"/>
    <x v="37"/>
    <x v="2"/>
    <s v="Percent of GDP"/>
    <s v="Units"/>
    <x v="4"/>
    <n v="49.542999999999999"/>
  </r>
  <r>
    <n v="110"/>
    <x v="0"/>
    <x v="37"/>
    <x v="2"/>
    <s v="Percent of GDP"/>
    <s v="Units"/>
    <x v="5"/>
    <n v="49.192999999999998"/>
  </r>
  <r>
    <n v="110"/>
    <x v="0"/>
    <x v="37"/>
    <x v="2"/>
    <s v="Percent of GDP"/>
    <s v="Units"/>
    <x v="6"/>
    <n v="49.223999999999997"/>
  </r>
  <r>
    <n v="123"/>
    <x v="9"/>
    <x v="37"/>
    <x v="2"/>
    <s v="Percent of GDP"/>
    <s v="Units"/>
    <x v="0"/>
    <n v="53.798999999999999"/>
  </r>
  <r>
    <n v="123"/>
    <x v="9"/>
    <x v="37"/>
    <x v="2"/>
    <s v="Percent of GDP"/>
    <s v="Units"/>
    <x v="1"/>
    <n v="53.856999999999999"/>
  </r>
  <r>
    <n v="123"/>
    <x v="9"/>
    <x v="37"/>
    <x v="2"/>
    <s v="Percent of GDP"/>
    <s v="Units"/>
    <x v="2"/>
    <n v="53.862000000000002"/>
  </r>
  <r>
    <n v="123"/>
    <x v="9"/>
    <x v="37"/>
    <x v="2"/>
    <s v="Percent of GDP"/>
    <s v="Units"/>
    <x v="3"/>
    <n v="48.317999999999998"/>
  </r>
  <r>
    <n v="123"/>
    <x v="9"/>
    <x v="37"/>
    <x v="2"/>
    <s v="Percent of GDP"/>
    <s v="Units"/>
    <x v="4"/>
    <n v="49.542999999999999"/>
  </r>
  <r>
    <n v="123"/>
    <x v="9"/>
    <x v="37"/>
    <x v="2"/>
    <s v="Percent of GDP"/>
    <s v="Units"/>
    <x v="5"/>
    <n v="49.192999999999998"/>
  </r>
  <r>
    <n v="123"/>
    <x v="9"/>
    <x v="37"/>
    <x v="2"/>
    <s v="Percent of GDP"/>
    <s v="Units"/>
    <x v="6"/>
    <n v="49.223999999999997"/>
  </r>
  <r>
    <n v="998"/>
    <x v="6"/>
    <x v="37"/>
    <x v="2"/>
    <s v="Percent of GDP"/>
    <s v="Units"/>
    <x v="0"/>
    <n v="53.798999999999999"/>
  </r>
  <r>
    <n v="998"/>
    <x v="6"/>
    <x v="37"/>
    <x v="2"/>
    <s v="Percent of GDP"/>
    <s v="Units"/>
    <x v="1"/>
    <n v="53.856999999999999"/>
  </r>
  <r>
    <n v="998"/>
    <x v="6"/>
    <x v="37"/>
    <x v="2"/>
    <s v="Percent of GDP"/>
    <s v="Units"/>
    <x v="2"/>
    <n v="53.862000000000002"/>
  </r>
  <r>
    <n v="998"/>
    <x v="6"/>
    <x v="37"/>
    <x v="2"/>
    <s v="Percent of GDP"/>
    <s v="Units"/>
    <x v="3"/>
    <n v="48.317999999999998"/>
  </r>
  <r>
    <n v="998"/>
    <x v="6"/>
    <x v="37"/>
    <x v="2"/>
    <s v="Percent of GDP"/>
    <s v="Units"/>
    <x v="4"/>
    <n v="49.542999999999999"/>
  </r>
  <r>
    <n v="998"/>
    <x v="6"/>
    <x v="37"/>
    <x v="2"/>
    <s v="Percent of GDP"/>
    <s v="Units"/>
    <x v="5"/>
    <n v="49.192999999999998"/>
  </r>
  <r>
    <n v="998"/>
    <x v="6"/>
    <x v="37"/>
    <x v="2"/>
    <s v="Percent of GDP"/>
    <s v="Units"/>
    <x v="6"/>
    <n v="49.223999999999997"/>
  </r>
  <r>
    <n v="110"/>
    <x v="0"/>
    <x v="76"/>
    <x v="3"/>
    <s v="Percent of GDP"/>
    <s v="Units"/>
    <x v="0"/>
    <n v="43.104999999999997"/>
  </r>
  <r>
    <n v="110"/>
    <x v="0"/>
    <x v="76"/>
    <x v="3"/>
    <s v="Percent of GDP"/>
    <s v="Units"/>
    <x v="1"/>
    <n v="46.960999999999999"/>
  </r>
  <r>
    <n v="110"/>
    <x v="0"/>
    <x v="76"/>
    <x v="3"/>
    <s v="Percent of GDP"/>
    <s v="Units"/>
    <x v="2"/>
    <n v="42.860999999999997"/>
  </r>
  <r>
    <n v="110"/>
    <x v="0"/>
    <x v="76"/>
    <x v="3"/>
    <s v="Percent of GDP"/>
    <s v="Units"/>
    <x v="3"/>
    <n v="43.886000000000003"/>
  </r>
  <r>
    <n v="110"/>
    <x v="0"/>
    <x v="76"/>
    <x v="3"/>
    <s v="Percent of GDP"/>
    <s v="Units"/>
    <x v="4"/>
    <n v="47.792000000000002"/>
  </r>
  <r>
    <n v="110"/>
    <x v="0"/>
    <x v="76"/>
    <x v="3"/>
    <s v="Percent of GDP"/>
    <s v="Units"/>
    <x v="5"/>
    <n v="49.097999999999999"/>
  </r>
  <r>
    <n v="110"/>
    <x v="0"/>
    <x v="76"/>
    <x v="3"/>
    <s v="Percent of GDP"/>
    <s v="Units"/>
    <x v="6"/>
    <n v="49.28"/>
  </r>
  <r>
    <n v="163"/>
    <x v="5"/>
    <x v="76"/>
    <x v="3"/>
    <s v="Percent of GDP"/>
    <s v="Units"/>
    <x v="0"/>
    <n v="43.104999999999997"/>
  </r>
  <r>
    <n v="163"/>
    <x v="5"/>
    <x v="76"/>
    <x v="3"/>
    <s v="Percent of GDP"/>
    <s v="Units"/>
    <x v="1"/>
    <n v="46.960999999999999"/>
  </r>
  <r>
    <n v="163"/>
    <x v="5"/>
    <x v="76"/>
    <x v="3"/>
    <s v="Percent of GDP"/>
    <s v="Units"/>
    <x v="2"/>
    <n v="42.860999999999997"/>
  </r>
  <r>
    <n v="163"/>
    <x v="5"/>
    <x v="76"/>
    <x v="3"/>
    <s v="Percent of GDP"/>
    <s v="Units"/>
    <x v="3"/>
    <n v="43.886000000000003"/>
  </r>
  <r>
    <n v="163"/>
    <x v="5"/>
    <x v="76"/>
    <x v="3"/>
    <s v="Percent of GDP"/>
    <s v="Units"/>
    <x v="4"/>
    <n v="47.792000000000002"/>
  </r>
  <r>
    <n v="163"/>
    <x v="5"/>
    <x v="76"/>
    <x v="3"/>
    <s v="Percent of GDP"/>
    <s v="Units"/>
    <x v="5"/>
    <n v="49.097999999999999"/>
  </r>
  <r>
    <n v="163"/>
    <x v="5"/>
    <x v="76"/>
    <x v="3"/>
    <s v="Percent of GDP"/>
    <s v="Units"/>
    <x v="6"/>
    <n v="49.28"/>
  </r>
  <r>
    <n v="998"/>
    <x v="6"/>
    <x v="76"/>
    <x v="3"/>
    <s v="Percent of GDP"/>
    <s v="Units"/>
    <x v="0"/>
    <n v="43.104999999999997"/>
  </r>
  <r>
    <n v="998"/>
    <x v="6"/>
    <x v="76"/>
    <x v="3"/>
    <s v="Percent of GDP"/>
    <s v="Units"/>
    <x v="1"/>
    <n v="46.960999999999999"/>
  </r>
  <r>
    <n v="998"/>
    <x v="6"/>
    <x v="76"/>
    <x v="3"/>
    <s v="Percent of GDP"/>
    <s v="Units"/>
    <x v="2"/>
    <n v="42.860999999999997"/>
  </r>
  <r>
    <n v="998"/>
    <x v="6"/>
    <x v="76"/>
    <x v="3"/>
    <s v="Percent of GDP"/>
    <s v="Units"/>
    <x v="3"/>
    <n v="43.886000000000003"/>
  </r>
  <r>
    <n v="998"/>
    <x v="6"/>
    <x v="76"/>
    <x v="3"/>
    <s v="Percent of GDP"/>
    <s v="Units"/>
    <x v="4"/>
    <n v="47.792000000000002"/>
  </r>
  <r>
    <n v="998"/>
    <x v="6"/>
    <x v="76"/>
    <x v="3"/>
    <s v="Percent of GDP"/>
    <s v="Units"/>
    <x v="5"/>
    <n v="49.097999999999999"/>
  </r>
  <r>
    <n v="998"/>
    <x v="6"/>
    <x v="76"/>
    <x v="3"/>
    <s v="Percent of GDP"/>
    <s v="Units"/>
    <x v="6"/>
    <n v="49.28"/>
  </r>
  <r>
    <n v="998"/>
    <x v="6"/>
    <x v="19"/>
    <x v="3"/>
    <s v="Percent of GDP"/>
    <s v="Units"/>
    <x v="0"/>
    <n v="41.875999999999998"/>
  </r>
  <r>
    <n v="998"/>
    <x v="6"/>
    <x v="19"/>
    <x v="3"/>
    <s v="Percent of GDP"/>
    <s v="Units"/>
    <x v="1"/>
    <n v="48.247"/>
  </r>
  <r>
    <n v="998"/>
    <x v="6"/>
    <x v="19"/>
    <x v="3"/>
    <s v="Percent of GDP"/>
    <s v="Units"/>
    <x v="2"/>
    <n v="44.091999999999999"/>
  </r>
  <r>
    <n v="998"/>
    <x v="6"/>
    <x v="19"/>
    <x v="3"/>
    <s v="Percent of GDP"/>
    <s v="Units"/>
    <x v="3"/>
    <n v="43.898000000000003"/>
  </r>
  <r>
    <n v="998"/>
    <x v="6"/>
    <x v="19"/>
    <x v="3"/>
    <s v="Percent of GDP"/>
    <s v="Units"/>
    <x v="4"/>
    <n v="47.628999999999998"/>
  </r>
  <r>
    <n v="998"/>
    <x v="6"/>
    <x v="19"/>
    <x v="3"/>
    <s v="Percent of GDP"/>
    <s v="Units"/>
    <x v="5"/>
    <n v="48.585000000000001"/>
  </r>
  <r>
    <n v="998"/>
    <x v="6"/>
    <x v="19"/>
    <x v="3"/>
    <s v="Percent of GDP"/>
    <s v="Units"/>
    <x v="6"/>
    <n v="49.03"/>
  </r>
  <r>
    <n v="903"/>
    <x v="8"/>
    <x v="19"/>
    <x v="3"/>
    <s v="Percent of GDP"/>
    <s v="Units"/>
    <x v="0"/>
    <n v="41.875999999999998"/>
  </r>
  <r>
    <n v="903"/>
    <x v="8"/>
    <x v="19"/>
    <x v="3"/>
    <s v="Percent of GDP"/>
    <s v="Units"/>
    <x v="1"/>
    <n v="48.247"/>
  </r>
  <r>
    <n v="903"/>
    <x v="8"/>
    <x v="19"/>
    <x v="3"/>
    <s v="Percent of GDP"/>
    <s v="Units"/>
    <x v="2"/>
    <n v="44.091999999999999"/>
  </r>
  <r>
    <n v="903"/>
    <x v="8"/>
    <x v="19"/>
    <x v="3"/>
    <s v="Percent of GDP"/>
    <s v="Units"/>
    <x v="3"/>
    <n v="43.898000000000003"/>
  </r>
  <r>
    <n v="903"/>
    <x v="8"/>
    <x v="19"/>
    <x v="3"/>
    <s v="Percent of GDP"/>
    <s v="Units"/>
    <x v="4"/>
    <n v="47.628999999999998"/>
  </r>
  <r>
    <n v="903"/>
    <x v="8"/>
    <x v="19"/>
    <x v="3"/>
    <s v="Percent of GDP"/>
    <s v="Units"/>
    <x v="5"/>
    <n v="48.585000000000001"/>
  </r>
  <r>
    <n v="903"/>
    <x v="8"/>
    <x v="19"/>
    <x v="3"/>
    <s v="Percent of GDP"/>
    <s v="Units"/>
    <x v="6"/>
    <n v="49.03"/>
  </r>
  <r>
    <n v="200"/>
    <x v="3"/>
    <x v="19"/>
    <x v="3"/>
    <s v="Percent of GDP"/>
    <s v="Units"/>
    <x v="0"/>
    <n v="41.875999999999998"/>
  </r>
  <r>
    <n v="200"/>
    <x v="3"/>
    <x v="19"/>
    <x v="3"/>
    <s v="Percent of GDP"/>
    <s v="Units"/>
    <x v="1"/>
    <n v="48.247"/>
  </r>
  <r>
    <n v="200"/>
    <x v="3"/>
    <x v="19"/>
    <x v="3"/>
    <s v="Percent of GDP"/>
    <s v="Units"/>
    <x v="2"/>
    <n v="44.091999999999999"/>
  </r>
  <r>
    <n v="200"/>
    <x v="3"/>
    <x v="19"/>
    <x v="3"/>
    <s v="Percent of GDP"/>
    <s v="Units"/>
    <x v="3"/>
    <n v="43.898000000000003"/>
  </r>
  <r>
    <n v="200"/>
    <x v="3"/>
    <x v="19"/>
    <x v="3"/>
    <s v="Percent of GDP"/>
    <s v="Units"/>
    <x v="4"/>
    <n v="47.628999999999998"/>
  </r>
  <r>
    <n v="200"/>
    <x v="3"/>
    <x v="19"/>
    <x v="3"/>
    <s v="Percent of GDP"/>
    <s v="Units"/>
    <x v="5"/>
    <n v="48.585000000000001"/>
  </r>
  <r>
    <n v="200"/>
    <x v="3"/>
    <x v="19"/>
    <x v="3"/>
    <s v="Percent of GDP"/>
    <s v="Units"/>
    <x v="6"/>
    <n v="49.03"/>
  </r>
  <r>
    <n v="505"/>
    <x v="4"/>
    <x v="107"/>
    <x v="3"/>
    <s v="Percent of GDP"/>
    <s v="Units"/>
    <x v="0"/>
    <n v="38.557000000000002"/>
  </r>
  <r>
    <n v="505"/>
    <x v="4"/>
    <x v="107"/>
    <x v="3"/>
    <s v="Percent of GDP"/>
    <s v="Units"/>
    <x v="1"/>
    <n v="38.825000000000003"/>
  </r>
  <r>
    <n v="505"/>
    <x v="4"/>
    <x v="107"/>
    <x v="3"/>
    <s v="Percent of GDP"/>
    <s v="Units"/>
    <x v="2"/>
    <n v="49.287999999999997"/>
  </r>
  <r>
    <n v="505"/>
    <x v="4"/>
    <x v="107"/>
    <x v="3"/>
    <s v="Percent of GDP"/>
    <s v="Units"/>
    <x v="3"/>
    <n v="45.948"/>
  </r>
  <r>
    <n v="505"/>
    <x v="4"/>
    <x v="107"/>
    <x v="3"/>
    <s v="Percent of GDP"/>
    <s v="Units"/>
    <x v="4"/>
    <n v="47.350999999999999"/>
  </r>
  <r>
    <n v="505"/>
    <x v="4"/>
    <x v="107"/>
    <x v="3"/>
    <s v="Percent of GDP"/>
    <s v="Units"/>
    <x v="5"/>
    <n v="48.375"/>
  </r>
  <r>
    <n v="505"/>
    <x v="4"/>
    <x v="107"/>
    <x v="3"/>
    <s v="Percent of GDP"/>
    <s v="Units"/>
    <x v="6"/>
    <n v="45.972999999999999"/>
  </r>
  <r>
    <n v="200"/>
    <x v="3"/>
    <x v="107"/>
    <x v="3"/>
    <s v="Percent of GDP"/>
    <s v="Units"/>
    <x v="0"/>
    <n v="38.557000000000002"/>
  </r>
  <r>
    <n v="200"/>
    <x v="3"/>
    <x v="107"/>
    <x v="3"/>
    <s v="Percent of GDP"/>
    <s v="Units"/>
    <x v="1"/>
    <n v="38.825000000000003"/>
  </r>
  <r>
    <n v="200"/>
    <x v="3"/>
    <x v="107"/>
    <x v="3"/>
    <s v="Percent of GDP"/>
    <s v="Units"/>
    <x v="2"/>
    <n v="49.287999999999997"/>
  </r>
  <r>
    <n v="200"/>
    <x v="3"/>
    <x v="107"/>
    <x v="3"/>
    <s v="Percent of GDP"/>
    <s v="Units"/>
    <x v="3"/>
    <n v="45.948"/>
  </r>
  <r>
    <n v="200"/>
    <x v="3"/>
    <x v="107"/>
    <x v="3"/>
    <s v="Percent of GDP"/>
    <s v="Units"/>
    <x v="4"/>
    <n v="47.350999999999999"/>
  </r>
  <r>
    <n v="200"/>
    <x v="3"/>
    <x v="107"/>
    <x v="3"/>
    <s v="Percent of GDP"/>
    <s v="Units"/>
    <x v="5"/>
    <n v="48.375"/>
  </r>
  <r>
    <n v="200"/>
    <x v="3"/>
    <x v="107"/>
    <x v="3"/>
    <s v="Percent of GDP"/>
    <s v="Units"/>
    <x v="6"/>
    <n v="45.972999999999999"/>
  </r>
  <r>
    <n v="400"/>
    <x v="11"/>
    <x v="95"/>
    <x v="0"/>
    <s v="U.S. dollars"/>
    <s v="Billions"/>
    <x v="0"/>
    <n v="69.28"/>
  </r>
  <r>
    <n v="400"/>
    <x v="11"/>
    <x v="95"/>
    <x v="0"/>
    <s v="U.S. dollars"/>
    <s v="Billions"/>
    <x v="1"/>
    <n v="46.920999999999999"/>
  </r>
  <r>
    <n v="400"/>
    <x v="11"/>
    <x v="95"/>
    <x v="0"/>
    <s v="U.S. dollars"/>
    <s v="Billions"/>
    <x v="2"/>
    <n v="35.223999999999997"/>
  </r>
  <r>
    <n v="400"/>
    <x v="11"/>
    <x v="95"/>
    <x v="0"/>
    <s v="U.S. dollars"/>
    <s v="Billions"/>
    <x v="3"/>
    <n v="43.289000000000001"/>
  </r>
  <r>
    <n v="400"/>
    <x v="11"/>
    <x v="95"/>
    <x v="0"/>
    <s v="U.S. dollars"/>
    <s v="Billions"/>
    <x v="4"/>
    <n v="45.011000000000003"/>
  </r>
  <r>
    <n v="400"/>
    <x v="11"/>
    <x v="95"/>
    <x v="0"/>
    <s v="U.S. dollars"/>
    <s v="Billions"/>
    <x v="5"/>
    <n v="48.220999999999997"/>
  </r>
  <r>
    <n v="400"/>
    <x v="11"/>
    <x v="95"/>
    <x v="0"/>
    <s v="U.S. dollars"/>
    <s v="Billions"/>
    <x v="6"/>
    <n v="50.558999999999997"/>
  </r>
  <r>
    <n v="1"/>
    <x v="2"/>
    <x v="95"/>
    <x v="0"/>
    <s v="U.S. dollars"/>
    <s v="Billions"/>
    <x v="0"/>
    <n v="69.28"/>
  </r>
  <r>
    <n v="1"/>
    <x v="2"/>
    <x v="95"/>
    <x v="0"/>
    <s v="U.S. dollars"/>
    <s v="Billions"/>
    <x v="1"/>
    <n v="46.920999999999999"/>
  </r>
  <r>
    <n v="1"/>
    <x v="2"/>
    <x v="95"/>
    <x v="0"/>
    <s v="U.S. dollars"/>
    <s v="Billions"/>
    <x v="2"/>
    <n v="35.223999999999997"/>
  </r>
  <r>
    <n v="1"/>
    <x v="2"/>
    <x v="95"/>
    <x v="0"/>
    <s v="U.S. dollars"/>
    <s v="Billions"/>
    <x v="3"/>
    <n v="43.289000000000001"/>
  </r>
  <r>
    <n v="1"/>
    <x v="2"/>
    <x v="95"/>
    <x v="0"/>
    <s v="U.S. dollars"/>
    <s v="Billions"/>
    <x v="4"/>
    <n v="45.011000000000003"/>
  </r>
  <r>
    <n v="1"/>
    <x v="2"/>
    <x v="95"/>
    <x v="0"/>
    <s v="U.S. dollars"/>
    <s v="Billions"/>
    <x v="5"/>
    <n v="48.220999999999997"/>
  </r>
  <r>
    <n v="1"/>
    <x v="2"/>
    <x v="95"/>
    <x v="0"/>
    <s v="U.S. dollars"/>
    <s v="Billions"/>
    <x v="6"/>
    <n v="50.558999999999997"/>
  </r>
  <r>
    <n v="200"/>
    <x v="3"/>
    <x v="95"/>
    <x v="0"/>
    <s v="U.S. dollars"/>
    <s v="Billions"/>
    <x v="0"/>
    <n v="69.28"/>
  </r>
  <r>
    <n v="200"/>
    <x v="3"/>
    <x v="95"/>
    <x v="0"/>
    <s v="U.S. dollars"/>
    <s v="Billions"/>
    <x v="1"/>
    <n v="46.920999999999999"/>
  </r>
  <r>
    <n v="200"/>
    <x v="3"/>
    <x v="95"/>
    <x v="0"/>
    <s v="U.S. dollars"/>
    <s v="Billions"/>
    <x v="2"/>
    <n v="35.223999999999997"/>
  </r>
  <r>
    <n v="200"/>
    <x v="3"/>
    <x v="95"/>
    <x v="0"/>
    <s v="U.S. dollars"/>
    <s v="Billions"/>
    <x v="3"/>
    <n v="43.289000000000001"/>
  </r>
  <r>
    <n v="200"/>
    <x v="3"/>
    <x v="95"/>
    <x v="0"/>
    <s v="U.S. dollars"/>
    <s v="Billions"/>
    <x v="4"/>
    <n v="45.011000000000003"/>
  </r>
  <r>
    <n v="200"/>
    <x v="3"/>
    <x v="95"/>
    <x v="0"/>
    <s v="U.S. dollars"/>
    <s v="Billions"/>
    <x v="5"/>
    <n v="48.220999999999997"/>
  </r>
  <r>
    <n v="200"/>
    <x v="3"/>
    <x v="95"/>
    <x v="0"/>
    <s v="U.S. dollars"/>
    <s v="Billions"/>
    <x v="6"/>
    <n v="50.558999999999997"/>
  </r>
  <r>
    <n v="998"/>
    <x v="6"/>
    <x v="22"/>
    <x v="3"/>
    <s v="Percent of GDP"/>
    <s v="Units"/>
    <x v="0"/>
    <n v="48.131999999999998"/>
  </r>
  <r>
    <n v="998"/>
    <x v="6"/>
    <x v="22"/>
    <x v="3"/>
    <s v="Percent of GDP"/>
    <s v="Units"/>
    <x v="1"/>
    <n v="51.057000000000002"/>
  </r>
  <r>
    <n v="998"/>
    <x v="6"/>
    <x v="22"/>
    <x v="3"/>
    <s v="Percent of GDP"/>
    <s v="Units"/>
    <x v="2"/>
    <n v="48.131999999999998"/>
  </r>
  <r>
    <n v="998"/>
    <x v="6"/>
    <x v="22"/>
    <x v="3"/>
    <s v="Percent of GDP"/>
    <s v="Units"/>
    <x v="3"/>
    <n v="46.807000000000002"/>
  </r>
  <r>
    <n v="998"/>
    <x v="6"/>
    <x v="22"/>
    <x v="3"/>
    <s v="Percent of GDP"/>
    <s v="Units"/>
    <x v="4"/>
    <n v="47.215000000000003"/>
  </r>
  <r>
    <n v="998"/>
    <x v="6"/>
    <x v="22"/>
    <x v="3"/>
    <s v="Percent of GDP"/>
    <s v="Units"/>
    <x v="5"/>
    <n v="48.045000000000002"/>
  </r>
  <r>
    <n v="998"/>
    <x v="6"/>
    <x v="22"/>
    <x v="3"/>
    <s v="Percent of GDP"/>
    <s v="Units"/>
    <x v="6"/>
    <n v="48.088000000000001"/>
  </r>
  <r>
    <n v="110"/>
    <x v="0"/>
    <x v="22"/>
    <x v="3"/>
    <s v="Percent of GDP"/>
    <s v="Units"/>
    <x v="0"/>
    <n v="48.131999999999998"/>
  </r>
  <r>
    <n v="110"/>
    <x v="0"/>
    <x v="22"/>
    <x v="3"/>
    <s v="Percent of GDP"/>
    <s v="Units"/>
    <x v="1"/>
    <n v="51.057000000000002"/>
  </r>
  <r>
    <n v="110"/>
    <x v="0"/>
    <x v="22"/>
    <x v="3"/>
    <s v="Percent of GDP"/>
    <s v="Units"/>
    <x v="2"/>
    <n v="48.131999999999998"/>
  </r>
  <r>
    <n v="110"/>
    <x v="0"/>
    <x v="22"/>
    <x v="3"/>
    <s v="Percent of GDP"/>
    <s v="Units"/>
    <x v="3"/>
    <n v="46.807000000000002"/>
  </r>
  <r>
    <n v="110"/>
    <x v="0"/>
    <x v="22"/>
    <x v="3"/>
    <s v="Percent of GDP"/>
    <s v="Units"/>
    <x v="4"/>
    <n v="47.215000000000003"/>
  </r>
  <r>
    <n v="110"/>
    <x v="0"/>
    <x v="22"/>
    <x v="3"/>
    <s v="Percent of GDP"/>
    <s v="Units"/>
    <x v="5"/>
    <n v="48.045000000000002"/>
  </r>
  <r>
    <n v="110"/>
    <x v="0"/>
    <x v="22"/>
    <x v="3"/>
    <s v="Percent of GDP"/>
    <s v="Units"/>
    <x v="6"/>
    <n v="48.088000000000001"/>
  </r>
  <r>
    <n v="123"/>
    <x v="9"/>
    <x v="22"/>
    <x v="3"/>
    <s v="Percent of GDP"/>
    <s v="Units"/>
    <x v="0"/>
    <n v="48.131999999999998"/>
  </r>
  <r>
    <n v="123"/>
    <x v="9"/>
    <x v="22"/>
    <x v="3"/>
    <s v="Percent of GDP"/>
    <s v="Units"/>
    <x v="1"/>
    <n v="51.057000000000002"/>
  </r>
  <r>
    <n v="123"/>
    <x v="9"/>
    <x v="22"/>
    <x v="3"/>
    <s v="Percent of GDP"/>
    <s v="Units"/>
    <x v="2"/>
    <n v="48.131999999999998"/>
  </r>
  <r>
    <n v="123"/>
    <x v="9"/>
    <x v="22"/>
    <x v="3"/>
    <s v="Percent of GDP"/>
    <s v="Units"/>
    <x v="3"/>
    <n v="46.807000000000002"/>
  </r>
  <r>
    <n v="123"/>
    <x v="9"/>
    <x v="22"/>
    <x v="3"/>
    <s v="Percent of GDP"/>
    <s v="Units"/>
    <x v="4"/>
    <n v="47.215000000000003"/>
  </r>
  <r>
    <n v="123"/>
    <x v="9"/>
    <x v="22"/>
    <x v="3"/>
    <s v="Percent of GDP"/>
    <s v="Units"/>
    <x v="5"/>
    <n v="48.045000000000002"/>
  </r>
  <r>
    <n v="123"/>
    <x v="9"/>
    <x v="22"/>
    <x v="3"/>
    <s v="Percent of GDP"/>
    <s v="Units"/>
    <x v="6"/>
    <n v="48.088000000000001"/>
  </r>
  <r>
    <n v="119"/>
    <x v="1"/>
    <x v="2"/>
    <x v="3"/>
    <s v="Percent of GDP"/>
    <s v="Units"/>
    <x v="0"/>
    <n v="45.003"/>
  </r>
  <r>
    <n v="119"/>
    <x v="1"/>
    <x v="2"/>
    <x v="3"/>
    <s v="Percent of GDP"/>
    <s v="Units"/>
    <x v="1"/>
    <n v="50.462000000000003"/>
  </r>
  <r>
    <n v="119"/>
    <x v="1"/>
    <x v="2"/>
    <x v="3"/>
    <s v="Percent of GDP"/>
    <s v="Units"/>
    <x v="2"/>
    <n v="50.936999999999998"/>
  </r>
  <r>
    <n v="119"/>
    <x v="1"/>
    <x v="2"/>
    <x v="3"/>
    <s v="Percent of GDP"/>
    <s v="Units"/>
    <x v="3"/>
    <n v="49.476999999999997"/>
  </r>
  <r>
    <n v="119"/>
    <x v="1"/>
    <x v="2"/>
    <x v="3"/>
    <s v="Percent of GDP"/>
    <s v="Units"/>
    <x v="4"/>
    <n v="48.267000000000003"/>
  </r>
  <r>
    <n v="119"/>
    <x v="1"/>
    <x v="2"/>
    <x v="3"/>
    <s v="Percent of GDP"/>
    <s v="Units"/>
    <x v="5"/>
    <n v="47.777999999999999"/>
  </r>
  <r>
    <n v="119"/>
    <x v="1"/>
    <x v="2"/>
    <x v="3"/>
    <s v="Percent of GDP"/>
    <s v="Units"/>
    <x v="6"/>
    <n v="47.765000000000001"/>
  </r>
  <r>
    <n v="110"/>
    <x v="0"/>
    <x v="2"/>
    <x v="3"/>
    <s v="Percent of GDP"/>
    <s v="Units"/>
    <x v="0"/>
    <n v="45.003"/>
  </r>
  <r>
    <n v="110"/>
    <x v="0"/>
    <x v="2"/>
    <x v="3"/>
    <s v="Percent of GDP"/>
    <s v="Units"/>
    <x v="1"/>
    <n v="50.462000000000003"/>
  </r>
  <r>
    <n v="110"/>
    <x v="0"/>
    <x v="2"/>
    <x v="3"/>
    <s v="Percent of GDP"/>
    <s v="Units"/>
    <x v="2"/>
    <n v="50.936999999999998"/>
  </r>
  <r>
    <n v="110"/>
    <x v="0"/>
    <x v="2"/>
    <x v="3"/>
    <s v="Percent of GDP"/>
    <s v="Units"/>
    <x v="3"/>
    <n v="49.476999999999997"/>
  </r>
  <r>
    <n v="110"/>
    <x v="0"/>
    <x v="2"/>
    <x v="3"/>
    <s v="Percent of GDP"/>
    <s v="Units"/>
    <x v="4"/>
    <n v="48.267000000000003"/>
  </r>
  <r>
    <n v="110"/>
    <x v="0"/>
    <x v="2"/>
    <x v="3"/>
    <s v="Percent of GDP"/>
    <s v="Units"/>
    <x v="5"/>
    <n v="47.777999999999999"/>
  </r>
  <r>
    <n v="110"/>
    <x v="0"/>
    <x v="2"/>
    <x v="3"/>
    <s v="Percent of GDP"/>
    <s v="Units"/>
    <x v="6"/>
    <n v="47.765000000000001"/>
  </r>
  <r>
    <n v="998"/>
    <x v="6"/>
    <x v="2"/>
    <x v="3"/>
    <s v="Percent of GDP"/>
    <s v="Units"/>
    <x v="0"/>
    <n v="45.003"/>
  </r>
  <r>
    <n v="998"/>
    <x v="6"/>
    <x v="2"/>
    <x v="3"/>
    <s v="Percent of GDP"/>
    <s v="Units"/>
    <x v="1"/>
    <n v="50.462000000000003"/>
  </r>
  <r>
    <n v="998"/>
    <x v="6"/>
    <x v="2"/>
    <x v="3"/>
    <s v="Percent of GDP"/>
    <s v="Units"/>
    <x v="2"/>
    <n v="50.936999999999998"/>
  </r>
  <r>
    <n v="998"/>
    <x v="6"/>
    <x v="2"/>
    <x v="3"/>
    <s v="Percent of GDP"/>
    <s v="Units"/>
    <x v="3"/>
    <n v="49.476999999999997"/>
  </r>
  <r>
    <n v="998"/>
    <x v="6"/>
    <x v="2"/>
    <x v="3"/>
    <s v="Percent of GDP"/>
    <s v="Units"/>
    <x v="4"/>
    <n v="48.267000000000003"/>
  </r>
  <r>
    <n v="998"/>
    <x v="6"/>
    <x v="2"/>
    <x v="3"/>
    <s v="Percent of GDP"/>
    <s v="Units"/>
    <x v="5"/>
    <n v="47.777999999999999"/>
  </r>
  <r>
    <n v="998"/>
    <x v="6"/>
    <x v="2"/>
    <x v="3"/>
    <s v="Percent of GDP"/>
    <s v="Units"/>
    <x v="6"/>
    <n v="47.765000000000001"/>
  </r>
  <r>
    <n v="163"/>
    <x v="5"/>
    <x v="2"/>
    <x v="3"/>
    <s v="Percent of GDP"/>
    <s v="Units"/>
    <x v="0"/>
    <n v="45.003"/>
  </r>
  <r>
    <n v="163"/>
    <x v="5"/>
    <x v="2"/>
    <x v="3"/>
    <s v="Percent of GDP"/>
    <s v="Units"/>
    <x v="1"/>
    <n v="50.462000000000003"/>
  </r>
  <r>
    <n v="163"/>
    <x v="5"/>
    <x v="2"/>
    <x v="3"/>
    <s v="Percent of GDP"/>
    <s v="Units"/>
    <x v="2"/>
    <n v="50.936999999999998"/>
  </r>
  <r>
    <n v="163"/>
    <x v="5"/>
    <x v="2"/>
    <x v="3"/>
    <s v="Percent of GDP"/>
    <s v="Units"/>
    <x v="3"/>
    <n v="49.476999999999997"/>
  </r>
  <r>
    <n v="163"/>
    <x v="5"/>
    <x v="2"/>
    <x v="3"/>
    <s v="Percent of GDP"/>
    <s v="Units"/>
    <x v="4"/>
    <n v="48.267000000000003"/>
  </r>
  <r>
    <n v="163"/>
    <x v="5"/>
    <x v="2"/>
    <x v="3"/>
    <s v="Percent of GDP"/>
    <s v="Units"/>
    <x v="5"/>
    <n v="47.777999999999999"/>
  </r>
  <r>
    <n v="163"/>
    <x v="5"/>
    <x v="2"/>
    <x v="3"/>
    <s v="Percent of GDP"/>
    <s v="Units"/>
    <x v="6"/>
    <n v="47.765000000000001"/>
  </r>
  <r>
    <n v="998"/>
    <x v="6"/>
    <x v="53"/>
    <x v="3"/>
    <s v="Percent of GDP"/>
    <s v="Units"/>
    <x v="0"/>
    <n v="48.073"/>
  </r>
  <r>
    <n v="998"/>
    <x v="6"/>
    <x v="53"/>
    <x v="3"/>
    <s v="Percent of GDP"/>
    <s v="Units"/>
    <x v="1"/>
    <n v="60.195"/>
  </r>
  <r>
    <n v="998"/>
    <x v="6"/>
    <x v="53"/>
    <x v="3"/>
    <s v="Percent of GDP"/>
    <s v="Units"/>
    <x v="2"/>
    <n v="57.673999999999999"/>
  </r>
  <r>
    <n v="998"/>
    <x v="6"/>
    <x v="53"/>
    <x v="3"/>
    <s v="Percent of GDP"/>
    <s v="Units"/>
    <x v="3"/>
    <n v="52.908999999999999"/>
  </r>
  <r>
    <n v="998"/>
    <x v="6"/>
    <x v="53"/>
    <x v="3"/>
    <s v="Percent of GDP"/>
    <s v="Units"/>
    <x v="4"/>
    <n v="48.774000000000001"/>
  </r>
  <r>
    <n v="998"/>
    <x v="6"/>
    <x v="53"/>
    <x v="3"/>
    <s v="Percent of GDP"/>
    <s v="Units"/>
    <x v="5"/>
    <n v="47.74"/>
  </r>
  <r>
    <n v="998"/>
    <x v="6"/>
    <x v="53"/>
    <x v="3"/>
    <s v="Percent of GDP"/>
    <s v="Units"/>
    <x v="6"/>
    <n v="47.837000000000003"/>
  </r>
  <r>
    <n v="163"/>
    <x v="5"/>
    <x v="53"/>
    <x v="3"/>
    <s v="Percent of GDP"/>
    <s v="Units"/>
    <x v="0"/>
    <n v="48.073"/>
  </r>
  <r>
    <n v="163"/>
    <x v="5"/>
    <x v="53"/>
    <x v="3"/>
    <s v="Percent of GDP"/>
    <s v="Units"/>
    <x v="1"/>
    <n v="60.195"/>
  </r>
  <r>
    <n v="163"/>
    <x v="5"/>
    <x v="53"/>
    <x v="3"/>
    <s v="Percent of GDP"/>
    <s v="Units"/>
    <x v="2"/>
    <n v="57.673999999999999"/>
  </r>
  <r>
    <n v="163"/>
    <x v="5"/>
    <x v="53"/>
    <x v="3"/>
    <s v="Percent of GDP"/>
    <s v="Units"/>
    <x v="3"/>
    <n v="52.908999999999999"/>
  </r>
  <r>
    <n v="163"/>
    <x v="5"/>
    <x v="53"/>
    <x v="3"/>
    <s v="Percent of GDP"/>
    <s v="Units"/>
    <x v="4"/>
    <n v="48.774000000000001"/>
  </r>
  <r>
    <n v="163"/>
    <x v="5"/>
    <x v="53"/>
    <x v="3"/>
    <s v="Percent of GDP"/>
    <s v="Units"/>
    <x v="5"/>
    <n v="47.74"/>
  </r>
  <r>
    <n v="163"/>
    <x v="5"/>
    <x v="53"/>
    <x v="3"/>
    <s v="Percent of GDP"/>
    <s v="Units"/>
    <x v="6"/>
    <n v="47.837000000000003"/>
  </r>
  <r>
    <n v="110"/>
    <x v="0"/>
    <x v="53"/>
    <x v="3"/>
    <s v="Percent of GDP"/>
    <s v="Units"/>
    <x v="0"/>
    <n v="48.073"/>
  </r>
  <r>
    <n v="110"/>
    <x v="0"/>
    <x v="53"/>
    <x v="3"/>
    <s v="Percent of GDP"/>
    <s v="Units"/>
    <x v="1"/>
    <n v="60.195"/>
  </r>
  <r>
    <n v="110"/>
    <x v="0"/>
    <x v="53"/>
    <x v="3"/>
    <s v="Percent of GDP"/>
    <s v="Units"/>
    <x v="2"/>
    <n v="57.673999999999999"/>
  </r>
  <r>
    <n v="110"/>
    <x v="0"/>
    <x v="53"/>
    <x v="3"/>
    <s v="Percent of GDP"/>
    <s v="Units"/>
    <x v="3"/>
    <n v="52.908999999999999"/>
  </r>
  <r>
    <n v="110"/>
    <x v="0"/>
    <x v="53"/>
    <x v="3"/>
    <s v="Percent of GDP"/>
    <s v="Units"/>
    <x v="4"/>
    <n v="48.774000000000001"/>
  </r>
  <r>
    <n v="110"/>
    <x v="0"/>
    <x v="53"/>
    <x v="3"/>
    <s v="Percent of GDP"/>
    <s v="Units"/>
    <x v="5"/>
    <n v="47.74"/>
  </r>
  <r>
    <n v="110"/>
    <x v="0"/>
    <x v="53"/>
    <x v="3"/>
    <s v="Percent of GDP"/>
    <s v="Units"/>
    <x v="6"/>
    <n v="47.837000000000003"/>
  </r>
  <r>
    <n v="123"/>
    <x v="9"/>
    <x v="37"/>
    <x v="3"/>
    <s v="Percent of GDP"/>
    <s v="Units"/>
    <x v="0"/>
    <n v="49.667999999999999"/>
  </r>
  <r>
    <n v="123"/>
    <x v="9"/>
    <x v="37"/>
    <x v="3"/>
    <s v="Percent of GDP"/>
    <s v="Units"/>
    <x v="1"/>
    <n v="53.476999999999997"/>
  </r>
  <r>
    <n v="123"/>
    <x v="9"/>
    <x v="37"/>
    <x v="3"/>
    <s v="Percent of GDP"/>
    <s v="Units"/>
    <x v="2"/>
    <n v="49.805"/>
  </r>
  <r>
    <n v="123"/>
    <x v="9"/>
    <x v="37"/>
    <x v="3"/>
    <s v="Percent of GDP"/>
    <s v="Units"/>
    <x v="3"/>
    <n v="44.975999999999999"/>
  </r>
  <r>
    <n v="123"/>
    <x v="9"/>
    <x v="37"/>
    <x v="3"/>
    <s v="Percent of GDP"/>
    <s v="Units"/>
    <x v="4"/>
    <n v="46.798000000000002"/>
  </r>
  <r>
    <n v="123"/>
    <x v="9"/>
    <x v="37"/>
    <x v="3"/>
    <s v="Percent of GDP"/>
    <s v="Units"/>
    <x v="5"/>
    <n v="47.735999999999997"/>
  </r>
  <r>
    <n v="123"/>
    <x v="9"/>
    <x v="37"/>
    <x v="3"/>
    <s v="Percent of GDP"/>
    <s v="Units"/>
    <x v="6"/>
    <n v="48.451000000000001"/>
  </r>
  <r>
    <n v="110"/>
    <x v="0"/>
    <x v="37"/>
    <x v="3"/>
    <s v="Percent of GDP"/>
    <s v="Units"/>
    <x v="0"/>
    <n v="49.667999999999999"/>
  </r>
  <r>
    <n v="110"/>
    <x v="0"/>
    <x v="37"/>
    <x v="3"/>
    <s v="Percent of GDP"/>
    <s v="Units"/>
    <x v="1"/>
    <n v="53.476999999999997"/>
  </r>
  <r>
    <n v="110"/>
    <x v="0"/>
    <x v="37"/>
    <x v="3"/>
    <s v="Percent of GDP"/>
    <s v="Units"/>
    <x v="2"/>
    <n v="49.805"/>
  </r>
  <r>
    <n v="110"/>
    <x v="0"/>
    <x v="37"/>
    <x v="3"/>
    <s v="Percent of GDP"/>
    <s v="Units"/>
    <x v="3"/>
    <n v="44.975999999999999"/>
  </r>
  <r>
    <n v="110"/>
    <x v="0"/>
    <x v="37"/>
    <x v="3"/>
    <s v="Percent of GDP"/>
    <s v="Units"/>
    <x v="4"/>
    <n v="46.798000000000002"/>
  </r>
  <r>
    <n v="110"/>
    <x v="0"/>
    <x v="37"/>
    <x v="3"/>
    <s v="Percent of GDP"/>
    <s v="Units"/>
    <x v="5"/>
    <n v="47.735999999999997"/>
  </r>
  <r>
    <n v="110"/>
    <x v="0"/>
    <x v="37"/>
    <x v="3"/>
    <s v="Percent of GDP"/>
    <s v="Units"/>
    <x v="6"/>
    <n v="48.451000000000001"/>
  </r>
  <r>
    <n v="998"/>
    <x v="6"/>
    <x v="37"/>
    <x v="3"/>
    <s v="Percent of GDP"/>
    <s v="Units"/>
    <x v="0"/>
    <n v="49.667999999999999"/>
  </r>
  <r>
    <n v="998"/>
    <x v="6"/>
    <x v="37"/>
    <x v="3"/>
    <s v="Percent of GDP"/>
    <s v="Units"/>
    <x v="1"/>
    <n v="53.476999999999997"/>
  </r>
  <r>
    <n v="998"/>
    <x v="6"/>
    <x v="37"/>
    <x v="3"/>
    <s v="Percent of GDP"/>
    <s v="Units"/>
    <x v="2"/>
    <n v="49.805"/>
  </r>
  <r>
    <n v="998"/>
    <x v="6"/>
    <x v="37"/>
    <x v="3"/>
    <s v="Percent of GDP"/>
    <s v="Units"/>
    <x v="3"/>
    <n v="44.975999999999999"/>
  </r>
  <r>
    <n v="998"/>
    <x v="6"/>
    <x v="37"/>
    <x v="3"/>
    <s v="Percent of GDP"/>
    <s v="Units"/>
    <x v="4"/>
    <n v="46.798000000000002"/>
  </r>
  <r>
    <n v="998"/>
    <x v="6"/>
    <x v="37"/>
    <x v="3"/>
    <s v="Percent of GDP"/>
    <s v="Units"/>
    <x v="5"/>
    <n v="47.735999999999997"/>
  </r>
  <r>
    <n v="998"/>
    <x v="6"/>
    <x v="37"/>
    <x v="3"/>
    <s v="Percent of GDP"/>
    <s v="Units"/>
    <x v="6"/>
    <n v="48.451000000000001"/>
  </r>
  <r>
    <n v="200"/>
    <x v="3"/>
    <x v="50"/>
    <x v="3"/>
    <s v="Percent of GDP"/>
    <s v="Units"/>
    <x v="0"/>
    <n v="35.264000000000003"/>
  </r>
  <r>
    <n v="200"/>
    <x v="3"/>
    <x v="50"/>
    <x v="3"/>
    <s v="Percent of GDP"/>
    <s v="Units"/>
    <x v="1"/>
    <n v="42.176000000000002"/>
  </r>
  <r>
    <n v="200"/>
    <x v="3"/>
    <x v="50"/>
    <x v="3"/>
    <s v="Percent of GDP"/>
    <s v="Units"/>
    <x v="2"/>
    <n v="37.097999999999999"/>
  </r>
  <r>
    <n v="200"/>
    <x v="3"/>
    <x v="50"/>
    <x v="3"/>
    <s v="Percent of GDP"/>
    <s v="Units"/>
    <x v="3"/>
    <n v="37.402999999999999"/>
  </r>
  <r>
    <n v="200"/>
    <x v="3"/>
    <x v="50"/>
    <x v="3"/>
    <s v="Percent of GDP"/>
    <s v="Units"/>
    <x v="4"/>
    <n v="43.853000000000002"/>
  </r>
  <r>
    <n v="200"/>
    <x v="3"/>
    <x v="50"/>
    <x v="3"/>
    <s v="Percent of GDP"/>
    <s v="Units"/>
    <x v="5"/>
    <n v="47.661999999999999"/>
  </r>
  <r>
    <n v="200"/>
    <x v="3"/>
    <x v="50"/>
    <x v="3"/>
    <s v="Percent of GDP"/>
    <s v="Units"/>
    <x v="6"/>
    <n v="47.203000000000003"/>
  </r>
  <r>
    <n v="400"/>
    <x v="11"/>
    <x v="50"/>
    <x v="3"/>
    <s v="Percent of GDP"/>
    <s v="Units"/>
    <x v="0"/>
    <n v="35.264000000000003"/>
  </r>
  <r>
    <n v="400"/>
    <x v="11"/>
    <x v="50"/>
    <x v="3"/>
    <s v="Percent of GDP"/>
    <s v="Units"/>
    <x v="1"/>
    <n v="42.176000000000002"/>
  </r>
  <r>
    <n v="400"/>
    <x v="11"/>
    <x v="50"/>
    <x v="3"/>
    <s v="Percent of GDP"/>
    <s v="Units"/>
    <x v="2"/>
    <n v="37.097999999999999"/>
  </r>
  <r>
    <n v="400"/>
    <x v="11"/>
    <x v="50"/>
    <x v="3"/>
    <s v="Percent of GDP"/>
    <s v="Units"/>
    <x v="3"/>
    <n v="37.402999999999999"/>
  </r>
  <r>
    <n v="400"/>
    <x v="11"/>
    <x v="50"/>
    <x v="3"/>
    <s v="Percent of GDP"/>
    <s v="Units"/>
    <x v="4"/>
    <n v="43.853000000000002"/>
  </r>
  <r>
    <n v="400"/>
    <x v="11"/>
    <x v="50"/>
    <x v="3"/>
    <s v="Percent of GDP"/>
    <s v="Units"/>
    <x v="5"/>
    <n v="47.661999999999999"/>
  </r>
  <r>
    <n v="400"/>
    <x v="11"/>
    <x v="50"/>
    <x v="3"/>
    <s v="Percent of GDP"/>
    <s v="Units"/>
    <x v="6"/>
    <n v="47.203000000000003"/>
  </r>
  <r>
    <n v="1"/>
    <x v="2"/>
    <x v="105"/>
    <x v="7"/>
    <s v="Percent of GDP"/>
    <s v="Units"/>
    <x v="0"/>
    <n v="40.384999999999998"/>
  </r>
  <r>
    <n v="1"/>
    <x v="2"/>
    <x v="105"/>
    <x v="7"/>
    <s v="Percent of GDP"/>
    <s v="Units"/>
    <x v="1"/>
    <n v="28.64"/>
  </r>
  <r>
    <n v="1"/>
    <x v="2"/>
    <x v="105"/>
    <x v="7"/>
    <s v="Percent of GDP"/>
    <s v="Units"/>
    <x v="2"/>
    <n v="41.567999999999998"/>
  </r>
  <r>
    <n v="1"/>
    <x v="2"/>
    <x v="105"/>
    <x v="7"/>
    <s v="Percent of GDP"/>
    <s v="Units"/>
    <x v="3"/>
    <n v="45.752000000000002"/>
  </r>
  <r>
    <n v="1"/>
    <x v="2"/>
    <x v="105"/>
    <x v="7"/>
    <s v="Percent of GDP"/>
    <s v="Units"/>
    <x v="4"/>
    <n v="44.527000000000001"/>
  </r>
  <r>
    <n v="1"/>
    <x v="2"/>
    <x v="105"/>
    <x v="7"/>
    <s v="Percent of GDP"/>
    <s v="Units"/>
    <x v="5"/>
    <n v="47.600999999999999"/>
  </r>
  <r>
    <n v="1"/>
    <x v="2"/>
    <x v="105"/>
    <x v="7"/>
    <s v="Percent of GDP"/>
    <s v="Units"/>
    <x v="6"/>
    <n v="49.985999999999997"/>
  </r>
  <r>
    <n v="200"/>
    <x v="3"/>
    <x v="105"/>
    <x v="7"/>
    <s v="Percent of GDP"/>
    <s v="Units"/>
    <x v="0"/>
    <n v="40.384999999999998"/>
  </r>
  <r>
    <n v="200"/>
    <x v="3"/>
    <x v="105"/>
    <x v="7"/>
    <s v="Percent of GDP"/>
    <s v="Units"/>
    <x v="1"/>
    <n v="28.64"/>
  </r>
  <r>
    <n v="200"/>
    <x v="3"/>
    <x v="105"/>
    <x v="7"/>
    <s v="Percent of GDP"/>
    <s v="Units"/>
    <x v="2"/>
    <n v="41.567999999999998"/>
  </r>
  <r>
    <n v="200"/>
    <x v="3"/>
    <x v="105"/>
    <x v="7"/>
    <s v="Percent of GDP"/>
    <s v="Units"/>
    <x v="3"/>
    <n v="45.752000000000002"/>
  </r>
  <r>
    <n v="200"/>
    <x v="3"/>
    <x v="105"/>
    <x v="7"/>
    <s v="Percent of GDP"/>
    <s v="Units"/>
    <x v="4"/>
    <n v="44.527000000000001"/>
  </r>
  <r>
    <n v="200"/>
    <x v="3"/>
    <x v="105"/>
    <x v="7"/>
    <s v="Percent of GDP"/>
    <s v="Units"/>
    <x v="5"/>
    <n v="47.600999999999999"/>
  </r>
  <r>
    <n v="200"/>
    <x v="3"/>
    <x v="105"/>
    <x v="7"/>
    <s v="Percent of GDP"/>
    <s v="Units"/>
    <x v="6"/>
    <n v="49.985999999999997"/>
  </r>
  <r>
    <n v="205"/>
    <x v="7"/>
    <x v="105"/>
    <x v="7"/>
    <s v="Percent of GDP"/>
    <s v="Units"/>
    <x v="0"/>
    <n v="40.384999999999998"/>
  </r>
  <r>
    <n v="205"/>
    <x v="7"/>
    <x v="105"/>
    <x v="7"/>
    <s v="Percent of GDP"/>
    <s v="Units"/>
    <x v="1"/>
    <n v="28.64"/>
  </r>
  <r>
    <n v="205"/>
    <x v="7"/>
    <x v="105"/>
    <x v="7"/>
    <s v="Percent of GDP"/>
    <s v="Units"/>
    <x v="2"/>
    <n v="41.567999999999998"/>
  </r>
  <r>
    <n v="205"/>
    <x v="7"/>
    <x v="105"/>
    <x v="7"/>
    <s v="Percent of GDP"/>
    <s v="Units"/>
    <x v="3"/>
    <n v="45.752000000000002"/>
  </r>
  <r>
    <n v="205"/>
    <x v="7"/>
    <x v="105"/>
    <x v="7"/>
    <s v="Percent of GDP"/>
    <s v="Units"/>
    <x v="4"/>
    <n v="44.527000000000001"/>
  </r>
  <r>
    <n v="205"/>
    <x v="7"/>
    <x v="105"/>
    <x v="7"/>
    <s v="Percent of GDP"/>
    <s v="Units"/>
    <x v="5"/>
    <n v="47.600999999999999"/>
  </r>
  <r>
    <n v="205"/>
    <x v="7"/>
    <x v="105"/>
    <x v="7"/>
    <s v="Percent of GDP"/>
    <s v="Units"/>
    <x v="6"/>
    <n v="49.985999999999997"/>
  </r>
  <r>
    <n v="200"/>
    <x v="3"/>
    <x v="55"/>
    <x v="3"/>
    <s v="Percent of GDP"/>
    <s v="Units"/>
    <x v="0"/>
    <n v="46.085000000000001"/>
  </r>
  <r>
    <n v="200"/>
    <x v="3"/>
    <x v="55"/>
    <x v="3"/>
    <s v="Percent of GDP"/>
    <s v="Units"/>
    <x v="1"/>
    <n v="51.420999999999999"/>
  </r>
  <r>
    <n v="200"/>
    <x v="3"/>
    <x v="55"/>
    <x v="3"/>
    <s v="Percent of GDP"/>
    <s v="Units"/>
    <x v="2"/>
    <n v="48.393999999999998"/>
  </r>
  <r>
    <n v="200"/>
    <x v="3"/>
    <x v="55"/>
    <x v="3"/>
    <s v="Percent of GDP"/>
    <s v="Units"/>
    <x v="3"/>
    <n v="48.838999999999999"/>
  </r>
  <r>
    <n v="200"/>
    <x v="3"/>
    <x v="55"/>
    <x v="3"/>
    <s v="Percent of GDP"/>
    <s v="Units"/>
    <x v="4"/>
    <n v="47.42"/>
  </r>
  <r>
    <n v="200"/>
    <x v="3"/>
    <x v="55"/>
    <x v="3"/>
    <s v="Percent of GDP"/>
    <s v="Units"/>
    <x v="5"/>
    <n v="47.48"/>
  </r>
  <r>
    <n v="200"/>
    <x v="3"/>
    <x v="55"/>
    <x v="3"/>
    <s v="Percent of GDP"/>
    <s v="Units"/>
    <x v="6"/>
    <n v="46.44"/>
  </r>
  <r>
    <n v="998"/>
    <x v="6"/>
    <x v="55"/>
    <x v="3"/>
    <s v="Percent of GDP"/>
    <s v="Units"/>
    <x v="0"/>
    <n v="46.085000000000001"/>
  </r>
  <r>
    <n v="998"/>
    <x v="6"/>
    <x v="55"/>
    <x v="3"/>
    <s v="Percent of GDP"/>
    <s v="Units"/>
    <x v="1"/>
    <n v="51.420999999999999"/>
  </r>
  <r>
    <n v="998"/>
    <x v="6"/>
    <x v="55"/>
    <x v="3"/>
    <s v="Percent of GDP"/>
    <s v="Units"/>
    <x v="2"/>
    <n v="48.393999999999998"/>
  </r>
  <r>
    <n v="998"/>
    <x v="6"/>
    <x v="55"/>
    <x v="3"/>
    <s v="Percent of GDP"/>
    <s v="Units"/>
    <x v="3"/>
    <n v="48.838999999999999"/>
  </r>
  <r>
    <n v="998"/>
    <x v="6"/>
    <x v="55"/>
    <x v="3"/>
    <s v="Percent of GDP"/>
    <s v="Units"/>
    <x v="4"/>
    <n v="47.42"/>
  </r>
  <r>
    <n v="998"/>
    <x v="6"/>
    <x v="55"/>
    <x v="3"/>
    <s v="Percent of GDP"/>
    <s v="Units"/>
    <x v="5"/>
    <n v="47.48"/>
  </r>
  <r>
    <n v="998"/>
    <x v="6"/>
    <x v="55"/>
    <x v="3"/>
    <s v="Percent of GDP"/>
    <s v="Units"/>
    <x v="6"/>
    <n v="46.44"/>
  </r>
  <r>
    <n v="903"/>
    <x v="8"/>
    <x v="55"/>
    <x v="3"/>
    <s v="Percent of GDP"/>
    <s v="Units"/>
    <x v="0"/>
    <n v="46.085000000000001"/>
  </r>
  <r>
    <n v="903"/>
    <x v="8"/>
    <x v="55"/>
    <x v="3"/>
    <s v="Percent of GDP"/>
    <s v="Units"/>
    <x v="1"/>
    <n v="51.420999999999999"/>
  </r>
  <r>
    <n v="903"/>
    <x v="8"/>
    <x v="55"/>
    <x v="3"/>
    <s v="Percent of GDP"/>
    <s v="Units"/>
    <x v="2"/>
    <n v="48.393999999999998"/>
  </r>
  <r>
    <n v="903"/>
    <x v="8"/>
    <x v="55"/>
    <x v="3"/>
    <s v="Percent of GDP"/>
    <s v="Units"/>
    <x v="3"/>
    <n v="48.838999999999999"/>
  </r>
  <r>
    <n v="903"/>
    <x v="8"/>
    <x v="55"/>
    <x v="3"/>
    <s v="Percent of GDP"/>
    <s v="Units"/>
    <x v="4"/>
    <n v="47.42"/>
  </r>
  <r>
    <n v="903"/>
    <x v="8"/>
    <x v="55"/>
    <x v="3"/>
    <s v="Percent of GDP"/>
    <s v="Units"/>
    <x v="5"/>
    <n v="47.48"/>
  </r>
  <r>
    <n v="903"/>
    <x v="8"/>
    <x v="55"/>
    <x v="3"/>
    <s v="Percent of GDP"/>
    <s v="Units"/>
    <x v="6"/>
    <n v="46.44"/>
  </r>
  <r>
    <n v="110"/>
    <x v="0"/>
    <x v="22"/>
    <x v="2"/>
    <s v="Percent of GDP"/>
    <s v="Units"/>
    <x v="0"/>
    <n v="48.668999999999997"/>
  </r>
  <r>
    <n v="110"/>
    <x v="0"/>
    <x v="22"/>
    <x v="2"/>
    <s v="Percent of GDP"/>
    <s v="Units"/>
    <x v="1"/>
    <n v="48.253"/>
  </r>
  <r>
    <n v="110"/>
    <x v="0"/>
    <x v="22"/>
    <x v="2"/>
    <s v="Percent of GDP"/>
    <s v="Units"/>
    <x v="2"/>
    <n v="48.146999999999998"/>
  </r>
  <r>
    <n v="110"/>
    <x v="0"/>
    <x v="22"/>
    <x v="2"/>
    <s v="Percent of GDP"/>
    <s v="Units"/>
    <x v="3"/>
    <n v="48.066000000000003"/>
  </r>
  <r>
    <n v="110"/>
    <x v="0"/>
    <x v="22"/>
    <x v="2"/>
    <s v="Percent of GDP"/>
    <s v="Units"/>
    <x v="4"/>
    <n v="47.140999999999998"/>
  </r>
  <r>
    <n v="110"/>
    <x v="0"/>
    <x v="22"/>
    <x v="2"/>
    <s v="Percent of GDP"/>
    <s v="Units"/>
    <x v="5"/>
    <n v="47.384"/>
  </r>
  <r>
    <n v="110"/>
    <x v="0"/>
    <x v="22"/>
    <x v="2"/>
    <s v="Percent of GDP"/>
    <s v="Units"/>
    <x v="6"/>
    <n v="47.92"/>
  </r>
  <r>
    <n v="123"/>
    <x v="9"/>
    <x v="22"/>
    <x v="2"/>
    <s v="Percent of GDP"/>
    <s v="Units"/>
    <x v="0"/>
    <n v="48.668999999999997"/>
  </r>
  <r>
    <n v="123"/>
    <x v="9"/>
    <x v="22"/>
    <x v="2"/>
    <s v="Percent of GDP"/>
    <s v="Units"/>
    <x v="1"/>
    <n v="48.253"/>
  </r>
  <r>
    <n v="123"/>
    <x v="9"/>
    <x v="22"/>
    <x v="2"/>
    <s v="Percent of GDP"/>
    <s v="Units"/>
    <x v="2"/>
    <n v="48.146999999999998"/>
  </r>
  <r>
    <n v="123"/>
    <x v="9"/>
    <x v="22"/>
    <x v="2"/>
    <s v="Percent of GDP"/>
    <s v="Units"/>
    <x v="3"/>
    <n v="48.066000000000003"/>
  </r>
  <r>
    <n v="123"/>
    <x v="9"/>
    <x v="22"/>
    <x v="2"/>
    <s v="Percent of GDP"/>
    <s v="Units"/>
    <x v="4"/>
    <n v="47.140999999999998"/>
  </r>
  <r>
    <n v="123"/>
    <x v="9"/>
    <x v="22"/>
    <x v="2"/>
    <s v="Percent of GDP"/>
    <s v="Units"/>
    <x v="5"/>
    <n v="47.384"/>
  </r>
  <r>
    <n v="123"/>
    <x v="9"/>
    <x v="22"/>
    <x v="2"/>
    <s v="Percent of GDP"/>
    <s v="Units"/>
    <x v="6"/>
    <n v="47.92"/>
  </r>
  <r>
    <n v="998"/>
    <x v="6"/>
    <x v="22"/>
    <x v="2"/>
    <s v="Percent of GDP"/>
    <s v="Units"/>
    <x v="0"/>
    <n v="48.668999999999997"/>
  </r>
  <r>
    <n v="998"/>
    <x v="6"/>
    <x v="22"/>
    <x v="2"/>
    <s v="Percent of GDP"/>
    <s v="Units"/>
    <x v="1"/>
    <n v="48.253"/>
  </r>
  <r>
    <n v="998"/>
    <x v="6"/>
    <x v="22"/>
    <x v="2"/>
    <s v="Percent of GDP"/>
    <s v="Units"/>
    <x v="2"/>
    <n v="48.146999999999998"/>
  </r>
  <r>
    <n v="998"/>
    <x v="6"/>
    <x v="22"/>
    <x v="2"/>
    <s v="Percent of GDP"/>
    <s v="Units"/>
    <x v="3"/>
    <n v="48.066000000000003"/>
  </r>
  <r>
    <n v="998"/>
    <x v="6"/>
    <x v="22"/>
    <x v="2"/>
    <s v="Percent of GDP"/>
    <s v="Units"/>
    <x v="4"/>
    <n v="47.140999999999998"/>
  </r>
  <r>
    <n v="998"/>
    <x v="6"/>
    <x v="22"/>
    <x v="2"/>
    <s v="Percent of GDP"/>
    <s v="Units"/>
    <x v="5"/>
    <n v="47.384"/>
  </r>
  <r>
    <n v="998"/>
    <x v="6"/>
    <x v="22"/>
    <x v="2"/>
    <s v="Percent of GDP"/>
    <s v="Units"/>
    <x v="6"/>
    <n v="47.92"/>
  </r>
  <r>
    <n v="110"/>
    <x v="0"/>
    <x v="78"/>
    <x v="3"/>
    <s v="Percent of GDP"/>
    <s v="Units"/>
    <x v="0"/>
    <n v="44.165999999999997"/>
  </r>
  <r>
    <n v="110"/>
    <x v="0"/>
    <x v="78"/>
    <x v="3"/>
    <s v="Percent of GDP"/>
    <s v="Units"/>
    <x v="1"/>
    <n v="54.006999999999998"/>
  </r>
  <r>
    <n v="110"/>
    <x v="0"/>
    <x v="78"/>
    <x v="3"/>
    <s v="Percent of GDP"/>
    <s v="Units"/>
    <x v="2"/>
    <n v="48.554000000000002"/>
  </r>
  <r>
    <n v="110"/>
    <x v="0"/>
    <x v="78"/>
    <x v="3"/>
    <s v="Percent of GDP"/>
    <s v="Units"/>
    <x v="3"/>
    <n v="44.911000000000001"/>
  </r>
  <r>
    <n v="110"/>
    <x v="0"/>
    <x v="78"/>
    <x v="3"/>
    <s v="Percent of GDP"/>
    <s v="Units"/>
    <x v="4"/>
    <n v="46.209000000000003"/>
  </r>
  <r>
    <n v="110"/>
    <x v="0"/>
    <x v="78"/>
    <x v="3"/>
    <s v="Percent of GDP"/>
    <s v="Units"/>
    <x v="5"/>
    <n v="47.195"/>
  </r>
  <r>
    <n v="110"/>
    <x v="0"/>
    <x v="78"/>
    <x v="3"/>
    <s v="Percent of GDP"/>
    <s v="Units"/>
    <x v="6"/>
    <n v="47.442"/>
  </r>
  <r>
    <n v="998"/>
    <x v="6"/>
    <x v="78"/>
    <x v="3"/>
    <s v="Percent of GDP"/>
    <s v="Units"/>
    <x v="0"/>
    <n v="44.165999999999997"/>
  </r>
  <r>
    <n v="998"/>
    <x v="6"/>
    <x v="78"/>
    <x v="3"/>
    <s v="Percent of GDP"/>
    <s v="Units"/>
    <x v="1"/>
    <n v="54.006999999999998"/>
  </r>
  <r>
    <n v="998"/>
    <x v="6"/>
    <x v="78"/>
    <x v="3"/>
    <s v="Percent of GDP"/>
    <s v="Units"/>
    <x v="2"/>
    <n v="48.554000000000002"/>
  </r>
  <r>
    <n v="998"/>
    <x v="6"/>
    <x v="78"/>
    <x v="3"/>
    <s v="Percent of GDP"/>
    <s v="Units"/>
    <x v="3"/>
    <n v="44.911000000000001"/>
  </r>
  <r>
    <n v="998"/>
    <x v="6"/>
    <x v="78"/>
    <x v="3"/>
    <s v="Percent of GDP"/>
    <s v="Units"/>
    <x v="4"/>
    <n v="46.209000000000003"/>
  </r>
  <r>
    <n v="998"/>
    <x v="6"/>
    <x v="78"/>
    <x v="3"/>
    <s v="Percent of GDP"/>
    <s v="Units"/>
    <x v="5"/>
    <n v="47.195"/>
  </r>
  <r>
    <n v="998"/>
    <x v="6"/>
    <x v="78"/>
    <x v="3"/>
    <s v="Percent of GDP"/>
    <s v="Units"/>
    <x v="6"/>
    <n v="47.442"/>
  </r>
  <r>
    <n v="163"/>
    <x v="5"/>
    <x v="78"/>
    <x v="3"/>
    <s v="Percent of GDP"/>
    <s v="Units"/>
    <x v="0"/>
    <n v="44.165999999999997"/>
  </r>
  <r>
    <n v="163"/>
    <x v="5"/>
    <x v="78"/>
    <x v="3"/>
    <s v="Percent of GDP"/>
    <s v="Units"/>
    <x v="1"/>
    <n v="54.006999999999998"/>
  </r>
  <r>
    <n v="163"/>
    <x v="5"/>
    <x v="78"/>
    <x v="3"/>
    <s v="Percent of GDP"/>
    <s v="Units"/>
    <x v="2"/>
    <n v="48.554000000000002"/>
  </r>
  <r>
    <n v="163"/>
    <x v="5"/>
    <x v="78"/>
    <x v="3"/>
    <s v="Percent of GDP"/>
    <s v="Units"/>
    <x v="3"/>
    <n v="44.911000000000001"/>
  </r>
  <r>
    <n v="163"/>
    <x v="5"/>
    <x v="78"/>
    <x v="3"/>
    <s v="Percent of GDP"/>
    <s v="Units"/>
    <x v="4"/>
    <n v="46.209000000000003"/>
  </r>
  <r>
    <n v="163"/>
    <x v="5"/>
    <x v="78"/>
    <x v="3"/>
    <s v="Percent of GDP"/>
    <s v="Units"/>
    <x v="5"/>
    <n v="47.195"/>
  </r>
  <r>
    <n v="163"/>
    <x v="5"/>
    <x v="78"/>
    <x v="3"/>
    <s v="Percent of GDP"/>
    <s v="Units"/>
    <x v="6"/>
    <n v="47.442"/>
  </r>
  <r>
    <n v="200"/>
    <x v="3"/>
    <x v="7"/>
    <x v="3"/>
    <s v="Percent of GDP"/>
    <s v="Units"/>
    <x v="0"/>
    <n v="46.808"/>
  </r>
  <r>
    <n v="200"/>
    <x v="3"/>
    <x v="7"/>
    <x v="3"/>
    <s v="Percent of GDP"/>
    <s v="Units"/>
    <x v="1"/>
    <n v="49.914999999999999"/>
  </r>
  <r>
    <n v="200"/>
    <x v="3"/>
    <x v="7"/>
    <x v="3"/>
    <s v="Percent of GDP"/>
    <s v="Units"/>
    <x v="2"/>
    <n v="42.944000000000003"/>
  </r>
  <r>
    <n v="200"/>
    <x v="3"/>
    <x v="7"/>
    <x v="3"/>
    <s v="Percent of GDP"/>
    <s v="Units"/>
    <x v="3"/>
    <n v="45.625999999999998"/>
  </r>
  <r>
    <n v="200"/>
    <x v="3"/>
    <x v="7"/>
    <x v="3"/>
    <s v="Percent of GDP"/>
    <s v="Units"/>
    <x v="4"/>
    <n v="47.85"/>
  </r>
  <r>
    <n v="200"/>
    <x v="3"/>
    <x v="7"/>
    <x v="3"/>
    <s v="Percent of GDP"/>
    <s v="Units"/>
    <x v="5"/>
    <n v="47.194000000000003"/>
  </r>
  <r>
    <n v="200"/>
    <x v="3"/>
    <x v="7"/>
    <x v="3"/>
    <s v="Percent of GDP"/>
    <s v="Units"/>
    <x v="6"/>
    <n v="46.661000000000001"/>
  </r>
  <r>
    <n v="205"/>
    <x v="7"/>
    <x v="7"/>
    <x v="3"/>
    <s v="Percent of GDP"/>
    <s v="Units"/>
    <x v="0"/>
    <n v="46.808"/>
  </r>
  <r>
    <n v="205"/>
    <x v="7"/>
    <x v="7"/>
    <x v="3"/>
    <s v="Percent of GDP"/>
    <s v="Units"/>
    <x v="1"/>
    <n v="49.914999999999999"/>
  </r>
  <r>
    <n v="205"/>
    <x v="7"/>
    <x v="7"/>
    <x v="3"/>
    <s v="Percent of GDP"/>
    <s v="Units"/>
    <x v="2"/>
    <n v="42.944000000000003"/>
  </r>
  <r>
    <n v="205"/>
    <x v="7"/>
    <x v="7"/>
    <x v="3"/>
    <s v="Percent of GDP"/>
    <s v="Units"/>
    <x v="3"/>
    <n v="45.625999999999998"/>
  </r>
  <r>
    <n v="205"/>
    <x v="7"/>
    <x v="7"/>
    <x v="3"/>
    <s v="Percent of GDP"/>
    <s v="Units"/>
    <x v="4"/>
    <n v="47.85"/>
  </r>
  <r>
    <n v="205"/>
    <x v="7"/>
    <x v="7"/>
    <x v="3"/>
    <s v="Percent of GDP"/>
    <s v="Units"/>
    <x v="5"/>
    <n v="47.194000000000003"/>
  </r>
  <r>
    <n v="205"/>
    <x v="7"/>
    <x v="7"/>
    <x v="3"/>
    <s v="Percent of GDP"/>
    <s v="Units"/>
    <x v="6"/>
    <n v="46.661000000000001"/>
  </r>
  <r>
    <n v="998"/>
    <x v="6"/>
    <x v="90"/>
    <x v="3"/>
    <s v="Percent of GDP"/>
    <s v="Units"/>
    <x v="0"/>
    <n v="43.377000000000002"/>
  </r>
  <r>
    <n v="998"/>
    <x v="6"/>
    <x v="90"/>
    <x v="3"/>
    <s v="Percent of GDP"/>
    <s v="Units"/>
    <x v="1"/>
    <n v="51.353999999999999"/>
  </r>
  <r>
    <n v="998"/>
    <x v="6"/>
    <x v="90"/>
    <x v="3"/>
    <s v="Percent of GDP"/>
    <s v="Units"/>
    <x v="2"/>
    <n v="49.460999999999999"/>
  </r>
  <r>
    <n v="998"/>
    <x v="6"/>
    <x v="90"/>
    <x v="3"/>
    <s v="Percent of GDP"/>
    <s v="Units"/>
    <x v="3"/>
    <n v="47.036000000000001"/>
  </r>
  <r>
    <n v="998"/>
    <x v="6"/>
    <x v="90"/>
    <x v="3"/>
    <s v="Percent of GDP"/>
    <s v="Units"/>
    <x v="4"/>
    <n v="47.372"/>
  </r>
  <r>
    <n v="998"/>
    <x v="6"/>
    <x v="90"/>
    <x v="3"/>
    <s v="Percent of GDP"/>
    <s v="Units"/>
    <x v="5"/>
    <n v="47.158999999999999"/>
  </r>
  <r>
    <n v="998"/>
    <x v="6"/>
    <x v="90"/>
    <x v="3"/>
    <s v="Percent of GDP"/>
    <s v="Units"/>
    <x v="6"/>
    <n v="46.207999999999998"/>
  </r>
  <r>
    <n v="110"/>
    <x v="0"/>
    <x v="90"/>
    <x v="3"/>
    <s v="Percent of GDP"/>
    <s v="Units"/>
    <x v="0"/>
    <n v="43.377000000000002"/>
  </r>
  <r>
    <n v="110"/>
    <x v="0"/>
    <x v="90"/>
    <x v="3"/>
    <s v="Percent of GDP"/>
    <s v="Units"/>
    <x v="1"/>
    <n v="51.353999999999999"/>
  </r>
  <r>
    <n v="110"/>
    <x v="0"/>
    <x v="90"/>
    <x v="3"/>
    <s v="Percent of GDP"/>
    <s v="Units"/>
    <x v="2"/>
    <n v="49.460999999999999"/>
  </r>
  <r>
    <n v="110"/>
    <x v="0"/>
    <x v="90"/>
    <x v="3"/>
    <s v="Percent of GDP"/>
    <s v="Units"/>
    <x v="3"/>
    <n v="47.036000000000001"/>
  </r>
  <r>
    <n v="110"/>
    <x v="0"/>
    <x v="90"/>
    <x v="3"/>
    <s v="Percent of GDP"/>
    <s v="Units"/>
    <x v="4"/>
    <n v="47.372"/>
  </r>
  <r>
    <n v="110"/>
    <x v="0"/>
    <x v="90"/>
    <x v="3"/>
    <s v="Percent of GDP"/>
    <s v="Units"/>
    <x v="5"/>
    <n v="47.158999999999999"/>
  </r>
  <r>
    <n v="110"/>
    <x v="0"/>
    <x v="90"/>
    <x v="3"/>
    <s v="Percent of GDP"/>
    <s v="Units"/>
    <x v="6"/>
    <n v="46.207999999999998"/>
  </r>
  <r>
    <n v="163"/>
    <x v="5"/>
    <x v="90"/>
    <x v="3"/>
    <s v="Percent of GDP"/>
    <s v="Units"/>
    <x v="0"/>
    <n v="43.377000000000002"/>
  </r>
  <r>
    <n v="163"/>
    <x v="5"/>
    <x v="90"/>
    <x v="3"/>
    <s v="Percent of GDP"/>
    <s v="Units"/>
    <x v="1"/>
    <n v="51.353999999999999"/>
  </r>
  <r>
    <n v="163"/>
    <x v="5"/>
    <x v="90"/>
    <x v="3"/>
    <s v="Percent of GDP"/>
    <s v="Units"/>
    <x v="2"/>
    <n v="49.460999999999999"/>
  </r>
  <r>
    <n v="163"/>
    <x v="5"/>
    <x v="90"/>
    <x v="3"/>
    <s v="Percent of GDP"/>
    <s v="Units"/>
    <x v="3"/>
    <n v="47.036000000000001"/>
  </r>
  <r>
    <n v="163"/>
    <x v="5"/>
    <x v="90"/>
    <x v="3"/>
    <s v="Percent of GDP"/>
    <s v="Units"/>
    <x v="4"/>
    <n v="47.372"/>
  </r>
  <r>
    <n v="163"/>
    <x v="5"/>
    <x v="90"/>
    <x v="3"/>
    <s v="Percent of GDP"/>
    <s v="Units"/>
    <x v="5"/>
    <n v="47.158999999999999"/>
  </r>
  <r>
    <n v="163"/>
    <x v="5"/>
    <x v="90"/>
    <x v="3"/>
    <s v="Percent of GDP"/>
    <s v="Units"/>
    <x v="6"/>
    <n v="46.207999999999998"/>
  </r>
  <r>
    <n v="998"/>
    <x v="6"/>
    <x v="76"/>
    <x v="2"/>
    <s v="Percent of GDP"/>
    <s v="Units"/>
    <x v="0"/>
    <n v="45.326999999999998"/>
  </r>
  <r>
    <n v="998"/>
    <x v="6"/>
    <x v="76"/>
    <x v="2"/>
    <s v="Percent of GDP"/>
    <s v="Units"/>
    <x v="1"/>
    <n v="43.517000000000003"/>
  </r>
  <r>
    <n v="998"/>
    <x v="6"/>
    <x v="76"/>
    <x v="2"/>
    <s v="Percent of GDP"/>
    <s v="Units"/>
    <x v="2"/>
    <n v="43.436"/>
  </r>
  <r>
    <n v="998"/>
    <x v="6"/>
    <x v="76"/>
    <x v="2"/>
    <s v="Percent of GDP"/>
    <s v="Units"/>
    <x v="3"/>
    <n v="43.598999999999997"/>
  </r>
  <r>
    <n v="998"/>
    <x v="6"/>
    <x v="76"/>
    <x v="2"/>
    <s v="Percent of GDP"/>
    <s v="Units"/>
    <x v="4"/>
    <n v="46.399000000000001"/>
  </r>
  <r>
    <n v="998"/>
    <x v="6"/>
    <x v="76"/>
    <x v="2"/>
    <s v="Percent of GDP"/>
    <s v="Units"/>
    <x v="5"/>
    <n v="47.04"/>
  </r>
  <r>
    <n v="998"/>
    <x v="6"/>
    <x v="76"/>
    <x v="2"/>
    <s v="Percent of GDP"/>
    <s v="Units"/>
    <x v="6"/>
    <n v="47.822000000000003"/>
  </r>
  <r>
    <n v="163"/>
    <x v="5"/>
    <x v="76"/>
    <x v="2"/>
    <s v="Percent of GDP"/>
    <s v="Units"/>
    <x v="0"/>
    <n v="45.326999999999998"/>
  </r>
  <r>
    <n v="163"/>
    <x v="5"/>
    <x v="76"/>
    <x v="2"/>
    <s v="Percent of GDP"/>
    <s v="Units"/>
    <x v="1"/>
    <n v="43.517000000000003"/>
  </r>
  <r>
    <n v="163"/>
    <x v="5"/>
    <x v="76"/>
    <x v="2"/>
    <s v="Percent of GDP"/>
    <s v="Units"/>
    <x v="2"/>
    <n v="43.436"/>
  </r>
  <r>
    <n v="163"/>
    <x v="5"/>
    <x v="76"/>
    <x v="2"/>
    <s v="Percent of GDP"/>
    <s v="Units"/>
    <x v="3"/>
    <n v="43.598999999999997"/>
  </r>
  <r>
    <n v="163"/>
    <x v="5"/>
    <x v="76"/>
    <x v="2"/>
    <s v="Percent of GDP"/>
    <s v="Units"/>
    <x v="4"/>
    <n v="46.399000000000001"/>
  </r>
  <r>
    <n v="163"/>
    <x v="5"/>
    <x v="76"/>
    <x v="2"/>
    <s v="Percent of GDP"/>
    <s v="Units"/>
    <x v="5"/>
    <n v="47.04"/>
  </r>
  <r>
    <n v="163"/>
    <x v="5"/>
    <x v="76"/>
    <x v="2"/>
    <s v="Percent of GDP"/>
    <s v="Units"/>
    <x v="6"/>
    <n v="47.822000000000003"/>
  </r>
  <r>
    <n v="110"/>
    <x v="0"/>
    <x v="76"/>
    <x v="2"/>
    <s v="Percent of GDP"/>
    <s v="Units"/>
    <x v="0"/>
    <n v="45.326999999999998"/>
  </r>
  <r>
    <n v="110"/>
    <x v="0"/>
    <x v="76"/>
    <x v="2"/>
    <s v="Percent of GDP"/>
    <s v="Units"/>
    <x v="1"/>
    <n v="43.517000000000003"/>
  </r>
  <r>
    <n v="110"/>
    <x v="0"/>
    <x v="76"/>
    <x v="2"/>
    <s v="Percent of GDP"/>
    <s v="Units"/>
    <x v="2"/>
    <n v="43.436"/>
  </r>
  <r>
    <n v="110"/>
    <x v="0"/>
    <x v="76"/>
    <x v="2"/>
    <s v="Percent of GDP"/>
    <s v="Units"/>
    <x v="3"/>
    <n v="43.598999999999997"/>
  </r>
  <r>
    <n v="110"/>
    <x v="0"/>
    <x v="76"/>
    <x v="2"/>
    <s v="Percent of GDP"/>
    <s v="Units"/>
    <x v="4"/>
    <n v="46.399000000000001"/>
  </r>
  <r>
    <n v="110"/>
    <x v="0"/>
    <x v="76"/>
    <x v="2"/>
    <s v="Percent of GDP"/>
    <s v="Units"/>
    <x v="5"/>
    <n v="47.04"/>
  </r>
  <r>
    <n v="110"/>
    <x v="0"/>
    <x v="76"/>
    <x v="2"/>
    <s v="Percent of GDP"/>
    <s v="Units"/>
    <x v="6"/>
    <n v="47.822000000000003"/>
  </r>
  <r>
    <n v="998"/>
    <x v="6"/>
    <x v="61"/>
    <x v="3"/>
    <s v="Percent of GDP"/>
    <s v="Units"/>
    <x v="0"/>
    <n v="40.533000000000001"/>
  </r>
  <r>
    <n v="998"/>
    <x v="6"/>
    <x v="61"/>
    <x v="3"/>
    <s v="Percent of GDP"/>
    <s v="Units"/>
    <x v="1"/>
    <n v="44.750999999999998"/>
  </r>
  <r>
    <n v="998"/>
    <x v="6"/>
    <x v="61"/>
    <x v="3"/>
    <s v="Percent of GDP"/>
    <s v="Units"/>
    <x v="2"/>
    <n v="45.604999999999997"/>
  </r>
  <r>
    <n v="998"/>
    <x v="6"/>
    <x v="61"/>
    <x v="3"/>
    <s v="Percent of GDP"/>
    <s v="Units"/>
    <x v="3"/>
    <n v="42.281999999999996"/>
  </r>
  <r>
    <n v="998"/>
    <x v="6"/>
    <x v="61"/>
    <x v="3"/>
    <s v="Percent of GDP"/>
    <s v="Units"/>
    <x v="4"/>
    <n v="47.914000000000001"/>
  </r>
  <r>
    <n v="998"/>
    <x v="6"/>
    <x v="61"/>
    <x v="3"/>
    <s v="Percent of GDP"/>
    <s v="Units"/>
    <x v="5"/>
    <n v="46.963000000000001"/>
  </r>
  <r>
    <n v="998"/>
    <x v="6"/>
    <x v="61"/>
    <x v="3"/>
    <s v="Percent of GDP"/>
    <s v="Units"/>
    <x v="6"/>
    <n v="46.170999999999999"/>
  </r>
  <r>
    <n v="110"/>
    <x v="0"/>
    <x v="61"/>
    <x v="3"/>
    <s v="Percent of GDP"/>
    <s v="Units"/>
    <x v="0"/>
    <n v="40.533000000000001"/>
  </r>
  <r>
    <n v="110"/>
    <x v="0"/>
    <x v="61"/>
    <x v="3"/>
    <s v="Percent of GDP"/>
    <s v="Units"/>
    <x v="1"/>
    <n v="44.750999999999998"/>
  </r>
  <r>
    <n v="110"/>
    <x v="0"/>
    <x v="61"/>
    <x v="3"/>
    <s v="Percent of GDP"/>
    <s v="Units"/>
    <x v="2"/>
    <n v="45.604999999999997"/>
  </r>
  <r>
    <n v="110"/>
    <x v="0"/>
    <x v="61"/>
    <x v="3"/>
    <s v="Percent of GDP"/>
    <s v="Units"/>
    <x v="3"/>
    <n v="42.281999999999996"/>
  </r>
  <r>
    <n v="110"/>
    <x v="0"/>
    <x v="61"/>
    <x v="3"/>
    <s v="Percent of GDP"/>
    <s v="Units"/>
    <x v="4"/>
    <n v="47.914000000000001"/>
  </r>
  <r>
    <n v="110"/>
    <x v="0"/>
    <x v="61"/>
    <x v="3"/>
    <s v="Percent of GDP"/>
    <s v="Units"/>
    <x v="5"/>
    <n v="46.963000000000001"/>
  </r>
  <r>
    <n v="110"/>
    <x v="0"/>
    <x v="61"/>
    <x v="3"/>
    <s v="Percent of GDP"/>
    <s v="Units"/>
    <x v="6"/>
    <n v="46.170999999999999"/>
  </r>
  <r>
    <n v="163"/>
    <x v="5"/>
    <x v="61"/>
    <x v="3"/>
    <s v="Percent of GDP"/>
    <s v="Units"/>
    <x v="0"/>
    <n v="40.533000000000001"/>
  </r>
  <r>
    <n v="163"/>
    <x v="5"/>
    <x v="61"/>
    <x v="3"/>
    <s v="Percent of GDP"/>
    <s v="Units"/>
    <x v="1"/>
    <n v="44.750999999999998"/>
  </r>
  <r>
    <n v="163"/>
    <x v="5"/>
    <x v="61"/>
    <x v="3"/>
    <s v="Percent of GDP"/>
    <s v="Units"/>
    <x v="2"/>
    <n v="45.604999999999997"/>
  </r>
  <r>
    <n v="163"/>
    <x v="5"/>
    <x v="61"/>
    <x v="3"/>
    <s v="Percent of GDP"/>
    <s v="Units"/>
    <x v="3"/>
    <n v="42.281999999999996"/>
  </r>
  <r>
    <n v="163"/>
    <x v="5"/>
    <x v="61"/>
    <x v="3"/>
    <s v="Percent of GDP"/>
    <s v="Units"/>
    <x v="4"/>
    <n v="47.914000000000001"/>
  </r>
  <r>
    <n v="163"/>
    <x v="5"/>
    <x v="61"/>
    <x v="3"/>
    <s v="Percent of GDP"/>
    <s v="Units"/>
    <x v="5"/>
    <n v="46.963000000000001"/>
  </r>
  <r>
    <n v="163"/>
    <x v="5"/>
    <x v="61"/>
    <x v="3"/>
    <s v="Percent of GDP"/>
    <s v="Units"/>
    <x v="6"/>
    <n v="46.170999999999999"/>
  </r>
  <r>
    <n v="400"/>
    <x v="11"/>
    <x v="60"/>
    <x v="6"/>
    <s v="Percent change"/>
    <s v="Units"/>
    <x v="0"/>
    <n v="16.361999999999998"/>
  </r>
  <r>
    <n v="400"/>
    <x v="11"/>
    <x v="60"/>
    <x v="6"/>
    <s v="Percent change"/>
    <s v="Units"/>
    <x v="1"/>
    <n v="2.6389999999999998"/>
  </r>
  <r>
    <n v="400"/>
    <x v="11"/>
    <x v="60"/>
    <x v="6"/>
    <s v="Percent change"/>
    <s v="Units"/>
    <x v="2"/>
    <n v="-8.0640000000000001"/>
  </r>
  <r>
    <n v="400"/>
    <x v="11"/>
    <x v="60"/>
    <x v="6"/>
    <s v="Percent change"/>
    <s v="Units"/>
    <x v="3"/>
    <n v="13.377000000000001"/>
  </r>
  <r>
    <n v="400"/>
    <x v="11"/>
    <x v="60"/>
    <x v="6"/>
    <s v="Percent change"/>
    <s v="Units"/>
    <x v="4"/>
    <n v="-65.191000000000003"/>
  </r>
  <r>
    <n v="400"/>
    <x v="11"/>
    <x v="60"/>
    <x v="6"/>
    <s v="Percent change"/>
    <s v="Units"/>
    <x v="5"/>
    <n v="46.865000000000002"/>
  </r>
  <r>
    <n v="400"/>
    <x v="11"/>
    <x v="60"/>
    <x v="6"/>
    <s v="Percent change"/>
    <s v="Units"/>
    <x v="6"/>
    <n v="51.530999999999999"/>
  </r>
  <r>
    <n v="1"/>
    <x v="2"/>
    <x v="60"/>
    <x v="6"/>
    <s v="Percent change"/>
    <s v="Units"/>
    <x v="0"/>
    <n v="16.361999999999998"/>
  </r>
  <r>
    <n v="1"/>
    <x v="2"/>
    <x v="60"/>
    <x v="6"/>
    <s v="Percent change"/>
    <s v="Units"/>
    <x v="1"/>
    <n v="2.6389999999999998"/>
  </r>
  <r>
    <n v="1"/>
    <x v="2"/>
    <x v="60"/>
    <x v="6"/>
    <s v="Percent change"/>
    <s v="Units"/>
    <x v="2"/>
    <n v="-8.0640000000000001"/>
  </r>
  <r>
    <n v="1"/>
    <x v="2"/>
    <x v="60"/>
    <x v="6"/>
    <s v="Percent change"/>
    <s v="Units"/>
    <x v="3"/>
    <n v="13.377000000000001"/>
  </r>
  <r>
    <n v="1"/>
    <x v="2"/>
    <x v="60"/>
    <x v="6"/>
    <s v="Percent change"/>
    <s v="Units"/>
    <x v="4"/>
    <n v="-65.191000000000003"/>
  </r>
  <r>
    <n v="1"/>
    <x v="2"/>
    <x v="60"/>
    <x v="6"/>
    <s v="Percent change"/>
    <s v="Units"/>
    <x v="5"/>
    <n v="46.865000000000002"/>
  </r>
  <r>
    <n v="1"/>
    <x v="2"/>
    <x v="60"/>
    <x v="6"/>
    <s v="Percent change"/>
    <s v="Units"/>
    <x v="6"/>
    <n v="51.530999999999999"/>
  </r>
  <r>
    <n v="200"/>
    <x v="3"/>
    <x v="60"/>
    <x v="6"/>
    <s v="Percent change"/>
    <s v="Units"/>
    <x v="0"/>
    <n v="16.361999999999998"/>
  </r>
  <r>
    <n v="200"/>
    <x v="3"/>
    <x v="60"/>
    <x v="6"/>
    <s v="Percent change"/>
    <s v="Units"/>
    <x v="1"/>
    <n v="2.6389999999999998"/>
  </r>
  <r>
    <n v="200"/>
    <x v="3"/>
    <x v="60"/>
    <x v="6"/>
    <s v="Percent change"/>
    <s v="Units"/>
    <x v="2"/>
    <n v="-8.0640000000000001"/>
  </r>
  <r>
    <n v="200"/>
    <x v="3"/>
    <x v="60"/>
    <x v="6"/>
    <s v="Percent change"/>
    <s v="Units"/>
    <x v="3"/>
    <n v="13.377000000000001"/>
  </r>
  <r>
    <n v="200"/>
    <x v="3"/>
    <x v="60"/>
    <x v="6"/>
    <s v="Percent change"/>
    <s v="Units"/>
    <x v="4"/>
    <n v="-65.191000000000003"/>
  </r>
  <r>
    <n v="200"/>
    <x v="3"/>
    <x v="60"/>
    <x v="6"/>
    <s v="Percent change"/>
    <s v="Units"/>
    <x v="5"/>
    <n v="46.865000000000002"/>
  </r>
  <r>
    <n v="200"/>
    <x v="3"/>
    <x v="60"/>
    <x v="6"/>
    <s v="Percent change"/>
    <s v="Units"/>
    <x v="6"/>
    <n v="51.530999999999999"/>
  </r>
  <r>
    <n v="110"/>
    <x v="0"/>
    <x v="53"/>
    <x v="2"/>
    <s v="Percent of GDP"/>
    <s v="Units"/>
    <x v="0"/>
    <n v="48.014000000000003"/>
  </r>
  <r>
    <n v="110"/>
    <x v="0"/>
    <x v="53"/>
    <x v="2"/>
    <s v="Percent of GDP"/>
    <s v="Units"/>
    <x v="1"/>
    <n v="49.683"/>
  </r>
  <r>
    <n v="110"/>
    <x v="0"/>
    <x v="53"/>
    <x v="2"/>
    <s v="Percent of GDP"/>
    <s v="Units"/>
    <x v="2"/>
    <n v="50.173000000000002"/>
  </r>
  <r>
    <n v="110"/>
    <x v="0"/>
    <x v="53"/>
    <x v="2"/>
    <s v="Percent of GDP"/>
    <s v="Units"/>
    <x v="3"/>
    <n v="50.508000000000003"/>
  </r>
  <r>
    <n v="110"/>
    <x v="0"/>
    <x v="53"/>
    <x v="2"/>
    <s v="Percent of GDP"/>
    <s v="Units"/>
    <x v="4"/>
    <n v="47.124000000000002"/>
  </r>
  <r>
    <n v="110"/>
    <x v="0"/>
    <x v="53"/>
    <x v="2"/>
    <s v="Percent of GDP"/>
    <s v="Units"/>
    <x v="5"/>
    <n v="46.808999999999997"/>
  </r>
  <r>
    <n v="110"/>
    <x v="0"/>
    <x v="53"/>
    <x v="2"/>
    <s v="Percent of GDP"/>
    <s v="Units"/>
    <x v="6"/>
    <n v="46.96"/>
  </r>
  <r>
    <n v="163"/>
    <x v="5"/>
    <x v="53"/>
    <x v="2"/>
    <s v="Percent of GDP"/>
    <s v="Units"/>
    <x v="0"/>
    <n v="48.014000000000003"/>
  </r>
  <r>
    <n v="163"/>
    <x v="5"/>
    <x v="53"/>
    <x v="2"/>
    <s v="Percent of GDP"/>
    <s v="Units"/>
    <x v="1"/>
    <n v="49.683"/>
  </r>
  <r>
    <n v="163"/>
    <x v="5"/>
    <x v="53"/>
    <x v="2"/>
    <s v="Percent of GDP"/>
    <s v="Units"/>
    <x v="2"/>
    <n v="50.173000000000002"/>
  </r>
  <r>
    <n v="163"/>
    <x v="5"/>
    <x v="53"/>
    <x v="2"/>
    <s v="Percent of GDP"/>
    <s v="Units"/>
    <x v="3"/>
    <n v="50.508000000000003"/>
  </r>
  <r>
    <n v="163"/>
    <x v="5"/>
    <x v="53"/>
    <x v="2"/>
    <s v="Percent of GDP"/>
    <s v="Units"/>
    <x v="4"/>
    <n v="47.124000000000002"/>
  </r>
  <r>
    <n v="163"/>
    <x v="5"/>
    <x v="53"/>
    <x v="2"/>
    <s v="Percent of GDP"/>
    <s v="Units"/>
    <x v="5"/>
    <n v="46.808999999999997"/>
  </r>
  <r>
    <n v="163"/>
    <x v="5"/>
    <x v="53"/>
    <x v="2"/>
    <s v="Percent of GDP"/>
    <s v="Units"/>
    <x v="6"/>
    <n v="46.96"/>
  </r>
  <r>
    <n v="998"/>
    <x v="6"/>
    <x v="53"/>
    <x v="2"/>
    <s v="Percent of GDP"/>
    <s v="Units"/>
    <x v="0"/>
    <n v="48.014000000000003"/>
  </r>
  <r>
    <n v="998"/>
    <x v="6"/>
    <x v="53"/>
    <x v="2"/>
    <s v="Percent of GDP"/>
    <s v="Units"/>
    <x v="1"/>
    <n v="49.683"/>
  </r>
  <r>
    <n v="998"/>
    <x v="6"/>
    <x v="53"/>
    <x v="2"/>
    <s v="Percent of GDP"/>
    <s v="Units"/>
    <x v="2"/>
    <n v="50.173000000000002"/>
  </r>
  <r>
    <n v="998"/>
    <x v="6"/>
    <x v="53"/>
    <x v="2"/>
    <s v="Percent of GDP"/>
    <s v="Units"/>
    <x v="3"/>
    <n v="50.508000000000003"/>
  </r>
  <r>
    <n v="998"/>
    <x v="6"/>
    <x v="53"/>
    <x v="2"/>
    <s v="Percent of GDP"/>
    <s v="Units"/>
    <x v="4"/>
    <n v="47.124000000000002"/>
  </r>
  <r>
    <n v="998"/>
    <x v="6"/>
    <x v="53"/>
    <x v="2"/>
    <s v="Percent of GDP"/>
    <s v="Units"/>
    <x v="5"/>
    <n v="46.808999999999997"/>
  </r>
  <r>
    <n v="998"/>
    <x v="6"/>
    <x v="53"/>
    <x v="2"/>
    <s v="Percent of GDP"/>
    <s v="Units"/>
    <x v="6"/>
    <n v="46.96"/>
  </r>
  <r>
    <n v="1"/>
    <x v="2"/>
    <x v="108"/>
    <x v="0"/>
    <s v="U.S. dollars"/>
    <s v="Billions"/>
    <x v="0"/>
    <n v="38.654000000000003"/>
  </r>
  <r>
    <n v="1"/>
    <x v="2"/>
    <x v="108"/>
    <x v="0"/>
    <s v="U.S. dollars"/>
    <s v="Billions"/>
    <x v="1"/>
    <n v="34.622"/>
  </r>
  <r>
    <n v="1"/>
    <x v="2"/>
    <x v="108"/>
    <x v="0"/>
    <s v="U.S. dollars"/>
    <s v="Billions"/>
    <x v="2"/>
    <n v="39.289000000000001"/>
  </r>
  <r>
    <n v="1"/>
    <x v="2"/>
    <x v="108"/>
    <x v="0"/>
    <s v="U.S. dollars"/>
    <s v="Billions"/>
    <x v="3"/>
    <n v="44.383000000000003"/>
  </r>
  <r>
    <n v="1"/>
    <x v="2"/>
    <x v="108"/>
    <x v="0"/>
    <s v="U.S. dollars"/>
    <s v="Billions"/>
    <x v="4"/>
    <n v="44.673999999999999"/>
  </r>
  <r>
    <n v="1"/>
    <x v="2"/>
    <x v="108"/>
    <x v="0"/>
    <s v="U.S. dollars"/>
    <s v="Billions"/>
    <x v="5"/>
    <n v="46.79"/>
  </r>
  <r>
    <n v="1"/>
    <x v="2"/>
    <x v="108"/>
    <x v="0"/>
    <s v="U.S. dollars"/>
    <s v="Billions"/>
    <x v="6"/>
    <n v="48.728999999999999"/>
  </r>
  <r>
    <n v="200"/>
    <x v="3"/>
    <x v="108"/>
    <x v="0"/>
    <s v="U.S. dollars"/>
    <s v="Billions"/>
    <x v="0"/>
    <n v="38.654000000000003"/>
  </r>
  <r>
    <n v="200"/>
    <x v="3"/>
    <x v="108"/>
    <x v="0"/>
    <s v="U.S. dollars"/>
    <s v="Billions"/>
    <x v="1"/>
    <n v="34.622"/>
  </r>
  <r>
    <n v="200"/>
    <x v="3"/>
    <x v="108"/>
    <x v="0"/>
    <s v="U.S. dollars"/>
    <s v="Billions"/>
    <x v="2"/>
    <n v="39.289000000000001"/>
  </r>
  <r>
    <n v="200"/>
    <x v="3"/>
    <x v="108"/>
    <x v="0"/>
    <s v="U.S. dollars"/>
    <s v="Billions"/>
    <x v="3"/>
    <n v="44.383000000000003"/>
  </r>
  <r>
    <n v="200"/>
    <x v="3"/>
    <x v="108"/>
    <x v="0"/>
    <s v="U.S. dollars"/>
    <s v="Billions"/>
    <x v="4"/>
    <n v="44.673999999999999"/>
  </r>
  <r>
    <n v="200"/>
    <x v="3"/>
    <x v="108"/>
    <x v="0"/>
    <s v="U.S. dollars"/>
    <s v="Billions"/>
    <x v="5"/>
    <n v="46.79"/>
  </r>
  <r>
    <n v="200"/>
    <x v="3"/>
    <x v="108"/>
    <x v="0"/>
    <s v="U.S. dollars"/>
    <s v="Billions"/>
    <x v="6"/>
    <n v="48.728999999999999"/>
  </r>
  <r>
    <n v="400"/>
    <x v="11"/>
    <x v="108"/>
    <x v="0"/>
    <s v="U.S. dollars"/>
    <s v="Billions"/>
    <x v="0"/>
    <n v="38.654000000000003"/>
  </r>
  <r>
    <n v="400"/>
    <x v="11"/>
    <x v="108"/>
    <x v="0"/>
    <s v="U.S. dollars"/>
    <s v="Billions"/>
    <x v="1"/>
    <n v="34.622"/>
  </r>
  <r>
    <n v="400"/>
    <x v="11"/>
    <x v="108"/>
    <x v="0"/>
    <s v="U.S. dollars"/>
    <s v="Billions"/>
    <x v="2"/>
    <n v="39.289000000000001"/>
  </r>
  <r>
    <n v="400"/>
    <x v="11"/>
    <x v="108"/>
    <x v="0"/>
    <s v="U.S. dollars"/>
    <s v="Billions"/>
    <x v="3"/>
    <n v="44.383000000000003"/>
  </r>
  <r>
    <n v="400"/>
    <x v="11"/>
    <x v="108"/>
    <x v="0"/>
    <s v="U.S. dollars"/>
    <s v="Billions"/>
    <x v="4"/>
    <n v="44.673999999999999"/>
  </r>
  <r>
    <n v="400"/>
    <x v="11"/>
    <x v="108"/>
    <x v="0"/>
    <s v="U.S. dollars"/>
    <s v="Billions"/>
    <x v="5"/>
    <n v="46.79"/>
  </r>
  <r>
    <n v="400"/>
    <x v="11"/>
    <x v="108"/>
    <x v="0"/>
    <s v="U.S. dollars"/>
    <s v="Billions"/>
    <x v="6"/>
    <n v="48.728999999999999"/>
  </r>
  <r>
    <n v="119"/>
    <x v="1"/>
    <x v="8"/>
    <x v="2"/>
    <s v="Percent of GDP"/>
    <s v="Units"/>
    <x v="0"/>
    <n v="46.969000000000001"/>
  </r>
  <r>
    <n v="119"/>
    <x v="1"/>
    <x v="8"/>
    <x v="2"/>
    <s v="Percent of GDP"/>
    <s v="Units"/>
    <x v="1"/>
    <n v="47.4"/>
  </r>
  <r>
    <n v="119"/>
    <x v="1"/>
    <x v="8"/>
    <x v="2"/>
    <s v="Percent of GDP"/>
    <s v="Units"/>
    <x v="2"/>
    <n v="47.540999999999997"/>
  </r>
  <r>
    <n v="119"/>
    <x v="1"/>
    <x v="8"/>
    <x v="2"/>
    <s v="Percent of GDP"/>
    <s v="Units"/>
    <x v="3"/>
    <n v="47.701999999999998"/>
  </r>
  <r>
    <n v="119"/>
    <x v="1"/>
    <x v="8"/>
    <x v="2"/>
    <s v="Percent of GDP"/>
    <s v="Units"/>
    <x v="4"/>
    <n v="47.79"/>
  </r>
  <r>
    <n v="119"/>
    <x v="1"/>
    <x v="8"/>
    <x v="2"/>
    <s v="Percent of GDP"/>
    <s v="Units"/>
    <x v="5"/>
    <n v="46.31"/>
  </r>
  <r>
    <n v="119"/>
    <x v="1"/>
    <x v="8"/>
    <x v="2"/>
    <s v="Percent of GDP"/>
    <s v="Units"/>
    <x v="6"/>
    <n v="47.11"/>
  </r>
  <r>
    <n v="163"/>
    <x v="5"/>
    <x v="8"/>
    <x v="2"/>
    <s v="Percent of GDP"/>
    <s v="Units"/>
    <x v="0"/>
    <n v="46.969000000000001"/>
  </r>
  <r>
    <n v="163"/>
    <x v="5"/>
    <x v="8"/>
    <x v="2"/>
    <s v="Percent of GDP"/>
    <s v="Units"/>
    <x v="1"/>
    <n v="47.4"/>
  </r>
  <r>
    <n v="163"/>
    <x v="5"/>
    <x v="8"/>
    <x v="2"/>
    <s v="Percent of GDP"/>
    <s v="Units"/>
    <x v="2"/>
    <n v="47.540999999999997"/>
  </r>
  <r>
    <n v="163"/>
    <x v="5"/>
    <x v="8"/>
    <x v="2"/>
    <s v="Percent of GDP"/>
    <s v="Units"/>
    <x v="3"/>
    <n v="47.701999999999998"/>
  </r>
  <r>
    <n v="163"/>
    <x v="5"/>
    <x v="8"/>
    <x v="2"/>
    <s v="Percent of GDP"/>
    <s v="Units"/>
    <x v="4"/>
    <n v="47.79"/>
  </r>
  <r>
    <n v="163"/>
    <x v="5"/>
    <x v="8"/>
    <x v="2"/>
    <s v="Percent of GDP"/>
    <s v="Units"/>
    <x v="5"/>
    <n v="46.31"/>
  </r>
  <r>
    <n v="163"/>
    <x v="5"/>
    <x v="8"/>
    <x v="2"/>
    <s v="Percent of GDP"/>
    <s v="Units"/>
    <x v="6"/>
    <n v="47.11"/>
  </r>
  <r>
    <n v="110"/>
    <x v="0"/>
    <x v="8"/>
    <x v="2"/>
    <s v="Percent of GDP"/>
    <s v="Units"/>
    <x v="0"/>
    <n v="46.969000000000001"/>
  </r>
  <r>
    <n v="110"/>
    <x v="0"/>
    <x v="8"/>
    <x v="2"/>
    <s v="Percent of GDP"/>
    <s v="Units"/>
    <x v="1"/>
    <n v="47.4"/>
  </r>
  <r>
    <n v="110"/>
    <x v="0"/>
    <x v="8"/>
    <x v="2"/>
    <s v="Percent of GDP"/>
    <s v="Units"/>
    <x v="2"/>
    <n v="47.540999999999997"/>
  </r>
  <r>
    <n v="110"/>
    <x v="0"/>
    <x v="8"/>
    <x v="2"/>
    <s v="Percent of GDP"/>
    <s v="Units"/>
    <x v="3"/>
    <n v="47.701999999999998"/>
  </r>
  <r>
    <n v="110"/>
    <x v="0"/>
    <x v="8"/>
    <x v="2"/>
    <s v="Percent of GDP"/>
    <s v="Units"/>
    <x v="4"/>
    <n v="47.79"/>
  </r>
  <r>
    <n v="110"/>
    <x v="0"/>
    <x v="8"/>
    <x v="2"/>
    <s v="Percent of GDP"/>
    <s v="Units"/>
    <x v="5"/>
    <n v="46.31"/>
  </r>
  <r>
    <n v="110"/>
    <x v="0"/>
    <x v="8"/>
    <x v="2"/>
    <s v="Percent of GDP"/>
    <s v="Units"/>
    <x v="6"/>
    <n v="47.11"/>
  </r>
  <r>
    <n v="998"/>
    <x v="6"/>
    <x v="8"/>
    <x v="2"/>
    <s v="Percent of GDP"/>
    <s v="Units"/>
    <x v="0"/>
    <n v="46.969000000000001"/>
  </r>
  <r>
    <n v="998"/>
    <x v="6"/>
    <x v="8"/>
    <x v="2"/>
    <s v="Percent of GDP"/>
    <s v="Units"/>
    <x v="1"/>
    <n v="47.4"/>
  </r>
  <r>
    <n v="998"/>
    <x v="6"/>
    <x v="8"/>
    <x v="2"/>
    <s v="Percent of GDP"/>
    <s v="Units"/>
    <x v="2"/>
    <n v="47.540999999999997"/>
  </r>
  <r>
    <n v="998"/>
    <x v="6"/>
    <x v="8"/>
    <x v="2"/>
    <s v="Percent of GDP"/>
    <s v="Units"/>
    <x v="3"/>
    <n v="47.701999999999998"/>
  </r>
  <r>
    <n v="998"/>
    <x v="6"/>
    <x v="8"/>
    <x v="2"/>
    <s v="Percent of GDP"/>
    <s v="Units"/>
    <x v="4"/>
    <n v="47.79"/>
  </r>
  <r>
    <n v="998"/>
    <x v="6"/>
    <x v="8"/>
    <x v="2"/>
    <s v="Percent of GDP"/>
    <s v="Units"/>
    <x v="5"/>
    <n v="46.31"/>
  </r>
  <r>
    <n v="998"/>
    <x v="6"/>
    <x v="8"/>
    <x v="2"/>
    <s v="Percent of GDP"/>
    <s v="Units"/>
    <x v="6"/>
    <n v="47.11"/>
  </r>
  <r>
    <n v="119"/>
    <x v="1"/>
    <x v="2"/>
    <x v="2"/>
    <s v="Percent of GDP"/>
    <s v="Units"/>
    <x v="0"/>
    <n v="46.529000000000003"/>
  </r>
  <r>
    <n v="119"/>
    <x v="1"/>
    <x v="2"/>
    <x v="2"/>
    <s v="Percent of GDP"/>
    <s v="Units"/>
    <x v="1"/>
    <n v="46.122"/>
  </r>
  <r>
    <n v="119"/>
    <x v="1"/>
    <x v="2"/>
    <x v="2"/>
    <s v="Percent of GDP"/>
    <s v="Units"/>
    <x v="2"/>
    <n v="47.35"/>
  </r>
  <r>
    <n v="119"/>
    <x v="1"/>
    <x v="2"/>
    <x v="2"/>
    <s v="Percent of GDP"/>
    <s v="Units"/>
    <x v="3"/>
    <n v="46.978000000000002"/>
  </r>
  <r>
    <n v="119"/>
    <x v="1"/>
    <x v="2"/>
    <x v="2"/>
    <s v="Percent of GDP"/>
    <s v="Units"/>
    <x v="4"/>
    <n v="46.146999999999998"/>
  </r>
  <r>
    <n v="119"/>
    <x v="1"/>
    <x v="2"/>
    <x v="2"/>
    <s v="Percent of GDP"/>
    <s v="Units"/>
    <x v="5"/>
    <n v="46.253"/>
  </r>
  <r>
    <n v="119"/>
    <x v="1"/>
    <x v="2"/>
    <x v="2"/>
    <s v="Percent of GDP"/>
    <s v="Units"/>
    <x v="6"/>
    <n v="46.509"/>
  </r>
  <r>
    <n v="110"/>
    <x v="0"/>
    <x v="2"/>
    <x v="2"/>
    <s v="Percent of GDP"/>
    <s v="Units"/>
    <x v="0"/>
    <n v="46.529000000000003"/>
  </r>
  <r>
    <n v="110"/>
    <x v="0"/>
    <x v="2"/>
    <x v="2"/>
    <s v="Percent of GDP"/>
    <s v="Units"/>
    <x v="1"/>
    <n v="46.122"/>
  </r>
  <r>
    <n v="110"/>
    <x v="0"/>
    <x v="2"/>
    <x v="2"/>
    <s v="Percent of GDP"/>
    <s v="Units"/>
    <x v="2"/>
    <n v="47.35"/>
  </r>
  <r>
    <n v="110"/>
    <x v="0"/>
    <x v="2"/>
    <x v="2"/>
    <s v="Percent of GDP"/>
    <s v="Units"/>
    <x v="3"/>
    <n v="46.978000000000002"/>
  </r>
  <r>
    <n v="110"/>
    <x v="0"/>
    <x v="2"/>
    <x v="2"/>
    <s v="Percent of GDP"/>
    <s v="Units"/>
    <x v="4"/>
    <n v="46.146999999999998"/>
  </r>
  <r>
    <n v="110"/>
    <x v="0"/>
    <x v="2"/>
    <x v="2"/>
    <s v="Percent of GDP"/>
    <s v="Units"/>
    <x v="5"/>
    <n v="46.253"/>
  </r>
  <r>
    <n v="110"/>
    <x v="0"/>
    <x v="2"/>
    <x v="2"/>
    <s v="Percent of GDP"/>
    <s v="Units"/>
    <x v="6"/>
    <n v="46.509"/>
  </r>
  <r>
    <n v="998"/>
    <x v="6"/>
    <x v="2"/>
    <x v="2"/>
    <s v="Percent of GDP"/>
    <s v="Units"/>
    <x v="0"/>
    <n v="46.529000000000003"/>
  </r>
  <r>
    <n v="998"/>
    <x v="6"/>
    <x v="2"/>
    <x v="2"/>
    <s v="Percent of GDP"/>
    <s v="Units"/>
    <x v="1"/>
    <n v="46.122"/>
  </r>
  <r>
    <n v="998"/>
    <x v="6"/>
    <x v="2"/>
    <x v="2"/>
    <s v="Percent of GDP"/>
    <s v="Units"/>
    <x v="2"/>
    <n v="47.35"/>
  </r>
  <r>
    <n v="998"/>
    <x v="6"/>
    <x v="2"/>
    <x v="2"/>
    <s v="Percent of GDP"/>
    <s v="Units"/>
    <x v="3"/>
    <n v="46.978000000000002"/>
  </r>
  <r>
    <n v="998"/>
    <x v="6"/>
    <x v="2"/>
    <x v="2"/>
    <s v="Percent of GDP"/>
    <s v="Units"/>
    <x v="4"/>
    <n v="46.146999999999998"/>
  </r>
  <r>
    <n v="998"/>
    <x v="6"/>
    <x v="2"/>
    <x v="2"/>
    <s v="Percent of GDP"/>
    <s v="Units"/>
    <x v="5"/>
    <n v="46.253"/>
  </r>
  <r>
    <n v="998"/>
    <x v="6"/>
    <x v="2"/>
    <x v="2"/>
    <s v="Percent of GDP"/>
    <s v="Units"/>
    <x v="6"/>
    <n v="46.509"/>
  </r>
  <r>
    <n v="163"/>
    <x v="5"/>
    <x v="2"/>
    <x v="2"/>
    <s v="Percent of GDP"/>
    <s v="Units"/>
    <x v="0"/>
    <n v="46.529000000000003"/>
  </r>
  <r>
    <n v="163"/>
    <x v="5"/>
    <x v="2"/>
    <x v="2"/>
    <s v="Percent of GDP"/>
    <s v="Units"/>
    <x v="1"/>
    <n v="46.122"/>
  </r>
  <r>
    <n v="163"/>
    <x v="5"/>
    <x v="2"/>
    <x v="2"/>
    <s v="Percent of GDP"/>
    <s v="Units"/>
    <x v="2"/>
    <n v="47.35"/>
  </r>
  <r>
    <n v="163"/>
    <x v="5"/>
    <x v="2"/>
    <x v="2"/>
    <s v="Percent of GDP"/>
    <s v="Units"/>
    <x v="3"/>
    <n v="46.978000000000002"/>
  </r>
  <r>
    <n v="163"/>
    <x v="5"/>
    <x v="2"/>
    <x v="2"/>
    <s v="Percent of GDP"/>
    <s v="Units"/>
    <x v="4"/>
    <n v="46.146999999999998"/>
  </r>
  <r>
    <n v="163"/>
    <x v="5"/>
    <x v="2"/>
    <x v="2"/>
    <s v="Percent of GDP"/>
    <s v="Units"/>
    <x v="5"/>
    <n v="46.253"/>
  </r>
  <r>
    <n v="163"/>
    <x v="5"/>
    <x v="2"/>
    <x v="2"/>
    <s v="Percent of GDP"/>
    <s v="Units"/>
    <x v="6"/>
    <n v="46.509"/>
  </r>
  <r>
    <n v="163"/>
    <x v="5"/>
    <x v="14"/>
    <x v="3"/>
    <s v="Percent of GDP"/>
    <s v="Units"/>
    <x v="0"/>
    <n v="42.283999999999999"/>
  </r>
  <r>
    <n v="163"/>
    <x v="5"/>
    <x v="14"/>
    <x v="3"/>
    <s v="Percent of GDP"/>
    <s v="Units"/>
    <x v="1"/>
    <n v="51.9"/>
  </r>
  <r>
    <n v="163"/>
    <x v="5"/>
    <x v="14"/>
    <x v="3"/>
    <s v="Percent of GDP"/>
    <s v="Units"/>
    <x v="2"/>
    <n v="50.027000000000001"/>
  </r>
  <r>
    <n v="163"/>
    <x v="5"/>
    <x v="14"/>
    <x v="3"/>
    <s v="Percent of GDP"/>
    <s v="Units"/>
    <x v="3"/>
    <n v="47.374000000000002"/>
  </r>
  <r>
    <n v="163"/>
    <x v="5"/>
    <x v="14"/>
    <x v="3"/>
    <s v="Percent of GDP"/>
    <s v="Units"/>
    <x v="4"/>
    <n v="46.433999999999997"/>
  </r>
  <r>
    <n v="163"/>
    <x v="5"/>
    <x v="14"/>
    <x v="3"/>
    <s v="Percent of GDP"/>
    <s v="Units"/>
    <x v="5"/>
    <n v="46.156999999999996"/>
  </r>
  <r>
    <n v="163"/>
    <x v="5"/>
    <x v="14"/>
    <x v="3"/>
    <s v="Percent of GDP"/>
    <s v="Units"/>
    <x v="6"/>
    <n v="45.963000000000001"/>
  </r>
  <r>
    <n v="998"/>
    <x v="6"/>
    <x v="14"/>
    <x v="3"/>
    <s v="Percent of GDP"/>
    <s v="Units"/>
    <x v="0"/>
    <n v="42.283999999999999"/>
  </r>
  <r>
    <n v="998"/>
    <x v="6"/>
    <x v="14"/>
    <x v="3"/>
    <s v="Percent of GDP"/>
    <s v="Units"/>
    <x v="1"/>
    <n v="51.9"/>
  </r>
  <r>
    <n v="998"/>
    <x v="6"/>
    <x v="14"/>
    <x v="3"/>
    <s v="Percent of GDP"/>
    <s v="Units"/>
    <x v="2"/>
    <n v="50.027000000000001"/>
  </r>
  <r>
    <n v="998"/>
    <x v="6"/>
    <x v="14"/>
    <x v="3"/>
    <s v="Percent of GDP"/>
    <s v="Units"/>
    <x v="3"/>
    <n v="47.374000000000002"/>
  </r>
  <r>
    <n v="998"/>
    <x v="6"/>
    <x v="14"/>
    <x v="3"/>
    <s v="Percent of GDP"/>
    <s v="Units"/>
    <x v="4"/>
    <n v="46.433999999999997"/>
  </r>
  <r>
    <n v="998"/>
    <x v="6"/>
    <x v="14"/>
    <x v="3"/>
    <s v="Percent of GDP"/>
    <s v="Units"/>
    <x v="5"/>
    <n v="46.156999999999996"/>
  </r>
  <r>
    <n v="998"/>
    <x v="6"/>
    <x v="14"/>
    <x v="3"/>
    <s v="Percent of GDP"/>
    <s v="Units"/>
    <x v="6"/>
    <n v="45.963000000000001"/>
  </r>
  <r>
    <n v="110"/>
    <x v="0"/>
    <x v="14"/>
    <x v="3"/>
    <s v="Percent of GDP"/>
    <s v="Units"/>
    <x v="0"/>
    <n v="42.283999999999999"/>
  </r>
  <r>
    <n v="110"/>
    <x v="0"/>
    <x v="14"/>
    <x v="3"/>
    <s v="Percent of GDP"/>
    <s v="Units"/>
    <x v="1"/>
    <n v="51.9"/>
  </r>
  <r>
    <n v="110"/>
    <x v="0"/>
    <x v="14"/>
    <x v="3"/>
    <s v="Percent of GDP"/>
    <s v="Units"/>
    <x v="2"/>
    <n v="50.027000000000001"/>
  </r>
  <r>
    <n v="110"/>
    <x v="0"/>
    <x v="14"/>
    <x v="3"/>
    <s v="Percent of GDP"/>
    <s v="Units"/>
    <x v="3"/>
    <n v="47.374000000000002"/>
  </r>
  <r>
    <n v="110"/>
    <x v="0"/>
    <x v="14"/>
    <x v="3"/>
    <s v="Percent of GDP"/>
    <s v="Units"/>
    <x v="4"/>
    <n v="46.433999999999997"/>
  </r>
  <r>
    <n v="110"/>
    <x v="0"/>
    <x v="14"/>
    <x v="3"/>
    <s v="Percent of GDP"/>
    <s v="Units"/>
    <x v="5"/>
    <n v="46.156999999999996"/>
  </r>
  <r>
    <n v="110"/>
    <x v="0"/>
    <x v="14"/>
    <x v="3"/>
    <s v="Percent of GDP"/>
    <s v="Units"/>
    <x v="6"/>
    <n v="45.963000000000001"/>
  </r>
  <r>
    <n v="505"/>
    <x v="4"/>
    <x v="77"/>
    <x v="2"/>
    <s v="Percent of GDP"/>
    <s v="Units"/>
    <x v="0"/>
    <n v="42.901000000000003"/>
  </r>
  <r>
    <n v="505"/>
    <x v="4"/>
    <x v="77"/>
    <x v="2"/>
    <s v="Percent of GDP"/>
    <s v="Units"/>
    <x v="1"/>
    <n v="42.058"/>
  </r>
  <r>
    <n v="505"/>
    <x v="4"/>
    <x v="77"/>
    <x v="2"/>
    <s v="Percent of GDP"/>
    <s v="Units"/>
    <x v="2"/>
    <n v="25.323"/>
  </r>
  <r>
    <n v="505"/>
    <x v="4"/>
    <x v="77"/>
    <x v="2"/>
    <s v="Percent of GDP"/>
    <s v="Units"/>
    <x v="3"/>
    <n v="29.911000000000001"/>
  </r>
  <r>
    <n v="505"/>
    <x v="4"/>
    <x v="77"/>
    <x v="2"/>
    <s v="Percent of GDP"/>
    <s v="Units"/>
    <x v="4"/>
    <n v="38.506"/>
  </r>
  <r>
    <n v="505"/>
    <x v="4"/>
    <x v="77"/>
    <x v="2"/>
    <s v="Percent of GDP"/>
    <s v="Units"/>
    <x v="5"/>
    <n v="45.884"/>
  </r>
  <r>
    <n v="505"/>
    <x v="4"/>
    <x v="77"/>
    <x v="2"/>
    <s v="Percent of GDP"/>
    <s v="Units"/>
    <x v="6"/>
    <n v="42.18"/>
  </r>
  <r>
    <n v="200"/>
    <x v="3"/>
    <x v="77"/>
    <x v="2"/>
    <s v="Percent of GDP"/>
    <s v="Units"/>
    <x v="0"/>
    <n v="42.901000000000003"/>
  </r>
  <r>
    <n v="200"/>
    <x v="3"/>
    <x v="77"/>
    <x v="2"/>
    <s v="Percent of GDP"/>
    <s v="Units"/>
    <x v="1"/>
    <n v="42.058"/>
  </r>
  <r>
    <n v="200"/>
    <x v="3"/>
    <x v="77"/>
    <x v="2"/>
    <s v="Percent of GDP"/>
    <s v="Units"/>
    <x v="2"/>
    <n v="25.323"/>
  </r>
  <r>
    <n v="200"/>
    <x v="3"/>
    <x v="77"/>
    <x v="2"/>
    <s v="Percent of GDP"/>
    <s v="Units"/>
    <x v="3"/>
    <n v="29.911000000000001"/>
  </r>
  <r>
    <n v="200"/>
    <x v="3"/>
    <x v="77"/>
    <x v="2"/>
    <s v="Percent of GDP"/>
    <s v="Units"/>
    <x v="4"/>
    <n v="38.506"/>
  </r>
  <r>
    <n v="200"/>
    <x v="3"/>
    <x v="77"/>
    <x v="2"/>
    <s v="Percent of GDP"/>
    <s v="Units"/>
    <x v="5"/>
    <n v="45.884"/>
  </r>
  <r>
    <n v="200"/>
    <x v="3"/>
    <x v="77"/>
    <x v="2"/>
    <s v="Percent of GDP"/>
    <s v="Units"/>
    <x v="6"/>
    <n v="42.18"/>
  </r>
  <r>
    <n v="205"/>
    <x v="7"/>
    <x v="109"/>
    <x v="0"/>
    <s v="U.S. dollars"/>
    <s v="Billions"/>
    <x v="0"/>
    <n v="37.924999999999997"/>
  </r>
  <r>
    <n v="205"/>
    <x v="7"/>
    <x v="109"/>
    <x v="0"/>
    <s v="U.S. dollars"/>
    <s v="Billions"/>
    <x v="1"/>
    <n v="35.432000000000002"/>
  </r>
  <r>
    <n v="205"/>
    <x v="7"/>
    <x v="109"/>
    <x v="0"/>
    <s v="U.S. dollars"/>
    <s v="Billions"/>
    <x v="2"/>
    <n v="39.951000000000001"/>
  </r>
  <r>
    <n v="205"/>
    <x v="7"/>
    <x v="109"/>
    <x v="0"/>
    <s v="U.S. dollars"/>
    <s v="Billions"/>
    <x v="3"/>
    <n v="41.953000000000003"/>
  </r>
  <r>
    <n v="205"/>
    <x v="7"/>
    <x v="109"/>
    <x v="0"/>
    <s v="U.S. dollars"/>
    <s v="Billions"/>
    <x v="4"/>
    <n v="43.871000000000002"/>
  </r>
  <r>
    <n v="205"/>
    <x v="7"/>
    <x v="109"/>
    <x v="0"/>
    <s v="U.S. dollars"/>
    <s v="Billions"/>
    <x v="5"/>
    <n v="45.817"/>
  </r>
  <r>
    <n v="205"/>
    <x v="7"/>
    <x v="109"/>
    <x v="0"/>
    <s v="U.S. dollars"/>
    <s v="Billions"/>
    <x v="6"/>
    <n v="48.033000000000001"/>
  </r>
  <r>
    <n v="200"/>
    <x v="3"/>
    <x v="109"/>
    <x v="0"/>
    <s v="U.S. dollars"/>
    <s v="Billions"/>
    <x v="0"/>
    <n v="37.924999999999997"/>
  </r>
  <r>
    <n v="200"/>
    <x v="3"/>
    <x v="109"/>
    <x v="0"/>
    <s v="U.S. dollars"/>
    <s v="Billions"/>
    <x v="1"/>
    <n v="35.432000000000002"/>
  </r>
  <r>
    <n v="200"/>
    <x v="3"/>
    <x v="109"/>
    <x v="0"/>
    <s v="U.S. dollars"/>
    <s v="Billions"/>
    <x v="2"/>
    <n v="39.951000000000001"/>
  </r>
  <r>
    <n v="200"/>
    <x v="3"/>
    <x v="109"/>
    <x v="0"/>
    <s v="U.S. dollars"/>
    <s v="Billions"/>
    <x v="3"/>
    <n v="41.953000000000003"/>
  </r>
  <r>
    <n v="200"/>
    <x v="3"/>
    <x v="109"/>
    <x v="0"/>
    <s v="U.S. dollars"/>
    <s v="Billions"/>
    <x v="4"/>
    <n v="43.871000000000002"/>
  </r>
  <r>
    <n v="200"/>
    <x v="3"/>
    <x v="109"/>
    <x v="0"/>
    <s v="U.S. dollars"/>
    <s v="Billions"/>
    <x v="5"/>
    <n v="45.817"/>
  </r>
  <r>
    <n v="200"/>
    <x v="3"/>
    <x v="109"/>
    <x v="0"/>
    <s v="U.S. dollars"/>
    <s v="Billions"/>
    <x v="6"/>
    <n v="48.033000000000001"/>
  </r>
  <r>
    <n v="1"/>
    <x v="2"/>
    <x v="109"/>
    <x v="0"/>
    <s v="U.S. dollars"/>
    <s v="Billions"/>
    <x v="0"/>
    <n v="37.924999999999997"/>
  </r>
  <r>
    <n v="1"/>
    <x v="2"/>
    <x v="109"/>
    <x v="0"/>
    <s v="U.S. dollars"/>
    <s v="Billions"/>
    <x v="1"/>
    <n v="35.432000000000002"/>
  </r>
  <r>
    <n v="1"/>
    <x v="2"/>
    <x v="109"/>
    <x v="0"/>
    <s v="U.S. dollars"/>
    <s v="Billions"/>
    <x v="2"/>
    <n v="39.951000000000001"/>
  </r>
  <r>
    <n v="1"/>
    <x v="2"/>
    <x v="109"/>
    <x v="0"/>
    <s v="U.S. dollars"/>
    <s v="Billions"/>
    <x v="3"/>
    <n v="41.953000000000003"/>
  </r>
  <r>
    <n v="1"/>
    <x v="2"/>
    <x v="109"/>
    <x v="0"/>
    <s v="U.S. dollars"/>
    <s v="Billions"/>
    <x v="4"/>
    <n v="43.871000000000002"/>
  </r>
  <r>
    <n v="1"/>
    <x v="2"/>
    <x v="109"/>
    <x v="0"/>
    <s v="U.S. dollars"/>
    <s v="Billions"/>
    <x v="5"/>
    <n v="45.817"/>
  </r>
  <r>
    <n v="1"/>
    <x v="2"/>
    <x v="109"/>
    <x v="0"/>
    <s v="U.S. dollars"/>
    <s v="Billions"/>
    <x v="6"/>
    <n v="48.033000000000001"/>
  </r>
  <r>
    <n v="998"/>
    <x v="6"/>
    <x v="78"/>
    <x v="2"/>
    <s v="Percent of GDP"/>
    <s v="Units"/>
    <x v="0"/>
    <n v="46.386000000000003"/>
  </r>
  <r>
    <n v="998"/>
    <x v="6"/>
    <x v="78"/>
    <x v="2"/>
    <s v="Percent of GDP"/>
    <s v="Units"/>
    <x v="1"/>
    <n v="46.715000000000003"/>
  </r>
  <r>
    <n v="998"/>
    <x v="6"/>
    <x v="78"/>
    <x v="2"/>
    <s v="Percent of GDP"/>
    <s v="Units"/>
    <x v="2"/>
    <n v="46.052999999999997"/>
  </r>
  <r>
    <n v="998"/>
    <x v="6"/>
    <x v="78"/>
    <x v="2"/>
    <s v="Percent of GDP"/>
    <s v="Units"/>
    <x v="3"/>
    <n v="45.021999999999998"/>
  </r>
  <r>
    <n v="998"/>
    <x v="6"/>
    <x v="78"/>
    <x v="2"/>
    <s v="Percent of GDP"/>
    <s v="Units"/>
    <x v="4"/>
    <n v="46.42"/>
  </r>
  <r>
    <n v="998"/>
    <x v="6"/>
    <x v="78"/>
    <x v="2"/>
    <s v="Percent of GDP"/>
    <s v="Units"/>
    <x v="5"/>
    <n v="45.682000000000002"/>
  </r>
  <r>
    <n v="998"/>
    <x v="6"/>
    <x v="78"/>
    <x v="2"/>
    <s v="Percent of GDP"/>
    <s v="Units"/>
    <x v="6"/>
    <n v="46.101999999999997"/>
  </r>
  <r>
    <n v="110"/>
    <x v="0"/>
    <x v="78"/>
    <x v="2"/>
    <s v="Percent of GDP"/>
    <s v="Units"/>
    <x v="0"/>
    <n v="46.386000000000003"/>
  </r>
  <r>
    <n v="110"/>
    <x v="0"/>
    <x v="78"/>
    <x v="2"/>
    <s v="Percent of GDP"/>
    <s v="Units"/>
    <x v="1"/>
    <n v="46.715000000000003"/>
  </r>
  <r>
    <n v="110"/>
    <x v="0"/>
    <x v="78"/>
    <x v="2"/>
    <s v="Percent of GDP"/>
    <s v="Units"/>
    <x v="2"/>
    <n v="46.052999999999997"/>
  </r>
  <r>
    <n v="110"/>
    <x v="0"/>
    <x v="78"/>
    <x v="2"/>
    <s v="Percent of GDP"/>
    <s v="Units"/>
    <x v="3"/>
    <n v="45.021999999999998"/>
  </r>
  <r>
    <n v="110"/>
    <x v="0"/>
    <x v="78"/>
    <x v="2"/>
    <s v="Percent of GDP"/>
    <s v="Units"/>
    <x v="4"/>
    <n v="46.42"/>
  </r>
  <r>
    <n v="110"/>
    <x v="0"/>
    <x v="78"/>
    <x v="2"/>
    <s v="Percent of GDP"/>
    <s v="Units"/>
    <x v="5"/>
    <n v="45.682000000000002"/>
  </r>
  <r>
    <n v="110"/>
    <x v="0"/>
    <x v="78"/>
    <x v="2"/>
    <s v="Percent of GDP"/>
    <s v="Units"/>
    <x v="6"/>
    <n v="46.101999999999997"/>
  </r>
  <r>
    <n v="163"/>
    <x v="5"/>
    <x v="78"/>
    <x v="2"/>
    <s v="Percent of GDP"/>
    <s v="Units"/>
    <x v="0"/>
    <n v="46.386000000000003"/>
  </r>
  <r>
    <n v="163"/>
    <x v="5"/>
    <x v="78"/>
    <x v="2"/>
    <s v="Percent of GDP"/>
    <s v="Units"/>
    <x v="1"/>
    <n v="46.715000000000003"/>
  </r>
  <r>
    <n v="163"/>
    <x v="5"/>
    <x v="78"/>
    <x v="2"/>
    <s v="Percent of GDP"/>
    <s v="Units"/>
    <x v="2"/>
    <n v="46.052999999999997"/>
  </r>
  <r>
    <n v="163"/>
    <x v="5"/>
    <x v="78"/>
    <x v="2"/>
    <s v="Percent of GDP"/>
    <s v="Units"/>
    <x v="3"/>
    <n v="45.021999999999998"/>
  </r>
  <r>
    <n v="163"/>
    <x v="5"/>
    <x v="78"/>
    <x v="2"/>
    <s v="Percent of GDP"/>
    <s v="Units"/>
    <x v="4"/>
    <n v="46.42"/>
  </r>
  <r>
    <n v="163"/>
    <x v="5"/>
    <x v="78"/>
    <x v="2"/>
    <s v="Percent of GDP"/>
    <s v="Units"/>
    <x v="5"/>
    <n v="45.682000000000002"/>
  </r>
  <r>
    <n v="163"/>
    <x v="5"/>
    <x v="78"/>
    <x v="2"/>
    <s v="Percent of GDP"/>
    <s v="Units"/>
    <x v="6"/>
    <n v="46.101999999999997"/>
  </r>
  <r>
    <n v="163"/>
    <x v="5"/>
    <x v="110"/>
    <x v="0"/>
    <s v="U.S. dollars"/>
    <s v="Billions"/>
    <x v="0"/>
    <n v="34.228999999999999"/>
  </r>
  <r>
    <n v="163"/>
    <x v="5"/>
    <x v="110"/>
    <x v="0"/>
    <s v="U.S. dollars"/>
    <s v="Billions"/>
    <x v="1"/>
    <n v="34.363"/>
  </r>
  <r>
    <n v="163"/>
    <x v="5"/>
    <x v="110"/>
    <x v="0"/>
    <s v="U.S. dollars"/>
    <s v="Billions"/>
    <x v="2"/>
    <n v="39.469000000000001"/>
  </r>
  <r>
    <n v="163"/>
    <x v="5"/>
    <x v="110"/>
    <x v="0"/>
    <s v="U.S. dollars"/>
    <s v="Billions"/>
    <x v="3"/>
    <n v="40.454000000000001"/>
  </r>
  <r>
    <n v="163"/>
    <x v="5"/>
    <x v="110"/>
    <x v="0"/>
    <s v="U.S. dollars"/>
    <s v="Billions"/>
    <x v="4"/>
    <n v="43.597999999999999"/>
  </r>
  <r>
    <n v="163"/>
    <x v="5"/>
    <x v="110"/>
    <x v="0"/>
    <s v="U.S. dollars"/>
    <s v="Billions"/>
    <x v="5"/>
    <n v="45.466000000000001"/>
  </r>
  <r>
    <n v="163"/>
    <x v="5"/>
    <x v="110"/>
    <x v="0"/>
    <s v="U.S. dollars"/>
    <s v="Billions"/>
    <x v="6"/>
    <n v="48.274000000000001"/>
  </r>
  <r>
    <n v="110"/>
    <x v="0"/>
    <x v="110"/>
    <x v="0"/>
    <s v="U.S. dollars"/>
    <s v="Billions"/>
    <x v="0"/>
    <n v="34.228999999999999"/>
  </r>
  <r>
    <n v="110"/>
    <x v="0"/>
    <x v="110"/>
    <x v="0"/>
    <s v="U.S. dollars"/>
    <s v="Billions"/>
    <x v="1"/>
    <n v="34.363"/>
  </r>
  <r>
    <n v="110"/>
    <x v="0"/>
    <x v="110"/>
    <x v="0"/>
    <s v="U.S. dollars"/>
    <s v="Billions"/>
    <x v="2"/>
    <n v="39.469000000000001"/>
  </r>
  <r>
    <n v="110"/>
    <x v="0"/>
    <x v="110"/>
    <x v="0"/>
    <s v="U.S. dollars"/>
    <s v="Billions"/>
    <x v="3"/>
    <n v="40.454000000000001"/>
  </r>
  <r>
    <n v="110"/>
    <x v="0"/>
    <x v="110"/>
    <x v="0"/>
    <s v="U.S. dollars"/>
    <s v="Billions"/>
    <x v="4"/>
    <n v="43.597999999999999"/>
  </r>
  <r>
    <n v="110"/>
    <x v="0"/>
    <x v="110"/>
    <x v="0"/>
    <s v="U.S. dollars"/>
    <s v="Billions"/>
    <x v="5"/>
    <n v="45.466000000000001"/>
  </r>
  <r>
    <n v="110"/>
    <x v="0"/>
    <x v="110"/>
    <x v="0"/>
    <s v="U.S. dollars"/>
    <s v="Billions"/>
    <x v="6"/>
    <n v="48.274000000000001"/>
  </r>
  <r>
    <n v="998"/>
    <x v="6"/>
    <x v="110"/>
    <x v="0"/>
    <s v="U.S. dollars"/>
    <s v="Billions"/>
    <x v="0"/>
    <n v="34.228999999999999"/>
  </r>
  <r>
    <n v="998"/>
    <x v="6"/>
    <x v="110"/>
    <x v="0"/>
    <s v="U.S. dollars"/>
    <s v="Billions"/>
    <x v="1"/>
    <n v="34.363"/>
  </r>
  <r>
    <n v="998"/>
    <x v="6"/>
    <x v="110"/>
    <x v="0"/>
    <s v="U.S. dollars"/>
    <s v="Billions"/>
    <x v="2"/>
    <n v="39.469000000000001"/>
  </r>
  <r>
    <n v="998"/>
    <x v="6"/>
    <x v="110"/>
    <x v="0"/>
    <s v="U.S. dollars"/>
    <s v="Billions"/>
    <x v="3"/>
    <n v="40.454000000000001"/>
  </r>
  <r>
    <n v="998"/>
    <x v="6"/>
    <x v="110"/>
    <x v="0"/>
    <s v="U.S. dollars"/>
    <s v="Billions"/>
    <x v="4"/>
    <n v="43.597999999999999"/>
  </r>
  <r>
    <n v="998"/>
    <x v="6"/>
    <x v="110"/>
    <x v="0"/>
    <s v="U.S. dollars"/>
    <s v="Billions"/>
    <x v="5"/>
    <n v="45.466000000000001"/>
  </r>
  <r>
    <n v="998"/>
    <x v="6"/>
    <x v="110"/>
    <x v="0"/>
    <s v="U.S. dollars"/>
    <s v="Billions"/>
    <x v="6"/>
    <n v="48.274000000000001"/>
  </r>
  <r>
    <n v="1"/>
    <x v="2"/>
    <x v="110"/>
    <x v="0"/>
    <s v="U.S. dollars"/>
    <s v="Billions"/>
    <x v="0"/>
    <n v="34.228999999999999"/>
  </r>
  <r>
    <n v="1"/>
    <x v="2"/>
    <x v="110"/>
    <x v="0"/>
    <s v="U.S. dollars"/>
    <s v="Billions"/>
    <x v="1"/>
    <n v="34.363"/>
  </r>
  <r>
    <n v="1"/>
    <x v="2"/>
    <x v="110"/>
    <x v="0"/>
    <s v="U.S. dollars"/>
    <s v="Billions"/>
    <x v="2"/>
    <n v="39.469000000000001"/>
  </r>
  <r>
    <n v="1"/>
    <x v="2"/>
    <x v="110"/>
    <x v="0"/>
    <s v="U.S. dollars"/>
    <s v="Billions"/>
    <x v="3"/>
    <n v="40.454000000000001"/>
  </r>
  <r>
    <n v="1"/>
    <x v="2"/>
    <x v="110"/>
    <x v="0"/>
    <s v="U.S. dollars"/>
    <s v="Billions"/>
    <x v="4"/>
    <n v="43.597999999999999"/>
  </r>
  <r>
    <n v="1"/>
    <x v="2"/>
    <x v="110"/>
    <x v="0"/>
    <s v="U.S. dollars"/>
    <s v="Billions"/>
    <x v="5"/>
    <n v="45.466000000000001"/>
  </r>
  <r>
    <n v="1"/>
    <x v="2"/>
    <x v="110"/>
    <x v="0"/>
    <s v="U.S. dollars"/>
    <s v="Billions"/>
    <x v="6"/>
    <n v="48.274000000000001"/>
  </r>
  <r>
    <n v="205"/>
    <x v="7"/>
    <x v="111"/>
    <x v="7"/>
    <s v="Percent of GDP"/>
    <s v="Units"/>
    <x v="0"/>
    <n v="24.919"/>
  </r>
  <r>
    <n v="205"/>
    <x v="7"/>
    <x v="111"/>
    <x v="7"/>
    <s v="Percent of GDP"/>
    <s v="Units"/>
    <x v="1"/>
    <n v="32.418999999999997"/>
  </r>
  <r>
    <n v="205"/>
    <x v="7"/>
    <x v="111"/>
    <x v="7"/>
    <s v="Percent of GDP"/>
    <s v="Units"/>
    <x v="2"/>
    <n v="30.109000000000002"/>
  </r>
  <r>
    <n v="205"/>
    <x v="7"/>
    <x v="111"/>
    <x v="7"/>
    <s v="Percent of GDP"/>
    <s v="Units"/>
    <x v="3"/>
    <n v="29.082000000000001"/>
  </r>
  <r>
    <n v="205"/>
    <x v="7"/>
    <x v="111"/>
    <x v="7"/>
    <s v="Percent of GDP"/>
    <s v="Units"/>
    <x v="4"/>
    <n v="44.38"/>
  </r>
  <r>
    <n v="205"/>
    <x v="7"/>
    <x v="111"/>
    <x v="7"/>
    <s v="Percent of GDP"/>
    <s v="Units"/>
    <x v="5"/>
    <n v="45.442999999999998"/>
  </r>
  <r>
    <n v="205"/>
    <x v="7"/>
    <x v="111"/>
    <x v="7"/>
    <s v="Percent of GDP"/>
    <s v="Units"/>
    <x v="6"/>
    <n v="27.164999999999999"/>
  </r>
  <r>
    <n v="200"/>
    <x v="3"/>
    <x v="111"/>
    <x v="7"/>
    <s v="Percent of GDP"/>
    <s v="Units"/>
    <x v="0"/>
    <n v="24.919"/>
  </r>
  <r>
    <n v="200"/>
    <x v="3"/>
    <x v="111"/>
    <x v="7"/>
    <s v="Percent of GDP"/>
    <s v="Units"/>
    <x v="1"/>
    <n v="32.418999999999997"/>
  </r>
  <r>
    <n v="200"/>
    <x v="3"/>
    <x v="111"/>
    <x v="7"/>
    <s v="Percent of GDP"/>
    <s v="Units"/>
    <x v="2"/>
    <n v="30.109000000000002"/>
  </r>
  <r>
    <n v="200"/>
    <x v="3"/>
    <x v="111"/>
    <x v="7"/>
    <s v="Percent of GDP"/>
    <s v="Units"/>
    <x v="3"/>
    <n v="29.082000000000001"/>
  </r>
  <r>
    <n v="200"/>
    <x v="3"/>
    <x v="111"/>
    <x v="7"/>
    <s v="Percent of GDP"/>
    <s v="Units"/>
    <x v="4"/>
    <n v="44.38"/>
  </r>
  <r>
    <n v="200"/>
    <x v="3"/>
    <x v="111"/>
    <x v="7"/>
    <s v="Percent of GDP"/>
    <s v="Units"/>
    <x v="5"/>
    <n v="45.442999999999998"/>
  </r>
  <r>
    <n v="200"/>
    <x v="3"/>
    <x v="111"/>
    <x v="7"/>
    <s v="Percent of GDP"/>
    <s v="Units"/>
    <x v="6"/>
    <n v="27.164999999999999"/>
  </r>
  <r>
    <n v="1"/>
    <x v="2"/>
    <x v="111"/>
    <x v="7"/>
    <s v="Percent of GDP"/>
    <s v="Units"/>
    <x v="0"/>
    <n v="24.919"/>
  </r>
  <r>
    <n v="1"/>
    <x v="2"/>
    <x v="111"/>
    <x v="7"/>
    <s v="Percent of GDP"/>
    <s v="Units"/>
    <x v="1"/>
    <n v="32.418999999999997"/>
  </r>
  <r>
    <n v="1"/>
    <x v="2"/>
    <x v="111"/>
    <x v="7"/>
    <s v="Percent of GDP"/>
    <s v="Units"/>
    <x v="2"/>
    <n v="30.109000000000002"/>
  </r>
  <r>
    <n v="1"/>
    <x v="2"/>
    <x v="111"/>
    <x v="7"/>
    <s v="Percent of GDP"/>
    <s v="Units"/>
    <x v="3"/>
    <n v="29.082000000000001"/>
  </r>
  <r>
    <n v="1"/>
    <x v="2"/>
    <x v="111"/>
    <x v="7"/>
    <s v="Percent of GDP"/>
    <s v="Units"/>
    <x v="4"/>
    <n v="44.38"/>
  </r>
  <r>
    <n v="1"/>
    <x v="2"/>
    <x v="111"/>
    <x v="7"/>
    <s v="Percent of GDP"/>
    <s v="Units"/>
    <x v="5"/>
    <n v="45.442999999999998"/>
  </r>
  <r>
    <n v="1"/>
    <x v="2"/>
    <x v="111"/>
    <x v="7"/>
    <s v="Percent of GDP"/>
    <s v="Units"/>
    <x v="6"/>
    <n v="27.164999999999999"/>
  </r>
  <r>
    <n v="1"/>
    <x v="2"/>
    <x v="112"/>
    <x v="0"/>
    <s v="U.S. dollars"/>
    <s v="Billions"/>
    <x v="0"/>
    <n v="36.682000000000002"/>
  </r>
  <r>
    <n v="1"/>
    <x v="2"/>
    <x v="112"/>
    <x v="0"/>
    <s v="U.S. dollars"/>
    <s v="Billions"/>
    <x v="1"/>
    <n v="34.680999999999997"/>
  </r>
  <r>
    <n v="1"/>
    <x v="2"/>
    <x v="112"/>
    <x v="0"/>
    <s v="U.S. dollars"/>
    <s v="Billions"/>
    <x v="2"/>
    <n v="36.298999999999999"/>
  </r>
  <r>
    <n v="1"/>
    <x v="2"/>
    <x v="112"/>
    <x v="0"/>
    <s v="U.S. dollars"/>
    <s v="Billions"/>
    <x v="3"/>
    <n v="39.063000000000002"/>
  </r>
  <r>
    <n v="1"/>
    <x v="2"/>
    <x v="112"/>
    <x v="0"/>
    <s v="U.S. dollars"/>
    <s v="Billions"/>
    <x v="4"/>
    <n v="41.854999999999997"/>
  </r>
  <r>
    <n v="1"/>
    <x v="2"/>
    <x v="112"/>
    <x v="0"/>
    <s v="U.S. dollars"/>
    <s v="Billions"/>
    <x v="5"/>
    <n v="45.15"/>
  </r>
  <r>
    <n v="1"/>
    <x v="2"/>
    <x v="112"/>
    <x v="0"/>
    <s v="U.S. dollars"/>
    <s v="Billions"/>
    <x v="6"/>
    <n v="48.725000000000001"/>
  </r>
  <r>
    <n v="200"/>
    <x v="3"/>
    <x v="112"/>
    <x v="0"/>
    <s v="U.S. dollars"/>
    <s v="Billions"/>
    <x v="0"/>
    <n v="36.682000000000002"/>
  </r>
  <r>
    <n v="200"/>
    <x v="3"/>
    <x v="112"/>
    <x v="0"/>
    <s v="U.S. dollars"/>
    <s v="Billions"/>
    <x v="1"/>
    <n v="34.680999999999997"/>
  </r>
  <r>
    <n v="200"/>
    <x v="3"/>
    <x v="112"/>
    <x v="0"/>
    <s v="U.S. dollars"/>
    <s v="Billions"/>
    <x v="2"/>
    <n v="36.298999999999999"/>
  </r>
  <r>
    <n v="200"/>
    <x v="3"/>
    <x v="112"/>
    <x v="0"/>
    <s v="U.S. dollars"/>
    <s v="Billions"/>
    <x v="3"/>
    <n v="39.063000000000002"/>
  </r>
  <r>
    <n v="200"/>
    <x v="3"/>
    <x v="112"/>
    <x v="0"/>
    <s v="U.S. dollars"/>
    <s v="Billions"/>
    <x v="4"/>
    <n v="41.854999999999997"/>
  </r>
  <r>
    <n v="200"/>
    <x v="3"/>
    <x v="112"/>
    <x v="0"/>
    <s v="U.S. dollars"/>
    <s v="Billions"/>
    <x v="5"/>
    <n v="45.15"/>
  </r>
  <r>
    <n v="200"/>
    <x v="3"/>
    <x v="112"/>
    <x v="0"/>
    <s v="U.S. dollars"/>
    <s v="Billions"/>
    <x v="6"/>
    <n v="48.725000000000001"/>
  </r>
  <r>
    <n v="505"/>
    <x v="4"/>
    <x v="112"/>
    <x v="0"/>
    <s v="U.S. dollars"/>
    <s v="Billions"/>
    <x v="0"/>
    <n v="36.682000000000002"/>
  </r>
  <r>
    <n v="505"/>
    <x v="4"/>
    <x v="112"/>
    <x v="0"/>
    <s v="U.S. dollars"/>
    <s v="Billions"/>
    <x v="1"/>
    <n v="34.680999999999997"/>
  </r>
  <r>
    <n v="505"/>
    <x v="4"/>
    <x v="112"/>
    <x v="0"/>
    <s v="U.S. dollars"/>
    <s v="Billions"/>
    <x v="2"/>
    <n v="36.298999999999999"/>
  </r>
  <r>
    <n v="505"/>
    <x v="4"/>
    <x v="112"/>
    <x v="0"/>
    <s v="U.S. dollars"/>
    <s v="Billions"/>
    <x v="3"/>
    <n v="39.063000000000002"/>
  </r>
  <r>
    <n v="505"/>
    <x v="4"/>
    <x v="112"/>
    <x v="0"/>
    <s v="U.S. dollars"/>
    <s v="Billions"/>
    <x v="4"/>
    <n v="41.854999999999997"/>
  </r>
  <r>
    <n v="505"/>
    <x v="4"/>
    <x v="112"/>
    <x v="0"/>
    <s v="U.S. dollars"/>
    <s v="Billions"/>
    <x v="5"/>
    <n v="45.15"/>
  </r>
  <r>
    <n v="505"/>
    <x v="4"/>
    <x v="112"/>
    <x v="0"/>
    <s v="U.S. dollars"/>
    <s v="Billions"/>
    <x v="6"/>
    <n v="48.725000000000001"/>
  </r>
  <r>
    <n v="123"/>
    <x v="9"/>
    <x v="113"/>
    <x v="3"/>
    <s v="Percent of GDP"/>
    <s v="Units"/>
    <x v="0"/>
    <n v="43.576999999999998"/>
  </r>
  <r>
    <n v="123"/>
    <x v="9"/>
    <x v="113"/>
    <x v="3"/>
    <s v="Percent of GDP"/>
    <s v="Units"/>
    <x v="1"/>
    <n v="51.1"/>
  </r>
  <r>
    <n v="123"/>
    <x v="9"/>
    <x v="113"/>
    <x v="3"/>
    <s v="Percent of GDP"/>
    <s v="Units"/>
    <x v="2"/>
    <n v="49.531999999999996"/>
  </r>
  <r>
    <n v="123"/>
    <x v="9"/>
    <x v="113"/>
    <x v="3"/>
    <s v="Percent of GDP"/>
    <s v="Units"/>
    <x v="3"/>
    <n v="46.488"/>
  </r>
  <r>
    <n v="123"/>
    <x v="9"/>
    <x v="113"/>
    <x v="3"/>
    <s v="Percent of GDP"/>
    <s v="Units"/>
    <x v="4"/>
    <n v="45.121000000000002"/>
  </r>
  <r>
    <n v="123"/>
    <x v="9"/>
    <x v="113"/>
    <x v="3"/>
    <s v="Percent of GDP"/>
    <s v="Units"/>
    <x v="5"/>
    <n v="45.05"/>
  </r>
  <r>
    <n v="123"/>
    <x v="9"/>
    <x v="113"/>
    <x v="3"/>
    <s v="Percent of GDP"/>
    <s v="Units"/>
    <x v="6"/>
    <n v="43.755000000000003"/>
  </r>
  <r>
    <n v="110"/>
    <x v="0"/>
    <x v="113"/>
    <x v="3"/>
    <s v="Percent of GDP"/>
    <s v="Units"/>
    <x v="0"/>
    <n v="43.576999999999998"/>
  </r>
  <r>
    <n v="110"/>
    <x v="0"/>
    <x v="113"/>
    <x v="3"/>
    <s v="Percent of GDP"/>
    <s v="Units"/>
    <x v="1"/>
    <n v="51.1"/>
  </r>
  <r>
    <n v="110"/>
    <x v="0"/>
    <x v="113"/>
    <x v="3"/>
    <s v="Percent of GDP"/>
    <s v="Units"/>
    <x v="2"/>
    <n v="49.531999999999996"/>
  </r>
  <r>
    <n v="110"/>
    <x v="0"/>
    <x v="113"/>
    <x v="3"/>
    <s v="Percent of GDP"/>
    <s v="Units"/>
    <x v="3"/>
    <n v="46.488"/>
  </r>
  <r>
    <n v="110"/>
    <x v="0"/>
    <x v="113"/>
    <x v="3"/>
    <s v="Percent of GDP"/>
    <s v="Units"/>
    <x v="4"/>
    <n v="45.121000000000002"/>
  </r>
  <r>
    <n v="110"/>
    <x v="0"/>
    <x v="113"/>
    <x v="3"/>
    <s v="Percent of GDP"/>
    <s v="Units"/>
    <x v="5"/>
    <n v="45.05"/>
  </r>
  <r>
    <n v="110"/>
    <x v="0"/>
    <x v="113"/>
    <x v="3"/>
    <s v="Percent of GDP"/>
    <s v="Units"/>
    <x v="6"/>
    <n v="43.755000000000003"/>
  </r>
  <r>
    <n v="200"/>
    <x v="3"/>
    <x v="114"/>
    <x v="3"/>
    <s v="Percent of GDP"/>
    <s v="Units"/>
    <x v="0"/>
    <n v="48.280999999999999"/>
  </r>
  <r>
    <n v="200"/>
    <x v="3"/>
    <x v="114"/>
    <x v="3"/>
    <s v="Percent of GDP"/>
    <s v="Units"/>
    <x v="1"/>
    <n v="66.760000000000005"/>
  </r>
  <r>
    <n v="200"/>
    <x v="3"/>
    <x v="114"/>
    <x v="3"/>
    <s v="Percent of GDP"/>
    <s v="Units"/>
    <x v="2"/>
    <n v="66.977999999999994"/>
  </r>
  <r>
    <n v="200"/>
    <x v="3"/>
    <x v="114"/>
    <x v="3"/>
    <s v="Percent of GDP"/>
    <s v="Units"/>
    <x v="3"/>
    <n v="69.739999999999995"/>
  </r>
  <r>
    <n v="200"/>
    <x v="3"/>
    <x v="114"/>
    <x v="3"/>
    <s v="Percent of GDP"/>
    <s v="Units"/>
    <x v="4"/>
    <n v="47.557000000000002"/>
  </r>
  <r>
    <n v="200"/>
    <x v="3"/>
    <x v="114"/>
    <x v="3"/>
    <s v="Percent of GDP"/>
    <s v="Units"/>
    <x v="5"/>
    <n v="44.813000000000002"/>
  </r>
  <r>
    <n v="200"/>
    <x v="3"/>
    <x v="114"/>
    <x v="3"/>
    <s v="Percent of GDP"/>
    <s v="Units"/>
    <x v="6"/>
    <n v="43.347000000000001"/>
  </r>
  <r>
    <n v="205"/>
    <x v="7"/>
    <x v="114"/>
    <x v="3"/>
    <s v="Percent of GDP"/>
    <s v="Units"/>
    <x v="0"/>
    <n v="48.280999999999999"/>
  </r>
  <r>
    <n v="205"/>
    <x v="7"/>
    <x v="114"/>
    <x v="3"/>
    <s v="Percent of GDP"/>
    <s v="Units"/>
    <x v="1"/>
    <n v="66.760000000000005"/>
  </r>
  <r>
    <n v="205"/>
    <x v="7"/>
    <x v="114"/>
    <x v="3"/>
    <s v="Percent of GDP"/>
    <s v="Units"/>
    <x v="2"/>
    <n v="66.977999999999994"/>
  </r>
  <r>
    <n v="205"/>
    <x v="7"/>
    <x v="114"/>
    <x v="3"/>
    <s v="Percent of GDP"/>
    <s v="Units"/>
    <x v="3"/>
    <n v="69.739999999999995"/>
  </r>
  <r>
    <n v="205"/>
    <x v="7"/>
    <x v="114"/>
    <x v="3"/>
    <s v="Percent of GDP"/>
    <s v="Units"/>
    <x v="4"/>
    <n v="47.557000000000002"/>
  </r>
  <r>
    <n v="205"/>
    <x v="7"/>
    <x v="114"/>
    <x v="3"/>
    <s v="Percent of GDP"/>
    <s v="Units"/>
    <x v="5"/>
    <n v="44.813000000000002"/>
  </r>
  <r>
    <n v="205"/>
    <x v="7"/>
    <x v="114"/>
    <x v="3"/>
    <s v="Percent of GDP"/>
    <s v="Units"/>
    <x v="6"/>
    <n v="43.347000000000001"/>
  </r>
  <r>
    <n v="903"/>
    <x v="8"/>
    <x v="83"/>
    <x v="3"/>
    <s v="Percent of GDP"/>
    <s v="Units"/>
    <x v="0"/>
    <n v="42.029000000000003"/>
  </r>
  <r>
    <n v="903"/>
    <x v="8"/>
    <x v="83"/>
    <x v="3"/>
    <s v="Percent of GDP"/>
    <s v="Units"/>
    <x v="1"/>
    <n v="48.206000000000003"/>
  </r>
  <r>
    <n v="903"/>
    <x v="8"/>
    <x v="83"/>
    <x v="3"/>
    <s v="Percent of GDP"/>
    <s v="Units"/>
    <x v="2"/>
    <n v="46.546999999999997"/>
  </r>
  <r>
    <n v="903"/>
    <x v="8"/>
    <x v="83"/>
    <x v="3"/>
    <s v="Percent of GDP"/>
    <s v="Units"/>
    <x v="3"/>
    <n v="43.484000000000002"/>
  </r>
  <r>
    <n v="903"/>
    <x v="8"/>
    <x v="83"/>
    <x v="3"/>
    <s v="Percent of GDP"/>
    <s v="Units"/>
    <x v="4"/>
    <n v="43.924999999999997"/>
  </r>
  <r>
    <n v="903"/>
    <x v="8"/>
    <x v="83"/>
    <x v="3"/>
    <s v="Percent of GDP"/>
    <s v="Units"/>
    <x v="5"/>
    <n v="44.284999999999997"/>
  </r>
  <r>
    <n v="903"/>
    <x v="8"/>
    <x v="83"/>
    <x v="3"/>
    <s v="Percent of GDP"/>
    <s v="Units"/>
    <x v="6"/>
    <n v="44.737000000000002"/>
  </r>
  <r>
    <n v="200"/>
    <x v="3"/>
    <x v="83"/>
    <x v="3"/>
    <s v="Percent of GDP"/>
    <s v="Units"/>
    <x v="0"/>
    <n v="42.029000000000003"/>
  </r>
  <r>
    <n v="200"/>
    <x v="3"/>
    <x v="83"/>
    <x v="3"/>
    <s v="Percent of GDP"/>
    <s v="Units"/>
    <x v="1"/>
    <n v="48.206000000000003"/>
  </r>
  <r>
    <n v="200"/>
    <x v="3"/>
    <x v="83"/>
    <x v="3"/>
    <s v="Percent of GDP"/>
    <s v="Units"/>
    <x v="2"/>
    <n v="46.546999999999997"/>
  </r>
  <r>
    <n v="200"/>
    <x v="3"/>
    <x v="83"/>
    <x v="3"/>
    <s v="Percent of GDP"/>
    <s v="Units"/>
    <x v="3"/>
    <n v="43.484000000000002"/>
  </r>
  <r>
    <n v="200"/>
    <x v="3"/>
    <x v="83"/>
    <x v="3"/>
    <s v="Percent of GDP"/>
    <s v="Units"/>
    <x v="4"/>
    <n v="43.924999999999997"/>
  </r>
  <r>
    <n v="200"/>
    <x v="3"/>
    <x v="83"/>
    <x v="3"/>
    <s v="Percent of GDP"/>
    <s v="Units"/>
    <x v="5"/>
    <n v="44.284999999999997"/>
  </r>
  <r>
    <n v="200"/>
    <x v="3"/>
    <x v="83"/>
    <x v="3"/>
    <s v="Percent of GDP"/>
    <s v="Units"/>
    <x v="6"/>
    <n v="44.737000000000002"/>
  </r>
  <r>
    <n v="998"/>
    <x v="6"/>
    <x v="115"/>
    <x v="3"/>
    <s v="Percent of GDP"/>
    <s v="Units"/>
    <x v="0"/>
    <n v="39.131999999999998"/>
  </r>
  <r>
    <n v="998"/>
    <x v="6"/>
    <x v="115"/>
    <x v="3"/>
    <s v="Percent of GDP"/>
    <s v="Units"/>
    <x v="1"/>
    <n v="44.871000000000002"/>
  </r>
  <r>
    <n v="998"/>
    <x v="6"/>
    <x v="115"/>
    <x v="3"/>
    <s v="Percent of GDP"/>
    <s v="Units"/>
    <x v="2"/>
    <n v="41.889000000000003"/>
  </r>
  <r>
    <n v="998"/>
    <x v="6"/>
    <x v="115"/>
    <x v="3"/>
    <s v="Percent of GDP"/>
    <s v="Units"/>
    <x v="3"/>
    <n v="39.776000000000003"/>
  </r>
  <r>
    <n v="998"/>
    <x v="6"/>
    <x v="115"/>
    <x v="3"/>
    <s v="Percent of GDP"/>
    <s v="Units"/>
    <x v="4"/>
    <n v="43.14"/>
  </r>
  <r>
    <n v="998"/>
    <x v="6"/>
    <x v="115"/>
    <x v="3"/>
    <s v="Percent of GDP"/>
    <s v="Units"/>
    <x v="5"/>
    <n v="44.265000000000001"/>
  </r>
  <r>
    <n v="998"/>
    <x v="6"/>
    <x v="115"/>
    <x v="3"/>
    <s v="Percent of GDP"/>
    <s v="Units"/>
    <x v="6"/>
    <n v="43.759"/>
  </r>
  <r>
    <n v="110"/>
    <x v="0"/>
    <x v="115"/>
    <x v="3"/>
    <s v="Percent of GDP"/>
    <s v="Units"/>
    <x v="0"/>
    <n v="39.131999999999998"/>
  </r>
  <r>
    <n v="110"/>
    <x v="0"/>
    <x v="115"/>
    <x v="3"/>
    <s v="Percent of GDP"/>
    <s v="Units"/>
    <x v="1"/>
    <n v="44.871000000000002"/>
  </r>
  <r>
    <n v="110"/>
    <x v="0"/>
    <x v="115"/>
    <x v="3"/>
    <s v="Percent of GDP"/>
    <s v="Units"/>
    <x v="2"/>
    <n v="41.889000000000003"/>
  </r>
  <r>
    <n v="110"/>
    <x v="0"/>
    <x v="115"/>
    <x v="3"/>
    <s v="Percent of GDP"/>
    <s v="Units"/>
    <x v="3"/>
    <n v="39.776000000000003"/>
  </r>
  <r>
    <n v="110"/>
    <x v="0"/>
    <x v="115"/>
    <x v="3"/>
    <s v="Percent of GDP"/>
    <s v="Units"/>
    <x v="4"/>
    <n v="43.14"/>
  </r>
  <r>
    <n v="110"/>
    <x v="0"/>
    <x v="115"/>
    <x v="3"/>
    <s v="Percent of GDP"/>
    <s v="Units"/>
    <x v="5"/>
    <n v="44.265000000000001"/>
  </r>
  <r>
    <n v="110"/>
    <x v="0"/>
    <x v="115"/>
    <x v="3"/>
    <s v="Percent of GDP"/>
    <s v="Units"/>
    <x v="6"/>
    <n v="43.759"/>
  </r>
  <r>
    <n v="163"/>
    <x v="5"/>
    <x v="115"/>
    <x v="3"/>
    <s v="Percent of GDP"/>
    <s v="Units"/>
    <x v="0"/>
    <n v="39.131999999999998"/>
  </r>
  <r>
    <n v="163"/>
    <x v="5"/>
    <x v="115"/>
    <x v="3"/>
    <s v="Percent of GDP"/>
    <s v="Units"/>
    <x v="1"/>
    <n v="44.871000000000002"/>
  </r>
  <r>
    <n v="163"/>
    <x v="5"/>
    <x v="115"/>
    <x v="3"/>
    <s v="Percent of GDP"/>
    <s v="Units"/>
    <x v="2"/>
    <n v="41.889000000000003"/>
  </r>
  <r>
    <n v="163"/>
    <x v="5"/>
    <x v="115"/>
    <x v="3"/>
    <s v="Percent of GDP"/>
    <s v="Units"/>
    <x v="3"/>
    <n v="39.776000000000003"/>
  </r>
  <r>
    <n v="163"/>
    <x v="5"/>
    <x v="115"/>
    <x v="3"/>
    <s v="Percent of GDP"/>
    <s v="Units"/>
    <x v="4"/>
    <n v="43.14"/>
  </r>
  <r>
    <n v="163"/>
    <x v="5"/>
    <x v="115"/>
    <x v="3"/>
    <s v="Percent of GDP"/>
    <s v="Units"/>
    <x v="5"/>
    <n v="44.265000000000001"/>
  </r>
  <r>
    <n v="163"/>
    <x v="5"/>
    <x v="115"/>
    <x v="3"/>
    <s v="Percent of GDP"/>
    <s v="Units"/>
    <x v="6"/>
    <n v="43.759"/>
  </r>
  <r>
    <n v="200"/>
    <x v="3"/>
    <x v="116"/>
    <x v="3"/>
    <s v="Percent of GDP"/>
    <s v="Units"/>
    <x v="0"/>
    <n v="43.973999999999997"/>
  </r>
  <r>
    <n v="200"/>
    <x v="3"/>
    <x v="116"/>
    <x v="3"/>
    <s v="Percent of GDP"/>
    <s v="Units"/>
    <x v="1"/>
    <n v="54.35"/>
  </r>
  <r>
    <n v="200"/>
    <x v="3"/>
    <x v="116"/>
    <x v="3"/>
    <s v="Percent of GDP"/>
    <s v="Units"/>
    <x v="2"/>
    <n v="44.829000000000001"/>
  </r>
  <r>
    <n v="200"/>
    <x v="3"/>
    <x v="116"/>
    <x v="3"/>
    <s v="Percent of GDP"/>
    <s v="Units"/>
    <x v="3"/>
    <n v="42.317999999999998"/>
  </r>
  <r>
    <n v="200"/>
    <x v="3"/>
    <x v="116"/>
    <x v="3"/>
    <s v="Percent of GDP"/>
    <s v="Units"/>
    <x v="4"/>
    <n v="41.055"/>
  </r>
  <r>
    <n v="200"/>
    <x v="3"/>
    <x v="116"/>
    <x v="3"/>
    <s v="Percent of GDP"/>
    <s v="Units"/>
    <x v="5"/>
    <n v="44.212000000000003"/>
  </r>
  <r>
    <n v="200"/>
    <x v="3"/>
    <x v="116"/>
    <x v="3"/>
    <s v="Percent of GDP"/>
    <s v="Units"/>
    <x v="6"/>
    <n v="43.994999999999997"/>
  </r>
  <r>
    <n v="903"/>
    <x v="8"/>
    <x v="116"/>
    <x v="3"/>
    <s v="Percent of GDP"/>
    <s v="Units"/>
    <x v="0"/>
    <n v="43.973999999999997"/>
  </r>
  <r>
    <n v="903"/>
    <x v="8"/>
    <x v="116"/>
    <x v="3"/>
    <s v="Percent of GDP"/>
    <s v="Units"/>
    <x v="1"/>
    <n v="54.35"/>
  </r>
  <r>
    <n v="903"/>
    <x v="8"/>
    <x v="116"/>
    <x v="3"/>
    <s v="Percent of GDP"/>
    <s v="Units"/>
    <x v="2"/>
    <n v="44.829000000000001"/>
  </r>
  <r>
    <n v="903"/>
    <x v="8"/>
    <x v="116"/>
    <x v="3"/>
    <s v="Percent of GDP"/>
    <s v="Units"/>
    <x v="3"/>
    <n v="42.317999999999998"/>
  </r>
  <r>
    <n v="903"/>
    <x v="8"/>
    <x v="116"/>
    <x v="3"/>
    <s v="Percent of GDP"/>
    <s v="Units"/>
    <x v="4"/>
    <n v="41.055"/>
  </r>
  <r>
    <n v="903"/>
    <x v="8"/>
    <x v="116"/>
    <x v="3"/>
    <s v="Percent of GDP"/>
    <s v="Units"/>
    <x v="5"/>
    <n v="44.212000000000003"/>
  </r>
  <r>
    <n v="903"/>
    <x v="8"/>
    <x v="116"/>
    <x v="3"/>
    <s v="Percent of GDP"/>
    <s v="Units"/>
    <x v="6"/>
    <n v="43.994999999999997"/>
  </r>
  <r>
    <n v="163"/>
    <x v="5"/>
    <x v="90"/>
    <x v="2"/>
    <s v="Percent of GDP"/>
    <s v="Units"/>
    <x v="0"/>
    <n v="44.091999999999999"/>
  </r>
  <r>
    <n v="163"/>
    <x v="5"/>
    <x v="90"/>
    <x v="2"/>
    <s v="Percent of GDP"/>
    <s v="Units"/>
    <x v="1"/>
    <n v="43.706000000000003"/>
  </r>
  <r>
    <n v="163"/>
    <x v="5"/>
    <x v="90"/>
    <x v="2"/>
    <s v="Percent of GDP"/>
    <s v="Units"/>
    <x v="2"/>
    <n v="44.851999999999997"/>
  </r>
  <r>
    <n v="163"/>
    <x v="5"/>
    <x v="90"/>
    <x v="2"/>
    <s v="Percent of GDP"/>
    <s v="Units"/>
    <x v="3"/>
    <n v="44.073999999999998"/>
  </r>
  <r>
    <n v="163"/>
    <x v="5"/>
    <x v="90"/>
    <x v="2"/>
    <s v="Percent of GDP"/>
    <s v="Units"/>
    <x v="4"/>
    <n v="43.973999999999997"/>
  </r>
  <r>
    <n v="163"/>
    <x v="5"/>
    <x v="90"/>
    <x v="2"/>
    <s v="Percent of GDP"/>
    <s v="Units"/>
    <x v="5"/>
    <n v="44.182000000000002"/>
  </r>
  <r>
    <n v="163"/>
    <x v="5"/>
    <x v="90"/>
    <x v="2"/>
    <s v="Percent of GDP"/>
    <s v="Units"/>
    <x v="6"/>
    <n v="43.524000000000001"/>
  </r>
  <r>
    <n v="110"/>
    <x v="0"/>
    <x v="90"/>
    <x v="2"/>
    <s v="Percent of GDP"/>
    <s v="Units"/>
    <x v="0"/>
    <n v="44.091999999999999"/>
  </r>
  <r>
    <n v="110"/>
    <x v="0"/>
    <x v="90"/>
    <x v="2"/>
    <s v="Percent of GDP"/>
    <s v="Units"/>
    <x v="1"/>
    <n v="43.706000000000003"/>
  </r>
  <r>
    <n v="110"/>
    <x v="0"/>
    <x v="90"/>
    <x v="2"/>
    <s v="Percent of GDP"/>
    <s v="Units"/>
    <x v="2"/>
    <n v="44.851999999999997"/>
  </r>
  <r>
    <n v="110"/>
    <x v="0"/>
    <x v="90"/>
    <x v="2"/>
    <s v="Percent of GDP"/>
    <s v="Units"/>
    <x v="3"/>
    <n v="44.073999999999998"/>
  </r>
  <r>
    <n v="110"/>
    <x v="0"/>
    <x v="90"/>
    <x v="2"/>
    <s v="Percent of GDP"/>
    <s v="Units"/>
    <x v="4"/>
    <n v="43.973999999999997"/>
  </r>
  <r>
    <n v="110"/>
    <x v="0"/>
    <x v="90"/>
    <x v="2"/>
    <s v="Percent of GDP"/>
    <s v="Units"/>
    <x v="5"/>
    <n v="44.182000000000002"/>
  </r>
  <r>
    <n v="110"/>
    <x v="0"/>
    <x v="90"/>
    <x v="2"/>
    <s v="Percent of GDP"/>
    <s v="Units"/>
    <x v="6"/>
    <n v="43.524000000000001"/>
  </r>
  <r>
    <n v="998"/>
    <x v="6"/>
    <x v="90"/>
    <x v="2"/>
    <s v="Percent of GDP"/>
    <s v="Units"/>
    <x v="0"/>
    <n v="44.091999999999999"/>
  </r>
  <r>
    <n v="998"/>
    <x v="6"/>
    <x v="90"/>
    <x v="2"/>
    <s v="Percent of GDP"/>
    <s v="Units"/>
    <x v="1"/>
    <n v="43.706000000000003"/>
  </r>
  <r>
    <n v="998"/>
    <x v="6"/>
    <x v="90"/>
    <x v="2"/>
    <s v="Percent of GDP"/>
    <s v="Units"/>
    <x v="2"/>
    <n v="44.851999999999997"/>
  </r>
  <r>
    <n v="998"/>
    <x v="6"/>
    <x v="90"/>
    <x v="2"/>
    <s v="Percent of GDP"/>
    <s v="Units"/>
    <x v="3"/>
    <n v="44.073999999999998"/>
  </r>
  <r>
    <n v="998"/>
    <x v="6"/>
    <x v="90"/>
    <x v="2"/>
    <s v="Percent of GDP"/>
    <s v="Units"/>
    <x v="4"/>
    <n v="43.973999999999997"/>
  </r>
  <r>
    <n v="998"/>
    <x v="6"/>
    <x v="90"/>
    <x v="2"/>
    <s v="Percent of GDP"/>
    <s v="Units"/>
    <x v="5"/>
    <n v="44.182000000000002"/>
  </r>
  <r>
    <n v="998"/>
    <x v="6"/>
    <x v="90"/>
    <x v="2"/>
    <s v="Percent of GDP"/>
    <s v="Units"/>
    <x v="6"/>
    <n v="43.524000000000001"/>
  </r>
  <r>
    <n v="200"/>
    <x v="3"/>
    <x v="117"/>
    <x v="0"/>
    <s v="U.S. dollars"/>
    <s v="Billions"/>
    <x v="0"/>
    <n v="34.186"/>
  </r>
  <r>
    <n v="200"/>
    <x v="3"/>
    <x v="117"/>
    <x v="0"/>
    <s v="U.S. dollars"/>
    <s v="Billions"/>
    <x v="1"/>
    <n v="33.433999999999997"/>
  </r>
  <r>
    <n v="200"/>
    <x v="3"/>
    <x v="117"/>
    <x v="0"/>
    <s v="U.S. dollars"/>
    <s v="Billions"/>
    <x v="2"/>
    <n v="36.927"/>
  </r>
  <r>
    <n v="200"/>
    <x v="3"/>
    <x v="117"/>
    <x v="0"/>
    <s v="U.S. dollars"/>
    <s v="Billions"/>
    <x v="3"/>
    <n v="40.828000000000003"/>
  </r>
  <r>
    <n v="200"/>
    <x v="3"/>
    <x v="117"/>
    <x v="0"/>
    <s v="U.S. dollars"/>
    <s v="Billions"/>
    <x v="4"/>
    <n v="41.015000000000001"/>
  </r>
  <r>
    <n v="200"/>
    <x v="3"/>
    <x v="117"/>
    <x v="0"/>
    <s v="U.S. dollars"/>
    <s v="Billions"/>
    <x v="5"/>
    <n v="44.179000000000002"/>
  </r>
  <r>
    <n v="200"/>
    <x v="3"/>
    <x v="117"/>
    <x v="0"/>
    <s v="U.S. dollars"/>
    <s v="Billions"/>
    <x v="6"/>
    <n v="48.904000000000003"/>
  </r>
  <r>
    <n v="1"/>
    <x v="2"/>
    <x v="117"/>
    <x v="0"/>
    <s v="U.S. dollars"/>
    <s v="Billions"/>
    <x v="0"/>
    <n v="34.186"/>
  </r>
  <r>
    <n v="1"/>
    <x v="2"/>
    <x v="117"/>
    <x v="0"/>
    <s v="U.S. dollars"/>
    <s v="Billions"/>
    <x v="1"/>
    <n v="33.433999999999997"/>
  </r>
  <r>
    <n v="1"/>
    <x v="2"/>
    <x v="117"/>
    <x v="0"/>
    <s v="U.S. dollars"/>
    <s v="Billions"/>
    <x v="2"/>
    <n v="36.927"/>
  </r>
  <r>
    <n v="1"/>
    <x v="2"/>
    <x v="117"/>
    <x v="0"/>
    <s v="U.S. dollars"/>
    <s v="Billions"/>
    <x v="3"/>
    <n v="40.828000000000003"/>
  </r>
  <r>
    <n v="1"/>
    <x v="2"/>
    <x v="117"/>
    <x v="0"/>
    <s v="U.S. dollars"/>
    <s v="Billions"/>
    <x v="4"/>
    <n v="41.015000000000001"/>
  </r>
  <r>
    <n v="1"/>
    <x v="2"/>
    <x v="117"/>
    <x v="0"/>
    <s v="U.S. dollars"/>
    <s v="Billions"/>
    <x v="5"/>
    <n v="44.179000000000002"/>
  </r>
  <r>
    <n v="1"/>
    <x v="2"/>
    <x v="117"/>
    <x v="0"/>
    <s v="U.S. dollars"/>
    <s v="Billions"/>
    <x v="6"/>
    <n v="48.904000000000003"/>
  </r>
  <r>
    <n v="505"/>
    <x v="4"/>
    <x v="117"/>
    <x v="0"/>
    <s v="U.S. dollars"/>
    <s v="Billions"/>
    <x v="0"/>
    <n v="34.186"/>
  </r>
  <r>
    <n v="505"/>
    <x v="4"/>
    <x v="117"/>
    <x v="0"/>
    <s v="U.S. dollars"/>
    <s v="Billions"/>
    <x v="1"/>
    <n v="33.433999999999997"/>
  </r>
  <r>
    <n v="505"/>
    <x v="4"/>
    <x v="117"/>
    <x v="0"/>
    <s v="U.S. dollars"/>
    <s v="Billions"/>
    <x v="2"/>
    <n v="36.927"/>
  </r>
  <r>
    <n v="505"/>
    <x v="4"/>
    <x v="117"/>
    <x v="0"/>
    <s v="U.S. dollars"/>
    <s v="Billions"/>
    <x v="3"/>
    <n v="40.828000000000003"/>
  </r>
  <r>
    <n v="505"/>
    <x v="4"/>
    <x v="117"/>
    <x v="0"/>
    <s v="U.S. dollars"/>
    <s v="Billions"/>
    <x v="4"/>
    <n v="41.015000000000001"/>
  </r>
  <r>
    <n v="505"/>
    <x v="4"/>
    <x v="117"/>
    <x v="0"/>
    <s v="U.S. dollars"/>
    <s v="Billions"/>
    <x v="5"/>
    <n v="44.179000000000002"/>
  </r>
  <r>
    <n v="505"/>
    <x v="4"/>
    <x v="117"/>
    <x v="0"/>
    <s v="U.S. dollars"/>
    <s v="Billions"/>
    <x v="6"/>
    <n v="48.904000000000003"/>
  </r>
  <r>
    <n v="110"/>
    <x v="0"/>
    <x v="30"/>
    <x v="5"/>
    <s v="Percent of GDP"/>
    <s v="Units"/>
    <x v="0"/>
    <n v="33.402999999999999"/>
  </r>
  <r>
    <n v="110"/>
    <x v="0"/>
    <x v="30"/>
    <x v="5"/>
    <s v="Percent of GDP"/>
    <s v="Units"/>
    <x v="1"/>
    <n v="32.454999999999998"/>
  </r>
  <r>
    <n v="110"/>
    <x v="0"/>
    <x v="30"/>
    <x v="5"/>
    <s v="Percent of GDP"/>
    <s v="Units"/>
    <x v="2"/>
    <n v="39.972999999999999"/>
  </r>
  <r>
    <n v="110"/>
    <x v="0"/>
    <x v="30"/>
    <x v="5"/>
    <s v="Percent of GDP"/>
    <s v="Units"/>
    <x v="3"/>
    <n v="51.859000000000002"/>
  </r>
  <r>
    <n v="110"/>
    <x v="0"/>
    <x v="30"/>
    <x v="5"/>
    <s v="Percent of GDP"/>
    <s v="Units"/>
    <x v="4"/>
    <n v="43.567999999999998"/>
  </r>
  <r>
    <n v="110"/>
    <x v="0"/>
    <x v="30"/>
    <x v="5"/>
    <s v="Percent of GDP"/>
    <s v="Units"/>
    <x v="5"/>
    <n v="44.116"/>
  </r>
  <r>
    <n v="110"/>
    <x v="0"/>
    <x v="30"/>
    <x v="5"/>
    <s v="Percent of GDP"/>
    <s v="Units"/>
    <x v="6"/>
    <n v="45.021000000000001"/>
  </r>
  <r>
    <n v="123"/>
    <x v="9"/>
    <x v="30"/>
    <x v="5"/>
    <s v="Percent of GDP"/>
    <s v="Units"/>
    <x v="0"/>
    <n v="33.402999999999999"/>
  </r>
  <r>
    <n v="123"/>
    <x v="9"/>
    <x v="30"/>
    <x v="5"/>
    <s v="Percent of GDP"/>
    <s v="Units"/>
    <x v="1"/>
    <n v="32.454999999999998"/>
  </r>
  <r>
    <n v="123"/>
    <x v="9"/>
    <x v="30"/>
    <x v="5"/>
    <s v="Percent of GDP"/>
    <s v="Units"/>
    <x v="2"/>
    <n v="39.972999999999999"/>
  </r>
  <r>
    <n v="123"/>
    <x v="9"/>
    <x v="30"/>
    <x v="5"/>
    <s v="Percent of GDP"/>
    <s v="Units"/>
    <x v="3"/>
    <n v="51.859000000000002"/>
  </r>
  <r>
    <n v="123"/>
    <x v="9"/>
    <x v="30"/>
    <x v="5"/>
    <s v="Percent of GDP"/>
    <s v="Units"/>
    <x v="4"/>
    <n v="43.567999999999998"/>
  </r>
  <r>
    <n v="123"/>
    <x v="9"/>
    <x v="30"/>
    <x v="5"/>
    <s v="Percent of GDP"/>
    <s v="Units"/>
    <x v="5"/>
    <n v="44.116"/>
  </r>
  <r>
    <n v="123"/>
    <x v="9"/>
    <x v="30"/>
    <x v="5"/>
    <s v="Percent of GDP"/>
    <s v="Units"/>
    <x v="6"/>
    <n v="45.021000000000001"/>
  </r>
  <r>
    <n v="1"/>
    <x v="2"/>
    <x v="30"/>
    <x v="5"/>
    <s v="Percent of GDP"/>
    <s v="Units"/>
    <x v="0"/>
    <n v="33.402999999999999"/>
  </r>
  <r>
    <n v="1"/>
    <x v="2"/>
    <x v="30"/>
    <x v="5"/>
    <s v="Percent of GDP"/>
    <s v="Units"/>
    <x v="1"/>
    <n v="32.454999999999998"/>
  </r>
  <r>
    <n v="1"/>
    <x v="2"/>
    <x v="30"/>
    <x v="5"/>
    <s v="Percent of GDP"/>
    <s v="Units"/>
    <x v="2"/>
    <n v="39.972999999999999"/>
  </r>
  <r>
    <n v="1"/>
    <x v="2"/>
    <x v="30"/>
    <x v="5"/>
    <s v="Percent of GDP"/>
    <s v="Units"/>
    <x v="3"/>
    <n v="51.859000000000002"/>
  </r>
  <r>
    <n v="1"/>
    <x v="2"/>
    <x v="30"/>
    <x v="5"/>
    <s v="Percent of GDP"/>
    <s v="Units"/>
    <x v="4"/>
    <n v="43.567999999999998"/>
  </r>
  <r>
    <n v="1"/>
    <x v="2"/>
    <x v="30"/>
    <x v="5"/>
    <s v="Percent of GDP"/>
    <s v="Units"/>
    <x v="5"/>
    <n v="44.116"/>
  </r>
  <r>
    <n v="1"/>
    <x v="2"/>
    <x v="30"/>
    <x v="5"/>
    <s v="Percent of GDP"/>
    <s v="Units"/>
    <x v="6"/>
    <n v="45.021000000000001"/>
  </r>
  <r>
    <n v="110"/>
    <x v="0"/>
    <x v="5"/>
    <x v="3"/>
    <s v="Percent of GDP"/>
    <s v="Units"/>
    <x v="0"/>
    <n v="38.734000000000002"/>
  </r>
  <r>
    <n v="110"/>
    <x v="0"/>
    <x v="5"/>
    <x v="3"/>
    <s v="Percent of GDP"/>
    <s v="Units"/>
    <x v="1"/>
    <n v="49.936999999999998"/>
  </r>
  <r>
    <n v="110"/>
    <x v="0"/>
    <x v="5"/>
    <x v="3"/>
    <s v="Percent of GDP"/>
    <s v="Units"/>
    <x v="2"/>
    <n v="45.883000000000003"/>
  </r>
  <r>
    <n v="110"/>
    <x v="0"/>
    <x v="5"/>
    <x v="3"/>
    <s v="Percent of GDP"/>
    <s v="Units"/>
    <x v="3"/>
    <n v="44.421999999999997"/>
  </r>
  <r>
    <n v="110"/>
    <x v="0"/>
    <x v="5"/>
    <x v="3"/>
    <s v="Percent of GDP"/>
    <s v="Units"/>
    <x v="4"/>
    <n v="44.664999999999999"/>
  </r>
  <r>
    <n v="110"/>
    <x v="0"/>
    <x v="5"/>
    <x v="3"/>
    <s v="Percent of GDP"/>
    <s v="Units"/>
    <x v="5"/>
    <n v="44.055"/>
  </r>
  <r>
    <n v="110"/>
    <x v="0"/>
    <x v="5"/>
    <x v="3"/>
    <s v="Percent of GDP"/>
    <s v="Units"/>
    <x v="6"/>
    <n v="43.587000000000003"/>
  </r>
  <r>
    <n v="119"/>
    <x v="1"/>
    <x v="5"/>
    <x v="3"/>
    <s v="Percent of GDP"/>
    <s v="Units"/>
    <x v="0"/>
    <n v="38.734000000000002"/>
  </r>
  <r>
    <n v="119"/>
    <x v="1"/>
    <x v="5"/>
    <x v="3"/>
    <s v="Percent of GDP"/>
    <s v="Units"/>
    <x v="1"/>
    <n v="49.936999999999998"/>
  </r>
  <r>
    <n v="119"/>
    <x v="1"/>
    <x v="5"/>
    <x v="3"/>
    <s v="Percent of GDP"/>
    <s v="Units"/>
    <x v="2"/>
    <n v="45.883000000000003"/>
  </r>
  <r>
    <n v="119"/>
    <x v="1"/>
    <x v="5"/>
    <x v="3"/>
    <s v="Percent of GDP"/>
    <s v="Units"/>
    <x v="3"/>
    <n v="44.421999999999997"/>
  </r>
  <r>
    <n v="119"/>
    <x v="1"/>
    <x v="5"/>
    <x v="3"/>
    <s v="Percent of GDP"/>
    <s v="Units"/>
    <x v="4"/>
    <n v="44.664999999999999"/>
  </r>
  <r>
    <n v="119"/>
    <x v="1"/>
    <x v="5"/>
    <x v="3"/>
    <s v="Percent of GDP"/>
    <s v="Units"/>
    <x v="5"/>
    <n v="44.055"/>
  </r>
  <r>
    <n v="119"/>
    <x v="1"/>
    <x v="5"/>
    <x v="3"/>
    <s v="Percent of GDP"/>
    <s v="Units"/>
    <x v="6"/>
    <n v="43.587000000000003"/>
  </r>
  <r>
    <n v="998"/>
    <x v="6"/>
    <x v="44"/>
    <x v="3"/>
    <s v="Percent of GDP"/>
    <s v="Units"/>
    <x v="0"/>
    <n v="41.054000000000002"/>
  </r>
  <r>
    <n v="998"/>
    <x v="6"/>
    <x v="44"/>
    <x v="3"/>
    <s v="Percent of GDP"/>
    <s v="Units"/>
    <x v="1"/>
    <n v="47.219000000000001"/>
  </r>
  <r>
    <n v="998"/>
    <x v="6"/>
    <x v="44"/>
    <x v="3"/>
    <s v="Percent of GDP"/>
    <s v="Units"/>
    <x v="2"/>
    <n v="46.506999999999998"/>
  </r>
  <r>
    <n v="998"/>
    <x v="6"/>
    <x v="44"/>
    <x v="3"/>
    <s v="Percent of GDP"/>
    <s v="Units"/>
    <x v="3"/>
    <n v="44.59"/>
  </r>
  <r>
    <n v="998"/>
    <x v="6"/>
    <x v="44"/>
    <x v="3"/>
    <s v="Percent of GDP"/>
    <s v="Units"/>
    <x v="4"/>
    <n v="46.075000000000003"/>
  </r>
  <r>
    <n v="998"/>
    <x v="6"/>
    <x v="44"/>
    <x v="3"/>
    <s v="Percent of GDP"/>
    <s v="Units"/>
    <x v="5"/>
    <n v="43.875999999999998"/>
  </r>
  <r>
    <n v="998"/>
    <x v="6"/>
    <x v="44"/>
    <x v="3"/>
    <s v="Percent of GDP"/>
    <s v="Units"/>
    <x v="6"/>
    <n v="43.100999999999999"/>
  </r>
  <r>
    <n v="123"/>
    <x v="9"/>
    <x v="44"/>
    <x v="3"/>
    <s v="Percent of GDP"/>
    <s v="Units"/>
    <x v="0"/>
    <n v="41.054000000000002"/>
  </r>
  <r>
    <n v="123"/>
    <x v="9"/>
    <x v="44"/>
    <x v="3"/>
    <s v="Percent of GDP"/>
    <s v="Units"/>
    <x v="1"/>
    <n v="47.219000000000001"/>
  </r>
  <r>
    <n v="123"/>
    <x v="9"/>
    <x v="44"/>
    <x v="3"/>
    <s v="Percent of GDP"/>
    <s v="Units"/>
    <x v="2"/>
    <n v="46.506999999999998"/>
  </r>
  <r>
    <n v="123"/>
    <x v="9"/>
    <x v="44"/>
    <x v="3"/>
    <s v="Percent of GDP"/>
    <s v="Units"/>
    <x v="3"/>
    <n v="44.59"/>
  </r>
  <r>
    <n v="123"/>
    <x v="9"/>
    <x v="44"/>
    <x v="3"/>
    <s v="Percent of GDP"/>
    <s v="Units"/>
    <x v="4"/>
    <n v="46.075000000000003"/>
  </r>
  <r>
    <n v="123"/>
    <x v="9"/>
    <x v="44"/>
    <x v="3"/>
    <s v="Percent of GDP"/>
    <s v="Units"/>
    <x v="5"/>
    <n v="43.875999999999998"/>
  </r>
  <r>
    <n v="123"/>
    <x v="9"/>
    <x v="44"/>
    <x v="3"/>
    <s v="Percent of GDP"/>
    <s v="Units"/>
    <x v="6"/>
    <n v="43.100999999999999"/>
  </r>
  <r>
    <n v="110"/>
    <x v="0"/>
    <x v="44"/>
    <x v="3"/>
    <s v="Percent of GDP"/>
    <s v="Units"/>
    <x v="0"/>
    <n v="41.054000000000002"/>
  </r>
  <r>
    <n v="110"/>
    <x v="0"/>
    <x v="44"/>
    <x v="3"/>
    <s v="Percent of GDP"/>
    <s v="Units"/>
    <x v="1"/>
    <n v="47.219000000000001"/>
  </r>
  <r>
    <n v="110"/>
    <x v="0"/>
    <x v="44"/>
    <x v="3"/>
    <s v="Percent of GDP"/>
    <s v="Units"/>
    <x v="2"/>
    <n v="46.506999999999998"/>
  </r>
  <r>
    <n v="110"/>
    <x v="0"/>
    <x v="44"/>
    <x v="3"/>
    <s v="Percent of GDP"/>
    <s v="Units"/>
    <x v="3"/>
    <n v="44.59"/>
  </r>
  <r>
    <n v="110"/>
    <x v="0"/>
    <x v="44"/>
    <x v="3"/>
    <s v="Percent of GDP"/>
    <s v="Units"/>
    <x v="4"/>
    <n v="46.075000000000003"/>
  </r>
  <r>
    <n v="110"/>
    <x v="0"/>
    <x v="44"/>
    <x v="3"/>
    <s v="Percent of GDP"/>
    <s v="Units"/>
    <x v="5"/>
    <n v="43.875999999999998"/>
  </r>
  <r>
    <n v="110"/>
    <x v="0"/>
    <x v="44"/>
    <x v="3"/>
    <s v="Percent of GDP"/>
    <s v="Units"/>
    <x v="6"/>
    <n v="43.100999999999999"/>
  </r>
  <r>
    <n v="110"/>
    <x v="0"/>
    <x v="28"/>
    <x v="3"/>
    <s v="Percent of GDP"/>
    <s v="Units"/>
    <x v="0"/>
    <n v="38.746000000000002"/>
  </r>
  <r>
    <n v="110"/>
    <x v="0"/>
    <x v="28"/>
    <x v="3"/>
    <s v="Percent of GDP"/>
    <s v="Units"/>
    <x v="1"/>
    <n v="44.902000000000001"/>
  </r>
  <r>
    <n v="110"/>
    <x v="0"/>
    <x v="28"/>
    <x v="3"/>
    <s v="Percent of GDP"/>
    <s v="Units"/>
    <x v="2"/>
    <n v="40.149000000000001"/>
  </r>
  <r>
    <n v="110"/>
    <x v="0"/>
    <x v="28"/>
    <x v="3"/>
    <s v="Percent of GDP"/>
    <s v="Units"/>
    <x v="3"/>
    <n v="36.590000000000003"/>
  </r>
  <r>
    <n v="110"/>
    <x v="0"/>
    <x v="28"/>
    <x v="3"/>
    <s v="Percent of GDP"/>
    <s v="Units"/>
    <x v="4"/>
    <n v="39.021000000000001"/>
  </r>
  <r>
    <n v="110"/>
    <x v="0"/>
    <x v="28"/>
    <x v="3"/>
    <s v="Percent of GDP"/>
    <s v="Units"/>
    <x v="5"/>
    <n v="43.817999999999998"/>
  </r>
  <r>
    <n v="110"/>
    <x v="0"/>
    <x v="28"/>
    <x v="3"/>
    <s v="Percent of GDP"/>
    <s v="Units"/>
    <x v="6"/>
    <n v="40.655999999999999"/>
  </r>
  <r>
    <n v="123"/>
    <x v="9"/>
    <x v="28"/>
    <x v="3"/>
    <s v="Percent of GDP"/>
    <s v="Units"/>
    <x v="0"/>
    <n v="38.746000000000002"/>
  </r>
  <r>
    <n v="123"/>
    <x v="9"/>
    <x v="28"/>
    <x v="3"/>
    <s v="Percent of GDP"/>
    <s v="Units"/>
    <x v="1"/>
    <n v="44.902000000000001"/>
  </r>
  <r>
    <n v="123"/>
    <x v="9"/>
    <x v="28"/>
    <x v="3"/>
    <s v="Percent of GDP"/>
    <s v="Units"/>
    <x v="2"/>
    <n v="40.149000000000001"/>
  </r>
  <r>
    <n v="123"/>
    <x v="9"/>
    <x v="28"/>
    <x v="3"/>
    <s v="Percent of GDP"/>
    <s v="Units"/>
    <x v="3"/>
    <n v="36.590000000000003"/>
  </r>
  <r>
    <n v="123"/>
    <x v="9"/>
    <x v="28"/>
    <x v="3"/>
    <s v="Percent of GDP"/>
    <s v="Units"/>
    <x v="4"/>
    <n v="39.021000000000001"/>
  </r>
  <r>
    <n v="123"/>
    <x v="9"/>
    <x v="28"/>
    <x v="3"/>
    <s v="Percent of GDP"/>
    <s v="Units"/>
    <x v="5"/>
    <n v="43.817999999999998"/>
  </r>
  <r>
    <n v="123"/>
    <x v="9"/>
    <x v="28"/>
    <x v="3"/>
    <s v="Percent of GDP"/>
    <s v="Units"/>
    <x v="6"/>
    <n v="40.655999999999999"/>
  </r>
  <r>
    <n v="200"/>
    <x v="3"/>
    <x v="1"/>
    <x v="5"/>
    <s v="Percent of GDP"/>
    <s v="Units"/>
    <x v="0"/>
    <n v="43.786000000000001"/>
  </r>
  <r>
    <n v="200"/>
    <x v="3"/>
    <x v="1"/>
    <x v="5"/>
    <s v="Percent of GDP"/>
    <s v="Units"/>
    <x v="1"/>
    <n v="44.530999999999999"/>
  </r>
  <r>
    <n v="200"/>
    <x v="3"/>
    <x v="1"/>
    <x v="5"/>
    <s v="Percent of GDP"/>
    <s v="Units"/>
    <x v="2"/>
    <n v="45.276000000000003"/>
  </r>
  <r>
    <n v="200"/>
    <x v="3"/>
    <x v="1"/>
    <x v="5"/>
    <s v="Percent of GDP"/>
    <s v="Units"/>
    <x v="3"/>
    <n v="45.478999999999999"/>
  </r>
  <r>
    <n v="200"/>
    <x v="3"/>
    <x v="1"/>
    <x v="5"/>
    <s v="Percent of GDP"/>
    <s v="Units"/>
    <x v="4"/>
    <n v="43.643000000000001"/>
  </r>
  <r>
    <n v="200"/>
    <x v="3"/>
    <x v="1"/>
    <x v="5"/>
    <s v="Percent of GDP"/>
    <s v="Units"/>
    <x v="5"/>
    <n v="43.811999999999998"/>
  </r>
  <r>
    <n v="200"/>
    <x v="3"/>
    <x v="1"/>
    <x v="5"/>
    <s v="Percent of GDP"/>
    <s v="Units"/>
    <x v="6"/>
    <n v="43.725000000000001"/>
  </r>
  <r>
    <n v="1"/>
    <x v="2"/>
    <x v="1"/>
    <x v="5"/>
    <s v="Percent of GDP"/>
    <s v="Units"/>
    <x v="0"/>
    <n v="43.786000000000001"/>
  </r>
  <r>
    <n v="1"/>
    <x v="2"/>
    <x v="1"/>
    <x v="5"/>
    <s v="Percent of GDP"/>
    <s v="Units"/>
    <x v="1"/>
    <n v="44.530999999999999"/>
  </r>
  <r>
    <n v="1"/>
    <x v="2"/>
    <x v="1"/>
    <x v="5"/>
    <s v="Percent of GDP"/>
    <s v="Units"/>
    <x v="2"/>
    <n v="45.276000000000003"/>
  </r>
  <r>
    <n v="1"/>
    <x v="2"/>
    <x v="1"/>
    <x v="5"/>
    <s v="Percent of GDP"/>
    <s v="Units"/>
    <x v="3"/>
    <n v="45.478999999999999"/>
  </r>
  <r>
    <n v="1"/>
    <x v="2"/>
    <x v="1"/>
    <x v="5"/>
    <s v="Percent of GDP"/>
    <s v="Units"/>
    <x v="4"/>
    <n v="43.643000000000001"/>
  </r>
  <r>
    <n v="1"/>
    <x v="2"/>
    <x v="1"/>
    <x v="5"/>
    <s v="Percent of GDP"/>
    <s v="Units"/>
    <x v="5"/>
    <n v="43.811999999999998"/>
  </r>
  <r>
    <n v="1"/>
    <x v="2"/>
    <x v="1"/>
    <x v="5"/>
    <s v="Percent of GDP"/>
    <s v="Units"/>
    <x v="6"/>
    <n v="43.725000000000001"/>
  </r>
  <r>
    <n v="505"/>
    <x v="4"/>
    <x v="1"/>
    <x v="5"/>
    <s v="Percent of GDP"/>
    <s v="Units"/>
    <x v="0"/>
    <n v="43.786000000000001"/>
  </r>
  <r>
    <n v="505"/>
    <x v="4"/>
    <x v="1"/>
    <x v="5"/>
    <s v="Percent of GDP"/>
    <s v="Units"/>
    <x v="1"/>
    <n v="44.530999999999999"/>
  </r>
  <r>
    <n v="505"/>
    <x v="4"/>
    <x v="1"/>
    <x v="5"/>
    <s v="Percent of GDP"/>
    <s v="Units"/>
    <x v="2"/>
    <n v="45.276000000000003"/>
  </r>
  <r>
    <n v="505"/>
    <x v="4"/>
    <x v="1"/>
    <x v="5"/>
    <s v="Percent of GDP"/>
    <s v="Units"/>
    <x v="3"/>
    <n v="45.478999999999999"/>
  </r>
  <r>
    <n v="505"/>
    <x v="4"/>
    <x v="1"/>
    <x v="5"/>
    <s v="Percent of GDP"/>
    <s v="Units"/>
    <x v="4"/>
    <n v="43.643000000000001"/>
  </r>
  <r>
    <n v="505"/>
    <x v="4"/>
    <x v="1"/>
    <x v="5"/>
    <s v="Percent of GDP"/>
    <s v="Units"/>
    <x v="5"/>
    <n v="43.811999999999998"/>
  </r>
  <r>
    <n v="505"/>
    <x v="4"/>
    <x v="1"/>
    <x v="5"/>
    <s v="Percent of GDP"/>
    <s v="Units"/>
    <x v="6"/>
    <n v="43.725000000000001"/>
  </r>
  <r>
    <n v="200"/>
    <x v="3"/>
    <x v="57"/>
    <x v="2"/>
    <s v="Percent of GDP"/>
    <s v="Units"/>
    <x v="0"/>
    <n v="39.408999999999999"/>
  </r>
  <r>
    <n v="200"/>
    <x v="3"/>
    <x v="57"/>
    <x v="2"/>
    <s v="Percent of GDP"/>
    <s v="Units"/>
    <x v="1"/>
    <n v="39.682000000000002"/>
  </r>
  <r>
    <n v="200"/>
    <x v="3"/>
    <x v="57"/>
    <x v="2"/>
    <s v="Percent of GDP"/>
    <s v="Units"/>
    <x v="2"/>
    <n v="36.515999999999998"/>
  </r>
  <r>
    <n v="200"/>
    <x v="3"/>
    <x v="57"/>
    <x v="2"/>
    <s v="Percent of GDP"/>
    <s v="Units"/>
    <x v="3"/>
    <n v="50.253999999999998"/>
  </r>
  <r>
    <n v="200"/>
    <x v="3"/>
    <x v="57"/>
    <x v="2"/>
    <s v="Percent of GDP"/>
    <s v="Units"/>
    <x v="4"/>
    <n v="55.168999999999997"/>
  </r>
  <r>
    <n v="200"/>
    <x v="3"/>
    <x v="57"/>
    <x v="2"/>
    <s v="Percent of GDP"/>
    <s v="Units"/>
    <x v="5"/>
    <n v="43.572000000000003"/>
  </r>
  <r>
    <n v="200"/>
    <x v="3"/>
    <x v="57"/>
    <x v="2"/>
    <s v="Percent of GDP"/>
    <s v="Units"/>
    <x v="6"/>
    <n v="41.537999999999997"/>
  </r>
  <r>
    <n v="903"/>
    <x v="8"/>
    <x v="57"/>
    <x v="2"/>
    <s v="Percent of GDP"/>
    <s v="Units"/>
    <x v="0"/>
    <n v="39.408999999999999"/>
  </r>
  <r>
    <n v="903"/>
    <x v="8"/>
    <x v="57"/>
    <x v="2"/>
    <s v="Percent of GDP"/>
    <s v="Units"/>
    <x v="1"/>
    <n v="39.682000000000002"/>
  </r>
  <r>
    <n v="903"/>
    <x v="8"/>
    <x v="57"/>
    <x v="2"/>
    <s v="Percent of GDP"/>
    <s v="Units"/>
    <x v="2"/>
    <n v="36.515999999999998"/>
  </r>
  <r>
    <n v="903"/>
    <x v="8"/>
    <x v="57"/>
    <x v="2"/>
    <s v="Percent of GDP"/>
    <s v="Units"/>
    <x v="3"/>
    <n v="50.253999999999998"/>
  </r>
  <r>
    <n v="903"/>
    <x v="8"/>
    <x v="57"/>
    <x v="2"/>
    <s v="Percent of GDP"/>
    <s v="Units"/>
    <x v="4"/>
    <n v="55.168999999999997"/>
  </r>
  <r>
    <n v="903"/>
    <x v="8"/>
    <x v="57"/>
    <x v="2"/>
    <s v="Percent of GDP"/>
    <s v="Units"/>
    <x v="5"/>
    <n v="43.572000000000003"/>
  </r>
  <r>
    <n v="903"/>
    <x v="8"/>
    <x v="57"/>
    <x v="2"/>
    <s v="Percent of GDP"/>
    <s v="Units"/>
    <x v="6"/>
    <n v="41.537999999999997"/>
  </r>
  <r>
    <n v="163"/>
    <x v="5"/>
    <x v="115"/>
    <x v="0"/>
    <s v="U.S. dollars"/>
    <s v="Billions"/>
    <x v="0"/>
    <n v="31.294"/>
  </r>
  <r>
    <n v="163"/>
    <x v="5"/>
    <x v="115"/>
    <x v="0"/>
    <s v="U.S. dollars"/>
    <s v="Billions"/>
    <x v="1"/>
    <n v="31.305"/>
  </r>
  <r>
    <n v="163"/>
    <x v="5"/>
    <x v="115"/>
    <x v="0"/>
    <s v="U.S. dollars"/>
    <s v="Billions"/>
    <x v="2"/>
    <n v="36.889000000000003"/>
  </r>
  <r>
    <n v="163"/>
    <x v="5"/>
    <x v="115"/>
    <x v="0"/>
    <s v="U.S. dollars"/>
    <s v="Billions"/>
    <x v="3"/>
    <n v="37.951000000000001"/>
  </r>
  <r>
    <n v="163"/>
    <x v="5"/>
    <x v="115"/>
    <x v="0"/>
    <s v="U.S. dollars"/>
    <s v="Billions"/>
    <x v="4"/>
    <n v="40.756999999999998"/>
  </r>
  <r>
    <n v="163"/>
    <x v="5"/>
    <x v="115"/>
    <x v="0"/>
    <s v="U.S. dollars"/>
    <s v="Billions"/>
    <x v="5"/>
    <n v="43.485999999999997"/>
  </r>
  <r>
    <n v="163"/>
    <x v="5"/>
    <x v="115"/>
    <x v="0"/>
    <s v="U.S. dollars"/>
    <s v="Billions"/>
    <x v="6"/>
    <n v="45.475999999999999"/>
  </r>
  <r>
    <n v="998"/>
    <x v="6"/>
    <x v="115"/>
    <x v="0"/>
    <s v="U.S. dollars"/>
    <s v="Billions"/>
    <x v="0"/>
    <n v="31.294"/>
  </r>
  <r>
    <n v="998"/>
    <x v="6"/>
    <x v="115"/>
    <x v="0"/>
    <s v="U.S. dollars"/>
    <s v="Billions"/>
    <x v="1"/>
    <n v="31.305"/>
  </r>
  <r>
    <n v="998"/>
    <x v="6"/>
    <x v="115"/>
    <x v="0"/>
    <s v="U.S. dollars"/>
    <s v="Billions"/>
    <x v="2"/>
    <n v="36.889000000000003"/>
  </r>
  <r>
    <n v="998"/>
    <x v="6"/>
    <x v="115"/>
    <x v="0"/>
    <s v="U.S. dollars"/>
    <s v="Billions"/>
    <x v="3"/>
    <n v="37.951000000000001"/>
  </r>
  <r>
    <n v="998"/>
    <x v="6"/>
    <x v="115"/>
    <x v="0"/>
    <s v="U.S. dollars"/>
    <s v="Billions"/>
    <x v="4"/>
    <n v="40.756999999999998"/>
  </r>
  <r>
    <n v="998"/>
    <x v="6"/>
    <x v="115"/>
    <x v="0"/>
    <s v="U.S. dollars"/>
    <s v="Billions"/>
    <x v="5"/>
    <n v="43.485999999999997"/>
  </r>
  <r>
    <n v="998"/>
    <x v="6"/>
    <x v="115"/>
    <x v="0"/>
    <s v="U.S. dollars"/>
    <s v="Billions"/>
    <x v="6"/>
    <n v="45.475999999999999"/>
  </r>
  <r>
    <n v="1"/>
    <x v="2"/>
    <x v="115"/>
    <x v="0"/>
    <s v="U.S. dollars"/>
    <s v="Billions"/>
    <x v="0"/>
    <n v="31.294"/>
  </r>
  <r>
    <n v="1"/>
    <x v="2"/>
    <x v="115"/>
    <x v="0"/>
    <s v="U.S. dollars"/>
    <s v="Billions"/>
    <x v="1"/>
    <n v="31.305"/>
  </r>
  <r>
    <n v="1"/>
    <x v="2"/>
    <x v="115"/>
    <x v="0"/>
    <s v="U.S. dollars"/>
    <s v="Billions"/>
    <x v="2"/>
    <n v="36.889000000000003"/>
  </r>
  <r>
    <n v="1"/>
    <x v="2"/>
    <x v="115"/>
    <x v="0"/>
    <s v="U.S. dollars"/>
    <s v="Billions"/>
    <x v="3"/>
    <n v="37.951000000000001"/>
  </r>
  <r>
    <n v="1"/>
    <x v="2"/>
    <x v="115"/>
    <x v="0"/>
    <s v="U.S. dollars"/>
    <s v="Billions"/>
    <x v="4"/>
    <n v="40.756999999999998"/>
  </r>
  <r>
    <n v="1"/>
    <x v="2"/>
    <x v="115"/>
    <x v="0"/>
    <s v="U.S. dollars"/>
    <s v="Billions"/>
    <x v="5"/>
    <n v="43.485999999999997"/>
  </r>
  <r>
    <n v="1"/>
    <x v="2"/>
    <x v="115"/>
    <x v="0"/>
    <s v="U.S. dollars"/>
    <s v="Billions"/>
    <x v="6"/>
    <n v="45.475999999999999"/>
  </r>
  <r>
    <n v="110"/>
    <x v="0"/>
    <x v="115"/>
    <x v="0"/>
    <s v="U.S. dollars"/>
    <s v="Billions"/>
    <x v="0"/>
    <n v="31.294"/>
  </r>
  <r>
    <n v="110"/>
    <x v="0"/>
    <x v="115"/>
    <x v="0"/>
    <s v="U.S. dollars"/>
    <s v="Billions"/>
    <x v="1"/>
    <n v="31.305"/>
  </r>
  <r>
    <n v="110"/>
    <x v="0"/>
    <x v="115"/>
    <x v="0"/>
    <s v="U.S. dollars"/>
    <s v="Billions"/>
    <x v="2"/>
    <n v="36.889000000000003"/>
  </r>
  <r>
    <n v="110"/>
    <x v="0"/>
    <x v="115"/>
    <x v="0"/>
    <s v="U.S. dollars"/>
    <s v="Billions"/>
    <x v="3"/>
    <n v="37.951000000000001"/>
  </r>
  <r>
    <n v="110"/>
    <x v="0"/>
    <x v="115"/>
    <x v="0"/>
    <s v="U.S. dollars"/>
    <s v="Billions"/>
    <x v="4"/>
    <n v="40.756999999999998"/>
  </r>
  <r>
    <n v="110"/>
    <x v="0"/>
    <x v="115"/>
    <x v="0"/>
    <s v="U.S. dollars"/>
    <s v="Billions"/>
    <x v="5"/>
    <n v="43.485999999999997"/>
  </r>
  <r>
    <n v="110"/>
    <x v="0"/>
    <x v="115"/>
    <x v="0"/>
    <s v="U.S. dollars"/>
    <s v="Billions"/>
    <x v="6"/>
    <n v="45.475999999999999"/>
  </r>
  <r>
    <n v="110"/>
    <x v="0"/>
    <x v="118"/>
    <x v="2"/>
    <s v="Percent of GDP"/>
    <s v="Units"/>
    <x v="0"/>
    <n v="39.381999999999998"/>
  </r>
  <r>
    <n v="110"/>
    <x v="0"/>
    <x v="118"/>
    <x v="2"/>
    <s v="Percent of GDP"/>
    <s v="Units"/>
    <x v="1"/>
    <n v="38.488999999999997"/>
  </r>
  <r>
    <n v="110"/>
    <x v="0"/>
    <x v="118"/>
    <x v="2"/>
    <s v="Percent of GDP"/>
    <s v="Units"/>
    <x v="2"/>
    <n v="39.951999999999998"/>
  </r>
  <r>
    <n v="110"/>
    <x v="0"/>
    <x v="118"/>
    <x v="2"/>
    <s v="Percent of GDP"/>
    <s v="Units"/>
    <x v="3"/>
    <n v="41.244999999999997"/>
  </r>
  <r>
    <n v="110"/>
    <x v="0"/>
    <x v="118"/>
    <x v="2"/>
    <s v="Percent of GDP"/>
    <s v="Units"/>
    <x v="4"/>
    <n v="42.890999999999998"/>
  </r>
  <r>
    <n v="110"/>
    <x v="0"/>
    <x v="118"/>
    <x v="2"/>
    <s v="Percent of GDP"/>
    <s v="Units"/>
    <x v="5"/>
    <n v="43.435000000000002"/>
  </r>
  <r>
    <n v="110"/>
    <x v="0"/>
    <x v="118"/>
    <x v="2"/>
    <s v="Percent of GDP"/>
    <s v="Units"/>
    <x v="6"/>
    <n v="43.411999999999999"/>
  </r>
  <r>
    <n v="998"/>
    <x v="6"/>
    <x v="118"/>
    <x v="2"/>
    <s v="Percent of GDP"/>
    <s v="Units"/>
    <x v="0"/>
    <n v="39.381999999999998"/>
  </r>
  <r>
    <n v="998"/>
    <x v="6"/>
    <x v="118"/>
    <x v="2"/>
    <s v="Percent of GDP"/>
    <s v="Units"/>
    <x v="1"/>
    <n v="38.488999999999997"/>
  </r>
  <r>
    <n v="998"/>
    <x v="6"/>
    <x v="118"/>
    <x v="2"/>
    <s v="Percent of GDP"/>
    <s v="Units"/>
    <x v="2"/>
    <n v="39.951999999999998"/>
  </r>
  <r>
    <n v="998"/>
    <x v="6"/>
    <x v="118"/>
    <x v="2"/>
    <s v="Percent of GDP"/>
    <s v="Units"/>
    <x v="3"/>
    <n v="41.244999999999997"/>
  </r>
  <r>
    <n v="998"/>
    <x v="6"/>
    <x v="118"/>
    <x v="2"/>
    <s v="Percent of GDP"/>
    <s v="Units"/>
    <x v="4"/>
    <n v="42.890999999999998"/>
  </r>
  <r>
    <n v="998"/>
    <x v="6"/>
    <x v="118"/>
    <x v="2"/>
    <s v="Percent of GDP"/>
    <s v="Units"/>
    <x v="5"/>
    <n v="43.435000000000002"/>
  </r>
  <r>
    <n v="998"/>
    <x v="6"/>
    <x v="118"/>
    <x v="2"/>
    <s v="Percent of GDP"/>
    <s v="Units"/>
    <x v="6"/>
    <n v="43.411999999999999"/>
  </r>
  <r>
    <n v="163"/>
    <x v="5"/>
    <x v="118"/>
    <x v="2"/>
    <s v="Percent of GDP"/>
    <s v="Units"/>
    <x v="0"/>
    <n v="39.381999999999998"/>
  </r>
  <r>
    <n v="163"/>
    <x v="5"/>
    <x v="118"/>
    <x v="2"/>
    <s v="Percent of GDP"/>
    <s v="Units"/>
    <x v="1"/>
    <n v="38.488999999999997"/>
  </r>
  <r>
    <n v="163"/>
    <x v="5"/>
    <x v="118"/>
    <x v="2"/>
    <s v="Percent of GDP"/>
    <s v="Units"/>
    <x v="2"/>
    <n v="39.951999999999998"/>
  </r>
  <r>
    <n v="163"/>
    <x v="5"/>
    <x v="118"/>
    <x v="2"/>
    <s v="Percent of GDP"/>
    <s v="Units"/>
    <x v="3"/>
    <n v="41.244999999999997"/>
  </r>
  <r>
    <n v="163"/>
    <x v="5"/>
    <x v="118"/>
    <x v="2"/>
    <s v="Percent of GDP"/>
    <s v="Units"/>
    <x v="4"/>
    <n v="42.890999999999998"/>
  </r>
  <r>
    <n v="163"/>
    <x v="5"/>
    <x v="118"/>
    <x v="2"/>
    <s v="Percent of GDP"/>
    <s v="Units"/>
    <x v="5"/>
    <n v="43.435000000000002"/>
  </r>
  <r>
    <n v="163"/>
    <x v="5"/>
    <x v="118"/>
    <x v="2"/>
    <s v="Percent of GDP"/>
    <s v="Units"/>
    <x v="6"/>
    <n v="43.411999999999999"/>
  </r>
  <r>
    <n v="110"/>
    <x v="0"/>
    <x v="46"/>
    <x v="2"/>
    <s v="Percent of GDP"/>
    <s v="Units"/>
    <x v="0"/>
    <n v="42.524000000000001"/>
  </r>
  <r>
    <n v="110"/>
    <x v="0"/>
    <x v="46"/>
    <x v="2"/>
    <s v="Percent of GDP"/>
    <s v="Units"/>
    <x v="1"/>
    <n v="43.406999999999996"/>
  </r>
  <r>
    <n v="110"/>
    <x v="0"/>
    <x v="46"/>
    <x v="2"/>
    <s v="Percent of GDP"/>
    <s v="Units"/>
    <x v="2"/>
    <n v="44.582000000000001"/>
  </r>
  <r>
    <n v="110"/>
    <x v="0"/>
    <x v="46"/>
    <x v="2"/>
    <s v="Percent of GDP"/>
    <s v="Units"/>
    <x v="3"/>
    <n v="43.779000000000003"/>
  </r>
  <r>
    <n v="110"/>
    <x v="0"/>
    <x v="46"/>
    <x v="2"/>
    <s v="Percent of GDP"/>
    <s v="Units"/>
    <x v="4"/>
    <n v="43.392000000000003"/>
  </r>
  <r>
    <n v="110"/>
    <x v="0"/>
    <x v="46"/>
    <x v="2"/>
    <s v="Percent of GDP"/>
    <s v="Units"/>
    <x v="5"/>
    <n v="43.393000000000001"/>
  </r>
  <r>
    <n v="110"/>
    <x v="0"/>
    <x v="46"/>
    <x v="2"/>
    <s v="Percent of GDP"/>
    <s v="Units"/>
    <x v="6"/>
    <n v="43.298000000000002"/>
  </r>
  <r>
    <n v="163"/>
    <x v="5"/>
    <x v="46"/>
    <x v="2"/>
    <s v="Percent of GDP"/>
    <s v="Units"/>
    <x v="0"/>
    <n v="42.524000000000001"/>
  </r>
  <r>
    <n v="163"/>
    <x v="5"/>
    <x v="46"/>
    <x v="2"/>
    <s v="Percent of GDP"/>
    <s v="Units"/>
    <x v="1"/>
    <n v="43.406999999999996"/>
  </r>
  <r>
    <n v="163"/>
    <x v="5"/>
    <x v="46"/>
    <x v="2"/>
    <s v="Percent of GDP"/>
    <s v="Units"/>
    <x v="2"/>
    <n v="44.582000000000001"/>
  </r>
  <r>
    <n v="163"/>
    <x v="5"/>
    <x v="46"/>
    <x v="2"/>
    <s v="Percent of GDP"/>
    <s v="Units"/>
    <x v="3"/>
    <n v="43.779000000000003"/>
  </r>
  <r>
    <n v="163"/>
    <x v="5"/>
    <x v="46"/>
    <x v="2"/>
    <s v="Percent of GDP"/>
    <s v="Units"/>
    <x v="4"/>
    <n v="43.392000000000003"/>
  </r>
  <r>
    <n v="163"/>
    <x v="5"/>
    <x v="46"/>
    <x v="2"/>
    <s v="Percent of GDP"/>
    <s v="Units"/>
    <x v="5"/>
    <n v="43.393000000000001"/>
  </r>
  <r>
    <n v="163"/>
    <x v="5"/>
    <x v="46"/>
    <x v="2"/>
    <s v="Percent of GDP"/>
    <s v="Units"/>
    <x v="6"/>
    <n v="43.298000000000002"/>
  </r>
  <r>
    <n v="998"/>
    <x v="6"/>
    <x v="46"/>
    <x v="2"/>
    <s v="Percent of GDP"/>
    <s v="Units"/>
    <x v="0"/>
    <n v="42.524000000000001"/>
  </r>
  <r>
    <n v="998"/>
    <x v="6"/>
    <x v="46"/>
    <x v="2"/>
    <s v="Percent of GDP"/>
    <s v="Units"/>
    <x v="1"/>
    <n v="43.406999999999996"/>
  </r>
  <r>
    <n v="998"/>
    <x v="6"/>
    <x v="46"/>
    <x v="2"/>
    <s v="Percent of GDP"/>
    <s v="Units"/>
    <x v="2"/>
    <n v="44.582000000000001"/>
  </r>
  <r>
    <n v="998"/>
    <x v="6"/>
    <x v="46"/>
    <x v="2"/>
    <s v="Percent of GDP"/>
    <s v="Units"/>
    <x v="3"/>
    <n v="43.779000000000003"/>
  </r>
  <r>
    <n v="998"/>
    <x v="6"/>
    <x v="46"/>
    <x v="2"/>
    <s v="Percent of GDP"/>
    <s v="Units"/>
    <x v="4"/>
    <n v="43.392000000000003"/>
  </r>
  <r>
    <n v="998"/>
    <x v="6"/>
    <x v="46"/>
    <x v="2"/>
    <s v="Percent of GDP"/>
    <s v="Units"/>
    <x v="5"/>
    <n v="43.393000000000001"/>
  </r>
  <r>
    <n v="998"/>
    <x v="6"/>
    <x v="46"/>
    <x v="2"/>
    <s v="Percent of GDP"/>
    <s v="Units"/>
    <x v="6"/>
    <n v="43.298000000000002"/>
  </r>
  <r>
    <n v="110"/>
    <x v="0"/>
    <x v="30"/>
    <x v="3"/>
    <s v="Percent of GDP"/>
    <s v="Units"/>
    <x v="0"/>
    <n v="50.203000000000003"/>
  </r>
  <r>
    <n v="110"/>
    <x v="0"/>
    <x v="30"/>
    <x v="3"/>
    <s v="Percent of GDP"/>
    <s v="Units"/>
    <x v="1"/>
    <n v="56.71"/>
  </r>
  <r>
    <n v="110"/>
    <x v="0"/>
    <x v="30"/>
    <x v="3"/>
    <s v="Percent of GDP"/>
    <s v="Units"/>
    <x v="2"/>
    <n v="46.286000000000001"/>
  </r>
  <r>
    <n v="110"/>
    <x v="0"/>
    <x v="30"/>
    <x v="3"/>
    <s v="Percent of GDP"/>
    <s v="Units"/>
    <x v="3"/>
    <n v="37.645000000000003"/>
  </r>
  <r>
    <n v="110"/>
    <x v="0"/>
    <x v="30"/>
    <x v="3"/>
    <s v="Percent of GDP"/>
    <s v="Units"/>
    <x v="4"/>
    <n v="44.965000000000003"/>
  </r>
  <r>
    <n v="110"/>
    <x v="0"/>
    <x v="30"/>
    <x v="3"/>
    <s v="Percent of GDP"/>
    <s v="Units"/>
    <x v="5"/>
    <n v="43.377000000000002"/>
  </r>
  <r>
    <n v="110"/>
    <x v="0"/>
    <x v="30"/>
    <x v="3"/>
    <s v="Percent of GDP"/>
    <s v="Units"/>
    <x v="6"/>
    <n v="42.298000000000002"/>
  </r>
  <r>
    <n v="123"/>
    <x v="9"/>
    <x v="30"/>
    <x v="3"/>
    <s v="Percent of GDP"/>
    <s v="Units"/>
    <x v="0"/>
    <n v="50.203000000000003"/>
  </r>
  <r>
    <n v="123"/>
    <x v="9"/>
    <x v="30"/>
    <x v="3"/>
    <s v="Percent of GDP"/>
    <s v="Units"/>
    <x v="1"/>
    <n v="56.71"/>
  </r>
  <r>
    <n v="123"/>
    <x v="9"/>
    <x v="30"/>
    <x v="3"/>
    <s v="Percent of GDP"/>
    <s v="Units"/>
    <x v="2"/>
    <n v="46.286000000000001"/>
  </r>
  <r>
    <n v="123"/>
    <x v="9"/>
    <x v="30"/>
    <x v="3"/>
    <s v="Percent of GDP"/>
    <s v="Units"/>
    <x v="3"/>
    <n v="37.645000000000003"/>
  </r>
  <r>
    <n v="123"/>
    <x v="9"/>
    <x v="30"/>
    <x v="3"/>
    <s v="Percent of GDP"/>
    <s v="Units"/>
    <x v="4"/>
    <n v="44.965000000000003"/>
  </r>
  <r>
    <n v="123"/>
    <x v="9"/>
    <x v="30"/>
    <x v="3"/>
    <s v="Percent of GDP"/>
    <s v="Units"/>
    <x v="5"/>
    <n v="43.377000000000002"/>
  </r>
  <r>
    <n v="123"/>
    <x v="9"/>
    <x v="30"/>
    <x v="3"/>
    <s v="Percent of GDP"/>
    <s v="Units"/>
    <x v="6"/>
    <n v="42.298000000000002"/>
  </r>
  <r>
    <n v="998"/>
    <x v="6"/>
    <x v="46"/>
    <x v="3"/>
    <s v="Percent of GDP"/>
    <s v="Units"/>
    <x v="0"/>
    <n v="42.442"/>
  </r>
  <r>
    <n v="998"/>
    <x v="6"/>
    <x v="46"/>
    <x v="3"/>
    <s v="Percent of GDP"/>
    <s v="Units"/>
    <x v="1"/>
    <n v="49.234999999999999"/>
  </r>
  <r>
    <n v="998"/>
    <x v="6"/>
    <x v="46"/>
    <x v="3"/>
    <s v="Percent of GDP"/>
    <s v="Units"/>
    <x v="2"/>
    <n v="47.459000000000003"/>
  </r>
  <r>
    <n v="998"/>
    <x v="6"/>
    <x v="46"/>
    <x v="3"/>
    <s v="Percent of GDP"/>
    <s v="Units"/>
    <x v="3"/>
    <n v="44.100999999999999"/>
  </r>
  <r>
    <n v="998"/>
    <x v="6"/>
    <x v="46"/>
    <x v="3"/>
    <s v="Percent of GDP"/>
    <s v="Units"/>
    <x v="4"/>
    <n v="42.435000000000002"/>
  </r>
  <r>
    <n v="998"/>
    <x v="6"/>
    <x v="46"/>
    <x v="3"/>
    <s v="Percent of GDP"/>
    <s v="Units"/>
    <x v="5"/>
    <n v="43.152000000000001"/>
  </r>
  <r>
    <n v="998"/>
    <x v="6"/>
    <x v="46"/>
    <x v="3"/>
    <s v="Percent of GDP"/>
    <s v="Units"/>
    <x v="6"/>
    <n v="43.073999999999998"/>
  </r>
  <r>
    <n v="110"/>
    <x v="0"/>
    <x v="46"/>
    <x v="3"/>
    <s v="Percent of GDP"/>
    <s v="Units"/>
    <x v="0"/>
    <n v="42.442"/>
  </r>
  <r>
    <n v="110"/>
    <x v="0"/>
    <x v="46"/>
    <x v="3"/>
    <s v="Percent of GDP"/>
    <s v="Units"/>
    <x v="1"/>
    <n v="49.234999999999999"/>
  </r>
  <r>
    <n v="110"/>
    <x v="0"/>
    <x v="46"/>
    <x v="3"/>
    <s v="Percent of GDP"/>
    <s v="Units"/>
    <x v="2"/>
    <n v="47.459000000000003"/>
  </r>
  <r>
    <n v="110"/>
    <x v="0"/>
    <x v="46"/>
    <x v="3"/>
    <s v="Percent of GDP"/>
    <s v="Units"/>
    <x v="3"/>
    <n v="44.100999999999999"/>
  </r>
  <r>
    <n v="110"/>
    <x v="0"/>
    <x v="46"/>
    <x v="3"/>
    <s v="Percent of GDP"/>
    <s v="Units"/>
    <x v="4"/>
    <n v="42.435000000000002"/>
  </r>
  <r>
    <n v="110"/>
    <x v="0"/>
    <x v="46"/>
    <x v="3"/>
    <s v="Percent of GDP"/>
    <s v="Units"/>
    <x v="5"/>
    <n v="43.152000000000001"/>
  </r>
  <r>
    <n v="110"/>
    <x v="0"/>
    <x v="46"/>
    <x v="3"/>
    <s v="Percent of GDP"/>
    <s v="Units"/>
    <x v="6"/>
    <n v="43.073999999999998"/>
  </r>
  <r>
    <n v="163"/>
    <x v="5"/>
    <x v="46"/>
    <x v="3"/>
    <s v="Percent of GDP"/>
    <s v="Units"/>
    <x v="0"/>
    <n v="42.442"/>
  </r>
  <r>
    <n v="163"/>
    <x v="5"/>
    <x v="46"/>
    <x v="3"/>
    <s v="Percent of GDP"/>
    <s v="Units"/>
    <x v="1"/>
    <n v="49.234999999999999"/>
  </r>
  <r>
    <n v="163"/>
    <x v="5"/>
    <x v="46"/>
    <x v="3"/>
    <s v="Percent of GDP"/>
    <s v="Units"/>
    <x v="2"/>
    <n v="47.459000000000003"/>
  </r>
  <r>
    <n v="163"/>
    <x v="5"/>
    <x v="46"/>
    <x v="3"/>
    <s v="Percent of GDP"/>
    <s v="Units"/>
    <x v="3"/>
    <n v="44.100999999999999"/>
  </r>
  <r>
    <n v="163"/>
    <x v="5"/>
    <x v="46"/>
    <x v="3"/>
    <s v="Percent of GDP"/>
    <s v="Units"/>
    <x v="4"/>
    <n v="42.435000000000002"/>
  </r>
  <r>
    <n v="163"/>
    <x v="5"/>
    <x v="46"/>
    <x v="3"/>
    <s v="Percent of GDP"/>
    <s v="Units"/>
    <x v="5"/>
    <n v="43.152000000000001"/>
  </r>
  <r>
    <n v="163"/>
    <x v="5"/>
    <x v="46"/>
    <x v="3"/>
    <s v="Percent of GDP"/>
    <s v="Units"/>
    <x v="6"/>
    <n v="43.073999999999998"/>
  </r>
  <r>
    <n v="200"/>
    <x v="3"/>
    <x v="19"/>
    <x v="2"/>
    <s v="Percent of GDP"/>
    <s v="Units"/>
    <x v="0"/>
    <n v="41.133000000000003"/>
  </r>
  <r>
    <n v="200"/>
    <x v="3"/>
    <x v="19"/>
    <x v="2"/>
    <s v="Percent of GDP"/>
    <s v="Units"/>
    <x v="1"/>
    <n v="41.323999999999998"/>
  </r>
  <r>
    <n v="200"/>
    <x v="3"/>
    <x v="19"/>
    <x v="2"/>
    <s v="Percent of GDP"/>
    <s v="Units"/>
    <x v="2"/>
    <n v="42.26"/>
  </r>
  <r>
    <n v="200"/>
    <x v="3"/>
    <x v="19"/>
    <x v="2"/>
    <s v="Percent of GDP"/>
    <s v="Units"/>
    <x v="3"/>
    <n v="40.219000000000001"/>
  </r>
  <r>
    <n v="200"/>
    <x v="3"/>
    <x v="19"/>
    <x v="2"/>
    <s v="Percent of GDP"/>
    <s v="Units"/>
    <x v="4"/>
    <n v="42.01"/>
  </r>
  <r>
    <n v="200"/>
    <x v="3"/>
    <x v="19"/>
    <x v="2"/>
    <s v="Percent of GDP"/>
    <s v="Units"/>
    <x v="5"/>
    <n v="43.13"/>
  </r>
  <r>
    <n v="200"/>
    <x v="3"/>
    <x v="19"/>
    <x v="2"/>
    <s v="Percent of GDP"/>
    <s v="Units"/>
    <x v="6"/>
    <n v="44.271999999999998"/>
  </r>
  <r>
    <n v="998"/>
    <x v="6"/>
    <x v="19"/>
    <x v="2"/>
    <s v="Percent of GDP"/>
    <s v="Units"/>
    <x v="0"/>
    <n v="41.133000000000003"/>
  </r>
  <r>
    <n v="998"/>
    <x v="6"/>
    <x v="19"/>
    <x v="2"/>
    <s v="Percent of GDP"/>
    <s v="Units"/>
    <x v="1"/>
    <n v="41.323999999999998"/>
  </r>
  <r>
    <n v="998"/>
    <x v="6"/>
    <x v="19"/>
    <x v="2"/>
    <s v="Percent of GDP"/>
    <s v="Units"/>
    <x v="2"/>
    <n v="42.26"/>
  </r>
  <r>
    <n v="998"/>
    <x v="6"/>
    <x v="19"/>
    <x v="2"/>
    <s v="Percent of GDP"/>
    <s v="Units"/>
    <x v="3"/>
    <n v="40.219000000000001"/>
  </r>
  <r>
    <n v="998"/>
    <x v="6"/>
    <x v="19"/>
    <x v="2"/>
    <s v="Percent of GDP"/>
    <s v="Units"/>
    <x v="4"/>
    <n v="42.01"/>
  </r>
  <r>
    <n v="998"/>
    <x v="6"/>
    <x v="19"/>
    <x v="2"/>
    <s v="Percent of GDP"/>
    <s v="Units"/>
    <x v="5"/>
    <n v="43.13"/>
  </r>
  <r>
    <n v="998"/>
    <x v="6"/>
    <x v="19"/>
    <x v="2"/>
    <s v="Percent of GDP"/>
    <s v="Units"/>
    <x v="6"/>
    <n v="44.271999999999998"/>
  </r>
  <r>
    <n v="903"/>
    <x v="8"/>
    <x v="19"/>
    <x v="2"/>
    <s v="Percent of GDP"/>
    <s v="Units"/>
    <x v="0"/>
    <n v="41.133000000000003"/>
  </r>
  <r>
    <n v="903"/>
    <x v="8"/>
    <x v="19"/>
    <x v="2"/>
    <s v="Percent of GDP"/>
    <s v="Units"/>
    <x v="1"/>
    <n v="41.323999999999998"/>
  </r>
  <r>
    <n v="903"/>
    <x v="8"/>
    <x v="19"/>
    <x v="2"/>
    <s v="Percent of GDP"/>
    <s v="Units"/>
    <x v="2"/>
    <n v="42.26"/>
  </r>
  <r>
    <n v="903"/>
    <x v="8"/>
    <x v="19"/>
    <x v="2"/>
    <s v="Percent of GDP"/>
    <s v="Units"/>
    <x v="3"/>
    <n v="40.219000000000001"/>
  </r>
  <r>
    <n v="903"/>
    <x v="8"/>
    <x v="19"/>
    <x v="2"/>
    <s v="Percent of GDP"/>
    <s v="Units"/>
    <x v="4"/>
    <n v="42.01"/>
  </r>
  <r>
    <n v="903"/>
    <x v="8"/>
    <x v="19"/>
    <x v="2"/>
    <s v="Percent of GDP"/>
    <s v="Units"/>
    <x v="5"/>
    <n v="43.13"/>
  </r>
  <r>
    <n v="903"/>
    <x v="8"/>
    <x v="19"/>
    <x v="2"/>
    <s v="Percent of GDP"/>
    <s v="Units"/>
    <x v="6"/>
    <n v="44.271999999999998"/>
  </r>
  <r>
    <n v="998"/>
    <x v="6"/>
    <x v="14"/>
    <x v="2"/>
    <s v="Percent of GDP"/>
    <s v="Units"/>
    <x v="0"/>
    <n v="39.223999999999997"/>
  </r>
  <r>
    <n v="998"/>
    <x v="6"/>
    <x v="14"/>
    <x v="2"/>
    <s v="Percent of GDP"/>
    <s v="Units"/>
    <x v="1"/>
    <n v="41.783999999999999"/>
  </r>
  <r>
    <n v="998"/>
    <x v="6"/>
    <x v="14"/>
    <x v="2"/>
    <s v="Percent of GDP"/>
    <s v="Units"/>
    <x v="2"/>
    <n v="43.295999999999999"/>
  </r>
  <r>
    <n v="998"/>
    <x v="6"/>
    <x v="14"/>
    <x v="2"/>
    <s v="Percent of GDP"/>
    <s v="Units"/>
    <x v="3"/>
    <n v="42.64"/>
  </r>
  <r>
    <n v="998"/>
    <x v="6"/>
    <x v="14"/>
    <x v="2"/>
    <s v="Percent of GDP"/>
    <s v="Units"/>
    <x v="4"/>
    <n v="42.798000000000002"/>
  </r>
  <r>
    <n v="998"/>
    <x v="6"/>
    <x v="14"/>
    <x v="2"/>
    <s v="Percent of GDP"/>
    <s v="Units"/>
    <x v="5"/>
    <n v="43.024000000000001"/>
  </r>
  <r>
    <n v="998"/>
    <x v="6"/>
    <x v="14"/>
    <x v="2"/>
    <s v="Percent of GDP"/>
    <s v="Units"/>
    <x v="6"/>
    <n v="42.929000000000002"/>
  </r>
  <r>
    <n v="110"/>
    <x v="0"/>
    <x v="14"/>
    <x v="2"/>
    <s v="Percent of GDP"/>
    <s v="Units"/>
    <x v="0"/>
    <n v="39.223999999999997"/>
  </r>
  <r>
    <n v="110"/>
    <x v="0"/>
    <x v="14"/>
    <x v="2"/>
    <s v="Percent of GDP"/>
    <s v="Units"/>
    <x v="1"/>
    <n v="41.783999999999999"/>
  </r>
  <r>
    <n v="110"/>
    <x v="0"/>
    <x v="14"/>
    <x v="2"/>
    <s v="Percent of GDP"/>
    <s v="Units"/>
    <x v="2"/>
    <n v="43.295999999999999"/>
  </r>
  <r>
    <n v="110"/>
    <x v="0"/>
    <x v="14"/>
    <x v="2"/>
    <s v="Percent of GDP"/>
    <s v="Units"/>
    <x v="3"/>
    <n v="42.64"/>
  </r>
  <r>
    <n v="110"/>
    <x v="0"/>
    <x v="14"/>
    <x v="2"/>
    <s v="Percent of GDP"/>
    <s v="Units"/>
    <x v="4"/>
    <n v="42.798000000000002"/>
  </r>
  <r>
    <n v="110"/>
    <x v="0"/>
    <x v="14"/>
    <x v="2"/>
    <s v="Percent of GDP"/>
    <s v="Units"/>
    <x v="5"/>
    <n v="43.024000000000001"/>
  </r>
  <r>
    <n v="110"/>
    <x v="0"/>
    <x v="14"/>
    <x v="2"/>
    <s v="Percent of GDP"/>
    <s v="Units"/>
    <x v="6"/>
    <n v="42.929000000000002"/>
  </r>
  <r>
    <n v="163"/>
    <x v="5"/>
    <x v="14"/>
    <x v="2"/>
    <s v="Percent of GDP"/>
    <s v="Units"/>
    <x v="0"/>
    <n v="39.223999999999997"/>
  </r>
  <r>
    <n v="163"/>
    <x v="5"/>
    <x v="14"/>
    <x v="2"/>
    <s v="Percent of GDP"/>
    <s v="Units"/>
    <x v="1"/>
    <n v="41.783999999999999"/>
  </r>
  <r>
    <n v="163"/>
    <x v="5"/>
    <x v="14"/>
    <x v="2"/>
    <s v="Percent of GDP"/>
    <s v="Units"/>
    <x v="2"/>
    <n v="43.295999999999999"/>
  </r>
  <r>
    <n v="163"/>
    <x v="5"/>
    <x v="14"/>
    <x v="2"/>
    <s v="Percent of GDP"/>
    <s v="Units"/>
    <x v="3"/>
    <n v="42.64"/>
  </r>
  <r>
    <n v="163"/>
    <x v="5"/>
    <x v="14"/>
    <x v="2"/>
    <s v="Percent of GDP"/>
    <s v="Units"/>
    <x v="4"/>
    <n v="42.798000000000002"/>
  </r>
  <r>
    <n v="163"/>
    <x v="5"/>
    <x v="14"/>
    <x v="2"/>
    <s v="Percent of GDP"/>
    <s v="Units"/>
    <x v="5"/>
    <n v="43.024000000000001"/>
  </r>
  <r>
    <n v="163"/>
    <x v="5"/>
    <x v="14"/>
    <x v="2"/>
    <s v="Percent of GDP"/>
    <s v="Units"/>
    <x v="6"/>
    <n v="42.929000000000002"/>
  </r>
  <r>
    <n v="123"/>
    <x v="9"/>
    <x v="113"/>
    <x v="2"/>
    <s v="Percent of GDP"/>
    <s v="Units"/>
    <x v="0"/>
    <n v="41.984999999999999"/>
  </r>
  <r>
    <n v="123"/>
    <x v="9"/>
    <x v="113"/>
    <x v="2"/>
    <s v="Percent of GDP"/>
    <s v="Units"/>
    <x v="1"/>
    <n v="42.204999999999998"/>
  </r>
  <r>
    <n v="123"/>
    <x v="9"/>
    <x v="113"/>
    <x v="2"/>
    <s v="Percent of GDP"/>
    <s v="Units"/>
    <x v="2"/>
    <n v="41.061999999999998"/>
  </r>
  <r>
    <n v="123"/>
    <x v="9"/>
    <x v="113"/>
    <x v="2"/>
    <s v="Percent of GDP"/>
    <s v="Units"/>
    <x v="3"/>
    <n v="42.487000000000002"/>
  </r>
  <r>
    <n v="123"/>
    <x v="9"/>
    <x v="113"/>
    <x v="2"/>
    <s v="Percent of GDP"/>
    <s v="Units"/>
    <x v="4"/>
    <n v="43.094999999999999"/>
  </r>
  <r>
    <n v="123"/>
    <x v="9"/>
    <x v="113"/>
    <x v="2"/>
    <s v="Percent of GDP"/>
    <s v="Units"/>
    <x v="5"/>
    <n v="42.966000000000001"/>
  </r>
  <r>
    <n v="123"/>
    <x v="9"/>
    <x v="113"/>
    <x v="2"/>
    <s v="Percent of GDP"/>
    <s v="Units"/>
    <x v="6"/>
    <n v="41.883000000000003"/>
  </r>
  <r>
    <n v="110"/>
    <x v="0"/>
    <x v="113"/>
    <x v="2"/>
    <s v="Percent of GDP"/>
    <s v="Units"/>
    <x v="0"/>
    <n v="41.984999999999999"/>
  </r>
  <r>
    <n v="110"/>
    <x v="0"/>
    <x v="113"/>
    <x v="2"/>
    <s v="Percent of GDP"/>
    <s v="Units"/>
    <x v="1"/>
    <n v="42.204999999999998"/>
  </r>
  <r>
    <n v="110"/>
    <x v="0"/>
    <x v="113"/>
    <x v="2"/>
    <s v="Percent of GDP"/>
    <s v="Units"/>
    <x v="2"/>
    <n v="41.061999999999998"/>
  </r>
  <r>
    <n v="110"/>
    <x v="0"/>
    <x v="113"/>
    <x v="2"/>
    <s v="Percent of GDP"/>
    <s v="Units"/>
    <x v="3"/>
    <n v="42.487000000000002"/>
  </r>
  <r>
    <n v="110"/>
    <x v="0"/>
    <x v="113"/>
    <x v="2"/>
    <s v="Percent of GDP"/>
    <s v="Units"/>
    <x v="4"/>
    <n v="43.094999999999999"/>
  </r>
  <r>
    <n v="110"/>
    <x v="0"/>
    <x v="113"/>
    <x v="2"/>
    <s v="Percent of GDP"/>
    <s v="Units"/>
    <x v="5"/>
    <n v="42.966000000000001"/>
  </r>
  <r>
    <n v="110"/>
    <x v="0"/>
    <x v="113"/>
    <x v="2"/>
    <s v="Percent of GDP"/>
    <s v="Units"/>
    <x v="6"/>
    <n v="41.883000000000003"/>
  </r>
  <r>
    <n v="200"/>
    <x v="3"/>
    <x v="119"/>
    <x v="4"/>
    <s v="Percent change"/>
    <s v="Units"/>
    <x v="0"/>
    <n v="15.186999999999999"/>
  </r>
  <r>
    <n v="200"/>
    <x v="3"/>
    <x v="119"/>
    <x v="4"/>
    <s v="Percent change"/>
    <s v="Units"/>
    <x v="1"/>
    <n v="-24.707000000000001"/>
  </r>
  <r>
    <n v="200"/>
    <x v="3"/>
    <x v="119"/>
    <x v="4"/>
    <s v="Percent change"/>
    <s v="Units"/>
    <x v="2"/>
    <n v="11.851000000000001"/>
  </r>
  <r>
    <n v="200"/>
    <x v="3"/>
    <x v="119"/>
    <x v="4"/>
    <s v="Percent change"/>
    <s v="Units"/>
    <x v="3"/>
    <n v="-1.1739999999999999"/>
  </r>
  <r>
    <n v="200"/>
    <x v="3"/>
    <x v="119"/>
    <x v="4"/>
    <s v="Percent change"/>
    <s v="Units"/>
    <x v="4"/>
    <n v="96.792000000000002"/>
  </r>
  <r>
    <n v="200"/>
    <x v="3"/>
    <x v="119"/>
    <x v="4"/>
    <s v="Percent change"/>
    <s v="Units"/>
    <x v="5"/>
    <n v="42.777000000000001"/>
  </r>
  <r>
    <n v="200"/>
    <x v="3"/>
    <x v="119"/>
    <x v="4"/>
    <s v="Percent change"/>
    <s v="Units"/>
    <x v="6"/>
    <n v="7.3890000000000002"/>
  </r>
  <r>
    <n v="400"/>
    <x v="11"/>
    <x v="119"/>
    <x v="4"/>
    <s v="Percent change"/>
    <s v="Units"/>
    <x v="0"/>
    <n v="15.186999999999999"/>
  </r>
  <r>
    <n v="400"/>
    <x v="11"/>
    <x v="119"/>
    <x v="4"/>
    <s v="Percent change"/>
    <s v="Units"/>
    <x v="1"/>
    <n v="-24.707000000000001"/>
  </r>
  <r>
    <n v="400"/>
    <x v="11"/>
    <x v="119"/>
    <x v="4"/>
    <s v="Percent change"/>
    <s v="Units"/>
    <x v="2"/>
    <n v="11.851000000000001"/>
  </r>
  <r>
    <n v="400"/>
    <x v="11"/>
    <x v="119"/>
    <x v="4"/>
    <s v="Percent change"/>
    <s v="Units"/>
    <x v="3"/>
    <n v="-1.1739999999999999"/>
  </r>
  <r>
    <n v="400"/>
    <x v="11"/>
    <x v="119"/>
    <x v="4"/>
    <s v="Percent change"/>
    <s v="Units"/>
    <x v="4"/>
    <n v="96.792000000000002"/>
  </r>
  <r>
    <n v="400"/>
    <x v="11"/>
    <x v="119"/>
    <x v="4"/>
    <s v="Percent change"/>
    <s v="Units"/>
    <x v="5"/>
    <n v="42.777000000000001"/>
  </r>
  <r>
    <n v="400"/>
    <x v="11"/>
    <x v="119"/>
    <x v="4"/>
    <s v="Percent change"/>
    <s v="Units"/>
    <x v="6"/>
    <n v="7.3890000000000002"/>
  </r>
  <r>
    <n v="1"/>
    <x v="2"/>
    <x v="119"/>
    <x v="4"/>
    <s v="Percent change"/>
    <s v="Units"/>
    <x v="0"/>
    <n v="15.186999999999999"/>
  </r>
  <r>
    <n v="1"/>
    <x v="2"/>
    <x v="119"/>
    <x v="4"/>
    <s v="Percent change"/>
    <s v="Units"/>
    <x v="1"/>
    <n v="-24.707000000000001"/>
  </r>
  <r>
    <n v="1"/>
    <x v="2"/>
    <x v="119"/>
    <x v="4"/>
    <s v="Percent change"/>
    <s v="Units"/>
    <x v="2"/>
    <n v="11.851000000000001"/>
  </r>
  <r>
    <n v="1"/>
    <x v="2"/>
    <x v="119"/>
    <x v="4"/>
    <s v="Percent change"/>
    <s v="Units"/>
    <x v="3"/>
    <n v="-1.1739999999999999"/>
  </r>
  <r>
    <n v="1"/>
    <x v="2"/>
    <x v="119"/>
    <x v="4"/>
    <s v="Percent change"/>
    <s v="Units"/>
    <x v="4"/>
    <n v="96.792000000000002"/>
  </r>
  <r>
    <n v="1"/>
    <x v="2"/>
    <x v="119"/>
    <x v="4"/>
    <s v="Percent change"/>
    <s v="Units"/>
    <x v="5"/>
    <n v="42.777000000000001"/>
  </r>
  <r>
    <n v="1"/>
    <x v="2"/>
    <x v="119"/>
    <x v="4"/>
    <s v="Percent change"/>
    <s v="Units"/>
    <x v="6"/>
    <n v="7.3890000000000002"/>
  </r>
  <r>
    <n v="1"/>
    <x v="2"/>
    <x v="120"/>
    <x v="4"/>
    <s v="Percent change"/>
    <s v="Units"/>
    <x v="0"/>
    <n v="7.0049999999999999"/>
  </r>
  <r>
    <n v="1"/>
    <x v="2"/>
    <x v="120"/>
    <x v="4"/>
    <s v="Percent change"/>
    <s v="Units"/>
    <x v="1"/>
    <n v="161.64500000000001"/>
  </r>
  <r>
    <n v="1"/>
    <x v="2"/>
    <x v="120"/>
    <x v="4"/>
    <s v="Percent change"/>
    <s v="Units"/>
    <x v="2"/>
    <n v="46.38"/>
  </r>
  <r>
    <n v="1"/>
    <x v="2"/>
    <x v="120"/>
    <x v="4"/>
    <s v="Percent change"/>
    <s v="Units"/>
    <x v="3"/>
    <n v="100.718"/>
  </r>
  <r>
    <n v="1"/>
    <x v="2"/>
    <x v="120"/>
    <x v="4"/>
    <s v="Percent change"/>
    <s v="Units"/>
    <x v="4"/>
    <n v="37.875999999999998"/>
  </r>
  <r>
    <n v="1"/>
    <x v="2"/>
    <x v="120"/>
    <x v="4"/>
    <s v="Percent change"/>
    <s v="Units"/>
    <x v="5"/>
    <n v="42.667000000000002"/>
  </r>
  <r>
    <n v="1"/>
    <x v="2"/>
    <x v="120"/>
    <x v="4"/>
    <s v="Percent change"/>
    <s v="Units"/>
    <x v="6"/>
    <n v="4.1310000000000002"/>
  </r>
  <r>
    <n v="200"/>
    <x v="3"/>
    <x v="120"/>
    <x v="4"/>
    <s v="Percent change"/>
    <s v="Units"/>
    <x v="0"/>
    <n v="7.0049999999999999"/>
  </r>
  <r>
    <n v="200"/>
    <x v="3"/>
    <x v="120"/>
    <x v="4"/>
    <s v="Percent change"/>
    <s v="Units"/>
    <x v="1"/>
    <n v="161.64500000000001"/>
  </r>
  <r>
    <n v="200"/>
    <x v="3"/>
    <x v="120"/>
    <x v="4"/>
    <s v="Percent change"/>
    <s v="Units"/>
    <x v="2"/>
    <n v="46.38"/>
  </r>
  <r>
    <n v="200"/>
    <x v="3"/>
    <x v="120"/>
    <x v="4"/>
    <s v="Percent change"/>
    <s v="Units"/>
    <x v="3"/>
    <n v="100.718"/>
  </r>
  <r>
    <n v="200"/>
    <x v="3"/>
    <x v="120"/>
    <x v="4"/>
    <s v="Percent change"/>
    <s v="Units"/>
    <x v="4"/>
    <n v="37.875999999999998"/>
  </r>
  <r>
    <n v="200"/>
    <x v="3"/>
    <x v="120"/>
    <x v="4"/>
    <s v="Percent change"/>
    <s v="Units"/>
    <x v="5"/>
    <n v="42.667000000000002"/>
  </r>
  <r>
    <n v="200"/>
    <x v="3"/>
    <x v="120"/>
    <x v="4"/>
    <s v="Percent change"/>
    <s v="Units"/>
    <x v="6"/>
    <n v="4.1310000000000002"/>
  </r>
  <r>
    <n v="205"/>
    <x v="7"/>
    <x v="120"/>
    <x v="4"/>
    <s v="Percent change"/>
    <s v="Units"/>
    <x v="0"/>
    <n v="7.0049999999999999"/>
  </r>
  <r>
    <n v="205"/>
    <x v="7"/>
    <x v="120"/>
    <x v="4"/>
    <s v="Percent change"/>
    <s v="Units"/>
    <x v="1"/>
    <n v="161.64500000000001"/>
  </r>
  <r>
    <n v="205"/>
    <x v="7"/>
    <x v="120"/>
    <x v="4"/>
    <s v="Percent change"/>
    <s v="Units"/>
    <x v="2"/>
    <n v="46.38"/>
  </r>
  <r>
    <n v="205"/>
    <x v="7"/>
    <x v="120"/>
    <x v="4"/>
    <s v="Percent change"/>
    <s v="Units"/>
    <x v="3"/>
    <n v="100.718"/>
  </r>
  <r>
    <n v="205"/>
    <x v="7"/>
    <x v="120"/>
    <x v="4"/>
    <s v="Percent change"/>
    <s v="Units"/>
    <x v="4"/>
    <n v="37.875999999999998"/>
  </r>
  <r>
    <n v="205"/>
    <x v="7"/>
    <x v="120"/>
    <x v="4"/>
    <s v="Percent change"/>
    <s v="Units"/>
    <x v="5"/>
    <n v="42.667000000000002"/>
  </r>
  <r>
    <n v="205"/>
    <x v="7"/>
    <x v="120"/>
    <x v="4"/>
    <s v="Percent change"/>
    <s v="Units"/>
    <x v="6"/>
    <n v="4.1310000000000002"/>
  </r>
  <r>
    <n v="200"/>
    <x v="3"/>
    <x v="121"/>
    <x v="3"/>
    <s v="Percent of GDP"/>
    <s v="Units"/>
    <x v="0"/>
    <n v="39.914999999999999"/>
  </r>
  <r>
    <n v="200"/>
    <x v="3"/>
    <x v="121"/>
    <x v="3"/>
    <s v="Percent of GDP"/>
    <s v="Units"/>
    <x v="1"/>
    <n v="45.384999999999998"/>
  </r>
  <r>
    <n v="200"/>
    <x v="3"/>
    <x v="121"/>
    <x v="3"/>
    <s v="Percent of GDP"/>
    <s v="Units"/>
    <x v="2"/>
    <n v="39.856000000000002"/>
  </r>
  <r>
    <n v="200"/>
    <x v="3"/>
    <x v="121"/>
    <x v="3"/>
    <s v="Percent of GDP"/>
    <s v="Units"/>
    <x v="3"/>
    <n v="38.780999999999999"/>
  </r>
  <r>
    <n v="200"/>
    <x v="3"/>
    <x v="121"/>
    <x v="3"/>
    <s v="Percent of GDP"/>
    <s v="Units"/>
    <x v="4"/>
    <n v="41.430999999999997"/>
  </r>
  <r>
    <n v="200"/>
    <x v="3"/>
    <x v="121"/>
    <x v="3"/>
    <s v="Percent of GDP"/>
    <s v="Units"/>
    <x v="5"/>
    <n v="42.593000000000004"/>
  </r>
  <r>
    <n v="200"/>
    <x v="3"/>
    <x v="121"/>
    <x v="3"/>
    <s v="Percent of GDP"/>
    <s v="Units"/>
    <x v="6"/>
    <n v="42.320999999999998"/>
  </r>
  <r>
    <n v="903"/>
    <x v="8"/>
    <x v="121"/>
    <x v="3"/>
    <s v="Percent of GDP"/>
    <s v="Units"/>
    <x v="0"/>
    <n v="39.914999999999999"/>
  </r>
  <r>
    <n v="903"/>
    <x v="8"/>
    <x v="121"/>
    <x v="3"/>
    <s v="Percent of GDP"/>
    <s v="Units"/>
    <x v="1"/>
    <n v="45.384999999999998"/>
  </r>
  <r>
    <n v="903"/>
    <x v="8"/>
    <x v="121"/>
    <x v="3"/>
    <s v="Percent of GDP"/>
    <s v="Units"/>
    <x v="2"/>
    <n v="39.856000000000002"/>
  </r>
  <r>
    <n v="903"/>
    <x v="8"/>
    <x v="121"/>
    <x v="3"/>
    <s v="Percent of GDP"/>
    <s v="Units"/>
    <x v="3"/>
    <n v="38.780999999999999"/>
  </r>
  <r>
    <n v="903"/>
    <x v="8"/>
    <x v="121"/>
    <x v="3"/>
    <s v="Percent of GDP"/>
    <s v="Units"/>
    <x v="4"/>
    <n v="41.430999999999997"/>
  </r>
  <r>
    <n v="903"/>
    <x v="8"/>
    <x v="121"/>
    <x v="3"/>
    <s v="Percent of GDP"/>
    <s v="Units"/>
    <x v="5"/>
    <n v="42.593000000000004"/>
  </r>
  <r>
    <n v="903"/>
    <x v="8"/>
    <x v="121"/>
    <x v="3"/>
    <s v="Percent of GDP"/>
    <s v="Units"/>
    <x v="6"/>
    <n v="42.320999999999998"/>
  </r>
  <r>
    <n v="505"/>
    <x v="4"/>
    <x v="1"/>
    <x v="7"/>
    <s v="Percent of GDP"/>
    <s v="Units"/>
    <x v="0"/>
    <n v="43.067999999999998"/>
  </r>
  <r>
    <n v="505"/>
    <x v="4"/>
    <x v="1"/>
    <x v="7"/>
    <s v="Percent of GDP"/>
    <s v="Units"/>
    <x v="1"/>
    <n v="42.856999999999999"/>
  </r>
  <r>
    <n v="505"/>
    <x v="4"/>
    <x v="1"/>
    <x v="7"/>
    <s v="Percent of GDP"/>
    <s v="Units"/>
    <x v="2"/>
    <n v="43.289000000000001"/>
  </r>
  <r>
    <n v="505"/>
    <x v="4"/>
    <x v="1"/>
    <x v="7"/>
    <s v="Percent of GDP"/>
    <s v="Units"/>
    <x v="3"/>
    <n v="43.226999999999997"/>
  </r>
  <r>
    <n v="505"/>
    <x v="4"/>
    <x v="1"/>
    <x v="7"/>
    <s v="Percent of GDP"/>
    <s v="Units"/>
    <x v="4"/>
    <n v="42.146999999999998"/>
  </r>
  <r>
    <n v="505"/>
    <x v="4"/>
    <x v="1"/>
    <x v="7"/>
    <s v="Percent of GDP"/>
    <s v="Units"/>
    <x v="5"/>
    <n v="42.54"/>
  </r>
  <r>
    <n v="505"/>
    <x v="4"/>
    <x v="1"/>
    <x v="7"/>
    <s v="Percent of GDP"/>
    <s v="Units"/>
    <x v="6"/>
    <n v="42.332999999999998"/>
  </r>
  <r>
    <n v="1"/>
    <x v="2"/>
    <x v="1"/>
    <x v="7"/>
    <s v="Percent of GDP"/>
    <s v="Units"/>
    <x v="0"/>
    <n v="43.067999999999998"/>
  </r>
  <r>
    <n v="1"/>
    <x v="2"/>
    <x v="1"/>
    <x v="7"/>
    <s v="Percent of GDP"/>
    <s v="Units"/>
    <x v="1"/>
    <n v="42.856999999999999"/>
  </r>
  <r>
    <n v="1"/>
    <x v="2"/>
    <x v="1"/>
    <x v="7"/>
    <s v="Percent of GDP"/>
    <s v="Units"/>
    <x v="2"/>
    <n v="43.289000000000001"/>
  </r>
  <r>
    <n v="1"/>
    <x v="2"/>
    <x v="1"/>
    <x v="7"/>
    <s v="Percent of GDP"/>
    <s v="Units"/>
    <x v="3"/>
    <n v="43.226999999999997"/>
  </r>
  <r>
    <n v="1"/>
    <x v="2"/>
    <x v="1"/>
    <x v="7"/>
    <s v="Percent of GDP"/>
    <s v="Units"/>
    <x v="4"/>
    <n v="42.146999999999998"/>
  </r>
  <r>
    <n v="1"/>
    <x v="2"/>
    <x v="1"/>
    <x v="7"/>
    <s v="Percent of GDP"/>
    <s v="Units"/>
    <x v="5"/>
    <n v="42.54"/>
  </r>
  <r>
    <n v="1"/>
    <x v="2"/>
    <x v="1"/>
    <x v="7"/>
    <s v="Percent of GDP"/>
    <s v="Units"/>
    <x v="6"/>
    <n v="42.332999999999998"/>
  </r>
  <r>
    <n v="200"/>
    <x v="3"/>
    <x v="1"/>
    <x v="7"/>
    <s v="Percent of GDP"/>
    <s v="Units"/>
    <x v="0"/>
    <n v="43.067999999999998"/>
  </r>
  <r>
    <n v="200"/>
    <x v="3"/>
    <x v="1"/>
    <x v="7"/>
    <s v="Percent of GDP"/>
    <s v="Units"/>
    <x v="1"/>
    <n v="42.856999999999999"/>
  </r>
  <r>
    <n v="200"/>
    <x v="3"/>
    <x v="1"/>
    <x v="7"/>
    <s v="Percent of GDP"/>
    <s v="Units"/>
    <x v="2"/>
    <n v="43.289000000000001"/>
  </r>
  <r>
    <n v="200"/>
    <x v="3"/>
    <x v="1"/>
    <x v="7"/>
    <s v="Percent of GDP"/>
    <s v="Units"/>
    <x v="3"/>
    <n v="43.226999999999997"/>
  </r>
  <r>
    <n v="200"/>
    <x v="3"/>
    <x v="1"/>
    <x v="7"/>
    <s v="Percent of GDP"/>
    <s v="Units"/>
    <x v="4"/>
    <n v="42.146999999999998"/>
  </r>
  <r>
    <n v="200"/>
    <x v="3"/>
    <x v="1"/>
    <x v="7"/>
    <s v="Percent of GDP"/>
    <s v="Units"/>
    <x v="5"/>
    <n v="42.54"/>
  </r>
  <r>
    <n v="200"/>
    <x v="3"/>
    <x v="1"/>
    <x v="7"/>
    <s v="Percent of GDP"/>
    <s v="Units"/>
    <x v="6"/>
    <n v="42.332999999999998"/>
  </r>
  <r>
    <n v="200"/>
    <x v="3"/>
    <x v="73"/>
    <x v="7"/>
    <s v="Percent of GDP"/>
    <s v="Units"/>
    <x v="0"/>
    <n v="40.228999999999999"/>
  </r>
  <r>
    <n v="200"/>
    <x v="3"/>
    <x v="73"/>
    <x v="7"/>
    <s v="Percent of GDP"/>
    <s v="Units"/>
    <x v="1"/>
    <n v="38.447000000000003"/>
  </r>
  <r>
    <n v="200"/>
    <x v="3"/>
    <x v="73"/>
    <x v="7"/>
    <s v="Percent of GDP"/>
    <s v="Units"/>
    <x v="2"/>
    <n v="40.119999999999997"/>
  </r>
  <r>
    <n v="200"/>
    <x v="3"/>
    <x v="73"/>
    <x v="7"/>
    <s v="Percent of GDP"/>
    <s v="Units"/>
    <x v="3"/>
    <n v="39.286000000000001"/>
  </r>
  <r>
    <n v="200"/>
    <x v="3"/>
    <x v="73"/>
    <x v="7"/>
    <s v="Percent of GDP"/>
    <s v="Units"/>
    <x v="4"/>
    <n v="42.801000000000002"/>
  </r>
  <r>
    <n v="200"/>
    <x v="3"/>
    <x v="73"/>
    <x v="7"/>
    <s v="Percent of GDP"/>
    <s v="Units"/>
    <x v="5"/>
    <n v="42.466000000000001"/>
  </r>
  <r>
    <n v="200"/>
    <x v="3"/>
    <x v="73"/>
    <x v="7"/>
    <s v="Percent of GDP"/>
    <s v="Units"/>
    <x v="6"/>
    <n v="42.438000000000002"/>
  </r>
  <r>
    <n v="1"/>
    <x v="2"/>
    <x v="73"/>
    <x v="7"/>
    <s v="Percent of GDP"/>
    <s v="Units"/>
    <x v="0"/>
    <n v="40.228999999999999"/>
  </r>
  <r>
    <n v="1"/>
    <x v="2"/>
    <x v="73"/>
    <x v="7"/>
    <s v="Percent of GDP"/>
    <s v="Units"/>
    <x v="1"/>
    <n v="38.447000000000003"/>
  </r>
  <r>
    <n v="1"/>
    <x v="2"/>
    <x v="73"/>
    <x v="7"/>
    <s v="Percent of GDP"/>
    <s v="Units"/>
    <x v="2"/>
    <n v="40.119999999999997"/>
  </r>
  <r>
    <n v="1"/>
    <x v="2"/>
    <x v="73"/>
    <x v="7"/>
    <s v="Percent of GDP"/>
    <s v="Units"/>
    <x v="3"/>
    <n v="39.286000000000001"/>
  </r>
  <r>
    <n v="1"/>
    <x v="2"/>
    <x v="73"/>
    <x v="7"/>
    <s v="Percent of GDP"/>
    <s v="Units"/>
    <x v="4"/>
    <n v="42.801000000000002"/>
  </r>
  <r>
    <n v="1"/>
    <x v="2"/>
    <x v="73"/>
    <x v="7"/>
    <s v="Percent of GDP"/>
    <s v="Units"/>
    <x v="5"/>
    <n v="42.466000000000001"/>
  </r>
  <r>
    <n v="1"/>
    <x v="2"/>
    <x v="73"/>
    <x v="7"/>
    <s v="Percent of GDP"/>
    <s v="Units"/>
    <x v="6"/>
    <n v="42.438000000000002"/>
  </r>
  <r>
    <n v="400"/>
    <x v="11"/>
    <x v="73"/>
    <x v="7"/>
    <s v="Percent of GDP"/>
    <s v="Units"/>
    <x v="0"/>
    <n v="40.228999999999999"/>
  </r>
  <r>
    <n v="400"/>
    <x v="11"/>
    <x v="73"/>
    <x v="7"/>
    <s v="Percent of GDP"/>
    <s v="Units"/>
    <x v="1"/>
    <n v="38.447000000000003"/>
  </r>
  <r>
    <n v="400"/>
    <x v="11"/>
    <x v="73"/>
    <x v="7"/>
    <s v="Percent of GDP"/>
    <s v="Units"/>
    <x v="2"/>
    <n v="40.119999999999997"/>
  </r>
  <r>
    <n v="400"/>
    <x v="11"/>
    <x v="73"/>
    <x v="7"/>
    <s v="Percent of GDP"/>
    <s v="Units"/>
    <x v="3"/>
    <n v="39.286000000000001"/>
  </r>
  <r>
    <n v="400"/>
    <x v="11"/>
    <x v="73"/>
    <x v="7"/>
    <s v="Percent of GDP"/>
    <s v="Units"/>
    <x v="4"/>
    <n v="42.801000000000002"/>
  </r>
  <r>
    <n v="400"/>
    <x v="11"/>
    <x v="73"/>
    <x v="7"/>
    <s v="Percent of GDP"/>
    <s v="Units"/>
    <x v="5"/>
    <n v="42.466000000000001"/>
  </r>
  <r>
    <n v="400"/>
    <x v="11"/>
    <x v="73"/>
    <x v="7"/>
    <s v="Percent of GDP"/>
    <s v="Units"/>
    <x v="6"/>
    <n v="42.438000000000002"/>
  </r>
  <r>
    <n v="200"/>
    <x v="3"/>
    <x v="55"/>
    <x v="2"/>
    <s v="Percent of GDP"/>
    <s v="Units"/>
    <x v="0"/>
    <n v="44.037999999999997"/>
  </r>
  <r>
    <n v="200"/>
    <x v="3"/>
    <x v="55"/>
    <x v="2"/>
    <s v="Percent of GDP"/>
    <s v="Units"/>
    <x v="1"/>
    <n v="43.860999999999997"/>
  </r>
  <r>
    <n v="200"/>
    <x v="3"/>
    <x v="55"/>
    <x v="2"/>
    <s v="Percent of GDP"/>
    <s v="Units"/>
    <x v="2"/>
    <n v="41.237000000000002"/>
  </r>
  <r>
    <n v="200"/>
    <x v="3"/>
    <x v="55"/>
    <x v="2"/>
    <s v="Percent of GDP"/>
    <s v="Units"/>
    <x v="3"/>
    <n v="42.594999999999999"/>
  </r>
  <r>
    <n v="200"/>
    <x v="3"/>
    <x v="55"/>
    <x v="2"/>
    <s v="Percent of GDP"/>
    <s v="Units"/>
    <x v="4"/>
    <n v="40.756999999999998"/>
  </r>
  <r>
    <n v="200"/>
    <x v="3"/>
    <x v="55"/>
    <x v="2"/>
    <s v="Percent of GDP"/>
    <s v="Units"/>
    <x v="5"/>
    <n v="42.317999999999998"/>
  </r>
  <r>
    <n v="200"/>
    <x v="3"/>
    <x v="55"/>
    <x v="2"/>
    <s v="Percent of GDP"/>
    <s v="Units"/>
    <x v="6"/>
    <n v="42.188000000000002"/>
  </r>
  <r>
    <n v="903"/>
    <x v="8"/>
    <x v="55"/>
    <x v="2"/>
    <s v="Percent of GDP"/>
    <s v="Units"/>
    <x v="0"/>
    <n v="44.037999999999997"/>
  </r>
  <r>
    <n v="903"/>
    <x v="8"/>
    <x v="55"/>
    <x v="2"/>
    <s v="Percent of GDP"/>
    <s v="Units"/>
    <x v="1"/>
    <n v="43.860999999999997"/>
  </r>
  <r>
    <n v="903"/>
    <x v="8"/>
    <x v="55"/>
    <x v="2"/>
    <s v="Percent of GDP"/>
    <s v="Units"/>
    <x v="2"/>
    <n v="41.237000000000002"/>
  </r>
  <r>
    <n v="903"/>
    <x v="8"/>
    <x v="55"/>
    <x v="2"/>
    <s v="Percent of GDP"/>
    <s v="Units"/>
    <x v="3"/>
    <n v="42.594999999999999"/>
  </r>
  <r>
    <n v="903"/>
    <x v="8"/>
    <x v="55"/>
    <x v="2"/>
    <s v="Percent of GDP"/>
    <s v="Units"/>
    <x v="4"/>
    <n v="40.756999999999998"/>
  </r>
  <r>
    <n v="903"/>
    <x v="8"/>
    <x v="55"/>
    <x v="2"/>
    <s v="Percent of GDP"/>
    <s v="Units"/>
    <x v="5"/>
    <n v="42.317999999999998"/>
  </r>
  <r>
    <n v="903"/>
    <x v="8"/>
    <x v="55"/>
    <x v="2"/>
    <s v="Percent of GDP"/>
    <s v="Units"/>
    <x v="6"/>
    <n v="42.188000000000002"/>
  </r>
  <r>
    <n v="998"/>
    <x v="6"/>
    <x v="55"/>
    <x v="2"/>
    <s v="Percent of GDP"/>
    <s v="Units"/>
    <x v="0"/>
    <n v="44.037999999999997"/>
  </r>
  <r>
    <n v="998"/>
    <x v="6"/>
    <x v="55"/>
    <x v="2"/>
    <s v="Percent of GDP"/>
    <s v="Units"/>
    <x v="1"/>
    <n v="43.860999999999997"/>
  </r>
  <r>
    <n v="998"/>
    <x v="6"/>
    <x v="55"/>
    <x v="2"/>
    <s v="Percent of GDP"/>
    <s v="Units"/>
    <x v="2"/>
    <n v="41.237000000000002"/>
  </r>
  <r>
    <n v="998"/>
    <x v="6"/>
    <x v="55"/>
    <x v="2"/>
    <s v="Percent of GDP"/>
    <s v="Units"/>
    <x v="3"/>
    <n v="42.594999999999999"/>
  </r>
  <r>
    <n v="998"/>
    <x v="6"/>
    <x v="55"/>
    <x v="2"/>
    <s v="Percent of GDP"/>
    <s v="Units"/>
    <x v="4"/>
    <n v="40.756999999999998"/>
  </r>
  <r>
    <n v="998"/>
    <x v="6"/>
    <x v="55"/>
    <x v="2"/>
    <s v="Percent of GDP"/>
    <s v="Units"/>
    <x v="5"/>
    <n v="42.317999999999998"/>
  </r>
  <r>
    <n v="998"/>
    <x v="6"/>
    <x v="55"/>
    <x v="2"/>
    <s v="Percent of GDP"/>
    <s v="Units"/>
    <x v="6"/>
    <n v="42.188000000000002"/>
  </r>
  <r>
    <n v="200"/>
    <x v="3"/>
    <x v="83"/>
    <x v="2"/>
    <s v="Percent of GDP"/>
    <s v="Units"/>
    <x v="0"/>
    <n v="42.024999999999999"/>
  </r>
  <r>
    <n v="200"/>
    <x v="3"/>
    <x v="83"/>
    <x v="2"/>
    <s v="Percent of GDP"/>
    <s v="Units"/>
    <x v="1"/>
    <n v="40.966000000000001"/>
  </r>
  <r>
    <n v="200"/>
    <x v="3"/>
    <x v="83"/>
    <x v="2"/>
    <s v="Percent of GDP"/>
    <s v="Units"/>
    <x v="2"/>
    <n v="43.238999999999997"/>
  </r>
  <r>
    <n v="200"/>
    <x v="3"/>
    <x v="83"/>
    <x v="2"/>
    <s v="Percent of GDP"/>
    <s v="Units"/>
    <x v="3"/>
    <n v="43.335000000000001"/>
  </r>
  <r>
    <n v="200"/>
    <x v="3"/>
    <x v="83"/>
    <x v="2"/>
    <s v="Percent of GDP"/>
    <s v="Units"/>
    <x v="4"/>
    <n v="42.615000000000002"/>
  </r>
  <r>
    <n v="200"/>
    <x v="3"/>
    <x v="83"/>
    <x v="2"/>
    <s v="Percent of GDP"/>
    <s v="Units"/>
    <x v="5"/>
    <n v="42.316000000000003"/>
  </r>
  <r>
    <n v="200"/>
    <x v="3"/>
    <x v="83"/>
    <x v="2"/>
    <s v="Percent of GDP"/>
    <s v="Units"/>
    <x v="6"/>
    <n v="42.475000000000001"/>
  </r>
  <r>
    <n v="903"/>
    <x v="8"/>
    <x v="83"/>
    <x v="2"/>
    <s v="Percent of GDP"/>
    <s v="Units"/>
    <x v="0"/>
    <n v="42.024999999999999"/>
  </r>
  <r>
    <n v="903"/>
    <x v="8"/>
    <x v="83"/>
    <x v="2"/>
    <s v="Percent of GDP"/>
    <s v="Units"/>
    <x v="1"/>
    <n v="40.966000000000001"/>
  </r>
  <r>
    <n v="903"/>
    <x v="8"/>
    <x v="83"/>
    <x v="2"/>
    <s v="Percent of GDP"/>
    <s v="Units"/>
    <x v="2"/>
    <n v="43.238999999999997"/>
  </r>
  <r>
    <n v="903"/>
    <x v="8"/>
    <x v="83"/>
    <x v="2"/>
    <s v="Percent of GDP"/>
    <s v="Units"/>
    <x v="3"/>
    <n v="43.335000000000001"/>
  </r>
  <r>
    <n v="903"/>
    <x v="8"/>
    <x v="83"/>
    <x v="2"/>
    <s v="Percent of GDP"/>
    <s v="Units"/>
    <x v="4"/>
    <n v="42.615000000000002"/>
  </r>
  <r>
    <n v="903"/>
    <x v="8"/>
    <x v="83"/>
    <x v="2"/>
    <s v="Percent of GDP"/>
    <s v="Units"/>
    <x v="5"/>
    <n v="42.316000000000003"/>
  </r>
  <r>
    <n v="903"/>
    <x v="8"/>
    <x v="83"/>
    <x v="2"/>
    <s v="Percent of GDP"/>
    <s v="Units"/>
    <x v="6"/>
    <n v="42.475000000000001"/>
  </r>
  <r>
    <n v="110"/>
    <x v="0"/>
    <x v="3"/>
    <x v="3"/>
    <s v="Percent of GDP"/>
    <s v="Units"/>
    <x v="0"/>
    <n v="37.293999999999997"/>
  </r>
  <r>
    <n v="110"/>
    <x v="0"/>
    <x v="3"/>
    <x v="3"/>
    <s v="Percent of GDP"/>
    <s v="Units"/>
    <x v="1"/>
    <n v="44.503999999999998"/>
  </r>
  <r>
    <n v="110"/>
    <x v="0"/>
    <x v="3"/>
    <x v="3"/>
    <s v="Percent of GDP"/>
    <s v="Units"/>
    <x v="2"/>
    <n v="42.484999999999999"/>
  </r>
  <r>
    <n v="110"/>
    <x v="0"/>
    <x v="3"/>
    <x v="3"/>
    <s v="Percent of GDP"/>
    <s v="Units"/>
    <x v="3"/>
    <n v="41.95"/>
  </r>
  <r>
    <n v="110"/>
    <x v="0"/>
    <x v="3"/>
    <x v="3"/>
    <s v="Percent of GDP"/>
    <s v="Units"/>
    <x v="4"/>
    <n v="42.241"/>
  </r>
  <r>
    <n v="110"/>
    <x v="0"/>
    <x v="3"/>
    <x v="3"/>
    <s v="Percent of GDP"/>
    <s v="Units"/>
    <x v="5"/>
    <n v="42.311999999999998"/>
  </r>
  <r>
    <n v="110"/>
    <x v="0"/>
    <x v="3"/>
    <x v="3"/>
    <s v="Percent of GDP"/>
    <s v="Units"/>
    <x v="6"/>
    <n v="39.692"/>
  </r>
  <r>
    <n v="119"/>
    <x v="1"/>
    <x v="3"/>
    <x v="3"/>
    <s v="Percent of GDP"/>
    <s v="Units"/>
    <x v="0"/>
    <n v="37.293999999999997"/>
  </r>
  <r>
    <n v="119"/>
    <x v="1"/>
    <x v="3"/>
    <x v="3"/>
    <s v="Percent of GDP"/>
    <s v="Units"/>
    <x v="1"/>
    <n v="44.503999999999998"/>
  </r>
  <r>
    <n v="119"/>
    <x v="1"/>
    <x v="3"/>
    <x v="3"/>
    <s v="Percent of GDP"/>
    <s v="Units"/>
    <x v="2"/>
    <n v="42.484999999999999"/>
  </r>
  <r>
    <n v="119"/>
    <x v="1"/>
    <x v="3"/>
    <x v="3"/>
    <s v="Percent of GDP"/>
    <s v="Units"/>
    <x v="3"/>
    <n v="41.95"/>
  </r>
  <r>
    <n v="119"/>
    <x v="1"/>
    <x v="3"/>
    <x v="3"/>
    <s v="Percent of GDP"/>
    <s v="Units"/>
    <x v="4"/>
    <n v="42.241"/>
  </r>
  <r>
    <n v="119"/>
    <x v="1"/>
    <x v="3"/>
    <x v="3"/>
    <s v="Percent of GDP"/>
    <s v="Units"/>
    <x v="5"/>
    <n v="42.311999999999998"/>
  </r>
  <r>
    <n v="119"/>
    <x v="1"/>
    <x v="3"/>
    <x v="3"/>
    <s v="Percent of GDP"/>
    <s v="Units"/>
    <x v="6"/>
    <n v="39.692"/>
  </r>
  <r>
    <n v="505"/>
    <x v="4"/>
    <x v="122"/>
    <x v="3"/>
    <s v="Percent of GDP"/>
    <s v="Units"/>
    <x v="0"/>
    <n v="39.82"/>
  </r>
  <r>
    <n v="505"/>
    <x v="4"/>
    <x v="122"/>
    <x v="3"/>
    <s v="Percent of GDP"/>
    <s v="Units"/>
    <x v="1"/>
    <n v="43.375999999999998"/>
  </r>
  <r>
    <n v="505"/>
    <x v="4"/>
    <x v="122"/>
    <x v="3"/>
    <s v="Percent of GDP"/>
    <s v="Units"/>
    <x v="2"/>
    <n v="44.39"/>
  </r>
  <r>
    <n v="505"/>
    <x v="4"/>
    <x v="122"/>
    <x v="3"/>
    <s v="Percent of GDP"/>
    <s v="Units"/>
    <x v="3"/>
    <n v="43.05"/>
  </r>
  <r>
    <n v="505"/>
    <x v="4"/>
    <x v="122"/>
    <x v="3"/>
    <s v="Percent of GDP"/>
    <s v="Units"/>
    <x v="4"/>
    <n v="44.040999999999997"/>
  </r>
  <r>
    <n v="505"/>
    <x v="4"/>
    <x v="122"/>
    <x v="3"/>
    <s v="Percent of GDP"/>
    <s v="Units"/>
    <x v="5"/>
    <n v="42.216999999999999"/>
  </r>
  <r>
    <n v="505"/>
    <x v="4"/>
    <x v="122"/>
    <x v="3"/>
    <s v="Percent of GDP"/>
    <s v="Units"/>
    <x v="6"/>
    <n v="39.485999999999997"/>
  </r>
  <r>
    <n v="200"/>
    <x v="3"/>
    <x v="122"/>
    <x v="3"/>
    <s v="Percent of GDP"/>
    <s v="Units"/>
    <x v="0"/>
    <n v="39.82"/>
  </r>
  <r>
    <n v="200"/>
    <x v="3"/>
    <x v="122"/>
    <x v="3"/>
    <s v="Percent of GDP"/>
    <s v="Units"/>
    <x v="1"/>
    <n v="43.375999999999998"/>
  </r>
  <r>
    <n v="200"/>
    <x v="3"/>
    <x v="122"/>
    <x v="3"/>
    <s v="Percent of GDP"/>
    <s v="Units"/>
    <x v="2"/>
    <n v="44.39"/>
  </r>
  <r>
    <n v="200"/>
    <x v="3"/>
    <x v="122"/>
    <x v="3"/>
    <s v="Percent of GDP"/>
    <s v="Units"/>
    <x v="3"/>
    <n v="43.05"/>
  </r>
  <r>
    <n v="200"/>
    <x v="3"/>
    <x v="122"/>
    <x v="3"/>
    <s v="Percent of GDP"/>
    <s v="Units"/>
    <x v="4"/>
    <n v="44.040999999999997"/>
  </r>
  <r>
    <n v="200"/>
    <x v="3"/>
    <x v="122"/>
    <x v="3"/>
    <s v="Percent of GDP"/>
    <s v="Units"/>
    <x v="5"/>
    <n v="42.216999999999999"/>
  </r>
  <r>
    <n v="200"/>
    <x v="3"/>
    <x v="122"/>
    <x v="3"/>
    <s v="Percent of GDP"/>
    <s v="Units"/>
    <x v="6"/>
    <n v="39.485999999999997"/>
  </r>
  <r>
    <n v="119"/>
    <x v="1"/>
    <x v="9"/>
    <x v="3"/>
    <s v="Percent of GDP"/>
    <s v="Units"/>
    <x v="0"/>
    <n v="40.590000000000003"/>
  </r>
  <r>
    <n v="119"/>
    <x v="1"/>
    <x v="9"/>
    <x v="3"/>
    <s v="Percent of GDP"/>
    <s v="Units"/>
    <x v="1"/>
    <n v="52.362000000000002"/>
  </r>
  <r>
    <n v="119"/>
    <x v="1"/>
    <x v="9"/>
    <x v="3"/>
    <s v="Percent of GDP"/>
    <s v="Units"/>
    <x v="2"/>
    <n v="45.438000000000002"/>
  </r>
  <r>
    <n v="119"/>
    <x v="1"/>
    <x v="9"/>
    <x v="3"/>
    <s v="Percent of GDP"/>
    <s v="Units"/>
    <x v="3"/>
    <n v="41.033999999999999"/>
  </r>
  <r>
    <n v="119"/>
    <x v="1"/>
    <x v="9"/>
    <x v="3"/>
    <s v="Percent of GDP"/>
    <s v="Units"/>
    <x v="4"/>
    <n v="42.442"/>
  </r>
  <r>
    <n v="119"/>
    <x v="1"/>
    <x v="9"/>
    <x v="3"/>
    <s v="Percent of GDP"/>
    <s v="Units"/>
    <x v="5"/>
    <n v="42.201999999999998"/>
  </r>
  <r>
    <n v="119"/>
    <x v="1"/>
    <x v="9"/>
    <x v="3"/>
    <s v="Percent of GDP"/>
    <s v="Units"/>
    <x v="6"/>
    <n v="41.978000000000002"/>
  </r>
  <r>
    <n v="110"/>
    <x v="0"/>
    <x v="9"/>
    <x v="3"/>
    <s v="Percent of GDP"/>
    <s v="Units"/>
    <x v="0"/>
    <n v="40.590000000000003"/>
  </r>
  <r>
    <n v="110"/>
    <x v="0"/>
    <x v="9"/>
    <x v="3"/>
    <s v="Percent of GDP"/>
    <s v="Units"/>
    <x v="1"/>
    <n v="52.362000000000002"/>
  </r>
  <r>
    <n v="110"/>
    <x v="0"/>
    <x v="9"/>
    <x v="3"/>
    <s v="Percent of GDP"/>
    <s v="Units"/>
    <x v="2"/>
    <n v="45.438000000000002"/>
  </r>
  <r>
    <n v="110"/>
    <x v="0"/>
    <x v="9"/>
    <x v="3"/>
    <s v="Percent of GDP"/>
    <s v="Units"/>
    <x v="3"/>
    <n v="41.033999999999999"/>
  </r>
  <r>
    <n v="110"/>
    <x v="0"/>
    <x v="9"/>
    <x v="3"/>
    <s v="Percent of GDP"/>
    <s v="Units"/>
    <x v="4"/>
    <n v="42.442"/>
  </r>
  <r>
    <n v="110"/>
    <x v="0"/>
    <x v="9"/>
    <x v="3"/>
    <s v="Percent of GDP"/>
    <s v="Units"/>
    <x v="5"/>
    <n v="42.201999999999998"/>
  </r>
  <r>
    <n v="110"/>
    <x v="0"/>
    <x v="9"/>
    <x v="3"/>
    <s v="Percent of GDP"/>
    <s v="Units"/>
    <x v="6"/>
    <n v="41.978000000000002"/>
  </r>
  <r>
    <n v="200"/>
    <x v="3"/>
    <x v="123"/>
    <x v="3"/>
    <s v="Percent of GDP"/>
    <s v="Units"/>
    <x v="0"/>
    <n v="33.603999999999999"/>
  </r>
  <r>
    <n v="200"/>
    <x v="3"/>
    <x v="123"/>
    <x v="3"/>
    <s v="Percent of GDP"/>
    <s v="Units"/>
    <x v="1"/>
    <n v="49.899000000000001"/>
  </r>
  <r>
    <n v="200"/>
    <x v="3"/>
    <x v="123"/>
    <x v="3"/>
    <s v="Percent of GDP"/>
    <s v="Units"/>
    <x v="2"/>
    <n v="39.478999999999999"/>
  </r>
  <r>
    <n v="200"/>
    <x v="3"/>
    <x v="123"/>
    <x v="3"/>
    <s v="Percent of GDP"/>
    <s v="Units"/>
    <x v="3"/>
    <n v="41.51"/>
  </r>
  <r>
    <n v="200"/>
    <x v="3"/>
    <x v="123"/>
    <x v="3"/>
    <s v="Percent of GDP"/>
    <s v="Units"/>
    <x v="4"/>
    <n v="45.722999999999999"/>
  </r>
  <r>
    <n v="200"/>
    <x v="3"/>
    <x v="123"/>
    <x v="3"/>
    <s v="Percent of GDP"/>
    <s v="Units"/>
    <x v="5"/>
    <n v="42.152999999999999"/>
  </r>
  <r>
    <n v="200"/>
    <x v="3"/>
    <x v="123"/>
    <x v="3"/>
    <s v="Percent of GDP"/>
    <s v="Units"/>
    <x v="6"/>
    <n v="38.645000000000003"/>
  </r>
  <r>
    <n v="505"/>
    <x v="4"/>
    <x v="123"/>
    <x v="3"/>
    <s v="Percent of GDP"/>
    <s v="Units"/>
    <x v="0"/>
    <n v="33.603999999999999"/>
  </r>
  <r>
    <n v="505"/>
    <x v="4"/>
    <x v="123"/>
    <x v="3"/>
    <s v="Percent of GDP"/>
    <s v="Units"/>
    <x v="1"/>
    <n v="49.899000000000001"/>
  </r>
  <r>
    <n v="505"/>
    <x v="4"/>
    <x v="123"/>
    <x v="3"/>
    <s v="Percent of GDP"/>
    <s v="Units"/>
    <x v="2"/>
    <n v="39.478999999999999"/>
  </r>
  <r>
    <n v="505"/>
    <x v="4"/>
    <x v="123"/>
    <x v="3"/>
    <s v="Percent of GDP"/>
    <s v="Units"/>
    <x v="3"/>
    <n v="41.51"/>
  </r>
  <r>
    <n v="505"/>
    <x v="4"/>
    <x v="123"/>
    <x v="3"/>
    <s v="Percent of GDP"/>
    <s v="Units"/>
    <x v="4"/>
    <n v="45.722999999999999"/>
  </r>
  <r>
    <n v="505"/>
    <x v="4"/>
    <x v="123"/>
    <x v="3"/>
    <s v="Percent of GDP"/>
    <s v="Units"/>
    <x v="5"/>
    <n v="42.152999999999999"/>
  </r>
  <r>
    <n v="505"/>
    <x v="4"/>
    <x v="123"/>
    <x v="3"/>
    <s v="Percent of GDP"/>
    <s v="Units"/>
    <x v="6"/>
    <n v="38.645000000000003"/>
  </r>
  <r>
    <n v="1"/>
    <x v="2"/>
    <x v="104"/>
    <x v="7"/>
    <s v="Percent of GDP"/>
    <s v="Units"/>
    <x v="0"/>
    <n v="40.845999999999997"/>
  </r>
  <r>
    <n v="1"/>
    <x v="2"/>
    <x v="104"/>
    <x v="7"/>
    <s v="Percent of GDP"/>
    <s v="Units"/>
    <x v="1"/>
    <n v="44.826999999999998"/>
  </r>
  <r>
    <n v="1"/>
    <x v="2"/>
    <x v="104"/>
    <x v="7"/>
    <s v="Percent of GDP"/>
    <s v="Units"/>
    <x v="2"/>
    <n v="40.369"/>
  </r>
  <r>
    <n v="1"/>
    <x v="2"/>
    <x v="104"/>
    <x v="7"/>
    <s v="Percent of GDP"/>
    <s v="Units"/>
    <x v="3"/>
    <n v="38.58"/>
  </r>
  <r>
    <n v="1"/>
    <x v="2"/>
    <x v="104"/>
    <x v="7"/>
    <s v="Percent of GDP"/>
    <s v="Units"/>
    <x v="4"/>
    <n v="18.742000000000001"/>
  </r>
  <r>
    <n v="1"/>
    <x v="2"/>
    <x v="104"/>
    <x v="7"/>
    <s v="Percent of GDP"/>
    <s v="Units"/>
    <x v="5"/>
    <n v="42.106000000000002"/>
  </r>
  <r>
    <n v="1"/>
    <x v="2"/>
    <x v="104"/>
    <x v="7"/>
    <s v="Percent of GDP"/>
    <s v="Units"/>
    <x v="6"/>
    <n v="47.143000000000001"/>
  </r>
  <r>
    <n v="200"/>
    <x v="3"/>
    <x v="104"/>
    <x v="7"/>
    <s v="Percent of GDP"/>
    <s v="Units"/>
    <x v="0"/>
    <n v="40.845999999999997"/>
  </r>
  <r>
    <n v="200"/>
    <x v="3"/>
    <x v="104"/>
    <x v="7"/>
    <s v="Percent of GDP"/>
    <s v="Units"/>
    <x v="1"/>
    <n v="44.826999999999998"/>
  </r>
  <r>
    <n v="200"/>
    <x v="3"/>
    <x v="104"/>
    <x v="7"/>
    <s v="Percent of GDP"/>
    <s v="Units"/>
    <x v="2"/>
    <n v="40.369"/>
  </r>
  <r>
    <n v="200"/>
    <x v="3"/>
    <x v="104"/>
    <x v="7"/>
    <s v="Percent of GDP"/>
    <s v="Units"/>
    <x v="3"/>
    <n v="38.58"/>
  </r>
  <r>
    <n v="200"/>
    <x v="3"/>
    <x v="104"/>
    <x v="7"/>
    <s v="Percent of GDP"/>
    <s v="Units"/>
    <x v="4"/>
    <n v="18.742000000000001"/>
  </r>
  <r>
    <n v="200"/>
    <x v="3"/>
    <x v="104"/>
    <x v="7"/>
    <s v="Percent of GDP"/>
    <s v="Units"/>
    <x v="5"/>
    <n v="42.106000000000002"/>
  </r>
  <r>
    <n v="200"/>
    <x v="3"/>
    <x v="104"/>
    <x v="7"/>
    <s v="Percent of GDP"/>
    <s v="Units"/>
    <x v="6"/>
    <n v="47.143000000000001"/>
  </r>
  <r>
    <n v="603"/>
    <x v="12"/>
    <x v="104"/>
    <x v="7"/>
    <s v="Percent of GDP"/>
    <s v="Units"/>
    <x v="0"/>
    <n v="40.845999999999997"/>
  </r>
  <r>
    <n v="603"/>
    <x v="12"/>
    <x v="104"/>
    <x v="7"/>
    <s v="Percent of GDP"/>
    <s v="Units"/>
    <x v="1"/>
    <n v="44.826999999999998"/>
  </r>
  <r>
    <n v="603"/>
    <x v="12"/>
    <x v="104"/>
    <x v="7"/>
    <s v="Percent of GDP"/>
    <s v="Units"/>
    <x v="2"/>
    <n v="40.369"/>
  </r>
  <r>
    <n v="603"/>
    <x v="12"/>
    <x v="104"/>
    <x v="7"/>
    <s v="Percent of GDP"/>
    <s v="Units"/>
    <x v="3"/>
    <n v="38.58"/>
  </r>
  <r>
    <n v="603"/>
    <x v="12"/>
    <x v="104"/>
    <x v="7"/>
    <s v="Percent of GDP"/>
    <s v="Units"/>
    <x v="4"/>
    <n v="18.742000000000001"/>
  </r>
  <r>
    <n v="603"/>
    <x v="12"/>
    <x v="104"/>
    <x v="7"/>
    <s v="Percent of GDP"/>
    <s v="Units"/>
    <x v="5"/>
    <n v="42.106000000000002"/>
  </r>
  <r>
    <n v="603"/>
    <x v="12"/>
    <x v="104"/>
    <x v="7"/>
    <s v="Percent of GDP"/>
    <s v="Units"/>
    <x v="6"/>
    <n v="47.143000000000001"/>
  </r>
  <r>
    <n v="505"/>
    <x v="4"/>
    <x v="107"/>
    <x v="2"/>
    <s v="Percent of GDP"/>
    <s v="Units"/>
    <x v="0"/>
    <n v="41.722000000000001"/>
  </r>
  <r>
    <n v="505"/>
    <x v="4"/>
    <x v="107"/>
    <x v="2"/>
    <s v="Percent of GDP"/>
    <s v="Units"/>
    <x v="1"/>
    <n v="44.203000000000003"/>
  </r>
  <r>
    <n v="505"/>
    <x v="4"/>
    <x v="107"/>
    <x v="2"/>
    <s v="Percent of GDP"/>
    <s v="Units"/>
    <x v="2"/>
    <n v="48.329000000000001"/>
  </r>
  <r>
    <n v="505"/>
    <x v="4"/>
    <x v="107"/>
    <x v="2"/>
    <s v="Percent of GDP"/>
    <s v="Units"/>
    <x v="3"/>
    <n v="45.237000000000002"/>
  </r>
  <r>
    <n v="505"/>
    <x v="4"/>
    <x v="107"/>
    <x v="2"/>
    <s v="Percent of GDP"/>
    <s v="Units"/>
    <x v="4"/>
    <n v="47.75"/>
  </r>
  <r>
    <n v="505"/>
    <x v="4"/>
    <x v="107"/>
    <x v="2"/>
    <s v="Percent of GDP"/>
    <s v="Units"/>
    <x v="5"/>
    <n v="41.786999999999999"/>
  </r>
  <r>
    <n v="505"/>
    <x v="4"/>
    <x v="107"/>
    <x v="2"/>
    <s v="Percent of GDP"/>
    <s v="Units"/>
    <x v="6"/>
    <n v="37.881999999999998"/>
  </r>
  <r>
    <n v="200"/>
    <x v="3"/>
    <x v="107"/>
    <x v="2"/>
    <s v="Percent of GDP"/>
    <s v="Units"/>
    <x v="0"/>
    <n v="41.722000000000001"/>
  </r>
  <r>
    <n v="200"/>
    <x v="3"/>
    <x v="107"/>
    <x v="2"/>
    <s v="Percent of GDP"/>
    <s v="Units"/>
    <x v="1"/>
    <n v="44.203000000000003"/>
  </r>
  <r>
    <n v="200"/>
    <x v="3"/>
    <x v="107"/>
    <x v="2"/>
    <s v="Percent of GDP"/>
    <s v="Units"/>
    <x v="2"/>
    <n v="48.329000000000001"/>
  </r>
  <r>
    <n v="200"/>
    <x v="3"/>
    <x v="107"/>
    <x v="2"/>
    <s v="Percent of GDP"/>
    <s v="Units"/>
    <x v="3"/>
    <n v="45.237000000000002"/>
  </r>
  <r>
    <n v="200"/>
    <x v="3"/>
    <x v="107"/>
    <x v="2"/>
    <s v="Percent of GDP"/>
    <s v="Units"/>
    <x v="4"/>
    <n v="47.75"/>
  </r>
  <r>
    <n v="200"/>
    <x v="3"/>
    <x v="107"/>
    <x v="2"/>
    <s v="Percent of GDP"/>
    <s v="Units"/>
    <x v="5"/>
    <n v="41.786999999999999"/>
  </r>
  <r>
    <n v="200"/>
    <x v="3"/>
    <x v="107"/>
    <x v="2"/>
    <s v="Percent of GDP"/>
    <s v="Units"/>
    <x v="6"/>
    <n v="37.881999999999998"/>
  </r>
  <r>
    <n v="123"/>
    <x v="9"/>
    <x v="44"/>
    <x v="2"/>
    <s v="Percent of GDP"/>
    <s v="Units"/>
    <x v="0"/>
    <n v="41.341999999999999"/>
  </r>
  <r>
    <n v="123"/>
    <x v="9"/>
    <x v="44"/>
    <x v="2"/>
    <s v="Percent of GDP"/>
    <s v="Units"/>
    <x v="1"/>
    <n v="41.451999999999998"/>
  </r>
  <r>
    <n v="123"/>
    <x v="9"/>
    <x v="44"/>
    <x v="2"/>
    <s v="Percent of GDP"/>
    <s v="Units"/>
    <x v="2"/>
    <n v="41.421999999999997"/>
  </r>
  <r>
    <n v="123"/>
    <x v="9"/>
    <x v="44"/>
    <x v="2"/>
    <s v="Percent of GDP"/>
    <s v="Units"/>
    <x v="3"/>
    <n v="41.378999999999998"/>
  </r>
  <r>
    <n v="123"/>
    <x v="9"/>
    <x v="44"/>
    <x v="2"/>
    <s v="Percent of GDP"/>
    <s v="Units"/>
    <x v="4"/>
    <n v="42.497999999999998"/>
  </r>
  <r>
    <n v="123"/>
    <x v="9"/>
    <x v="44"/>
    <x v="2"/>
    <s v="Percent of GDP"/>
    <s v="Units"/>
    <x v="5"/>
    <n v="41.66"/>
  </r>
  <r>
    <n v="123"/>
    <x v="9"/>
    <x v="44"/>
    <x v="2"/>
    <s v="Percent of GDP"/>
    <s v="Units"/>
    <x v="6"/>
    <n v="41.345999999999997"/>
  </r>
  <r>
    <n v="998"/>
    <x v="6"/>
    <x v="44"/>
    <x v="2"/>
    <s v="Percent of GDP"/>
    <s v="Units"/>
    <x v="0"/>
    <n v="41.341999999999999"/>
  </r>
  <r>
    <n v="998"/>
    <x v="6"/>
    <x v="44"/>
    <x v="2"/>
    <s v="Percent of GDP"/>
    <s v="Units"/>
    <x v="1"/>
    <n v="41.451999999999998"/>
  </r>
  <r>
    <n v="998"/>
    <x v="6"/>
    <x v="44"/>
    <x v="2"/>
    <s v="Percent of GDP"/>
    <s v="Units"/>
    <x v="2"/>
    <n v="41.421999999999997"/>
  </r>
  <r>
    <n v="998"/>
    <x v="6"/>
    <x v="44"/>
    <x v="2"/>
    <s v="Percent of GDP"/>
    <s v="Units"/>
    <x v="3"/>
    <n v="41.378999999999998"/>
  </r>
  <r>
    <n v="998"/>
    <x v="6"/>
    <x v="44"/>
    <x v="2"/>
    <s v="Percent of GDP"/>
    <s v="Units"/>
    <x v="4"/>
    <n v="42.497999999999998"/>
  </r>
  <r>
    <n v="998"/>
    <x v="6"/>
    <x v="44"/>
    <x v="2"/>
    <s v="Percent of GDP"/>
    <s v="Units"/>
    <x v="5"/>
    <n v="41.66"/>
  </r>
  <r>
    <n v="998"/>
    <x v="6"/>
    <x v="44"/>
    <x v="2"/>
    <s v="Percent of GDP"/>
    <s v="Units"/>
    <x v="6"/>
    <n v="41.345999999999997"/>
  </r>
  <r>
    <n v="110"/>
    <x v="0"/>
    <x v="44"/>
    <x v="2"/>
    <s v="Percent of GDP"/>
    <s v="Units"/>
    <x v="0"/>
    <n v="41.341999999999999"/>
  </r>
  <r>
    <n v="110"/>
    <x v="0"/>
    <x v="44"/>
    <x v="2"/>
    <s v="Percent of GDP"/>
    <s v="Units"/>
    <x v="1"/>
    <n v="41.451999999999998"/>
  </r>
  <r>
    <n v="110"/>
    <x v="0"/>
    <x v="44"/>
    <x v="2"/>
    <s v="Percent of GDP"/>
    <s v="Units"/>
    <x v="2"/>
    <n v="41.421999999999997"/>
  </r>
  <r>
    <n v="110"/>
    <x v="0"/>
    <x v="44"/>
    <x v="2"/>
    <s v="Percent of GDP"/>
    <s v="Units"/>
    <x v="3"/>
    <n v="41.378999999999998"/>
  </r>
  <r>
    <n v="110"/>
    <x v="0"/>
    <x v="44"/>
    <x v="2"/>
    <s v="Percent of GDP"/>
    <s v="Units"/>
    <x v="4"/>
    <n v="42.497999999999998"/>
  </r>
  <r>
    <n v="110"/>
    <x v="0"/>
    <x v="44"/>
    <x v="2"/>
    <s v="Percent of GDP"/>
    <s v="Units"/>
    <x v="5"/>
    <n v="41.66"/>
  </r>
  <r>
    <n v="110"/>
    <x v="0"/>
    <x v="44"/>
    <x v="2"/>
    <s v="Percent of GDP"/>
    <s v="Units"/>
    <x v="6"/>
    <n v="41.345999999999997"/>
  </r>
  <r>
    <n v="205"/>
    <x v="7"/>
    <x v="114"/>
    <x v="2"/>
    <s v="Percent of GDP"/>
    <s v="Units"/>
    <x v="0"/>
    <n v="39.561999999999998"/>
  </r>
  <r>
    <n v="205"/>
    <x v="7"/>
    <x v="114"/>
    <x v="2"/>
    <s v="Percent of GDP"/>
    <s v="Units"/>
    <x v="1"/>
    <n v="59.23"/>
  </r>
  <r>
    <n v="205"/>
    <x v="7"/>
    <x v="114"/>
    <x v="2"/>
    <s v="Percent of GDP"/>
    <s v="Units"/>
    <x v="2"/>
    <n v="58.756999999999998"/>
  </r>
  <r>
    <n v="205"/>
    <x v="7"/>
    <x v="114"/>
    <x v="2"/>
    <s v="Percent of GDP"/>
    <s v="Units"/>
    <x v="3"/>
    <n v="62.555999999999997"/>
  </r>
  <r>
    <n v="205"/>
    <x v="7"/>
    <x v="114"/>
    <x v="2"/>
    <s v="Percent of GDP"/>
    <s v="Units"/>
    <x v="4"/>
    <n v="43.677999999999997"/>
  </r>
  <r>
    <n v="205"/>
    <x v="7"/>
    <x v="114"/>
    <x v="2"/>
    <s v="Percent of GDP"/>
    <s v="Units"/>
    <x v="5"/>
    <n v="41.33"/>
  </r>
  <r>
    <n v="205"/>
    <x v="7"/>
    <x v="114"/>
    <x v="2"/>
    <s v="Percent of GDP"/>
    <s v="Units"/>
    <x v="6"/>
    <n v="40.381999999999998"/>
  </r>
  <r>
    <n v="200"/>
    <x v="3"/>
    <x v="114"/>
    <x v="2"/>
    <s v="Percent of GDP"/>
    <s v="Units"/>
    <x v="0"/>
    <n v="39.561999999999998"/>
  </r>
  <r>
    <n v="200"/>
    <x v="3"/>
    <x v="114"/>
    <x v="2"/>
    <s v="Percent of GDP"/>
    <s v="Units"/>
    <x v="1"/>
    <n v="59.23"/>
  </r>
  <r>
    <n v="200"/>
    <x v="3"/>
    <x v="114"/>
    <x v="2"/>
    <s v="Percent of GDP"/>
    <s v="Units"/>
    <x v="2"/>
    <n v="58.756999999999998"/>
  </r>
  <r>
    <n v="200"/>
    <x v="3"/>
    <x v="114"/>
    <x v="2"/>
    <s v="Percent of GDP"/>
    <s v="Units"/>
    <x v="3"/>
    <n v="62.555999999999997"/>
  </r>
  <r>
    <n v="200"/>
    <x v="3"/>
    <x v="114"/>
    <x v="2"/>
    <s v="Percent of GDP"/>
    <s v="Units"/>
    <x v="4"/>
    <n v="43.677999999999997"/>
  </r>
  <r>
    <n v="200"/>
    <x v="3"/>
    <x v="114"/>
    <x v="2"/>
    <s v="Percent of GDP"/>
    <s v="Units"/>
    <x v="5"/>
    <n v="41.33"/>
  </r>
  <r>
    <n v="200"/>
    <x v="3"/>
    <x v="114"/>
    <x v="2"/>
    <s v="Percent of GDP"/>
    <s v="Units"/>
    <x v="6"/>
    <n v="40.381999999999998"/>
  </r>
  <r>
    <n v="110"/>
    <x v="0"/>
    <x v="51"/>
    <x v="3"/>
    <s v="Percent of GDP"/>
    <s v="Units"/>
    <x v="0"/>
    <n v="38.835000000000001"/>
  </r>
  <r>
    <n v="110"/>
    <x v="0"/>
    <x v="51"/>
    <x v="3"/>
    <s v="Percent of GDP"/>
    <s v="Units"/>
    <x v="1"/>
    <n v="42.069000000000003"/>
  </r>
  <r>
    <n v="110"/>
    <x v="0"/>
    <x v="51"/>
    <x v="3"/>
    <s v="Percent of GDP"/>
    <s v="Units"/>
    <x v="2"/>
    <n v="41.843000000000004"/>
  </r>
  <r>
    <n v="110"/>
    <x v="0"/>
    <x v="51"/>
    <x v="3"/>
    <s v="Percent of GDP"/>
    <s v="Units"/>
    <x v="3"/>
    <n v="41.960999999999999"/>
  </r>
  <r>
    <n v="110"/>
    <x v="0"/>
    <x v="51"/>
    <x v="3"/>
    <s v="Percent of GDP"/>
    <s v="Units"/>
    <x v="4"/>
    <n v="41.14"/>
  </r>
  <r>
    <n v="110"/>
    <x v="0"/>
    <x v="51"/>
    <x v="3"/>
    <s v="Percent of GDP"/>
    <s v="Units"/>
    <x v="5"/>
    <n v="41.267000000000003"/>
  </r>
  <r>
    <n v="110"/>
    <x v="0"/>
    <x v="51"/>
    <x v="3"/>
    <s v="Percent of GDP"/>
    <s v="Units"/>
    <x v="6"/>
    <n v="40.789000000000001"/>
  </r>
  <r>
    <n v="123"/>
    <x v="9"/>
    <x v="51"/>
    <x v="3"/>
    <s v="Percent of GDP"/>
    <s v="Units"/>
    <x v="0"/>
    <n v="38.835000000000001"/>
  </r>
  <r>
    <n v="123"/>
    <x v="9"/>
    <x v="51"/>
    <x v="3"/>
    <s v="Percent of GDP"/>
    <s v="Units"/>
    <x v="1"/>
    <n v="42.069000000000003"/>
  </r>
  <r>
    <n v="123"/>
    <x v="9"/>
    <x v="51"/>
    <x v="3"/>
    <s v="Percent of GDP"/>
    <s v="Units"/>
    <x v="2"/>
    <n v="41.843000000000004"/>
  </r>
  <r>
    <n v="123"/>
    <x v="9"/>
    <x v="51"/>
    <x v="3"/>
    <s v="Percent of GDP"/>
    <s v="Units"/>
    <x v="3"/>
    <n v="41.960999999999999"/>
  </r>
  <r>
    <n v="123"/>
    <x v="9"/>
    <x v="51"/>
    <x v="3"/>
    <s v="Percent of GDP"/>
    <s v="Units"/>
    <x v="4"/>
    <n v="41.14"/>
  </r>
  <r>
    <n v="123"/>
    <x v="9"/>
    <x v="51"/>
    <x v="3"/>
    <s v="Percent of GDP"/>
    <s v="Units"/>
    <x v="5"/>
    <n v="41.267000000000003"/>
  </r>
  <r>
    <n v="123"/>
    <x v="9"/>
    <x v="51"/>
    <x v="3"/>
    <s v="Percent of GDP"/>
    <s v="Units"/>
    <x v="6"/>
    <n v="40.789000000000001"/>
  </r>
  <r>
    <n v="200"/>
    <x v="3"/>
    <x v="34"/>
    <x v="5"/>
    <s v="Percent of GDP"/>
    <s v="Units"/>
    <x v="0"/>
    <n v="38.725999999999999"/>
  </r>
  <r>
    <n v="200"/>
    <x v="3"/>
    <x v="34"/>
    <x v="5"/>
    <s v="Percent of GDP"/>
    <s v="Units"/>
    <x v="1"/>
    <n v="43.898000000000003"/>
  </r>
  <r>
    <n v="200"/>
    <x v="3"/>
    <x v="34"/>
    <x v="5"/>
    <s v="Percent of GDP"/>
    <s v="Units"/>
    <x v="2"/>
    <n v="45.17"/>
  </r>
  <r>
    <n v="200"/>
    <x v="3"/>
    <x v="34"/>
    <x v="5"/>
    <s v="Percent of GDP"/>
    <s v="Units"/>
    <x v="3"/>
    <n v="44.040999999999997"/>
  </r>
  <r>
    <n v="200"/>
    <x v="3"/>
    <x v="34"/>
    <x v="5"/>
    <s v="Percent of GDP"/>
    <s v="Units"/>
    <x v="4"/>
    <n v="42.698"/>
  </r>
  <r>
    <n v="200"/>
    <x v="3"/>
    <x v="34"/>
    <x v="5"/>
    <s v="Percent of GDP"/>
    <s v="Units"/>
    <x v="5"/>
    <n v="41.107999999999997"/>
  </r>
  <r>
    <n v="200"/>
    <x v="3"/>
    <x v="34"/>
    <x v="5"/>
    <s v="Percent of GDP"/>
    <s v="Units"/>
    <x v="6"/>
    <n v="40.238999999999997"/>
  </r>
  <r>
    <n v="400"/>
    <x v="11"/>
    <x v="34"/>
    <x v="5"/>
    <s v="Percent of GDP"/>
    <s v="Units"/>
    <x v="0"/>
    <n v="38.725999999999999"/>
  </r>
  <r>
    <n v="400"/>
    <x v="11"/>
    <x v="34"/>
    <x v="5"/>
    <s v="Percent of GDP"/>
    <s v="Units"/>
    <x v="1"/>
    <n v="43.898000000000003"/>
  </r>
  <r>
    <n v="400"/>
    <x v="11"/>
    <x v="34"/>
    <x v="5"/>
    <s v="Percent of GDP"/>
    <s v="Units"/>
    <x v="2"/>
    <n v="45.17"/>
  </r>
  <r>
    <n v="400"/>
    <x v="11"/>
    <x v="34"/>
    <x v="5"/>
    <s v="Percent of GDP"/>
    <s v="Units"/>
    <x v="3"/>
    <n v="44.040999999999997"/>
  </r>
  <r>
    <n v="400"/>
    <x v="11"/>
    <x v="34"/>
    <x v="5"/>
    <s v="Percent of GDP"/>
    <s v="Units"/>
    <x v="4"/>
    <n v="42.698"/>
  </r>
  <r>
    <n v="400"/>
    <x v="11"/>
    <x v="34"/>
    <x v="5"/>
    <s v="Percent of GDP"/>
    <s v="Units"/>
    <x v="5"/>
    <n v="41.107999999999997"/>
  </r>
  <r>
    <n v="400"/>
    <x v="11"/>
    <x v="34"/>
    <x v="5"/>
    <s v="Percent of GDP"/>
    <s v="Units"/>
    <x v="6"/>
    <n v="40.238999999999997"/>
  </r>
  <r>
    <n v="1"/>
    <x v="2"/>
    <x v="34"/>
    <x v="5"/>
    <s v="Percent of GDP"/>
    <s v="Units"/>
    <x v="0"/>
    <n v="38.725999999999999"/>
  </r>
  <r>
    <n v="1"/>
    <x v="2"/>
    <x v="34"/>
    <x v="5"/>
    <s v="Percent of GDP"/>
    <s v="Units"/>
    <x v="1"/>
    <n v="43.898000000000003"/>
  </r>
  <r>
    <n v="1"/>
    <x v="2"/>
    <x v="34"/>
    <x v="5"/>
    <s v="Percent of GDP"/>
    <s v="Units"/>
    <x v="2"/>
    <n v="45.17"/>
  </r>
  <r>
    <n v="1"/>
    <x v="2"/>
    <x v="34"/>
    <x v="5"/>
    <s v="Percent of GDP"/>
    <s v="Units"/>
    <x v="3"/>
    <n v="44.040999999999997"/>
  </r>
  <r>
    <n v="1"/>
    <x v="2"/>
    <x v="34"/>
    <x v="5"/>
    <s v="Percent of GDP"/>
    <s v="Units"/>
    <x v="4"/>
    <n v="42.698"/>
  </r>
  <r>
    <n v="1"/>
    <x v="2"/>
    <x v="34"/>
    <x v="5"/>
    <s v="Percent of GDP"/>
    <s v="Units"/>
    <x v="5"/>
    <n v="41.107999999999997"/>
  </r>
  <r>
    <n v="1"/>
    <x v="2"/>
    <x v="34"/>
    <x v="5"/>
    <s v="Percent of GDP"/>
    <s v="Units"/>
    <x v="6"/>
    <n v="40.238999999999997"/>
  </r>
  <r>
    <n v="119"/>
    <x v="1"/>
    <x v="9"/>
    <x v="2"/>
    <s v="Percent of GDP"/>
    <s v="Units"/>
    <x v="0"/>
    <n v="40.572000000000003"/>
  </r>
  <r>
    <n v="119"/>
    <x v="1"/>
    <x v="9"/>
    <x v="2"/>
    <s v="Percent of GDP"/>
    <s v="Units"/>
    <x v="1"/>
    <n v="41.412999999999997"/>
  </r>
  <r>
    <n v="119"/>
    <x v="1"/>
    <x v="9"/>
    <x v="2"/>
    <s v="Percent of GDP"/>
    <s v="Units"/>
    <x v="2"/>
    <n v="42.518999999999998"/>
  </r>
  <r>
    <n v="119"/>
    <x v="1"/>
    <x v="9"/>
    <x v="2"/>
    <s v="Percent of GDP"/>
    <s v="Units"/>
    <x v="3"/>
    <n v="41.143000000000001"/>
  </r>
  <r>
    <n v="119"/>
    <x v="1"/>
    <x v="9"/>
    <x v="2"/>
    <s v="Percent of GDP"/>
    <s v="Units"/>
    <x v="4"/>
    <n v="41.847000000000001"/>
  </r>
  <r>
    <n v="119"/>
    <x v="1"/>
    <x v="9"/>
    <x v="2"/>
    <s v="Percent of GDP"/>
    <s v="Units"/>
    <x v="5"/>
    <n v="41.069000000000003"/>
  </r>
  <r>
    <n v="119"/>
    <x v="1"/>
    <x v="9"/>
    <x v="2"/>
    <s v="Percent of GDP"/>
    <s v="Units"/>
    <x v="6"/>
    <n v="41.076999999999998"/>
  </r>
  <r>
    <n v="110"/>
    <x v="0"/>
    <x v="9"/>
    <x v="2"/>
    <s v="Percent of GDP"/>
    <s v="Units"/>
    <x v="0"/>
    <n v="40.572000000000003"/>
  </r>
  <r>
    <n v="110"/>
    <x v="0"/>
    <x v="9"/>
    <x v="2"/>
    <s v="Percent of GDP"/>
    <s v="Units"/>
    <x v="1"/>
    <n v="41.412999999999997"/>
  </r>
  <r>
    <n v="110"/>
    <x v="0"/>
    <x v="9"/>
    <x v="2"/>
    <s v="Percent of GDP"/>
    <s v="Units"/>
    <x v="2"/>
    <n v="42.518999999999998"/>
  </r>
  <r>
    <n v="110"/>
    <x v="0"/>
    <x v="9"/>
    <x v="2"/>
    <s v="Percent of GDP"/>
    <s v="Units"/>
    <x v="3"/>
    <n v="41.143000000000001"/>
  </r>
  <r>
    <n v="110"/>
    <x v="0"/>
    <x v="9"/>
    <x v="2"/>
    <s v="Percent of GDP"/>
    <s v="Units"/>
    <x v="4"/>
    <n v="41.847000000000001"/>
  </r>
  <r>
    <n v="110"/>
    <x v="0"/>
    <x v="9"/>
    <x v="2"/>
    <s v="Percent of GDP"/>
    <s v="Units"/>
    <x v="5"/>
    <n v="41.069000000000003"/>
  </r>
  <r>
    <n v="110"/>
    <x v="0"/>
    <x v="9"/>
    <x v="2"/>
    <s v="Percent of GDP"/>
    <s v="Units"/>
    <x v="6"/>
    <n v="41.076999999999998"/>
  </r>
  <r>
    <n v="163"/>
    <x v="5"/>
    <x v="61"/>
    <x v="2"/>
    <s v="Percent of GDP"/>
    <s v="Units"/>
    <x v="0"/>
    <n v="39.314"/>
  </r>
  <r>
    <n v="163"/>
    <x v="5"/>
    <x v="61"/>
    <x v="2"/>
    <s v="Percent of GDP"/>
    <s v="Units"/>
    <x v="1"/>
    <n v="39.393000000000001"/>
  </r>
  <r>
    <n v="163"/>
    <x v="5"/>
    <x v="61"/>
    <x v="2"/>
    <s v="Percent of GDP"/>
    <s v="Units"/>
    <x v="2"/>
    <n v="40.17"/>
  </r>
  <r>
    <n v="163"/>
    <x v="5"/>
    <x v="61"/>
    <x v="2"/>
    <s v="Percent of GDP"/>
    <s v="Units"/>
    <x v="3"/>
    <n v="39.841999999999999"/>
  </r>
  <r>
    <n v="163"/>
    <x v="5"/>
    <x v="61"/>
    <x v="2"/>
    <s v="Percent of GDP"/>
    <s v="Units"/>
    <x v="4"/>
    <n v="41.475999999999999"/>
  </r>
  <r>
    <n v="163"/>
    <x v="5"/>
    <x v="61"/>
    <x v="2"/>
    <s v="Percent of GDP"/>
    <s v="Units"/>
    <x v="5"/>
    <n v="41.005000000000003"/>
  </r>
  <r>
    <n v="163"/>
    <x v="5"/>
    <x v="61"/>
    <x v="2"/>
    <s v="Percent of GDP"/>
    <s v="Units"/>
    <x v="6"/>
    <n v="40.04"/>
  </r>
  <r>
    <n v="998"/>
    <x v="6"/>
    <x v="61"/>
    <x v="2"/>
    <s v="Percent of GDP"/>
    <s v="Units"/>
    <x v="0"/>
    <n v="39.314"/>
  </r>
  <r>
    <n v="998"/>
    <x v="6"/>
    <x v="61"/>
    <x v="2"/>
    <s v="Percent of GDP"/>
    <s v="Units"/>
    <x v="1"/>
    <n v="39.393000000000001"/>
  </r>
  <r>
    <n v="998"/>
    <x v="6"/>
    <x v="61"/>
    <x v="2"/>
    <s v="Percent of GDP"/>
    <s v="Units"/>
    <x v="2"/>
    <n v="40.17"/>
  </r>
  <r>
    <n v="998"/>
    <x v="6"/>
    <x v="61"/>
    <x v="2"/>
    <s v="Percent of GDP"/>
    <s v="Units"/>
    <x v="3"/>
    <n v="39.841999999999999"/>
  </r>
  <r>
    <n v="998"/>
    <x v="6"/>
    <x v="61"/>
    <x v="2"/>
    <s v="Percent of GDP"/>
    <s v="Units"/>
    <x v="4"/>
    <n v="41.475999999999999"/>
  </r>
  <r>
    <n v="998"/>
    <x v="6"/>
    <x v="61"/>
    <x v="2"/>
    <s v="Percent of GDP"/>
    <s v="Units"/>
    <x v="5"/>
    <n v="41.005000000000003"/>
  </r>
  <r>
    <n v="998"/>
    <x v="6"/>
    <x v="61"/>
    <x v="2"/>
    <s v="Percent of GDP"/>
    <s v="Units"/>
    <x v="6"/>
    <n v="40.04"/>
  </r>
  <r>
    <n v="110"/>
    <x v="0"/>
    <x v="61"/>
    <x v="2"/>
    <s v="Percent of GDP"/>
    <s v="Units"/>
    <x v="0"/>
    <n v="39.314"/>
  </r>
  <r>
    <n v="110"/>
    <x v="0"/>
    <x v="61"/>
    <x v="2"/>
    <s v="Percent of GDP"/>
    <s v="Units"/>
    <x v="1"/>
    <n v="39.393000000000001"/>
  </r>
  <r>
    <n v="110"/>
    <x v="0"/>
    <x v="61"/>
    <x v="2"/>
    <s v="Percent of GDP"/>
    <s v="Units"/>
    <x v="2"/>
    <n v="40.17"/>
  </r>
  <r>
    <n v="110"/>
    <x v="0"/>
    <x v="61"/>
    <x v="2"/>
    <s v="Percent of GDP"/>
    <s v="Units"/>
    <x v="3"/>
    <n v="39.841999999999999"/>
  </r>
  <r>
    <n v="110"/>
    <x v="0"/>
    <x v="61"/>
    <x v="2"/>
    <s v="Percent of GDP"/>
    <s v="Units"/>
    <x v="4"/>
    <n v="41.475999999999999"/>
  </r>
  <r>
    <n v="110"/>
    <x v="0"/>
    <x v="61"/>
    <x v="2"/>
    <s v="Percent of GDP"/>
    <s v="Units"/>
    <x v="5"/>
    <n v="41.005000000000003"/>
  </r>
  <r>
    <n v="110"/>
    <x v="0"/>
    <x v="61"/>
    <x v="2"/>
    <s v="Percent of GDP"/>
    <s v="Units"/>
    <x v="6"/>
    <n v="40.04"/>
  </r>
  <r>
    <n v="903"/>
    <x v="8"/>
    <x v="116"/>
    <x v="2"/>
    <s v="Percent of GDP"/>
    <s v="Units"/>
    <x v="0"/>
    <n v="42.206000000000003"/>
  </r>
  <r>
    <n v="903"/>
    <x v="8"/>
    <x v="116"/>
    <x v="2"/>
    <s v="Percent of GDP"/>
    <s v="Units"/>
    <x v="1"/>
    <n v="43.415999999999997"/>
  </r>
  <r>
    <n v="903"/>
    <x v="8"/>
    <x v="116"/>
    <x v="2"/>
    <s v="Percent of GDP"/>
    <s v="Units"/>
    <x v="2"/>
    <n v="43.121000000000002"/>
  </r>
  <r>
    <n v="903"/>
    <x v="8"/>
    <x v="116"/>
    <x v="2"/>
    <s v="Percent of GDP"/>
    <s v="Units"/>
    <x v="3"/>
    <n v="38.234999999999999"/>
  </r>
  <r>
    <n v="903"/>
    <x v="8"/>
    <x v="116"/>
    <x v="2"/>
    <s v="Percent of GDP"/>
    <s v="Units"/>
    <x v="4"/>
    <n v="41.780999999999999"/>
  </r>
  <r>
    <n v="903"/>
    <x v="8"/>
    <x v="116"/>
    <x v="2"/>
    <s v="Percent of GDP"/>
    <s v="Units"/>
    <x v="5"/>
    <n v="40.984000000000002"/>
  </r>
  <r>
    <n v="903"/>
    <x v="8"/>
    <x v="116"/>
    <x v="2"/>
    <s v="Percent of GDP"/>
    <s v="Units"/>
    <x v="6"/>
    <n v="40.451999999999998"/>
  </r>
  <r>
    <n v="200"/>
    <x v="3"/>
    <x v="116"/>
    <x v="2"/>
    <s v="Percent of GDP"/>
    <s v="Units"/>
    <x v="0"/>
    <n v="42.206000000000003"/>
  </r>
  <r>
    <n v="200"/>
    <x v="3"/>
    <x v="116"/>
    <x v="2"/>
    <s v="Percent of GDP"/>
    <s v="Units"/>
    <x v="1"/>
    <n v="43.415999999999997"/>
  </r>
  <r>
    <n v="200"/>
    <x v="3"/>
    <x v="116"/>
    <x v="2"/>
    <s v="Percent of GDP"/>
    <s v="Units"/>
    <x v="2"/>
    <n v="43.121000000000002"/>
  </r>
  <r>
    <n v="200"/>
    <x v="3"/>
    <x v="116"/>
    <x v="2"/>
    <s v="Percent of GDP"/>
    <s v="Units"/>
    <x v="3"/>
    <n v="38.234999999999999"/>
  </r>
  <r>
    <n v="200"/>
    <x v="3"/>
    <x v="116"/>
    <x v="2"/>
    <s v="Percent of GDP"/>
    <s v="Units"/>
    <x v="4"/>
    <n v="41.780999999999999"/>
  </r>
  <r>
    <n v="200"/>
    <x v="3"/>
    <x v="116"/>
    <x v="2"/>
    <s v="Percent of GDP"/>
    <s v="Units"/>
    <x v="5"/>
    <n v="40.984000000000002"/>
  </r>
  <r>
    <n v="200"/>
    <x v="3"/>
    <x v="116"/>
    <x v="2"/>
    <s v="Percent of GDP"/>
    <s v="Units"/>
    <x v="6"/>
    <n v="40.451999999999998"/>
  </r>
  <r>
    <n v="998"/>
    <x v="6"/>
    <x v="118"/>
    <x v="3"/>
    <s v="Percent of GDP"/>
    <s v="Units"/>
    <x v="0"/>
    <n v="38.127000000000002"/>
  </r>
  <r>
    <n v="998"/>
    <x v="6"/>
    <x v="118"/>
    <x v="3"/>
    <s v="Percent of GDP"/>
    <s v="Units"/>
    <x v="1"/>
    <n v="44.225000000000001"/>
  </r>
  <r>
    <n v="998"/>
    <x v="6"/>
    <x v="118"/>
    <x v="3"/>
    <s v="Percent of GDP"/>
    <s v="Units"/>
    <x v="2"/>
    <n v="41.886000000000003"/>
  </r>
  <r>
    <n v="998"/>
    <x v="6"/>
    <x v="118"/>
    <x v="3"/>
    <s v="Percent of GDP"/>
    <s v="Units"/>
    <x v="3"/>
    <n v="38.807000000000002"/>
  </r>
  <r>
    <n v="998"/>
    <x v="6"/>
    <x v="118"/>
    <x v="3"/>
    <s v="Percent of GDP"/>
    <s v="Units"/>
    <x v="4"/>
    <n v="39.945999999999998"/>
  </r>
  <r>
    <n v="998"/>
    <x v="6"/>
    <x v="118"/>
    <x v="3"/>
    <s v="Percent of GDP"/>
    <s v="Units"/>
    <x v="5"/>
    <n v="40.933999999999997"/>
  </r>
  <r>
    <n v="998"/>
    <x v="6"/>
    <x v="118"/>
    <x v="3"/>
    <s v="Percent of GDP"/>
    <s v="Units"/>
    <x v="6"/>
    <n v="40.969000000000001"/>
  </r>
  <r>
    <n v="163"/>
    <x v="5"/>
    <x v="118"/>
    <x v="3"/>
    <s v="Percent of GDP"/>
    <s v="Units"/>
    <x v="0"/>
    <n v="38.127000000000002"/>
  </r>
  <r>
    <n v="163"/>
    <x v="5"/>
    <x v="118"/>
    <x v="3"/>
    <s v="Percent of GDP"/>
    <s v="Units"/>
    <x v="1"/>
    <n v="44.225000000000001"/>
  </r>
  <r>
    <n v="163"/>
    <x v="5"/>
    <x v="118"/>
    <x v="3"/>
    <s v="Percent of GDP"/>
    <s v="Units"/>
    <x v="2"/>
    <n v="41.886000000000003"/>
  </r>
  <r>
    <n v="163"/>
    <x v="5"/>
    <x v="118"/>
    <x v="3"/>
    <s v="Percent of GDP"/>
    <s v="Units"/>
    <x v="3"/>
    <n v="38.807000000000002"/>
  </r>
  <r>
    <n v="163"/>
    <x v="5"/>
    <x v="118"/>
    <x v="3"/>
    <s v="Percent of GDP"/>
    <s v="Units"/>
    <x v="4"/>
    <n v="39.945999999999998"/>
  </r>
  <r>
    <n v="163"/>
    <x v="5"/>
    <x v="118"/>
    <x v="3"/>
    <s v="Percent of GDP"/>
    <s v="Units"/>
    <x v="5"/>
    <n v="40.933999999999997"/>
  </r>
  <r>
    <n v="163"/>
    <x v="5"/>
    <x v="118"/>
    <x v="3"/>
    <s v="Percent of GDP"/>
    <s v="Units"/>
    <x v="6"/>
    <n v="40.969000000000001"/>
  </r>
  <r>
    <n v="110"/>
    <x v="0"/>
    <x v="118"/>
    <x v="3"/>
    <s v="Percent of GDP"/>
    <s v="Units"/>
    <x v="0"/>
    <n v="38.127000000000002"/>
  </r>
  <r>
    <n v="110"/>
    <x v="0"/>
    <x v="118"/>
    <x v="3"/>
    <s v="Percent of GDP"/>
    <s v="Units"/>
    <x v="1"/>
    <n v="44.225000000000001"/>
  </r>
  <r>
    <n v="110"/>
    <x v="0"/>
    <x v="118"/>
    <x v="3"/>
    <s v="Percent of GDP"/>
    <s v="Units"/>
    <x v="2"/>
    <n v="41.886000000000003"/>
  </r>
  <r>
    <n v="110"/>
    <x v="0"/>
    <x v="118"/>
    <x v="3"/>
    <s v="Percent of GDP"/>
    <s v="Units"/>
    <x v="3"/>
    <n v="38.807000000000002"/>
  </r>
  <r>
    <n v="110"/>
    <x v="0"/>
    <x v="118"/>
    <x v="3"/>
    <s v="Percent of GDP"/>
    <s v="Units"/>
    <x v="4"/>
    <n v="39.945999999999998"/>
  </r>
  <r>
    <n v="110"/>
    <x v="0"/>
    <x v="118"/>
    <x v="3"/>
    <s v="Percent of GDP"/>
    <s v="Units"/>
    <x v="5"/>
    <n v="40.933999999999997"/>
  </r>
  <r>
    <n v="110"/>
    <x v="0"/>
    <x v="118"/>
    <x v="3"/>
    <s v="Percent of GDP"/>
    <s v="Units"/>
    <x v="6"/>
    <n v="40.969000000000001"/>
  </r>
  <r>
    <n v="205"/>
    <x v="7"/>
    <x v="7"/>
    <x v="2"/>
    <s v="Percent of GDP"/>
    <s v="Units"/>
    <x v="0"/>
    <n v="41.776000000000003"/>
  </r>
  <r>
    <n v="205"/>
    <x v="7"/>
    <x v="7"/>
    <x v="2"/>
    <s v="Percent of GDP"/>
    <s v="Units"/>
    <x v="1"/>
    <n v="38.045999999999999"/>
  </r>
  <r>
    <n v="205"/>
    <x v="7"/>
    <x v="7"/>
    <x v="2"/>
    <s v="Percent of GDP"/>
    <s v="Units"/>
    <x v="2"/>
    <n v="40.430999999999997"/>
  </r>
  <r>
    <n v="205"/>
    <x v="7"/>
    <x v="7"/>
    <x v="2"/>
    <s v="Percent of GDP"/>
    <s v="Units"/>
    <x v="3"/>
    <n v="42.572000000000003"/>
  </r>
  <r>
    <n v="205"/>
    <x v="7"/>
    <x v="7"/>
    <x v="2"/>
    <s v="Percent of GDP"/>
    <s v="Units"/>
    <x v="4"/>
    <n v="39.962000000000003"/>
  </r>
  <r>
    <n v="205"/>
    <x v="7"/>
    <x v="7"/>
    <x v="2"/>
    <s v="Percent of GDP"/>
    <s v="Units"/>
    <x v="5"/>
    <n v="40.866"/>
  </r>
  <r>
    <n v="205"/>
    <x v="7"/>
    <x v="7"/>
    <x v="2"/>
    <s v="Percent of GDP"/>
    <s v="Units"/>
    <x v="6"/>
    <n v="41.21"/>
  </r>
  <r>
    <n v="200"/>
    <x v="3"/>
    <x v="7"/>
    <x v="2"/>
    <s v="Percent of GDP"/>
    <s v="Units"/>
    <x v="0"/>
    <n v="41.776000000000003"/>
  </r>
  <r>
    <n v="200"/>
    <x v="3"/>
    <x v="7"/>
    <x v="2"/>
    <s v="Percent of GDP"/>
    <s v="Units"/>
    <x v="1"/>
    <n v="38.045999999999999"/>
  </r>
  <r>
    <n v="200"/>
    <x v="3"/>
    <x v="7"/>
    <x v="2"/>
    <s v="Percent of GDP"/>
    <s v="Units"/>
    <x v="2"/>
    <n v="40.430999999999997"/>
  </r>
  <r>
    <n v="200"/>
    <x v="3"/>
    <x v="7"/>
    <x v="2"/>
    <s v="Percent of GDP"/>
    <s v="Units"/>
    <x v="3"/>
    <n v="42.572000000000003"/>
  </r>
  <r>
    <n v="200"/>
    <x v="3"/>
    <x v="7"/>
    <x v="2"/>
    <s v="Percent of GDP"/>
    <s v="Units"/>
    <x v="4"/>
    <n v="39.962000000000003"/>
  </r>
  <r>
    <n v="200"/>
    <x v="3"/>
    <x v="7"/>
    <x v="2"/>
    <s v="Percent of GDP"/>
    <s v="Units"/>
    <x v="5"/>
    <n v="40.866"/>
  </r>
  <r>
    <n v="200"/>
    <x v="3"/>
    <x v="7"/>
    <x v="2"/>
    <s v="Percent of GDP"/>
    <s v="Units"/>
    <x v="6"/>
    <n v="41.21"/>
  </r>
  <r>
    <n v="110"/>
    <x v="0"/>
    <x v="110"/>
    <x v="3"/>
    <s v="Percent of GDP"/>
    <s v="Units"/>
    <x v="0"/>
    <n v="37.692999999999998"/>
  </r>
  <r>
    <n v="110"/>
    <x v="0"/>
    <x v="110"/>
    <x v="3"/>
    <s v="Percent of GDP"/>
    <s v="Units"/>
    <x v="1"/>
    <n v="41.387999999999998"/>
  </r>
  <r>
    <n v="110"/>
    <x v="0"/>
    <x v="110"/>
    <x v="3"/>
    <s v="Percent of GDP"/>
    <s v="Units"/>
    <x v="2"/>
    <n v="43.161999999999999"/>
  </r>
  <r>
    <n v="110"/>
    <x v="0"/>
    <x v="110"/>
    <x v="3"/>
    <s v="Percent of GDP"/>
    <s v="Units"/>
    <x v="3"/>
    <n v="40.948"/>
  </r>
  <r>
    <n v="110"/>
    <x v="0"/>
    <x v="110"/>
    <x v="3"/>
    <s v="Percent of GDP"/>
    <s v="Units"/>
    <x v="4"/>
    <n v="39.798999999999999"/>
  </r>
  <r>
    <n v="110"/>
    <x v="0"/>
    <x v="110"/>
    <x v="3"/>
    <s v="Percent of GDP"/>
    <s v="Units"/>
    <x v="5"/>
    <n v="40.796999999999997"/>
  </r>
  <r>
    <n v="110"/>
    <x v="0"/>
    <x v="110"/>
    <x v="3"/>
    <s v="Percent of GDP"/>
    <s v="Units"/>
    <x v="6"/>
    <n v="40.048999999999999"/>
  </r>
  <r>
    <n v="998"/>
    <x v="6"/>
    <x v="110"/>
    <x v="3"/>
    <s v="Percent of GDP"/>
    <s v="Units"/>
    <x v="0"/>
    <n v="37.692999999999998"/>
  </r>
  <r>
    <n v="998"/>
    <x v="6"/>
    <x v="110"/>
    <x v="3"/>
    <s v="Percent of GDP"/>
    <s v="Units"/>
    <x v="1"/>
    <n v="41.387999999999998"/>
  </r>
  <r>
    <n v="998"/>
    <x v="6"/>
    <x v="110"/>
    <x v="3"/>
    <s v="Percent of GDP"/>
    <s v="Units"/>
    <x v="2"/>
    <n v="43.161999999999999"/>
  </r>
  <r>
    <n v="998"/>
    <x v="6"/>
    <x v="110"/>
    <x v="3"/>
    <s v="Percent of GDP"/>
    <s v="Units"/>
    <x v="3"/>
    <n v="40.948"/>
  </r>
  <r>
    <n v="998"/>
    <x v="6"/>
    <x v="110"/>
    <x v="3"/>
    <s v="Percent of GDP"/>
    <s v="Units"/>
    <x v="4"/>
    <n v="39.798999999999999"/>
  </r>
  <r>
    <n v="998"/>
    <x v="6"/>
    <x v="110"/>
    <x v="3"/>
    <s v="Percent of GDP"/>
    <s v="Units"/>
    <x v="5"/>
    <n v="40.796999999999997"/>
  </r>
  <r>
    <n v="998"/>
    <x v="6"/>
    <x v="110"/>
    <x v="3"/>
    <s v="Percent of GDP"/>
    <s v="Units"/>
    <x v="6"/>
    <n v="40.048999999999999"/>
  </r>
  <r>
    <n v="163"/>
    <x v="5"/>
    <x v="110"/>
    <x v="3"/>
    <s v="Percent of GDP"/>
    <s v="Units"/>
    <x v="0"/>
    <n v="37.692999999999998"/>
  </r>
  <r>
    <n v="163"/>
    <x v="5"/>
    <x v="110"/>
    <x v="3"/>
    <s v="Percent of GDP"/>
    <s v="Units"/>
    <x v="1"/>
    <n v="41.387999999999998"/>
  </r>
  <r>
    <n v="163"/>
    <x v="5"/>
    <x v="110"/>
    <x v="3"/>
    <s v="Percent of GDP"/>
    <s v="Units"/>
    <x v="2"/>
    <n v="43.161999999999999"/>
  </r>
  <r>
    <n v="163"/>
    <x v="5"/>
    <x v="110"/>
    <x v="3"/>
    <s v="Percent of GDP"/>
    <s v="Units"/>
    <x v="3"/>
    <n v="40.948"/>
  </r>
  <r>
    <n v="163"/>
    <x v="5"/>
    <x v="110"/>
    <x v="3"/>
    <s v="Percent of GDP"/>
    <s v="Units"/>
    <x v="4"/>
    <n v="39.798999999999999"/>
  </r>
  <r>
    <n v="163"/>
    <x v="5"/>
    <x v="110"/>
    <x v="3"/>
    <s v="Percent of GDP"/>
    <s v="Units"/>
    <x v="5"/>
    <n v="40.796999999999997"/>
  </r>
  <r>
    <n v="163"/>
    <x v="5"/>
    <x v="110"/>
    <x v="3"/>
    <s v="Percent of GDP"/>
    <s v="Units"/>
    <x v="6"/>
    <n v="40.048999999999999"/>
  </r>
  <r>
    <n v="163"/>
    <x v="5"/>
    <x v="115"/>
    <x v="2"/>
    <s v="Percent of GDP"/>
    <s v="Units"/>
    <x v="0"/>
    <n v="39.250999999999998"/>
  </r>
  <r>
    <n v="163"/>
    <x v="5"/>
    <x v="115"/>
    <x v="2"/>
    <s v="Percent of GDP"/>
    <s v="Units"/>
    <x v="1"/>
    <n v="39.439"/>
  </r>
  <r>
    <n v="163"/>
    <x v="5"/>
    <x v="115"/>
    <x v="2"/>
    <s v="Percent of GDP"/>
    <s v="Units"/>
    <x v="2"/>
    <n v="39.429000000000002"/>
  </r>
  <r>
    <n v="163"/>
    <x v="5"/>
    <x v="115"/>
    <x v="2"/>
    <s v="Percent of GDP"/>
    <s v="Units"/>
    <x v="3"/>
    <n v="38.808"/>
  </r>
  <r>
    <n v="163"/>
    <x v="5"/>
    <x v="115"/>
    <x v="2"/>
    <s v="Percent of GDP"/>
    <s v="Units"/>
    <x v="4"/>
    <n v="40.103999999999999"/>
  </r>
  <r>
    <n v="163"/>
    <x v="5"/>
    <x v="115"/>
    <x v="2"/>
    <s v="Percent of GDP"/>
    <s v="Units"/>
    <x v="5"/>
    <n v="40.792000000000002"/>
  </r>
  <r>
    <n v="163"/>
    <x v="5"/>
    <x v="115"/>
    <x v="2"/>
    <s v="Percent of GDP"/>
    <s v="Units"/>
    <x v="6"/>
    <n v="40.509"/>
  </r>
  <r>
    <n v="998"/>
    <x v="6"/>
    <x v="115"/>
    <x v="2"/>
    <s v="Percent of GDP"/>
    <s v="Units"/>
    <x v="0"/>
    <n v="39.250999999999998"/>
  </r>
  <r>
    <n v="998"/>
    <x v="6"/>
    <x v="115"/>
    <x v="2"/>
    <s v="Percent of GDP"/>
    <s v="Units"/>
    <x v="1"/>
    <n v="39.439"/>
  </r>
  <r>
    <n v="998"/>
    <x v="6"/>
    <x v="115"/>
    <x v="2"/>
    <s v="Percent of GDP"/>
    <s v="Units"/>
    <x v="2"/>
    <n v="39.429000000000002"/>
  </r>
  <r>
    <n v="998"/>
    <x v="6"/>
    <x v="115"/>
    <x v="2"/>
    <s v="Percent of GDP"/>
    <s v="Units"/>
    <x v="3"/>
    <n v="38.808"/>
  </r>
  <r>
    <n v="998"/>
    <x v="6"/>
    <x v="115"/>
    <x v="2"/>
    <s v="Percent of GDP"/>
    <s v="Units"/>
    <x v="4"/>
    <n v="40.103999999999999"/>
  </r>
  <r>
    <n v="998"/>
    <x v="6"/>
    <x v="115"/>
    <x v="2"/>
    <s v="Percent of GDP"/>
    <s v="Units"/>
    <x v="5"/>
    <n v="40.792000000000002"/>
  </r>
  <r>
    <n v="998"/>
    <x v="6"/>
    <x v="115"/>
    <x v="2"/>
    <s v="Percent of GDP"/>
    <s v="Units"/>
    <x v="6"/>
    <n v="40.509"/>
  </r>
  <r>
    <n v="110"/>
    <x v="0"/>
    <x v="115"/>
    <x v="2"/>
    <s v="Percent of GDP"/>
    <s v="Units"/>
    <x v="0"/>
    <n v="39.250999999999998"/>
  </r>
  <r>
    <n v="110"/>
    <x v="0"/>
    <x v="115"/>
    <x v="2"/>
    <s v="Percent of GDP"/>
    <s v="Units"/>
    <x v="1"/>
    <n v="39.439"/>
  </r>
  <r>
    <n v="110"/>
    <x v="0"/>
    <x v="115"/>
    <x v="2"/>
    <s v="Percent of GDP"/>
    <s v="Units"/>
    <x v="2"/>
    <n v="39.429000000000002"/>
  </r>
  <r>
    <n v="110"/>
    <x v="0"/>
    <x v="115"/>
    <x v="2"/>
    <s v="Percent of GDP"/>
    <s v="Units"/>
    <x v="3"/>
    <n v="38.808"/>
  </r>
  <r>
    <n v="110"/>
    <x v="0"/>
    <x v="115"/>
    <x v="2"/>
    <s v="Percent of GDP"/>
    <s v="Units"/>
    <x v="4"/>
    <n v="40.103999999999999"/>
  </r>
  <r>
    <n v="110"/>
    <x v="0"/>
    <x v="115"/>
    <x v="2"/>
    <s v="Percent of GDP"/>
    <s v="Units"/>
    <x v="5"/>
    <n v="40.792000000000002"/>
  </r>
  <r>
    <n v="110"/>
    <x v="0"/>
    <x v="115"/>
    <x v="2"/>
    <s v="Percent of GDP"/>
    <s v="Units"/>
    <x v="6"/>
    <n v="40.509"/>
  </r>
  <r>
    <n v="200"/>
    <x v="3"/>
    <x v="111"/>
    <x v="2"/>
    <s v="Percent of GDP"/>
    <s v="Units"/>
    <x v="0"/>
    <n v="26.611999999999998"/>
  </r>
  <r>
    <n v="200"/>
    <x v="3"/>
    <x v="111"/>
    <x v="2"/>
    <s v="Percent of GDP"/>
    <s v="Units"/>
    <x v="1"/>
    <n v="28.137"/>
  </r>
  <r>
    <n v="200"/>
    <x v="3"/>
    <x v="111"/>
    <x v="2"/>
    <s v="Percent of GDP"/>
    <s v="Units"/>
    <x v="2"/>
    <n v="31.57"/>
  </r>
  <r>
    <n v="200"/>
    <x v="3"/>
    <x v="111"/>
    <x v="2"/>
    <s v="Percent of GDP"/>
    <s v="Units"/>
    <x v="3"/>
    <n v="32.732999999999997"/>
  </r>
  <r>
    <n v="200"/>
    <x v="3"/>
    <x v="111"/>
    <x v="2"/>
    <s v="Percent of GDP"/>
    <s v="Units"/>
    <x v="4"/>
    <n v="36.478999999999999"/>
  </r>
  <r>
    <n v="200"/>
    <x v="3"/>
    <x v="111"/>
    <x v="2"/>
    <s v="Percent of GDP"/>
    <s v="Units"/>
    <x v="5"/>
    <n v="40.694000000000003"/>
  </r>
  <r>
    <n v="200"/>
    <x v="3"/>
    <x v="111"/>
    <x v="2"/>
    <s v="Percent of GDP"/>
    <s v="Units"/>
    <x v="6"/>
    <n v="29.216000000000001"/>
  </r>
  <r>
    <n v="205"/>
    <x v="7"/>
    <x v="111"/>
    <x v="2"/>
    <s v="Percent of GDP"/>
    <s v="Units"/>
    <x v="0"/>
    <n v="26.611999999999998"/>
  </r>
  <r>
    <n v="205"/>
    <x v="7"/>
    <x v="111"/>
    <x v="2"/>
    <s v="Percent of GDP"/>
    <s v="Units"/>
    <x v="1"/>
    <n v="28.137"/>
  </r>
  <r>
    <n v="205"/>
    <x v="7"/>
    <x v="111"/>
    <x v="2"/>
    <s v="Percent of GDP"/>
    <s v="Units"/>
    <x v="2"/>
    <n v="31.57"/>
  </r>
  <r>
    <n v="205"/>
    <x v="7"/>
    <x v="111"/>
    <x v="2"/>
    <s v="Percent of GDP"/>
    <s v="Units"/>
    <x v="3"/>
    <n v="32.732999999999997"/>
  </r>
  <r>
    <n v="205"/>
    <x v="7"/>
    <x v="111"/>
    <x v="2"/>
    <s v="Percent of GDP"/>
    <s v="Units"/>
    <x v="4"/>
    <n v="36.478999999999999"/>
  </r>
  <r>
    <n v="205"/>
    <x v="7"/>
    <x v="111"/>
    <x v="2"/>
    <s v="Percent of GDP"/>
    <s v="Units"/>
    <x v="5"/>
    <n v="40.694000000000003"/>
  </r>
  <r>
    <n v="205"/>
    <x v="7"/>
    <x v="111"/>
    <x v="2"/>
    <s v="Percent of GDP"/>
    <s v="Units"/>
    <x v="6"/>
    <n v="29.216000000000001"/>
  </r>
  <r>
    <n v="903"/>
    <x v="8"/>
    <x v="121"/>
    <x v="2"/>
    <s v="Percent of GDP"/>
    <s v="Units"/>
    <x v="0"/>
    <n v="41.281999999999996"/>
  </r>
  <r>
    <n v="903"/>
    <x v="8"/>
    <x v="121"/>
    <x v="2"/>
    <s v="Percent of GDP"/>
    <s v="Units"/>
    <x v="1"/>
    <n v="40.768999999999998"/>
  </r>
  <r>
    <n v="903"/>
    <x v="8"/>
    <x v="121"/>
    <x v="2"/>
    <s v="Percent of GDP"/>
    <s v="Units"/>
    <x v="2"/>
    <n v="40.466999999999999"/>
  </r>
  <r>
    <n v="903"/>
    <x v="8"/>
    <x v="121"/>
    <x v="2"/>
    <s v="Percent of GDP"/>
    <s v="Units"/>
    <x v="3"/>
    <n v="39.704999999999998"/>
  </r>
  <r>
    <n v="903"/>
    <x v="8"/>
    <x v="121"/>
    <x v="2"/>
    <s v="Percent of GDP"/>
    <s v="Units"/>
    <x v="4"/>
    <n v="40.725999999999999"/>
  </r>
  <r>
    <n v="903"/>
    <x v="8"/>
    <x v="121"/>
    <x v="2"/>
    <s v="Percent of GDP"/>
    <s v="Units"/>
    <x v="5"/>
    <n v="40.151000000000003"/>
  </r>
  <r>
    <n v="903"/>
    <x v="8"/>
    <x v="121"/>
    <x v="2"/>
    <s v="Percent of GDP"/>
    <s v="Units"/>
    <x v="6"/>
    <n v="39.881"/>
  </r>
  <r>
    <n v="200"/>
    <x v="3"/>
    <x v="121"/>
    <x v="2"/>
    <s v="Percent of GDP"/>
    <s v="Units"/>
    <x v="0"/>
    <n v="41.281999999999996"/>
  </r>
  <r>
    <n v="200"/>
    <x v="3"/>
    <x v="121"/>
    <x v="2"/>
    <s v="Percent of GDP"/>
    <s v="Units"/>
    <x v="1"/>
    <n v="40.768999999999998"/>
  </r>
  <r>
    <n v="200"/>
    <x v="3"/>
    <x v="121"/>
    <x v="2"/>
    <s v="Percent of GDP"/>
    <s v="Units"/>
    <x v="2"/>
    <n v="40.466999999999999"/>
  </r>
  <r>
    <n v="200"/>
    <x v="3"/>
    <x v="121"/>
    <x v="2"/>
    <s v="Percent of GDP"/>
    <s v="Units"/>
    <x v="3"/>
    <n v="39.704999999999998"/>
  </r>
  <r>
    <n v="200"/>
    <x v="3"/>
    <x v="121"/>
    <x v="2"/>
    <s v="Percent of GDP"/>
    <s v="Units"/>
    <x v="4"/>
    <n v="40.725999999999999"/>
  </r>
  <r>
    <n v="200"/>
    <x v="3"/>
    <x v="121"/>
    <x v="2"/>
    <s v="Percent of GDP"/>
    <s v="Units"/>
    <x v="5"/>
    <n v="40.151000000000003"/>
  </r>
  <r>
    <n v="200"/>
    <x v="3"/>
    <x v="121"/>
    <x v="2"/>
    <s v="Percent of GDP"/>
    <s v="Units"/>
    <x v="6"/>
    <n v="39.881"/>
  </r>
  <r>
    <n v="400"/>
    <x v="11"/>
    <x v="50"/>
    <x v="2"/>
    <s v="Percent of GDP"/>
    <s v="Units"/>
    <x v="0"/>
    <n v="36.113"/>
  </r>
  <r>
    <n v="400"/>
    <x v="11"/>
    <x v="50"/>
    <x v="2"/>
    <s v="Percent of GDP"/>
    <s v="Units"/>
    <x v="1"/>
    <n v="29.242000000000001"/>
  </r>
  <r>
    <n v="400"/>
    <x v="11"/>
    <x v="50"/>
    <x v="2"/>
    <s v="Percent of GDP"/>
    <s v="Units"/>
    <x v="2"/>
    <n v="36.713000000000001"/>
  </r>
  <r>
    <n v="400"/>
    <x v="11"/>
    <x v="50"/>
    <x v="2"/>
    <s v="Percent of GDP"/>
    <s v="Units"/>
    <x v="3"/>
    <n v="46.331000000000003"/>
  </r>
  <r>
    <n v="400"/>
    <x v="11"/>
    <x v="50"/>
    <x v="2"/>
    <s v="Percent of GDP"/>
    <s v="Units"/>
    <x v="4"/>
    <n v="42.603000000000002"/>
  </r>
  <r>
    <n v="400"/>
    <x v="11"/>
    <x v="50"/>
    <x v="2"/>
    <s v="Percent of GDP"/>
    <s v="Units"/>
    <x v="5"/>
    <n v="40.064"/>
  </r>
  <r>
    <n v="400"/>
    <x v="11"/>
    <x v="50"/>
    <x v="2"/>
    <s v="Percent of GDP"/>
    <s v="Units"/>
    <x v="6"/>
    <n v="38.404000000000003"/>
  </r>
  <r>
    <n v="200"/>
    <x v="3"/>
    <x v="50"/>
    <x v="2"/>
    <s v="Percent of GDP"/>
    <s v="Units"/>
    <x v="0"/>
    <n v="36.113"/>
  </r>
  <r>
    <n v="200"/>
    <x v="3"/>
    <x v="50"/>
    <x v="2"/>
    <s v="Percent of GDP"/>
    <s v="Units"/>
    <x v="1"/>
    <n v="29.242000000000001"/>
  </r>
  <r>
    <n v="200"/>
    <x v="3"/>
    <x v="50"/>
    <x v="2"/>
    <s v="Percent of GDP"/>
    <s v="Units"/>
    <x v="2"/>
    <n v="36.713000000000001"/>
  </r>
  <r>
    <n v="200"/>
    <x v="3"/>
    <x v="50"/>
    <x v="2"/>
    <s v="Percent of GDP"/>
    <s v="Units"/>
    <x v="3"/>
    <n v="46.331000000000003"/>
  </r>
  <r>
    <n v="200"/>
    <x v="3"/>
    <x v="50"/>
    <x v="2"/>
    <s v="Percent of GDP"/>
    <s v="Units"/>
    <x v="4"/>
    <n v="42.603000000000002"/>
  </r>
  <r>
    <n v="200"/>
    <x v="3"/>
    <x v="50"/>
    <x v="2"/>
    <s v="Percent of GDP"/>
    <s v="Units"/>
    <x v="5"/>
    <n v="40.064"/>
  </r>
  <r>
    <n v="200"/>
    <x v="3"/>
    <x v="50"/>
    <x v="2"/>
    <s v="Percent of GDP"/>
    <s v="Units"/>
    <x v="6"/>
    <n v="38.404000000000003"/>
  </r>
  <r>
    <n v="1"/>
    <x v="2"/>
    <x v="120"/>
    <x v="5"/>
    <s v="Percent of GDP"/>
    <s v="Units"/>
    <x v="0"/>
    <n v="-55.378999999999998"/>
  </r>
  <r>
    <n v="1"/>
    <x v="2"/>
    <x v="120"/>
    <x v="5"/>
    <s v="Percent of GDP"/>
    <s v="Units"/>
    <x v="1"/>
    <n v="-7.28"/>
  </r>
  <r>
    <n v="1"/>
    <x v="2"/>
    <x v="120"/>
    <x v="5"/>
    <s v="Percent of GDP"/>
    <s v="Units"/>
    <x v="2"/>
    <n v="-17.007000000000001"/>
  </r>
  <r>
    <n v="1"/>
    <x v="2"/>
    <x v="120"/>
    <x v="5"/>
    <s v="Percent of GDP"/>
    <s v="Units"/>
    <x v="3"/>
    <n v="33.692999999999998"/>
  </r>
  <r>
    <n v="1"/>
    <x v="2"/>
    <x v="120"/>
    <x v="5"/>
    <s v="Percent of GDP"/>
    <s v="Units"/>
    <x v="4"/>
    <n v="34.481999999999999"/>
  </r>
  <r>
    <n v="1"/>
    <x v="2"/>
    <x v="120"/>
    <x v="5"/>
    <s v="Percent of GDP"/>
    <s v="Units"/>
    <x v="5"/>
    <n v="39.932000000000002"/>
  </r>
  <r>
    <n v="1"/>
    <x v="2"/>
    <x v="120"/>
    <x v="5"/>
    <s v="Percent of GDP"/>
    <s v="Units"/>
    <x v="6"/>
    <n v="26.631"/>
  </r>
  <r>
    <n v="200"/>
    <x v="3"/>
    <x v="120"/>
    <x v="5"/>
    <s v="Percent of GDP"/>
    <s v="Units"/>
    <x v="0"/>
    <n v="-55.378999999999998"/>
  </r>
  <r>
    <n v="200"/>
    <x v="3"/>
    <x v="120"/>
    <x v="5"/>
    <s v="Percent of GDP"/>
    <s v="Units"/>
    <x v="1"/>
    <n v="-7.28"/>
  </r>
  <r>
    <n v="200"/>
    <x v="3"/>
    <x v="120"/>
    <x v="5"/>
    <s v="Percent of GDP"/>
    <s v="Units"/>
    <x v="2"/>
    <n v="-17.007000000000001"/>
  </r>
  <r>
    <n v="200"/>
    <x v="3"/>
    <x v="120"/>
    <x v="5"/>
    <s v="Percent of GDP"/>
    <s v="Units"/>
    <x v="3"/>
    <n v="33.692999999999998"/>
  </r>
  <r>
    <n v="200"/>
    <x v="3"/>
    <x v="120"/>
    <x v="5"/>
    <s v="Percent of GDP"/>
    <s v="Units"/>
    <x v="4"/>
    <n v="34.481999999999999"/>
  </r>
  <r>
    <n v="200"/>
    <x v="3"/>
    <x v="120"/>
    <x v="5"/>
    <s v="Percent of GDP"/>
    <s v="Units"/>
    <x v="5"/>
    <n v="39.932000000000002"/>
  </r>
  <r>
    <n v="200"/>
    <x v="3"/>
    <x v="120"/>
    <x v="5"/>
    <s v="Percent of GDP"/>
    <s v="Units"/>
    <x v="6"/>
    <n v="26.631"/>
  </r>
  <r>
    <n v="205"/>
    <x v="7"/>
    <x v="120"/>
    <x v="5"/>
    <s v="Percent of GDP"/>
    <s v="Units"/>
    <x v="0"/>
    <n v="-55.378999999999998"/>
  </r>
  <r>
    <n v="205"/>
    <x v="7"/>
    <x v="120"/>
    <x v="5"/>
    <s v="Percent of GDP"/>
    <s v="Units"/>
    <x v="1"/>
    <n v="-7.28"/>
  </r>
  <r>
    <n v="205"/>
    <x v="7"/>
    <x v="120"/>
    <x v="5"/>
    <s v="Percent of GDP"/>
    <s v="Units"/>
    <x v="2"/>
    <n v="-17.007000000000001"/>
  </r>
  <r>
    <n v="205"/>
    <x v="7"/>
    <x v="120"/>
    <x v="5"/>
    <s v="Percent of GDP"/>
    <s v="Units"/>
    <x v="3"/>
    <n v="33.692999999999998"/>
  </r>
  <r>
    <n v="205"/>
    <x v="7"/>
    <x v="120"/>
    <x v="5"/>
    <s v="Percent of GDP"/>
    <s v="Units"/>
    <x v="4"/>
    <n v="34.481999999999999"/>
  </r>
  <r>
    <n v="205"/>
    <x v="7"/>
    <x v="120"/>
    <x v="5"/>
    <s v="Percent of GDP"/>
    <s v="Units"/>
    <x v="5"/>
    <n v="39.932000000000002"/>
  </r>
  <r>
    <n v="205"/>
    <x v="7"/>
    <x v="120"/>
    <x v="5"/>
    <s v="Percent of GDP"/>
    <s v="Units"/>
    <x v="6"/>
    <n v="26.631"/>
  </r>
  <r>
    <n v="110"/>
    <x v="0"/>
    <x v="31"/>
    <x v="5"/>
    <s v="Percent of GDP"/>
    <s v="Units"/>
    <x v="0"/>
    <n v="40.648000000000003"/>
  </r>
  <r>
    <n v="110"/>
    <x v="0"/>
    <x v="31"/>
    <x v="5"/>
    <s v="Percent of GDP"/>
    <s v="Units"/>
    <x v="1"/>
    <n v="39.450000000000003"/>
  </r>
  <r>
    <n v="110"/>
    <x v="0"/>
    <x v="31"/>
    <x v="5"/>
    <s v="Percent of GDP"/>
    <s v="Units"/>
    <x v="2"/>
    <n v="43.808999999999997"/>
  </r>
  <r>
    <n v="110"/>
    <x v="0"/>
    <x v="31"/>
    <x v="5"/>
    <s v="Percent of GDP"/>
    <s v="Units"/>
    <x v="3"/>
    <n v="40.314"/>
  </r>
  <r>
    <n v="110"/>
    <x v="0"/>
    <x v="31"/>
    <x v="5"/>
    <s v="Percent of GDP"/>
    <s v="Units"/>
    <x v="4"/>
    <n v="40.787999999999997"/>
  </r>
  <r>
    <n v="110"/>
    <x v="0"/>
    <x v="31"/>
    <x v="5"/>
    <s v="Percent of GDP"/>
    <s v="Units"/>
    <x v="5"/>
    <n v="39.71"/>
  </r>
  <r>
    <n v="110"/>
    <x v="0"/>
    <x v="31"/>
    <x v="5"/>
    <s v="Percent of GDP"/>
    <s v="Units"/>
    <x v="6"/>
    <n v="39.81"/>
  </r>
  <r>
    <n v="1"/>
    <x v="2"/>
    <x v="31"/>
    <x v="5"/>
    <s v="Percent of GDP"/>
    <s v="Units"/>
    <x v="0"/>
    <n v="40.648000000000003"/>
  </r>
  <r>
    <n v="1"/>
    <x v="2"/>
    <x v="31"/>
    <x v="5"/>
    <s v="Percent of GDP"/>
    <s v="Units"/>
    <x v="1"/>
    <n v="39.450000000000003"/>
  </r>
  <r>
    <n v="1"/>
    <x v="2"/>
    <x v="31"/>
    <x v="5"/>
    <s v="Percent of GDP"/>
    <s v="Units"/>
    <x v="2"/>
    <n v="43.808999999999997"/>
  </r>
  <r>
    <n v="1"/>
    <x v="2"/>
    <x v="31"/>
    <x v="5"/>
    <s v="Percent of GDP"/>
    <s v="Units"/>
    <x v="3"/>
    <n v="40.314"/>
  </r>
  <r>
    <n v="1"/>
    <x v="2"/>
    <x v="31"/>
    <x v="5"/>
    <s v="Percent of GDP"/>
    <s v="Units"/>
    <x v="4"/>
    <n v="40.787999999999997"/>
  </r>
  <r>
    <n v="1"/>
    <x v="2"/>
    <x v="31"/>
    <x v="5"/>
    <s v="Percent of GDP"/>
    <s v="Units"/>
    <x v="5"/>
    <n v="39.71"/>
  </r>
  <r>
    <n v="1"/>
    <x v="2"/>
    <x v="31"/>
    <x v="5"/>
    <s v="Percent of GDP"/>
    <s v="Units"/>
    <x v="6"/>
    <n v="39.81"/>
  </r>
  <r>
    <n v="123"/>
    <x v="9"/>
    <x v="31"/>
    <x v="5"/>
    <s v="Percent of GDP"/>
    <s v="Units"/>
    <x v="0"/>
    <n v="40.648000000000003"/>
  </r>
  <r>
    <n v="123"/>
    <x v="9"/>
    <x v="31"/>
    <x v="5"/>
    <s v="Percent of GDP"/>
    <s v="Units"/>
    <x v="1"/>
    <n v="39.450000000000003"/>
  </r>
  <r>
    <n v="123"/>
    <x v="9"/>
    <x v="31"/>
    <x v="5"/>
    <s v="Percent of GDP"/>
    <s v="Units"/>
    <x v="2"/>
    <n v="43.808999999999997"/>
  </r>
  <r>
    <n v="123"/>
    <x v="9"/>
    <x v="31"/>
    <x v="5"/>
    <s v="Percent of GDP"/>
    <s v="Units"/>
    <x v="3"/>
    <n v="40.314"/>
  </r>
  <r>
    <n v="123"/>
    <x v="9"/>
    <x v="31"/>
    <x v="5"/>
    <s v="Percent of GDP"/>
    <s v="Units"/>
    <x v="4"/>
    <n v="40.787999999999997"/>
  </r>
  <r>
    <n v="123"/>
    <x v="9"/>
    <x v="31"/>
    <x v="5"/>
    <s v="Percent of GDP"/>
    <s v="Units"/>
    <x v="5"/>
    <n v="39.71"/>
  </r>
  <r>
    <n v="123"/>
    <x v="9"/>
    <x v="31"/>
    <x v="5"/>
    <s v="Percent of GDP"/>
    <s v="Units"/>
    <x v="6"/>
    <n v="39.81"/>
  </r>
  <r>
    <n v="510"/>
    <x v="10"/>
    <x v="31"/>
    <x v="5"/>
    <s v="Percent of GDP"/>
    <s v="Units"/>
    <x v="0"/>
    <n v="40.648000000000003"/>
  </r>
  <r>
    <n v="510"/>
    <x v="10"/>
    <x v="31"/>
    <x v="5"/>
    <s v="Percent of GDP"/>
    <s v="Units"/>
    <x v="1"/>
    <n v="39.450000000000003"/>
  </r>
  <r>
    <n v="510"/>
    <x v="10"/>
    <x v="31"/>
    <x v="5"/>
    <s v="Percent of GDP"/>
    <s v="Units"/>
    <x v="2"/>
    <n v="43.808999999999997"/>
  </r>
  <r>
    <n v="510"/>
    <x v="10"/>
    <x v="31"/>
    <x v="5"/>
    <s v="Percent of GDP"/>
    <s v="Units"/>
    <x v="3"/>
    <n v="40.314"/>
  </r>
  <r>
    <n v="510"/>
    <x v="10"/>
    <x v="31"/>
    <x v="5"/>
    <s v="Percent of GDP"/>
    <s v="Units"/>
    <x v="4"/>
    <n v="40.787999999999997"/>
  </r>
  <r>
    <n v="510"/>
    <x v="10"/>
    <x v="31"/>
    <x v="5"/>
    <s v="Percent of GDP"/>
    <s v="Units"/>
    <x v="5"/>
    <n v="39.71"/>
  </r>
  <r>
    <n v="510"/>
    <x v="10"/>
    <x v="31"/>
    <x v="5"/>
    <s v="Percent of GDP"/>
    <s v="Units"/>
    <x v="6"/>
    <n v="39.81"/>
  </r>
  <r>
    <n v="205"/>
    <x v="7"/>
    <x v="124"/>
    <x v="3"/>
    <s v="Percent of GDP"/>
    <s v="Units"/>
    <x v="0"/>
    <n v="37.265999999999998"/>
  </r>
  <r>
    <n v="205"/>
    <x v="7"/>
    <x v="124"/>
    <x v="3"/>
    <s v="Percent of GDP"/>
    <s v="Units"/>
    <x v="1"/>
    <n v="36.530999999999999"/>
  </r>
  <r>
    <n v="205"/>
    <x v="7"/>
    <x v="124"/>
    <x v="3"/>
    <s v="Percent of GDP"/>
    <s v="Units"/>
    <x v="2"/>
    <n v="41.213000000000001"/>
  </r>
  <r>
    <n v="205"/>
    <x v="7"/>
    <x v="124"/>
    <x v="3"/>
    <s v="Percent of GDP"/>
    <s v="Units"/>
    <x v="3"/>
    <n v="49.616999999999997"/>
  </r>
  <r>
    <n v="205"/>
    <x v="7"/>
    <x v="124"/>
    <x v="3"/>
    <s v="Percent of GDP"/>
    <s v="Units"/>
    <x v="4"/>
    <n v="41.572000000000003"/>
  </r>
  <r>
    <n v="205"/>
    <x v="7"/>
    <x v="124"/>
    <x v="3"/>
    <s v="Percent of GDP"/>
    <s v="Units"/>
    <x v="5"/>
    <n v="39.682000000000002"/>
  </r>
  <r>
    <n v="205"/>
    <x v="7"/>
    <x v="124"/>
    <x v="3"/>
    <s v="Percent of GDP"/>
    <s v="Units"/>
    <x v="6"/>
    <n v="38.627000000000002"/>
  </r>
  <r>
    <n v="200"/>
    <x v="3"/>
    <x v="124"/>
    <x v="3"/>
    <s v="Percent of GDP"/>
    <s v="Units"/>
    <x v="0"/>
    <n v="37.265999999999998"/>
  </r>
  <r>
    <n v="200"/>
    <x v="3"/>
    <x v="124"/>
    <x v="3"/>
    <s v="Percent of GDP"/>
    <s v="Units"/>
    <x v="1"/>
    <n v="36.530999999999999"/>
  </r>
  <r>
    <n v="200"/>
    <x v="3"/>
    <x v="124"/>
    <x v="3"/>
    <s v="Percent of GDP"/>
    <s v="Units"/>
    <x v="2"/>
    <n v="41.213000000000001"/>
  </r>
  <r>
    <n v="200"/>
    <x v="3"/>
    <x v="124"/>
    <x v="3"/>
    <s v="Percent of GDP"/>
    <s v="Units"/>
    <x v="3"/>
    <n v="49.616999999999997"/>
  </r>
  <r>
    <n v="200"/>
    <x v="3"/>
    <x v="124"/>
    <x v="3"/>
    <s v="Percent of GDP"/>
    <s v="Units"/>
    <x v="4"/>
    <n v="41.572000000000003"/>
  </r>
  <r>
    <n v="200"/>
    <x v="3"/>
    <x v="124"/>
    <x v="3"/>
    <s v="Percent of GDP"/>
    <s v="Units"/>
    <x v="5"/>
    <n v="39.682000000000002"/>
  </r>
  <r>
    <n v="200"/>
    <x v="3"/>
    <x v="124"/>
    <x v="3"/>
    <s v="Percent of GDP"/>
    <s v="Units"/>
    <x v="6"/>
    <n v="38.627000000000002"/>
  </r>
  <r>
    <n v="110"/>
    <x v="0"/>
    <x v="5"/>
    <x v="2"/>
    <s v="Percent of GDP"/>
    <s v="Units"/>
    <x v="0"/>
    <n v="36.253"/>
  </r>
  <r>
    <n v="110"/>
    <x v="0"/>
    <x v="5"/>
    <x v="2"/>
    <s v="Percent of GDP"/>
    <s v="Units"/>
    <x v="1"/>
    <n v="36.798000000000002"/>
  </r>
  <r>
    <n v="110"/>
    <x v="0"/>
    <x v="5"/>
    <x v="2"/>
    <s v="Percent of GDP"/>
    <s v="Units"/>
    <x v="2"/>
    <n v="38.018999999999998"/>
  </r>
  <r>
    <n v="110"/>
    <x v="0"/>
    <x v="5"/>
    <x v="2"/>
    <s v="Percent of GDP"/>
    <s v="Units"/>
    <x v="3"/>
    <n v="39.68"/>
  </r>
  <r>
    <n v="110"/>
    <x v="0"/>
    <x v="5"/>
    <x v="2"/>
    <s v="Percent of GDP"/>
    <s v="Units"/>
    <x v="4"/>
    <n v="38.634999999999998"/>
  </r>
  <r>
    <n v="110"/>
    <x v="0"/>
    <x v="5"/>
    <x v="2"/>
    <s v="Percent of GDP"/>
    <s v="Units"/>
    <x v="5"/>
    <n v="39.473999999999997"/>
  </r>
  <r>
    <n v="110"/>
    <x v="0"/>
    <x v="5"/>
    <x v="2"/>
    <s v="Percent of GDP"/>
    <s v="Units"/>
    <x v="6"/>
    <n v="39.871000000000002"/>
  </r>
  <r>
    <n v="119"/>
    <x v="1"/>
    <x v="5"/>
    <x v="2"/>
    <s v="Percent of GDP"/>
    <s v="Units"/>
    <x v="0"/>
    <n v="36.253"/>
  </r>
  <r>
    <n v="119"/>
    <x v="1"/>
    <x v="5"/>
    <x v="2"/>
    <s v="Percent of GDP"/>
    <s v="Units"/>
    <x v="1"/>
    <n v="36.798000000000002"/>
  </r>
  <r>
    <n v="119"/>
    <x v="1"/>
    <x v="5"/>
    <x v="2"/>
    <s v="Percent of GDP"/>
    <s v="Units"/>
    <x v="2"/>
    <n v="38.018999999999998"/>
  </r>
  <r>
    <n v="119"/>
    <x v="1"/>
    <x v="5"/>
    <x v="2"/>
    <s v="Percent of GDP"/>
    <s v="Units"/>
    <x v="3"/>
    <n v="39.68"/>
  </r>
  <r>
    <n v="119"/>
    <x v="1"/>
    <x v="5"/>
    <x v="2"/>
    <s v="Percent of GDP"/>
    <s v="Units"/>
    <x v="4"/>
    <n v="38.634999999999998"/>
  </r>
  <r>
    <n v="119"/>
    <x v="1"/>
    <x v="5"/>
    <x v="2"/>
    <s v="Percent of GDP"/>
    <s v="Units"/>
    <x v="5"/>
    <n v="39.473999999999997"/>
  </r>
  <r>
    <n v="119"/>
    <x v="1"/>
    <x v="5"/>
    <x v="2"/>
    <s v="Percent of GDP"/>
    <s v="Units"/>
    <x v="6"/>
    <n v="39.871000000000002"/>
  </r>
  <r>
    <n v="200"/>
    <x v="3"/>
    <x v="125"/>
    <x v="7"/>
    <s v="Percent of GDP"/>
    <s v="Units"/>
    <x v="0"/>
    <n v="31.965"/>
  </r>
  <r>
    <n v="200"/>
    <x v="3"/>
    <x v="125"/>
    <x v="7"/>
    <s v="Percent of GDP"/>
    <s v="Units"/>
    <x v="1"/>
    <n v="35.158000000000001"/>
  </r>
  <r>
    <n v="200"/>
    <x v="3"/>
    <x v="125"/>
    <x v="7"/>
    <s v="Percent of GDP"/>
    <s v="Units"/>
    <x v="2"/>
    <n v="36.651000000000003"/>
  </r>
  <r>
    <n v="200"/>
    <x v="3"/>
    <x v="125"/>
    <x v="7"/>
    <s v="Percent of GDP"/>
    <s v="Units"/>
    <x v="3"/>
    <n v="46.783999999999999"/>
  </r>
  <r>
    <n v="200"/>
    <x v="3"/>
    <x v="125"/>
    <x v="7"/>
    <s v="Percent of GDP"/>
    <s v="Units"/>
    <x v="4"/>
    <n v="45.86"/>
  </r>
  <r>
    <n v="200"/>
    <x v="3"/>
    <x v="125"/>
    <x v="7"/>
    <s v="Percent of GDP"/>
    <s v="Units"/>
    <x v="5"/>
    <n v="39.453000000000003"/>
  </r>
  <r>
    <n v="200"/>
    <x v="3"/>
    <x v="125"/>
    <x v="7"/>
    <s v="Percent of GDP"/>
    <s v="Units"/>
    <x v="6"/>
    <n v="36.435000000000002"/>
  </r>
  <r>
    <n v="603"/>
    <x v="12"/>
    <x v="125"/>
    <x v="7"/>
    <s v="Percent of GDP"/>
    <s v="Units"/>
    <x v="0"/>
    <n v="31.965"/>
  </r>
  <r>
    <n v="603"/>
    <x v="12"/>
    <x v="125"/>
    <x v="7"/>
    <s v="Percent of GDP"/>
    <s v="Units"/>
    <x v="1"/>
    <n v="35.158000000000001"/>
  </r>
  <r>
    <n v="603"/>
    <x v="12"/>
    <x v="125"/>
    <x v="7"/>
    <s v="Percent of GDP"/>
    <s v="Units"/>
    <x v="2"/>
    <n v="36.651000000000003"/>
  </r>
  <r>
    <n v="603"/>
    <x v="12"/>
    <x v="125"/>
    <x v="7"/>
    <s v="Percent of GDP"/>
    <s v="Units"/>
    <x v="3"/>
    <n v="46.783999999999999"/>
  </r>
  <r>
    <n v="603"/>
    <x v="12"/>
    <x v="125"/>
    <x v="7"/>
    <s v="Percent of GDP"/>
    <s v="Units"/>
    <x v="4"/>
    <n v="45.86"/>
  </r>
  <r>
    <n v="603"/>
    <x v="12"/>
    <x v="125"/>
    <x v="7"/>
    <s v="Percent of GDP"/>
    <s v="Units"/>
    <x v="5"/>
    <n v="39.453000000000003"/>
  </r>
  <r>
    <n v="603"/>
    <x v="12"/>
    <x v="125"/>
    <x v="7"/>
    <s v="Percent of GDP"/>
    <s v="Units"/>
    <x v="6"/>
    <n v="36.435000000000002"/>
  </r>
  <r>
    <n v="1"/>
    <x v="2"/>
    <x v="125"/>
    <x v="7"/>
    <s v="Percent of GDP"/>
    <s v="Units"/>
    <x v="0"/>
    <n v="31.965"/>
  </r>
  <r>
    <n v="1"/>
    <x v="2"/>
    <x v="125"/>
    <x v="7"/>
    <s v="Percent of GDP"/>
    <s v="Units"/>
    <x v="1"/>
    <n v="35.158000000000001"/>
  </r>
  <r>
    <n v="1"/>
    <x v="2"/>
    <x v="125"/>
    <x v="7"/>
    <s v="Percent of GDP"/>
    <s v="Units"/>
    <x v="2"/>
    <n v="36.651000000000003"/>
  </r>
  <r>
    <n v="1"/>
    <x v="2"/>
    <x v="125"/>
    <x v="7"/>
    <s v="Percent of GDP"/>
    <s v="Units"/>
    <x v="3"/>
    <n v="46.783999999999999"/>
  </r>
  <r>
    <n v="1"/>
    <x v="2"/>
    <x v="125"/>
    <x v="7"/>
    <s v="Percent of GDP"/>
    <s v="Units"/>
    <x v="4"/>
    <n v="45.86"/>
  </r>
  <r>
    <n v="1"/>
    <x v="2"/>
    <x v="125"/>
    <x v="7"/>
    <s v="Percent of GDP"/>
    <s v="Units"/>
    <x v="5"/>
    <n v="39.453000000000003"/>
  </r>
  <r>
    <n v="1"/>
    <x v="2"/>
    <x v="125"/>
    <x v="7"/>
    <s v="Percent of GDP"/>
    <s v="Units"/>
    <x v="6"/>
    <n v="36.435000000000002"/>
  </r>
  <r>
    <n v="200"/>
    <x v="3"/>
    <x v="124"/>
    <x v="2"/>
    <s v="Percent of GDP"/>
    <s v="Units"/>
    <x v="0"/>
    <n v="36.564"/>
  </r>
  <r>
    <n v="200"/>
    <x v="3"/>
    <x v="124"/>
    <x v="2"/>
    <s v="Percent of GDP"/>
    <s v="Units"/>
    <x v="1"/>
    <n v="33.473999999999997"/>
  </r>
  <r>
    <n v="200"/>
    <x v="3"/>
    <x v="124"/>
    <x v="2"/>
    <s v="Percent of GDP"/>
    <s v="Units"/>
    <x v="2"/>
    <n v="46.62"/>
  </r>
  <r>
    <n v="200"/>
    <x v="3"/>
    <x v="124"/>
    <x v="2"/>
    <s v="Percent of GDP"/>
    <s v="Units"/>
    <x v="3"/>
    <n v="45.619"/>
  </r>
  <r>
    <n v="200"/>
    <x v="3"/>
    <x v="124"/>
    <x v="2"/>
    <s v="Percent of GDP"/>
    <s v="Units"/>
    <x v="4"/>
    <n v="42.533000000000001"/>
  </r>
  <r>
    <n v="200"/>
    <x v="3"/>
    <x v="124"/>
    <x v="2"/>
    <s v="Percent of GDP"/>
    <s v="Units"/>
    <x v="5"/>
    <n v="39.450000000000003"/>
  </r>
  <r>
    <n v="200"/>
    <x v="3"/>
    <x v="124"/>
    <x v="2"/>
    <s v="Percent of GDP"/>
    <s v="Units"/>
    <x v="6"/>
    <n v="37.69"/>
  </r>
  <r>
    <n v="205"/>
    <x v="7"/>
    <x v="124"/>
    <x v="2"/>
    <s v="Percent of GDP"/>
    <s v="Units"/>
    <x v="0"/>
    <n v="36.564"/>
  </r>
  <r>
    <n v="205"/>
    <x v="7"/>
    <x v="124"/>
    <x v="2"/>
    <s v="Percent of GDP"/>
    <s v="Units"/>
    <x v="1"/>
    <n v="33.473999999999997"/>
  </r>
  <r>
    <n v="205"/>
    <x v="7"/>
    <x v="124"/>
    <x v="2"/>
    <s v="Percent of GDP"/>
    <s v="Units"/>
    <x v="2"/>
    <n v="46.62"/>
  </r>
  <r>
    <n v="205"/>
    <x v="7"/>
    <x v="124"/>
    <x v="2"/>
    <s v="Percent of GDP"/>
    <s v="Units"/>
    <x v="3"/>
    <n v="45.619"/>
  </r>
  <r>
    <n v="205"/>
    <x v="7"/>
    <x v="124"/>
    <x v="2"/>
    <s v="Percent of GDP"/>
    <s v="Units"/>
    <x v="4"/>
    <n v="42.533000000000001"/>
  </r>
  <r>
    <n v="205"/>
    <x v="7"/>
    <x v="124"/>
    <x v="2"/>
    <s v="Percent of GDP"/>
    <s v="Units"/>
    <x v="5"/>
    <n v="39.450000000000003"/>
  </r>
  <r>
    <n v="205"/>
    <x v="7"/>
    <x v="124"/>
    <x v="2"/>
    <s v="Percent of GDP"/>
    <s v="Units"/>
    <x v="6"/>
    <n v="37.69"/>
  </r>
  <r>
    <n v="1"/>
    <x v="2"/>
    <x v="126"/>
    <x v="1"/>
    <s v="Percent change"/>
    <s v="Units"/>
    <x v="0"/>
    <n v="14.805"/>
  </r>
  <r>
    <n v="1"/>
    <x v="2"/>
    <x v="126"/>
    <x v="1"/>
    <s v="Percent change"/>
    <s v="Units"/>
    <x v="1"/>
    <n v="13.446999999999999"/>
  </r>
  <r>
    <n v="1"/>
    <x v="2"/>
    <x v="126"/>
    <x v="1"/>
    <s v="Percent change"/>
    <s v="Units"/>
    <x v="2"/>
    <n v="11.874000000000001"/>
  </r>
  <r>
    <n v="1"/>
    <x v="2"/>
    <x v="126"/>
    <x v="1"/>
    <s v="Percent change"/>
    <s v="Units"/>
    <x v="3"/>
    <n v="27.209"/>
  </r>
  <r>
    <n v="1"/>
    <x v="2"/>
    <x v="126"/>
    <x v="1"/>
    <s v="Percent change"/>
    <s v="Units"/>
    <x v="4"/>
    <n v="47.716000000000001"/>
  </r>
  <r>
    <n v="1"/>
    <x v="2"/>
    <x v="126"/>
    <x v="1"/>
    <s v="Percent change"/>
    <s v="Units"/>
    <x v="5"/>
    <n v="39.118000000000002"/>
  </r>
  <r>
    <n v="1"/>
    <x v="2"/>
    <x v="126"/>
    <x v="1"/>
    <s v="Percent change"/>
    <s v="Units"/>
    <x v="6"/>
    <n v="21.74"/>
  </r>
  <r>
    <n v="200"/>
    <x v="3"/>
    <x v="126"/>
    <x v="1"/>
    <s v="Percent change"/>
    <s v="Units"/>
    <x v="0"/>
    <n v="14.805"/>
  </r>
  <r>
    <n v="200"/>
    <x v="3"/>
    <x v="126"/>
    <x v="1"/>
    <s v="Percent change"/>
    <s v="Units"/>
    <x v="1"/>
    <n v="13.446999999999999"/>
  </r>
  <r>
    <n v="200"/>
    <x v="3"/>
    <x v="126"/>
    <x v="1"/>
    <s v="Percent change"/>
    <s v="Units"/>
    <x v="2"/>
    <n v="11.874000000000001"/>
  </r>
  <r>
    <n v="200"/>
    <x v="3"/>
    <x v="126"/>
    <x v="1"/>
    <s v="Percent change"/>
    <s v="Units"/>
    <x v="3"/>
    <n v="27.209"/>
  </r>
  <r>
    <n v="200"/>
    <x v="3"/>
    <x v="126"/>
    <x v="1"/>
    <s v="Percent change"/>
    <s v="Units"/>
    <x v="4"/>
    <n v="47.716000000000001"/>
  </r>
  <r>
    <n v="200"/>
    <x v="3"/>
    <x v="126"/>
    <x v="1"/>
    <s v="Percent change"/>
    <s v="Units"/>
    <x v="5"/>
    <n v="39.118000000000002"/>
  </r>
  <r>
    <n v="200"/>
    <x v="3"/>
    <x v="126"/>
    <x v="1"/>
    <s v="Percent change"/>
    <s v="Units"/>
    <x v="6"/>
    <n v="21.74"/>
  </r>
  <r>
    <n v="603"/>
    <x v="12"/>
    <x v="126"/>
    <x v="1"/>
    <s v="Percent change"/>
    <s v="Units"/>
    <x v="0"/>
    <n v="14.805"/>
  </r>
  <r>
    <n v="603"/>
    <x v="12"/>
    <x v="126"/>
    <x v="1"/>
    <s v="Percent change"/>
    <s v="Units"/>
    <x v="1"/>
    <n v="13.446999999999999"/>
  </r>
  <r>
    <n v="603"/>
    <x v="12"/>
    <x v="126"/>
    <x v="1"/>
    <s v="Percent change"/>
    <s v="Units"/>
    <x v="2"/>
    <n v="11.874000000000001"/>
  </r>
  <r>
    <n v="603"/>
    <x v="12"/>
    <x v="126"/>
    <x v="1"/>
    <s v="Percent change"/>
    <s v="Units"/>
    <x v="3"/>
    <n v="27.209"/>
  </r>
  <r>
    <n v="603"/>
    <x v="12"/>
    <x v="126"/>
    <x v="1"/>
    <s v="Percent change"/>
    <s v="Units"/>
    <x v="4"/>
    <n v="47.716000000000001"/>
  </r>
  <r>
    <n v="603"/>
    <x v="12"/>
    <x v="126"/>
    <x v="1"/>
    <s v="Percent change"/>
    <s v="Units"/>
    <x v="5"/>
    <n v="39.118000000000002"/>
  </r>
  <r>
    <n v="603"/>
    <x v="12"/>
    <x v="126"/>
    <x v="1"/>
    <s v="Percent change"/>
    <s v="Units"/>
    <x v="6"/>
    <n v="21.74"/>
  </r>
  <r>
    <n v="998"/>
    <x v="6"/>
    <x v="70"/>
    <x v="3"/>
    <s v="Percent of GDP"/>
    <s v="Units"/>
    <x v="0"/>
    <n v="35.869"/>
  </r>
  <r>
    <n v="998"/>
    <x v="6"/>
    <x v="70"/>
    <x v="3"/>
    <s v="Percent of GDP"/>
    <s v="Units"/>
    <x v="1"/>
    <n v="37.811"/>
  </r>
  <r>
    <n v="998"/>
    <x v="6"/>
    <x v="70"/>
    <x v="3"/>
    <s v="Percent of GDP"/>
    <s v="Units"/>
    <x v="2"/>
    <n v="38.606999999999999"/>
  </r>
  <r>
    <n v="998"/>
    <x v="6"/>
    <x v="70"/>
    <x v="3"/>
    <s v="Percent of GDP"/>
    <s v="Units"/>
    <x v="3"/>
    <n v="37.69"/>
  </r>
  <r>
    <n v="998"/>
    <x v="6"/>
    <x v="70"/>
    <x v="3"/>
    <s v="Percent of GDP"/>
    <s v="Units"/>
    <x v="4"/>
    <n v="37.741999999999997"/>
  </r>
  <r>
    <n v="998"/>
    <x v="6"/>
    <x v="70"/>
    <x v="3"/>
    <s v="Percent of GDP"/>
    <s v="Units"/>
    <x v="5"/>
    <n v="39.033999999999999"/>
  </r>
  <r>
    <n v="998"/>
    <x v="6"/>
    <x v="70"/>
    <x v="3"/>
    <s v="Percent of GDP"/>
    <s v="Units"/>
    <x v="6"/>
    <n v="39.173000000000002"/>
  </r>
  <r>
    <n v="200"/>
    <x v="3"/>
    <x v="70"/>
    <x v="3"/>
    <s v="Percent of GDP"/>
    <s v="Units"/>
    <x v="0"/>
    <n v="35.869"/>
  </r>
  <r>
    <n v="200"/>
    <x v="3"/>
    <x v="70"/>
    <x v="3"/>
    <s v="Percent of GDP"/>
    <s v="Units"/>
    <x v="1"/>
    <n v="37.811"/>
  </r>
  <r>
    <n v="200"/>
    <x v="3"/>
    <x v="70"/>
    <x v="3"/>
    <s v="Percent of GDP"/>
    <s v="Units"/>
    <x v="2"/>
    <n v="38.606999999999999"/>
  </r>
  <r>
    <n v="200"/>
    <x v="3"/>
    <x v="70"/>
    <x v="3"/>
    <s v="Percent of GDP"/>
    <s v="Units"/>
    <x v="3"/>
    <n v="37.69"/>
  </r>
  <r>
    <n v="200"/>
    <x v="3"/>
    <x v="70"/>
    <x v="3"/>
    <s v="Percent of GDP"/>
    <s v="Units"/>
    <x v="4"/>
    <n v="37.741999999999997"/>
  </r>
  <r>
    <n v="200"/>
    <x v="3"/>
    <x v="70"/>
    <x v="3"/>
    <s v="Percent of GDP"/>
    <s v="Units"/>
    <x v="5"/>
    <n v="39.033999999999999"/>
  </r>
  <r>
    <n v="200"/>
    <x v="3"/>
    <x v="70"/>
    <x v="3"/>
    <s v="Percent of GDP"/>
    <s v="Units"/>
    <x v="6"/>
    <n v="39.173000000000002"/>
  </r>
  <r>
    <n v="903"/>
    <x v="8"/>
    <x v="70"/>
    <x v="3"/>
    <s v="Percent of GDP"/>
    <s v="Units"/>
    <x v="0"/>
    <n v="35.869"/>
  </r>
  <r>
    <n v="903"/>
    <x v="8"/>
    <x v="70"/>
    <x v="3"/>
    <s v="Percent of GDP"/>
    <s v="Units"/>
    <x v="1"/>
    <n v="37.811"/>
  </r>
  <r>
    <n v="903"/>
    <x v="8"/>
    <x v="70"/>
    <x v="3"/>
    <s v="Percent of GDP"/>
    <s v="Units"/>
    <x v="2"/>
    <n v="38.606999999999999"/>
  </r>
  <r>
    <n v="903"/>
    <x v="8"/>
    <x v="70"/>
    <x v="3"/>
    <s v="Percent of GDP"/>
    <s v="Units"/>
    <x v="3"/>
    <n v="37.69"/>
  </r>
  <r>
    <n v="903"/>
    <x v="8"/>
    <x v="70"/>
    <x v="3"/>
    <s v="Percent of GDP"/>
    <s v="Units"/>
    <x v="4"/>
    <n v="37.741999999999997"/>
  </r>
  <r>
    <n v="903"/>
    <x v="8"/>
    <x v="70"/>
    <x v="3"/>
    <s v="Percent of GDP"/>
    <s v="Units"/>
    <x v="5"/>
    <n v="39.033999999999999"/>
  </r>
  <r>
    <n v="903"/>
    <x v="8"/>
    <x v="70"/>
    <x v="3"/>
    <s v="Percent of GDP"/>
    <s v="Units"/>
    <x v="6"/>
    <n v="39.173000000000002"/>
  </r>
  <r>
    <n v="1"/>
    <x v="2"/>
    <x v="20"/>
    <x v="5"/>
    <s v="Percent of GDP"/>
    <s v="Units"/>
    <x v="0"/>
    <n v="35.756"/>
  </r>
  <r>
    <n v="1"/>
    <x v="2"/>
    <x v="20"/>
    <x v="5"/>
    <s v="Percent of GDP"/>
    <s v="Units"/>
    <x v="1"/>
    <n v="40.268999999999998"/>
  </r>
  <r>
    <n v="1"/>
    <x v="2"/>
    <x v="20"/>
    <x v="5"/>
    <s v="Percent of GDP"/>
    <s v="Units"/>
    <x v="2"/>
    <n v="43.877000000000002"/>
  </r>
  <r>
    <n v="1"/>
    <x v="2"/>
    <x v="20"/>
    <x v="5"/>
    <s v="Percent of GDP"/>
    <s v="Units"/>
    <x v="3"/>
    <n v="43.031999999999996"/>
  </r>
  <r>
    <n v="1"/>
    <x v="2"/>
    <x v="20"/>
    <x v="5"/>
    <s v="Percent of GDP"/>
    <s v="Units"/>
    <x v="4"/>
    <n v="38.93"/>
  </r>
  <r>
    <n v="1"/>
    <x v="2"/>
    <x v="20"/>
    <x v="5"/>
    <s v="Percent of GDP"/>
    <s v="Units"/>
    <x v="5"/>
    <n v="38.957000000000001"/>
  </r>
  <r>
    <n v="1"/>
    <x v="2"/>
    <x v="20"/>
    <x v="5"/>
    <s v="Percent of GDP"/>
    <s v="Units"/>
    <x v="6"/>
    <n v="39.862000000000002"/>
  </r>
  <r>
    <n v="110"/>
    <x v="0"/>
    <x v="20"/>
    <x v="5"/>
    <s v="Percent of GDP"/>
    <s v="Units"/>
    <x v="0"/>
    <n v="35.756"/>
  </r>
  <r>
    <n v="110"/>
    <x v="0"/>
    <x v="20"/>
    <x v="5"/>
    <s v="Percent of GDP"/>
    <s v="Units"/>
    <x v="1"/>
    <n v="40.268999999999998"/>
  </r>
  <r>
    <n v="110"/>
    <x v="0"/>
    <x v="20"/>
    <x v="5"/>
    <s v="Percent of GDP"/>
    <s v="Units"/>
    <x v="2"/>
    <n v="43.877000000000002"/>
  </r>
  <r>
    <n v="110"/>
    <x v="0"/>
    <x v="20"/>
    <x v="5"/>
    <s v="Percent of GDP"/>
    <s v="Units"/>
    <x v="3"/>
    <n v="43.031999999999996"/>
  </r>
  <r>
    <n v="110"/>
    <x v="0"/>
    <x v="20"/>
    <x v="5"/>
    <s v="Percent of GDP"/>
    <s v="Units"/>
    <x v="4"/>
    <n v="38.93"/>
  </r>
  <r>
    <n v="110"/>
    <x v="0"/>
    <x v="20"/>
    <x v="5"/>
    <s v="Percent of GDP"/>
    <s v="Units"/>
    <x v="5"/>
    <n v="38.957000000000001"/>
  </r>
  <r>
    <n v="110"/>
    <x v="0"/>
    <x v="20"/>
    <x v="5"/>
    <s v="Percent of GDP"/>
    <s v="Units"/>
    <x v="6"/>
    <n v="39.862000000000002"/>
  </r>
  <r>
    <n v="123"/>
    <x v="9"/>
    <x v="20"/>
    <x v="5"/>
    <s v="Percent of GDP"/>
    <s v="Units"/>
    <x v="0"/>
    <n v="35.756"/>
  </r>
  <r>
    <n v="123"/>
    <x v="9"/>
    <x v="20"/>
    <x v="5"/>
    <s v="Percent of GDP"/>
    <s v="Units"/>
    <x v="1"/>
    <n v="40.268999999999998"/>
  </r>
  <r>
    <n v="123"/>
    <x v="9"/>
    <x v="20"/>
    <x v="5"/>
    <s v="Percent of GDP"/>
    <s v="Units"/>
    <x v="2"/>
    <n v="43.877000000000002"/>
  </r>
  <r>
    <n v="123"/>
    <x v="9"/>
    <x v="20"/>
    <x v="5"/>
    <s v="Percent of GDP"/>
    <s v="Units"/>
    <x v="3"/>
    <n v="43.031999999999996"/>
  </r>
  <r>
    <n v="123"/>
    <x v="9"/>
    <x v="20"/>
    <x v="5"/>
    <s v="Percent of GDP"/>
    <s v="Units"/>
    <x v="4"/>
    <n v="38.93"/>
  </r>
  <r>
    <n v="123"/>
    <x v="9"/>
    <x v="20"/>
    <x v="5"/>
    <s v="Percent of GDP"/>
    <s v="Units"/>
    <x v="5"/>
    <n v="38.957000000000001"/>
  </r>
  <r>
    <n v="123"/>
    <x v="9"/>
    <x v="20"/>
    <x v="5"/>
    <s v="Percent of GDP"/>
    <s v="Units"/>
    <x v="6"/>
    <n v="39.862000000000002"/>
  </r>
  <r>
    <n v="200"/>
    <x v="3"/>
    <x v="119"/>
    <x v="3"/>
    <s v="Percent of GDP"/>
    <s v="Units"/>
    <x v="0"/>
    <n v="30.84"/>
  </r>
  <r>
    <n v="200"/>
    <x v="3"/>
    <x v="119"/>
    <x v="3"/>
    <s v="Percent of GDP"/>
    <s v="Units"/>
    <x v="1"/>
    <n v="32.073"/>
  </r>
  <r>
    <n v="200"/>
    <x v="3"/>
    <x v="119"/>
    <x v="3"/>
    <s v="Percent of GDP"/>
    <s v="Units"/>
    <x v="2"/>
    <n v="32.078000000000003"/>
  </r>
  <r>
    <n v="200"/>
    <x v="3"/>
    <x v="119"/>
    <x v="3"/>
    <s v="Percent of GDP"/>
    <s v="Units"/>
    <x v="3"/>
    <n v="36.78"/>
  </r>
  <r>
    <n v="200"/>
    <x v="3"/>
    <x v="119"/>
    <x v="3"/>
    <s v="Percent of GDP"/>
    <s v="Units"/>
    <x v="4"/>
    <n v="38.722000000000001"/>
  </r>
  <r>
    <n v="200"/>
    <x v="3"/>
    <x v="119"/>
    <x v="3"/>
    <s v="Percent of GDP"/>
    <s v="Units"/>
    <x v="5"/>
    <n v="38.878999999999998"/>
  </r>
  <r>
    <n v="200"/>
    <x v="3"/>
    <x v="119"/>
    <x v="3"/>
    <s v="Percent of GDP"/>
    <s v="Units"/>
    <x v="6"/>
    <n v="38.136000000000003"/>
  </r>
  <r>
    <n v="400"/>
    <x v="11"/>
    <x v="119"/>
    <x v="3"/>
    <s v="Percent of GDP"/>
    <s v="Units"/>
    <x v="0"/>
    <n v="30.84"/>
  </r>
  <r>
    <n v="400"/>
    <x v="11"/>
    <x v="119"/>
    <x v="3"/>
    <s v="Percent of GDP"/>
    <s v="Units"/>
    <x v="1"/>
    <n v="32.073"/>
  </r>
  <r>
    <n v="400"/>
    <x v="11"/>
    <x v="119"/>
    <x v="3"/>
    <s v="Percent of GDP"/>
    <s v="Units"/>
    <x v="2"/>
    <n v="32.078000000000003"/>
  </r>
  <r>
    <n v="400"/>
    <x v="11"/>
    <x v="119"/>
    <x v="3"/>
    <s v="Percent of GDP"/>
    <s v="Units"/>
    <x v="3"/>
    <n v="36.78"/>
  </r>
  <r>
    <n v="400"/>
    <x v="11"/>
    <x v="119"/>
    <x v="3"/>
    <s v="Percent of GDP"/>
    <s v="Units"/>
    <x v="4"/>
    <n v="38.722000000000001"/>
  </r>
  <r>
    <n v="400"/>
    <x v="11"/>
    <x v="119"/>
    <x v="3"/>
    <s v="Percent of GDP"/>
    <s v="Units"/>
    <x v="5"/>
    <n v="38.878999999999998"/>
  </r>
  <r>
    <n v="400"/>
    <x v="11"/>
    <x v="119"/>
    <x v="3"/>
    <s v="Percent of GDP"/>
    <s v="Units"/>
    <x v="6"/>
    <n v="38.136000000000003"/>
  </r>
  <r>
    <n v="400"/>
    <x v="11"/>
    <x v="49"/>
    <x v="5"/>
    <s v="Percent of GDP"/>
    <s v="Units"/>
    <x v="0"/>
    <n v="38.295000000000002"/>
  </r>
  <r>
    <n v="400"/>
    <x v="11"/>
    <x v="49"/>
    <x v="5"/>
    <s v="Percent of GDP"/>
    <s v="Units"/>
    <x v="1"/>
    <n v="33.182000000000002"/>
  </r>
  <r>
    <n v="400"/>
    <x v="11"/>
    <x v="49"/>
    <x v="5"/>
    <s v="Percent of GDP"/>
    <s v="Units"/>
    <x v="2"/>
    <n v="38.475000000000001"/>
  </r>
  <r>
    <n v="400"/>
    <x v="11"/>
    <x v="49"/>
    <x v="5"/>
    <s v="Percent of GDP"/>
    <s v="Units"/>
    <x v="3"/>
    <n v="44.429000000000002"/>
  </r>
  <r>
    <n v="400"/>
    <x v="11"/>
    <x v="49"/>
    <x v="5"/>
    <s v="Percent of GDP"/>
    <s v="Units"/>
    <x v="4"/>
    <n v="40.795000000000002"/>
  </r>
  <r>
    <n v="400"/>
    <x v="11"/>
    <x v="49"/>
    <x v="5"/>
    <s v="Percent of GDP"/>
    <s v="Units"/>
    <x v="5"/>
    <n v="38.738"/>
  </r>
  <r>
    <n v="400"/>
    <x v="11"/>
    <x v="49"/>
    <x v="5"/>
    <s v="Percent of GDP"/>
    <s v="Units"/>
    <x v="6"/>
    <n v="36.625999999999998"/>
  </r>
  <r>
    <n v="200"/>
    <x v="3"/>
    <x v="49"/>
    <x v="5"/>
    <s v="Percent of GDP"/>
    <s v="Units"/>
    <x v="0"/>
    <n v="38.295000000000002"/>
  </r>
  <r>
    <n v="200"/>
    <x v="3"/>
    <x v="49"/>
    <x v="5"/>
    <s v="Percent of GDP"/>
    <s v="Units"/>
    <x v="1"/>
    <n v="33.182000000000002"/>
  </r>
  <r>
    <n v="200"/>
    <x v="3"/>
    <x v="49"/>
    <x v="5"/>
    <s v="Percent of GDP"/>
    <s v="Units"/>
    <x v="2"/>
    <n v="38.475000000000001"/>
  </r>
  <r>
    <n v="200"/>
    <x v="3"/>
    <x v="49"/>
    <x v="5"/>
    <s v="Percent of GDP"/>
    <s v="Units"/>
    <x v="3"/>
    <n v="44.429000000000002"/>
  </r>
  <r>
    <n v="200"/>
    <x v="3"/>
    <x v="49"/>
    <x v="5"/>
    <s v="Percent of GDP"/>
    <s v="Units"/>
    <x v="4"/>
    <n v="40.795000000000002"/>
  </r>
  <r>
    <n v="200"/>
    <x v="3"/>
    <x v="49"/>
    <x v="5"/>
    <s v="Percent of GDP"/>
    <s v="Units"/>
    <x v="5"/>
    <n v="38.738"/>
  </r>
  <r>
    <n v="200"/>
    <x v="3"/>
    <x v="49"/>
    <x v="5"/>
    <s v="Percent of GDP"/>
    <s v="Units"/>
    <x v="6"/>
    <n v="36.625999999999998"/>
  </r>
  <r>
    <n v="1"/>
    <x v="2"/>
    <x v="49"/>
    <x v="5"/>
    <s v="Percent of GDP"/>
    <s v="Units"/>
    <x v="0"/>
    <n v="38.295000000000002"/>
  </r>
  <r>
    <n v="1"/>
    <x v="2"/>
    <x v="49"/>
    <x v="5"/>
    <s v="Percent of GDP"/>
    <s v="Units"/>
    <x v="1"/>
    <n v="33.182000000000002"/>
  </r>
  <r>
    <n v="1"/>
    <x v="2"/>
    <x v="49"/>
    <x v="5"/>
    <s v="Percent of GDP"/>
    <s v="Units"/>
    <x v="2"/>
    <n v="38.475000000000001"/>
  </r>
  <r>
    <n v="1"/>
    <x v="2"/>
    <x v="49"/>
    <x v="5"/>
    <s v="Percent of GDP"/>
    <s v="Units"/>
    <x v="3"/>
    <n v="44.429000000000002"/>
  </r>
  <r>
    <n v="1"/>
    <x v="2"/>
    <x v="49"/>
    <x v="5"/>
    <s v="Percent of GDP"/>
    <s v="Units"/>
    <x v="4"/>
    <n v="40.795000000000002"/>
  </r>
  <r>
    <n v="1"/>
    <x v="2"/>
    <x v="49"/>
    <x v="5"/>
    <s v="Percent of GDP"/>
    <s v="Units"/>
    <x v="5"/>
    <n v="38.738"/>
  </r>
  <r>
    <n v="1"/>
    <x v="2"/>
    <x v="49"/>
    <x v="5"/>
    <s v="Percent of GDP"/>
    <s v="Units"/>
    <x v="6"/>
    <n v="36.625999999999998"/>
  </r>
  <r>
    <n v="400"/>
    <x v="11"/>
    <x v="49"/>
    <x v="7"/>
    <s v="Percent of GDP"/>
    <s v="Units"/>
    <x v="0"/>
    <n v="47.040999999999997"/>
  </r>
  <r>
    <n v="400"/>
    <x v="11"/>
    <x v="49"/>
    <x v="7"/>
    <s v="Percent of GDP"/>
    <s v="Units"/>
    <x v="1"/>
    <n v="44.52"/>
  </r>
  <r>
    <n v="400"/>
    <x v="11"/>
    <x v="49"/>
    <x v="7"/>
    <s v="Percent of GDP"/>
    <s v="Units"/>
    <x v="2"/>
    <n v="40.902000000000001"/>
  </r>
  <r>
    <n v="400"/>
    <x v="11"/>
    <x v="49"/>
    <x v="7"/>
    <s v="Percent of GDP"/>
    <s v="Units"/>
    <x v="3"/>
    <n v="35.978999999999999"/>
  </r>
  <r>
    <n v="400"/>
    <x v="11"/>
    <x v="49"/>
    <x v="7"/>
    <s v="Percent of GDP"/>
    <s v="Units"/>
    <x v="4"/>
    <n v="38.639000000000003"/>
  </r>
  <r>
    <n v="400"/>
    <x v="11"/>
    <x v="49"/>
    <x v="7"/>
    <s v="Percent of GDP"/>
    <s v="Units"/>
    <x v="5"/>
    <n v="38.601999999999997"/>
  </r>
  <r>
    <n v="400"/>
    <x v="11"/>
    <x v="49"/>
    <x v="7"/>
    <s v="Percent of GDP"/>
    <s v="Units"/>
    <x v="6"/>
    <n v="38.131"/>
  </r>
  <r>
    <n v="1"/>
    <x v="2"/>
    <x v="49"/>
    <x v="7"/>
    <s v="Percent of GDP"/>
    <s v="Units"/>
    <x v="0"/>
    <n v="47.040999999999997"/>
  </r>
  <r>
    <n v="1"/>
    <x v="2"/>
    <x v="49"/>
    <x v="7"/>
    <s v="Percent of GDP"/>
    <s v="Units"/>
    <x v="1"/>
    <n v="44.52"/>
  </r>
  <r>
    <n v="1"/>
    <x v="2"/>
    <x v="49"/>
    <x v="7"/>
    <s v="Percent of GDP"/>
    <s v="Units"/>
    <x v="2"/>
    <n v="40.902000000000001"/>
  </r>
  <r>
    <n v="1"/>
    <x v="2"/>
    <x v="49"/>
    <x v="7"/>
    <s v="Percent of GDP"/>
    <s v="Units"/>
    <x v="3"/>
    <n v="35.978999999999999"/>
  </r>
  <r>
    <n v="1"/>
    <x v="2"/>
    <x v="49"/>
    <x v="7"/>
    <s v="Percent of GDP"/>
    <s v="Units"/>
    <x v="4"/>
    <n v="38.639000000000003"/>
  </r>
  <r>
    <n v="1"/>
    <x v="2"/>
    <x v="49"/>
    <x v="7"/>
    <s v="Percent of GDP"/>
    <s v="Units"/>
    <x v="5"/>
    <n v="38.601999999999997"/>
  </r>
  <r>
    <n v="1"/>
    <x v="2"/>
    <x v="49"/>
    <x v="7"/>
    <s v="Percent of GDP"/>
    <s v="Units"/>
    <x v="6"/>
    <n v="38.131"/>
  </r>
  <r>
    <n v="200"/>
    <x v="3"/>
    <x v="49"/>
    <x v="7"/>
    <s v="Percent of GDP"/>
    <s v="Units"/>
    <x v="0"/>
    <n v="47.040999999999997"/>
  </r>
  <r>
    <n v="200"/>
    <x v="3"/>
    <x v="49"/>
    <x v="7"/>
    <s v="Percent of GDP"/>
    <s v="Units"/>
    <x v="1"/>
    <n v="44.52"/>
  </r>
  <r>
    <n v="200"/>
    <x v="3"/>
    <x v="49"/>
    <x v="7"/>
    <s v="Percent of GDP"/>
    <s v="Units"/>
    <x v="2"/>
    <n v="40.902000000000001"/>
  </r>
  <r>
    <n v="200"/>
    <x v="3"/>
    <x v="49"/>
    <x v="7"/>
    <s v="Percent of GDP"/>
    <s v="Units"/>
    <x v="3"/>
    <n v="35.978999999999999"/>
  </r>
  <r>
    <n v="200"/>
    <x v="3"/>
    <x v="49"/>
    <x v="7"/>
    <s v="Percent of GDP"/>
    <s v="Units"/>
    <x v="4"/>
    <n v="38.639000000000003"/>
  </r>
  <r>
    <n v="200"/>
    <x v="3"/>
    <x v="49"/>
    <x v="7"/>
    <s v="Percent of GDP"/>
    <s v="Units"/>
    <x v="5"/>
    <n v="38.601999999999997"/>
  </r>
  <r>
    <n v="200"/>
    <x v="3"/>
    <x v="49"/>
    <x v="7"/>
    <s v="Percent of GDP"/>
    <s v="Units"/>
    <x v="6"/>
    <n v="38.131"/>
  </r>
  <r>
    <n v="110"/>
    <x v="0"/>
    <x v="84"/>
    <x v="3"/>
    <s v="Percent of GDP"/>
    <s v="Units"/>
    <x v="0"/>
    <n v="33.738999999999997"/>
  </r>
  <r>
    <n v="110"/>
    <x v="0"/>
    <x v="84"/>
    <x v="3"/>
    <s v="Percent of GDP"/>
    <s v="Units"/>
    <x v="1"/>
    <n v="41.866"/>
  </r>
  <r>
    <n v="110"/>
    <x v="0"/>
    <x v="84"/>
    <x v="3"/>
    <s v="Percent of GDP"/>
    <s v="Units"/>
    <x v="2"/>
    <n v="37.055999999999997"/>
  </r>
  <r>
    <n v="110"/>
    <x v="0"/>
    <x v="84"/>
    <x v="3"/>
    <s v="Percent of GDP"/>
    <s v="Units"/>
    <x v="3"/>
    <n v="36.142000000000003"/>
  </r>
  <r>
    <n v="110"/>
    <x v="0"/>
    <x v="84"/>
    <x v="3"/>
    <s v="Percent of GDP"/>
    <s v="Units"/>
    <x v="4"/>
    <n v="37.941000000000003"/>
  </r>
  <r>
    <n v="110"/>
    <x v="0"/>
    <x v="84"/>
    <x v="3"/>
    <s v="Percent of GDP"/>
    <s v="Units"/>
    <x v="5"/>
    <n v="38.53"/>
  </r>
  <r>
    <n v="110"/>
    <x v="0"/>
    <x v="84"/>
    <x v="3"/>
    <s v="Percent of GDP"/>
    <s v="Units"/>
    <x v="6"/>
    <n v="37.652000000000001"/>
  </r>
  <r>
    <n v="163"/>
    <x v="5"/>
    <x v="84"/>
    <x v="3"/>
    <s v="Percent of GDP"/>
    <s v="Units"/>
    <x v="0"/>
    <n v="33.738999999999997"/>
  </r>
  <r>
    <n v="163"/>
    <x v="5"/>
    <x v="84"/>
    <x v="3"/>
    <s v="Percent of GDP"/>
    <s v="Units"/>
    <x v="1"/>
    <n v="41.866"/>
  </r>
  <r>
    <n v="163"/>
    <x v="5"/>
    <x v="84"/>
    <x v="3"/>
    <s v="Percent of GDP"/>
    <s v="Units"/>
    <x v="2"/>
    <n v="37.055999999999997"/>
  </r>
  <r>
    <n v="163"/>
    <x v="5"/>
    <x v="84"/>
    <x v="3"/>
    <s v="Percent of GDP"/>
    <s v="Units"/>
    <x v="3"/>
    <n v="36.142000000000003"/>
  </r>
  <r>
    <n v="163"/>
    <x v="5"/>
    <x v="84"/>
    <x v="3"/>
    <s v="Percent of GDP"/>
    <s v="Units"/>
    <x v="4"/>
    <n v="37.941000000000003"/>
  </r>
  <r>
    <n v="163"/>
    <x v="5"/>
    <x v="84"/>
    <x v="3"/>
    <s v="Percent of GDP"/>
    <s v="Units"/>
    <x v="5"/>
    <n v="38.53"/>
  </r>
  <r>
    <n v="163"/>
    <x v="5"/>
    <x v="84"/>
    <x v="3"/>
    <s v="Percent of GDP"/>
    <s v="Units"/>
    <x v="6"/>
    <n v="37.652000000000001"/>
  </r>
  <r>
    <n v="998"/>
    <x v="6"/>
    <x v="84"/>
    <x v="3"/>
    <s v="Percent of GDP"/>
    <s v="Units"/>
    <x v="0"/>
    <n v="33.738999999999997"/>
  </r>
  <r>
    <n v="998"/>
    <x v="6"/>
    <x v="84"/>
    <x v="3"/>
    <s v="Percent of GDP"/>
    <s v="Units"/>
    <x v="1"/>
    <n v="41.866"/>
  </r>
  <r>
    <n v="998"/>
    <x v="6"/>
    <x v="84"/>
    <x v="3"/>
    <s v="Percent of GDP"/>
    <s v="Units"/>
    <x v="2"/>
    <n v="37.055999999999997"/>
  </r>
  <r>
    <n v="998"/>
    <x v="6"/>
    <x v="84"/>
    <x v="3"/>
    <s v="Percent of GDP"/>
    <s v="Units"/>
    <x v="3"/>
    <n v="36.142000000000003"/>
  </r>
  <r>
    <n v="998"/>
    <x v="6"/>
    <x v="84"/>
    <x v="3"/>
    <s v="Percent of GDP"/>
    <s v="Units"/>
    <x v="4"/>
    <n v="37.941000000000003"/>
  </r>
  <r>
    <n v="998"/>
    <x v="6"/>
    <x v="84"/>
    <x v="3"/>
    <s v="Percent of GDP"/>
    <s v="Units"/>
    <x v="5"/>
    <n v="38.53"/>
  </r>
  <r>
    <n v="998"/>
    <x v="6"/>
    <x v="84"/>
    <x v="3"/>
    <s v="Percent of GDP"/>
    <s v="Units"/>
    <x v="6"/>
    <n v="37.652000000000001"/>
  </r>
  <r>
    <n v="110"/>
    <x v="0"/>
    <x v="127"/>
    <x v="2"/>
    <s v="Percent of GDP"/>
    <s v="Units"/>
    <x v="0"/>
    <n v="38.15"/>
  </r>
  <r>
    <n v="110"/>
    <x v="0"/>
    <x v="127"/>
    <x v="2"/>
    <s v="Percent of GDP"/>
    <s v="Units"/>
    <x v="1"/>
    <n v="41.27"/>
  </r>
  <r>
    <n v="110"/>
    <x v="0"/>
    <x v="127"/>
    <x v="2"/>
    <s v="Percent of GDP"/>
    <s v="Units"/>
    <x v="2"/>
    <n v="37.877000000000002"/>
  </r>
  <r>
    <n v="110"/>
    <x v="0"/>
    <x v="127"/>
    <x v="2"/>
    <s v="Percent of GDP"/>
    <s v="Units"/>
    <x v="3"/>
    <n v="39.731000000000002"/>
  </r>
  <r>
    <n v="110"/>
    <x v="0"/>
    <x v="127"/>
    <x v="2"/>
    <s v="Percent of GDP"/>
    <s v="Units"/>
    <x v="4"/>
    <n v="38.758000000000003"/>
  </r>
  <r>
    <n v="110"/>
    <x v="0"/>
    <x v="127"/>
    <x v="2"/>
    <s v="Percent of GDP"/>
    <s v="Units"/>
    <x v="5"/>
    <n v="38.47"/>
  </r>
  <r>
    <n v="110"/>
    <x v="0"/>
    <x v="127"/>
    <x v="2"/>
    <s v="Percent of GDP"/>
    <s v="Units"/>
    <x v="6"/>
    <n v="39.433999999999997"/>
  </r>
  <r>
    <n v="123"/>
    <x v="9"/>
    <x v="127"/>
    <x v="2"/>
    <s v="Percent of GDP"/>
    <s v="Units"/>
    <x v="0"/>
    <n v="38.15"/>
  </r>
  <r>
    <n v="123"/>
    <x v="9"/>
    <x v="127"/>
    <x v="2"/>
    <s v="Percent of GDP"/>
    <s v="Units"/>
    <x v="1"/>
    <n v="41.27"/>
  </r>
  <r>
    <n v="123"/>
    <x v="9"/>
    <x v="127"/>
    <x v="2"/>
    <s v="Percent of GDP"/>
    <s v="Units"/>
    <x v="2"/>
    <n v="37.877000000000002"/>
  </r>
  <r>
    <n v="123"/>
    <x v="9"/>
    <x v="127"/>
    <x v="2"/>
    <s v="Percent of GDP"/>
    <s v="Units"/>
    <x v="3"/>
    <n v="39.731000000000002"/>
  </r>
  <r>
    <n v="123"/>
    <x v="9"/>
    <x v="127"/>
    <x v="2"/>
    <s v="Percent of GDP"/>
    <s v="Units"/>
    <x v="4"/>
    <n v="38.758000000000003"/>
  </r>
  <r>
    <n v="123"/>
    <x v="9"/>
    <x v="127"/>
    <x v="2"/>
    <s v="Percent of GDP"/>
    <s v="Units"/>
    <x v="5"/>
    <n v="38.47"/>
  </r>
  <r>
    <n v="123"/>
    <x v="9"/>
    <x v="127"/>
    <x v="2"/>
    <s v="Percent of GDP"/>
    <s v="Units"/>
    <x v="6"/>
    <n v="39.433999999999997"/>
  </r>
  <r>
    <n v="603"/>
    <x v="12"/>
    <x v="85"/>
    <x v="7"/>
    <s v="Percent of GDP"/>
    <s v="Units"/>
    <x v="0"/>
    <n v="34.268000000000001"/>
  </r>
  <r>
    <n v="603"/>
    <x v="12"/>
    <x v="85"/>
    <x v="7"/>
    <s v="Percent of GDP"/>
    <s v="Units"/>
    <x v="1"/>
    <n v="38.484000000000002"/>
  </r>
  <r>
    <n v="603"/>
    <x v="12"/>
    <x v="85"/>
    <x v="7"/>
    <s v="Percent of GDP"/>
    <s v="Units"/>
    <x v="2"/>
    <n v="40.795000000000002"/>
  </r>
  <r>
    <n v="603"/>
    <x v="12"/>
    <x v="85"/>
    <x v="7"/>
    <s v="Percent of GDP"/>
    <s v="Units"/>
    <x v="3"/>
    <n v="40.872"/>
  </r>
  <r>
    <n v="603"/>
    <x v="12"/>
    <x v="85"/>
    <x v="7"/>
    <s v="Percent of GDP"/>
    <s v="Units"/>
    <x v="4"/>
    <n v="38.395000000000003"/>
  </r>
  <r>
    <n v="603"/>
    <x v="12"/>
    <x v="85"/>
    <x v="7"/>
    <s v="Percent of GDP"/>
    <s v="Units"/>
    <x v="5"/>
    <n v="38.445"/>
  </r>
  <r>
    <n v="603"/>
    <x v="12"/>
    <x v="85"/>
    <x v="7"/>
    <s v="Percent of GDP"/>
    <s v="Units"/>
    <x v="6"/>
    <n v="38.936999999999998"/>
  </r>
  <r>
    <n v="200"/>
    <x v="3"/>
    <x v="85"/>
    <x v="7"/>
    <s v="Percent of GDP"/>
    <s v="Units"/>
    <x v="0"/>
    <n v="34.268000000000001"/>
  </r>
  <r>
    <n v="200"/>
    <x v="3"/>
    <x v="85"/>
    <x v="7"/>
    <s v="Percent of GDP"/>
    <s v="Units"/>
    <x v="1"/>
    <n v="38.484000000000002"/>
  </r>
  <r>
    <n v="200"/>
    <x v="3"/>
    <x v="85"/>
    <x v="7"/>
    <s v="Percent of GDP"/>
    <s v="Units"/>
    <x v="2"/>
    <n v="40.795000000000002"/>
  </r>
  <r>
    <n v="200"/>
    <x v="3"/>
    <x v="85"/>
    <x v="7"/>
    <s v="Percent of GDP"/>
    <s v="Units"/>
    <x v="3"/>
    <n v="40.872"/>
  </r>
  <r>
    <n v="200"/>
    <x v="3"/>
    <x v="85"/>
    <x v="7"/>
    <s v="Percent of GDP"/>
    <s v="Units"/>
    <x v="4"/>
    <n v="38.395000000000003"/>
  </r>
  <r>
    <n v="200"/>
    <x v="3"/>
    <x v="85"/>
    <x v="7"/>
    <s v="Percent of GDP"/>
    <s v="Units"/>
    <x v="5"/>
    <n v="38.445"/>
  </r>
  <r>
    <n v="200"/>
    <x v="3"/>
    <x v="85"/>
    <x v="7"/>
    <s v="Percent of GDP"/>
    <s v="Units"/>
    <x v="6"/>
    <n v="38.936999999999998"/>
  </r>
  <r>
    <n v="1"/>
    <x v="2"/>
    <x v="85"/>
    <x v="7"/>
    <s v="Percent of GDP"/>
    <s v="Units"/>
    <x v="0"/>
    <n v="34.268000000000001"/>
  </r>
  <r>
    <n v="1"/>
    <x v="2"/>
    <x v="85"/>
    <x v="7"/>
    <s v="Percent of GDP"/>
    <s v="Units"/>
    <x v="1"/>
    <n v="38.484000000000002"/>
  </r>
  <r>
    <n v="1"/>
    <x v="2"/>
    <x v="85"/>
    <x v="7"/>
    <s v="Percent of GDP"/>
    <s v="Units"/>
    <x v="2"/>
    <n v="40.795000000000002"/>
  </r>
  <r>
    <n v="1"/>
    <x v="2"/>
    <x v="85"/>
    <x v="7"/>
    <s v="Percent of GDP"/>
    <s v="Units"/>
    <x v="3"/>
    <n v="40.872"/>
  </r>
  <r>
    <n v="1"/>
    <x v="2"/>
    <x v="85"/>
    <x v="7"/>
    <s v="Percent of GDP"/>
    <s v="Units"/>
    <x v="4"/>
    <n v="38.395000000000003"/>
  </r>
  <r>
    <n v="1"/>
    <x v="2"/>
    <x v="85"/>
    <x v="7"/>
    <s v="Percent of GDP"/>
    <s v="Units"/>
    <x v="5"/>
    <n v="38.445"/>
  </r>
  <r>
    <n v="1"/>
    <x v="2"/>
    <x v="85"/>
    <x v="7"/>
    <s v="Percent of GDP"/>
    <s v="Units"/>
    <x v="6"/>
    <n v="38.936999999999998"/>
  </r>
  <r>
    <n v="163"/>
    <x v="5"/>
    <x v="128"/>
    <x v="3"/>
    <s v="Percent of GDP"/>
    <s v="Units"/>
    <x v="0"/>
    <n v="35.671999999999997"/>
  </r>
  <r>
    <n v="163"/>
    <x v="5"/>
    <x v="128"/>
    <x v="3"/>
    <s v="Percent of GDP"/>
    <s v="Units"/>
    <x v="1"/>
    <n v="45.298000000000002"/>
  </r>
  <r>
    <n v="163"/>
    <x v="5"/>
    <x v="128"/>
    <x v="3"/>
    <s v="Percent of GDP"/>
    <s v="Units"/>
    <x v="2"/>
    <n v="42.930999999999997"/>
  </r>
  <r>
    <n v="163"/>
    <x v="5"/>
    <x v="128"/>
    <x v="3"/>
    <s v="Percent of GDP"/>
    <s v="Units"/>
    <x v="3"/>
    <n v="39.387999999999998"/>
  </r>
  <r>
    <n v="163"/>
    <x v="5"/>
    <x v="128"/>
    <x v="3"/>
    <s v="Percent of GDP"/>
    <s v="Units"/>
    <x v="4"/>
    <n v="39.845999999999997"/>
  </r>
  <r>
    <n v="163"/>
    <x v="5"/>
    <x v="128"/>
    <x v="3"/>
    <s v="Percent of GDP"/>
    <s v="Units"/>
    <x v="5"/>
    <n v="38.44"/>
  </r>
  <r>
    <n v="163"/>
    <x v="5"/>
    <x v="128"/>
    <x v="3"/>
    <s v="Percent of GDP"/>
    <s v="Units"/>
    <x v="6"/>
    <n v="37.668999999999997"/>
  </r>
  <r>
    <n v="110"/>
    <x v="0"/>
    <x v="128"/>
    <x v="3"/>
    <s v="Percent of GDP"/>
    <s v="Units"/>
    <x v="0"/>
    <n v="35.671999999999997"/>
  </r>
  <r>
    <n v="110"/>
    <x v="0"/>
    <x v="128"/>
    <x v="3"/>
    <s v="Percent of GDP"/>
    <s v="Units"/>
    <x v="1"/>
    <n v="45.298000000000002"/>
  </r>
  <r>
    <n v="110"/>
    <x v="0"/>
    <x v="128"/>
    <x v="3"/>
    <s v="Percent of GDP"/>
    <s v="Units"/>
    <x v="2"/>
    <n v="42.930999999999997"/>
  </r>
  <r>
    <n v="110"/>
    <x v="0"/>
    <x v="128"/>
    <x v="3"/>
    <s v="Percent of GDP"/>
    <s v="Units"/>
    <x v="3"/>
    <n v="39.387999999999998"/>
  </r>
  <r>
    <n v="110"/>
    <x v="0"/>
    <x v="128"/>
    <x v="3"/>
    <s v="Percent of GDP"/>
    <s v="Units"/>
    <x v="4"/>
    <n v="39.845999999999997"/>
  </r>
  <r>
    <n v="110"/>
    <x v="0"/>
    <x v="128"/>
    <x v="3"/>
    <s v="Percent of GDP"/>
    <s v="Units"/>
    <x v="5"/>
    <n v="38.44"/>
  </r>
  <r>
    <n v="110"/>
    <x v="0"/>
    <x v="128"/>
    <x v="3"/>
    <s v="Percent of GDP"/>
    <s v="Units"/>
    <x v="6"/>
    <n v="37.668999999999997"/>
  </r>
  <r>
    <n v="998"/>
    <x v="6"/>
    <x v="128"/>
    <x v="3"/>
    <s v="Percent of GDP"/>
    <s v="Units"/>
    <x v="0"/>
    <n v="35.671999999999997"/>
  </r>
  <r>
    <n v="998"/>
    <x v="6"/>
    <x v="128"/>
    <x v="3"/>
    <s v="Percent of GDP"/>
    <s v="Units"/>
    <x v="1"/>
    <n v="45.298000000000002"/>
  </r>
  <r>
    <n v="998"/>
    <x v="6"/>
    <x v="128"/>
    <x v="3"/>
    <s v="Percent of GDP"/>
    <s v="Units"/>
    <x v="2"/>
    <n v="42.930999999999997"/>
  </r>
  <r>
    <n v="998"/>
    <x v="6"/>
    <x v="128"/>
    <x v="3"/>
    <s v="Percent of GDP"/>
    <s v="Units"/>
    <x v="3"/>
    <n v="39.387999999999998"/>
  </r>
  <r>
    <n v="998"/>
    <x v="6"/>
    <x v="128"/>
    <x v="3"/>
    <s v="Percent of GDP"/>
    <s v="Units"/>
    <x v="4"/>
    <n v="39.845999999999997"/>
  </r>
  <r>
    <n v="998"/>
    <x v="6"/>
    <x v="128"/>
    <x v="3"/>
    <s v="Percent of GDP"/>
    <s v="Units"/>
    <x v="5"/>
    <n v="38.44"/>
  </r>
  <r>
    <n v="998"/>
    <x v="6"/>
    <x v="128"/>
    <x v="3"/>
    <s v="Percent of GDP"/>
    <s v="Units"/>
    <x v="6"/>
    <n v="37.668999999999997"/>
  </r>
  <r>
    <n v="200"/>
    <x v="3"/>
    <x v="129"/>
    <x v="3"/>
    <s v="Percent of GDP"/>
    <s v="Units"/>
    <x v="0"/>
    <n v="28.771000000000001"/>
  </r>
  <r>
    <n v="200"/>
    <x v="3"/>
    <x v="129"/>
    <x v="3"/>
    <s v="Percent of GDP"/>
    <s v="Units"/>
    <x v="1"/>
    <n v="29.443999999999999"/>
  </r>
  <r>
    <n v="200"/>
    <x v="3"/>
    <x v="129"/>
    <x v="3"/>
    <s v="Percent of GDP"/>
    <s v="Units"/>
    <x v="2"/>
    <n v="30.38"/>
  </r>
  <r>
    <n v="200"/>
    <x v="3"/>
    <x v="129"/>
    <x v="3"/>
    <s v="Percent of GDP"/>
    <s v="Units"/>
    <x v="3"/>
    <n v="33.558999999999997"/>
  </r>
  <r>
    <n v="200"/>
    <x v="3"/>
    <x v="129"/>
    <x v="3"/>
    <s v="Percent of GDP"/>
    <s v="Units"/>
    <x v="4"/>
    <n v="30.198"/>
  </r>
  <r>
    <n v="200"/>
    <x v="3"/>
    <x v="129"/>
    <x v="3"/>
    <s v="Percent of GDP"/>
    <s v="Units"/>
    <x v="5"/>
    <n v="37.835000000000001"/>
  </r>
  <r>
    <n v="200"/>
    <x v="3"/>
    <x v="129"/>
    <x v="3"/>
    <s v="Percent of GDP"/>
    <s v="Units"/>
    <x v="6"/>
    <n v="34.351999999999997"/>
  </r>
  <r>
    <n v="603"/>
    <x v="12"/>
    <x v="129"/>
    <x v="3"/>
    <s v="Percent of GDP"/>
    <s v="Units"/>
    <x v="0"/>
    <n v="28.771000000000001"/>
  </r>
  <r>
    <n v="603"/>
    <x v="12"/>
    <x v="129"/>
    <x v="3"/>
    <s v="Percent of GDP"/>
    <s v="Units"/>
    <x v="1"/>
    <n v="29.443999999999999"/>
  </r>
  <r>
    <n v="603"/>
    <x v="12"/>
    <x v="129"/>
    <x v="3"/>
    <s v="Percent of GDP"/>
    <s v="Units"/>
    <x v="2"/>
    <n v="30.38"/>
  </r>
  <r>
    <n v="603"/>
    <x v="12"/>
    <x v="129"/>
    <x v="3"/>
    <s v="Percent of GDP"/>
    <s v="Units"/>
    <x v="3"/>
    <n v="33.558999999999997"/>
  </r>
  <r>
    <n v="603"/>
    <x v="12"/>
    <x v="129"/>
    <x v="3"/>
    <s v="Percent of GDP"/>
    <s v="Units"/>
    <x v="4"/>
    <n v="30.198"/>
  </r>
  <r>
    <n v="603"/>
    <x v="12"/>
    <x v="129"/>
    <x v="3"/>
    <s v="Percent of GDP"/>
    <s v="Units"/>
    <x v="5"/>
    <n v="37.835000000000001"/>
  </r>
  <r>
    <n v="603"/>
    <x v="12"/>
    <x v="129"/>
    <x v="3"/>
    <s v="Percent of GDP"/>
    <s v="Units"/>
    <x v="6"/>
    <n v="34.351999999999997"/>
  </r>
  <r>
    <n v="998"/>
    <x v="6"/>
    <x v="110"/>
    <x v="2"/>
    <s v="Percent of GDP"/>
    <s v="Units"/>
    <x v="0"/>
    <n v="37.313000000000002"/>
  </r>
  <r>
    <n v="998"/>
    <x v="6"/>
    <x v="110"/>
    <x v="2"/>
    <s v="Percent of GDP"/>
    <s v="Units"/>
    <x v="1"/>
    <n v="37.654000000000003"/>
  </r>
  <r>
    <n v="998"/>
    <x v="6"/>
    <x v="110"/>
    <x v="2"/>
    <s v="Percent of GDP"/>
    <s v="Units"/>
    <x v="2"/>
    <n v="37.630000000000003"/>
  </r>
  <r>
    <n v="998"/>
    <x v="6"/>
    <x v="110"/>
    <x v="2"/>
    <s v="Percent of GDP"/>
    <s v="Units"/>
    <x v="3"/>
    <n v="37.238"/>
  </r>
  <r>
    <n v="998"/>
    <x v="6"/>
    <x v="110"/>
    <x v="2"/>
    <s v="Percent of GDP"/>
    <s v="Units"/>
    <x v="4"/>
    <n v="37.149000000000001"/>
  </r>
  <r>
    <n v="998"/>
    <x v="6"/>
    <x v="110"/>
    <x v="2"/>
    <s v="Percent of GDP"/>
    <s v="Units"/>
    <x v="5"/>
    <n v="37.825000000000003"/>
  </r>
  <r>
    <n v="998"/>
    <x v="6"/>
    <x v="110"/>
    <x v="2"/>
    <s v="Percent of GDP"/>
    <s v="Units"/>
    <x v="6"/>
    <n v="37.557000000000002"/>
  </r>
  <r>
    <n v="110"/>
    <x v="0"/>
    <x v="110"/>
    <x v="2"/>
    <s v="Percent of GDP"/>
    <s v="Units"/>
    <x v="0"/>
    <n v="37.313000000000002"/>
  </r>
  <r>
    <n v="110"/>
    <x v="0"/>
    <x v="110"/>
    <x v="2"/>
    <s v="Percent of GDP"/>
    <s v="Units"/>
    <x v="1"/>
    <n v="37.654000000000003"/>
  </r>
  <r>
    <n v="110"/>
    <x v="0"/>
    <x v="110"/>
    <x v="2"/>
    <s v="Percent of GDP"/>
    <s v="Units"/>
    <x v="2"/>
    <n v="37.630000000000003"/>
  </r>
  <r>
    <n v="110"/>
    <x v="0"/>
    <x v="110"/>
    <x v="2"/>
    <s v="Percent of GDP"/>
    <s v="Units"/>
    <x v="3"/>
    <n v="37.238"/>
  </r>
  <r>
    <n v="110"/>
    <x v="0"/>
    <x v="110"/>
    <x v="2"/>
    <s v="Percent of GDP"/>
    <s v="Units"/>
    <x v="4"/>
    <n v="37.149000000000001"/>
  </r>
  <r>
    <n v="110"/>
    <x v="0"/>
    <x v="110"/>
    <x v="2"/>
    <s v="Percent of GDP"/>
    <s v="Units"/>
    <x v="5"/>
    <n v="37.825000000000003"/>
  </r>
  <r>
    <n v="110"/>
    <x v="0"/>
    <x v="110"/>
    <x v="2"/>
    <s v="Percent of GDP"/>
    <s v="Units"/>
    <x v="6"/>
    <n v="37.557000000000002"/>
  </r>
  <r>
    <n v="163"/>
    <x v="5"/>
    <x v="110"/>
    <x v="2"/>
    <s v="Percent of GDP"/>
    <s v="Units"/>
    <x v="0"/>
    <n v="37.313000000000002"/>
  </r>
  <r>
    <n v="163"/>
    <x v="5"/>
    <x v="110"/>
    <x v="2"/>
    <s v="Percent of GDP"/>
    <s v="Units"/>
    <x v="1"/>
    <n v="37.654000000000003"/>
  </r>
  <r>
    <n v="163"/>
    <x v="5"/>
    <x v="110"/>
    <x v="2"/>
    <s v="Percent of GDP"/>
    <s v="Units"/>
    <x v="2"/>
    <n v="37.630000000000003"/>
  </r>
  <r>
    <n v="163"/>
    <x v="5"/>
    <x v="110"/>
    <x v="2"/>
    <s v="Percent of GDP"/>
    <s v="Units"/>
    <x v="3"/>
    <n v="37.238"/>
  </r>
  <r>
    <n v="163"/>
    <x v="5"/>
    <x v="110"/>
    <x v="2"/>
    <s v="Percent of GDP"/>
    <s v="Units"/>
    <x v="4"/>
    <n v="37.149000000000001"/>
  </r>
  <r>
    <n v="163"/>
    <x v="5"/>
    <x v="110"/>
    <x v="2"/>
    <s v="Percent of GDP"/>
    <s v="Units"/>
    <x v="5"/>
    <n v="37.825000000000003"/>
  </r>
  <r>
    <n v="163"/>
    <x v="5"/>
    <x v="110"/>
    <x v="2"/>
    <s v="Percent of GDP"/>
    <s v="Units"/>
    <x v="6"/>
    <n v="37.557000000000002"/>
  </r>
  <r>
    <n v="123"/>
    <x v="9"/>
    <x v="51"/>
    <x v="2"/>
    <s v="Percent of GDP"/>
    <s v="Units"/>
    <x v="0"/>
    <n v="36.335999999999999"/>
  </r>
  <r>
    <n v="123"/>
    <x v="9"/>
    <x v="51"/>
    <x v="2"/>
    <s v="Percent of GDP"/>
    <s v="Units"/>
    <x v="1"/>
    <n v="37.74"/>
  </r>
  <r>
    <n v="123"/>
    <x v="9"/>
    <x v="51"/>
    <x v="2"/>
    <s v="Percent of GDP"/>
    <s v="Units"/>
    <x v="2"/>
    <n v="38.606000000000002"/>
  </r>
  <r>
    <n v="123"/>
    <x v="9"/>
    <x v="51"/>
    <x v="2"/>
    <s v="Percent of GDP"/>
    <s v="Units"/>
    <x v="3"/>
    <n v="38.447000000000003"/>
  </r>
  <r>
    <n v="123"/>
    <x v="9"/>
    <x v="51"/>
    <x v="2"/>
    <s v="Percent of GDP"/>
    <s v="Units"/>
    <x v="4"/>
    <n v="37.610999999999997"/>
  </r>
  <r>
    <n v="123"/>
    <x v="9"/>
    <x v="51"/>
    <x v="2"/>
    <s v="Percent of GDP"/>
    <s v="Units"/>
    <x v="5"/>
    <n v="37.741"/>
  </r>
  <r>
    <n v="123"/>
    <x v="9"/>
    <x v="51"/>
    <x v="2"/>
    <s v="Percent of GDP"/>
    <s v="Units"/>
    <x v="6"/>
    <n v="38.238999999999997"/>
  </r>
  <r>
    <n v="110"/>
    <x v="0"/>
    <x v="51"/>
    <x v="2"/>
    <s v="Percent of GDP"/>
    <s v="Units"/>
    <x v="0"/>
    <n v="36.335999999999999"/>
  </r>
  <r>
    <n v="110"/>
    <x v="0"/>
    <x v="51"/>
    <x v="2"/>
    <s v="Percent of GDP"/>
    <s v="Units"/>
    <x v="1"/>
    <n v="37.74"/>
  </r>
  <r>
    <n v="110"/>
    <x v="0"/>
    <x v="51"/>
    <x v="2"/>
    <s v="Percent of GDP"/>
    <s v="Units"/>
    <x v="2"/>
    <n v="38.606000000000002"/>
  </r>
  <r>
    <n v="110"/>
    <x v="0"/>
    <x v="51"/>
    <x v="2"/>
    <s v="Percent of GDP"/>
    <s v="Units"/>
    <x v="3"/>
    <n v="38.447000000000003"/>
  </r>
  <r>
    <n v="110"/>
    <x v="0"/>
    <x v="51"/>
    <x v="2"/>
    <s v="Percent of GDP"/>
    <s v="Units"/>
    <x v="4"/>
    <n v="37.610999999999997"/>
  </r>
  <r>
    <n v="110"/>
    <x v="0"/>
    <x v="51"/>
    <x v="2"/>
    <s v="Percent of GDP"/>
    <s v="Units"/>
    <x v="5"/>
    <n v="37.741"/>
  </r>
  <r>
    <n v="110"/>
    <x v="0"/>
    <x v="51"/>
    <x v="2"/>
    <s v="Percent of GDP"/>
    <s v="Units"/>
    <x v="6"/>
    <n v="38.238999999999997"/>
  </r>
  <r>
    <n v="400"/>
    <x v="11"/>
    <x v="73"/>
    <x v="5"/>
    <s v="Percent of GDP"/>
    <s v="Units"/>
    <x v="0"/>
    <n v="34.636000000000003"/>
  </r>
  <r>
    <n v="400"/>
    <x v="11"/>
    <x v="73"/>
    <x v="5"/>
    <s v="Percent of GDP"/>
    <s v="Units"/>
    <x v="1"/>
    <n v="33.42"/>
  </r>
  <r>
    <n v="400"/>
    <x v="11"/>
    <x v="73"/>
    <x v="5"/>
    <s v="Percent of GDP"/>
    <s v="Units"/>
    <x v="2"/>
    <n v="33.088000000000001"/>
  </r>
  <r>
    <n v="400"/>
    <x v="11"/>
    <x v="73"/>
    <x v="5"/>
    <s v="Percent of GDP"/>
    <s v="Units"/>
    <x v="3"/>
    <n v="38.523000000000003"/>
  </r>
  <r>
    <n v="400"/>
    <x v="11"/>
    <x v="73"/>
    <x v="5"/>
    <s v="Percent of GDP"/>
    <s v="Units"/>
    <x v="4"/>
    <n v="37.856999999999999"/>
  </r>
  <r>
    <n v="400"/>
    <x v="11"/>
    <x v="73"/>
    <x v="5"/>
    <s v="Percent of GDP"/>
    <s v="Units"/>
    <x v="5"/>
    <n v="37.540999999999997"/>
  </r>
  <r>
    <n v="400"/>
    <x v="11"/>
    <x v="73"/>
    <x v="5"/>
    <s v="Percent of GDP"/>
    <s v="Units"/>
    <x v="6"/>
    <n v="37.89"/>
  </r>
  <r>
    <n v="1"/>
    <x v="2"/>
    <x v="73"/>
    <x v="5"/>
    <s v="Percent of GDP"/>
    <s v="Units"/>
    <x v="0"/>
    <n v="34.636000000000003"/>
  </r>
  <r>
    <n v="1"/>
    <x v="2"/>
    <x v="73"/>
    <x v="5"/>
    <s v="Percent of GDP"/>
    <s v="Units"/>
    <x v="1"/>
    <n v="33.42"/>
  </r>
  <r>
    <n v="1"/>
    <x v="2"/>
    <x v="73"/>
    <x v="5"/>
    <s v="Percent of GDP"/>
    <s v="Units"/>
    <x v="2"/>
    <n v="33.088000000000001"/>
  </r>
  <r>
    <n v="1"/>
    <x v="2"/>
    <x v="73"/>
    <x v="5"/>
    <s v="Percent of GDP"/>
    <s v="Units"/>
    <x v="3"/>
    <n v="38.523000000000003"/>
  </r>
  <r>
    <n v="1"/>
    <x v="2"/>
    <x v="73"/>
    <x v="5"/>
    <s v="Percent of GDP"/>
    <s v="Units"/>
    <x v="4"/>
    <n v="37.856999999999999"/>
  </r>
  <r>
    <n v="1"/>
    <x v="2"/>
    <x v="73"/>
    <x v="5"/>
    <s v="Percent of GDP"/>
    <s v="Units"/>
    <x v="5"/>
    <n v="37.540999999999997"/>
  </r>
  <r>
    <n v="1"/>
    <x v="2"/>
    <x v="73"/>
    <x v="5"/>
    <s v="Percent of GDP"/>
    <s v="Units"/>
    <x v="6"/>
    <n v="37.89"/>
  </r>
  <r>
    <n v="200"/>
    <x v="3"/>
    <x v="73"/>
    <x v="5"/>
    <s v="Percent of GDP"/>
    <s v="Units"/>
    <x v="0"/>
    <n v="34.636000000000003"/>
  </r>
  <r>
    <n v="200"/>
    <x v="3"/>
    <x v="73"/>
    <x v="5"/>
    <s v="Percent of GDP"/>
    <s v="Units"/>
    <x v="1"/>
    <n v="33.42"/>
  </r>
  <r>
    <n v="200"/>
    <x v="3"/>
    <x v="73"/>
    <x v="5"/>
    <s v="Percent of GDP"/>
    <s v="Units"/>
    <x v="2"/>
    <n v="33.088000000000001"/>
  </r>
  <r>
    <n v="200"/>
    <x v="3"/>
    <x v="73"/>
    <x v="5"/>
    <s v="Percent of GDP"/>
    <s v="Units"/>
    <x v="3"/>
    <n v="38.523000000000003"/>
  </r>
  <r>
    <n v="200"/>
    <x v="3"/>
    <x v="73"/>
    <x v="5"/>
    <s v="Percent of GDP"/>
    <s v="Units"/>
    <x v="4"/>
    <n v="37.856999999999999"/>
  </r>
  <r>
    <n v="200"/>
    <x v="3"/>
    <x v="73"/>
    <x v="5"/>
    <s v="Percent of GDP"/>
    <s v="Units"/>
    <x v="5"/>
    <n v="37.540999999999997"/>
  </r>
  <r>
    <n v="200"/>
    <x v="3"/>
    <x v="73"/>
    <x v="5"/>
    <s v="Percent of GDP"/>
    <s v="Units"/>
    <x v="6"/>
    <n v="37.89"/>
  </r>
  <r>
    <n v="200"/>
    <x v="3"/>
    <x v="10"/>
    <x v="3"/>
    <s v="Percent of GDP"/>
    <s v="Units"/>
    <x v="0"/>
    <n v="33.752000000000002"/>
  </r>
  <r>
    <n v="200"/>
    <x v="3"/>
    <x v="10"/>
    <x v="3"/>
    <s v="Percent of GDP"/>
    <s v="Units"/>
    <x v="1"/>
    <n v="39.152999999999999"/>
  </r>
  <r>
    <n v="200"/>
    <x v="3"/>
    <x v="10"/>
    <x v="3"/>
    <s v="Percent of GDP"/>
    <s v="Units"/>
    <x v="2"/>
    <n v="34.67"/>
  </r>
  <r>
    <n v="200"/>
    <x v="3"/>
    <x v="10"/>
    <x v="3"/>
    <s v="Percent of GDP"/>
    <s v="Units"/>
    <x v="3"/>
    <n v="35.521000000000001"/>
  </r>
  <r>
    <n v="200"/>
    <x v="3"/>
    <x v="10"/>
    <x v="3"/>
    <s v="Percent of GDP"/>
    <s v="Units"/>
    <x v="4"/>
    <n v="36.823999999999998"/>
  </r>
  <r>
    <n v="200"/>
    <x v="3"/>
    <x v="10"/>
    <x v="3"/>
    <s v="Percent of GDP"/>
    <s v="Units"/>
    <x v="5"/>
    <n v="37.524999999999999"/>
  </r>
  <r>
    <n v="200"/>
    <x v="3"/>
    <x v="10"/>
    <x v="3"/>
    <s v="Percent of GDP"/>
    <s v="Units"/>
    <x v="6"/>
    <n v="37.095999999999997"/>
  </r>
  <r>
    <n v="903"/>
    <x v="8"/>
    <x v="10"/>
    <x v="3"/>
    <s v="Percent of GDP"/>
    <s v="Units"/>
    <x v="0"/>
    <n v="33.752000000000002"/>
  </r>
  <r>
    <n v="903"/>
    <x v="8"/>
    <x v="10"/>
    <x v="3"/>
    <s v="Percent of GDP"/>
    <s v="Units"/>
    <x v="1"/>
    <n v="39.152999999999999"/>
  </r>
  <r>
    <n v="903"/>
    <x v="8"/>
    <x v="10"/>
    <x v="3"/>
    <s v="Percent of GDP"/>
    <s v="Units"/>
    <x v="2"/>
    <n v="34.67"/>
  </r>
  <r>
    <n v="903"/>
    <x v="8"/>
    <x v="10"/>
    <x v="3"/>
    <s v="Percent of GDP"/>
    <s v="Units"/>
    <x v="3"/>
    <n v="35.521000000000001"/>
  </r>
  <r>
    <n v="903"/>
    <x v="8"/>
    <x v="10"/>
    <x v="3"/>
    <s v="Percent of GDP"/>
    <s v="Units"/>
    <x v="4"/>
    <n v="36.823999999999998"/>
  </r>
  <r>
    <n v="903"/>
    <x v="8"/>
    <x v="10"/>
    <x v="3"/>
    <s v="Percent of GDP"/>
    <s v="Units"/>
    <x v="5"/>
    <n v="37.524999999999999"/>
  </r>
  <r>
    <n v="903"/>
    <x v="8"/>
    <x v="10"/>
    <x v="3"/>
    <s v="Percent of GDP"/>
    <s v="Units"/>
    <x v="6"/>
    <n v="37.095999999999997"/>
  </r>
  <r>
    <n v="200"/>
    <x v="3"/>
    <x v="119"/>
    <x v="2"/>
    <s v="Percent of GDP"/>
    <s v="Units"/>
    <x v="0"/>
    <n v="30.765999999999998"/>
  </r>
  <r>
    <n v="200"/>
    <x v="3"/>
    <x v="119"/>
    <x v="2"/>
    <s v="Percent of GDP"/>
    <s v="Units"/>
    <x v="1"/>
    <n v="29.010999999999999"/>
  </r>
  <r>
    <n v="200"/>
    <x v="3"/>
    <x v="119"/>
    <x v="2"/>
    <s v="Percent of GDP"/>
    <s v="Units"/>
    <x v="2"/>
    <n v="31.37"/>
  </r>
  <r>
    <n v="200"/>
    <x v="3"/>
    <x v="119"/>
    <x v="2"/>
    <s v="Percent of GDP"/>
    <s v="Units"/>
    <x v="3"/>
    <n v="36.503"/>
  </r>
  <r>
    <n v="200"/>
    <x v="3"/>
    <x v="119"/>
    <x v="2"/>
    <s v="Percent of GDP"/>
    <s v="Units"/>
    <x v="4"/>
    <n v="40.725999999999999"/>
  </r>
  <r>
    <n v="200"/>
    <x v="3"/>
    <x v="119"/>
    <x v="2"/>
    <s v="Percent of GDP"/>
    <s v="Units"/>
    <x v="5"/>
    <n v="37.515999999999998"/>
  </r>
  <r>
    <n v="200"/>
    <x v="3"/>
    <x v="119"/>
    <x v="2"/>
    <s v="Percent of GDP"/>
    <s v="Units"/>
    <x v="6"/>
    <n v="36.180999999999997"/>
  </r>
  <r>
    <n v="400"/>
    <x v="11"/>
    <x v="119"/>
    <x v="2"/>
    <s v="Percent of GDP"/>
    <s v="Units"/>
    <x v="0"/>
    <n v="30.765999999999998"/>
  </r>
  <r>
    <n v="400"/>
    <x v="11"/>
    <x v="119"/>
    <x v="2"/>
    <s v="Percent of GDP"/>
    <s v="Units"/>
    <x v="1"/>
    <n v="29.010999999999999"/>
  </r>
  <r>
    <n v="400"/>
    <x v="11"/>
    <x v="119"/>
    <x v="2"/>
    <s v="Percent of GDP"/>
    <s v="Units"/>
    <x v="2"/>
    <n v="31.37"/>
  </r>
  <r>
    <n v="400"/>
    <x v="11"/>
    <x v="119"/>
    <x v="2"/>
    <s v="Percent of GDP"/>
    <s v="Units"/>
    <x v="3"/>
    <n v="36.503"/>
  </r>
  <r>
    <n v="400"/>
    <x v="11"/>
    <x v="119"/>
    <x v="2"/>
    <s v="Percent of GDP"/>
    <s v="Units"/>
    <x v="4"/>
    <n v="40.725999999999999"/>
  </r>
  <r>
    <n v="400"/>
    <x v="11"/>
    <x v="119"/>
    <x v="2"/>
    <s v="Percent of GDP"/>
    <s v="Units"/>
    <x v="5"/>
    <n v="37.515999999999998"/>
  </r>
  <r>
    <n v="400"/>
    <x v="11"/>
    <x v="119"/>
    <x v="2"/>
    <s v="Percent of GDP"/>
    <s v="Units"/>
    <x v="6"/>
    <n v="36.180999999999997"/>
  </r>
  <r>
    <n v="400"/>
    <x v="11"/>
    <x v="34"/>
    <x v="7"/>
    <s v="Percent of GDP"/>
    <s v="Units"/>
    <x v="0"/>
    <n v="39.409999999999997"/>
  </r>
  <r>
    <n v="400"/>
    <x v="11"/>
    <x v="34"/>
    <x v="7"/>
    <s v="Percent of GDP"/>
    <s v="Units"/>
    <x v="1"/>
    <n v="44.26"/>
  </r>
  <r>
    <n v="400"/>
    <x v="11"/>
    <x v="34"/>
    <x v="7"/>
    <s v="Percent of GDP"/>
    <s v="Units"/>
    <x v="2"/>
    <n v="41.317999999999998"/>
  </r>
  <r>
    <n v="400"/>
    <x v="11"/>
    <x v="34"/>
    <x v="7"/>
    <s v="Percent of GDP"/>
    <s v="Units"/>
    <x v="3"/>
    <n v="39.953000000000003"/>
  </r>
  <r>
    <n v="400"/>
    <x v="11"/>
    <x v="34"/>
    <x v="7"/>
    <s v="Percent of GDP"/>
    <s v="Units"/>
    <x v="4"/>
    <n v="38.298000000000002"/>
  </r>
  <r>
    <n v="400"/>
    <x v="11"/>
    <x v="34"/>
    <x v="7"/>
    <s v="Percent of GDP"/>
    <s v="Units"/>
    <x v="5"/>
    <n v="37.508000000000003"/>
  </r>
  <r>
    <n v="400"/>
    <x v="11"/>
    <x v="34"/>
    <x v="7"/>
    <s v="Percent of GDP"/>
    <s v="Units"/>
    <x v="6"/>
    <n v="36.838999999999999"/>
  </r>
  <r>
    <n v="1"/>
    <x v="2"/>
    <x v="34"/>
    <x v="7"/>
    <s v="Percent of GDP"/>
    <s v="Units"/>
    <x v="0"/>
    <n v="39.409999999999997"/>
  </r>
  <r>
    <n v="1"/>
    <x v="2"/>
    <x v="34"/>
    <x v="7"/>
    <s v="Percent of GDP"/>
    <s v="Units"/>
    <x v="1"/>
    <n v="44.26"/>
  </r>
  <r>
    <n v="1"/>
    <x v="2"/>
    <x v="34"/>
    <x v="7"/>
    <s v="Percent of GDP"/>
    <s v="Units"/>
    <x v="2"/>
    <n v="41.317999999999998"/>
  </r>
  <r>
    <n v="1"/>
    <x v="2"/>
    <x v="34"/>
    <x v="7"/>
    <s v="Percent of GDP"/>
    <s v="Units"/>
    <x v="3"/>
    <n v="39.953000000000003"/>
  </r>
  <r>
    <n v="1"/>
    <x v="2"/>
    <x v="34"/>
    <x v="7"/>
    <s v="Percent of GDP"/>
    <s v="Units"/>
    <x v="4"/>
    <n v="38.298000000000002"/>
  </r>
  <r>
    <n v="1"/>
    <x v="2"/>
    <x v="34"/>
    <x v="7"/>
    <s v="Percent of GDP"/>
    <s v="Units"/>
    <x v="5"/>
    <n v="37.508000000000003"/>
  </r>
  <r>
    <n v="1"/>
    <x v="2"/>
    <x v="34"/>
    <x v="7"/>
    <s v="Percent of GDP"/>
    <s v="Units"/>
    <x v="6"/>
    <n v="36.838999999999999"/>
  </r>
  <r>
    <n v="200"/>
    <x v="3"/>
    <x v="34"/>
    <x v="7"/>
    <s v="Percent of GDP"/>
    <s v="Units"/>
    <x v="0"/>
    <n v="39.409999999999997"/>
  </r>
  <r>
    <n v="200"/>
    <x v="3"/>
    <x v="34"/>
    <x v="7"/>
    <s v="Percent of GDP"/>
    <s v="Units"/>
    <x v="1"/>
    <n v="44.26"/>
  </r>
  <r>
    <n v="200"/>
    <x v="3"/>
    <x v="34"/>
    <x v="7"/>
    <s v="Percent of GDP"/>
    <s v="Units"/>
    <x v="2"/>
    <n v="41.317999999999998"/>
  </r>
  <r>
    <n v="200"/>
    <x v="3"/>
    <x v="34"/>
    <x v="7"/>
    <s v="Percent of GDP"/>
    <s v="Units"/>
    <x v="3"/>
    <n v="39.953000000000003"/>
  </r>
  <r>
    <n v="200"/>
    <x v="3"/>
    <x v="34"/>
    <x v="7"/>
    <s v="Percent of GDP"/>
    <s v="Units"/>
    <x v="4"/>
    <n v="38.298000000000002"/>
  </r>
  <r>
    <n v="200"/>
    <x v="3"/>
    <x v="34"/>
    <x v="7"/>
    <s v="Percent of GDP"/>
    <s v="Units"/>
    <x v="5"/>
    <n v="37.508000000000003"/>
  </r>
  <r>
    <n v="200"/>
    <x v="3"/>
    <x v="34"/>
    <x v="7"/>
    <s v="Percent of GDP"/>
    <s v="Units"/>
    <x v="6"/>
    <n v="36.838999999999999"/>
  </r>
  <r>
    <n v="400"/>
    <x v="11"/>
    <x v="34"/>
    <x v="1"/>
    <s v="Percent change"/>
    <s v="Units"/>
    <x v="0"/>
    <n v="34.685000000000002"/>
  </r>
  <r>
    <n v="400"/>
    <x v="11"/>
    <x v="34"/>
    <x v="1"/>
    <s v="Percent change"/>
    <s v="Units"/>
    <x v="1"/>
    <n v="36.43"/>
  </r>
  <r>
    <n v="400"/>
    <x v="11"/>
    <x v="34"/>
    <x v="1"/>
    <s v="Percent change"/>
    <s v="Units"/>
    <x v="2"/>
    <n v="40.213999999999999"/>
  </r>
  <r>
    <n v="400"/>
    <x v="11"/>
    <x v="34"/>
    <x v="1"/>
    <s v="Percent change"/>
    <s v="Units"/>
    <x v="3"/>
    <n v="45.752000000000002"/>
  </r>
  <r>
    <n v="400"/>
    <x v="11"/>
    <x v="34"/>
    <x v="1"/>
    <s v="Percent change"/>
    <s v="Units"/>
    <x v="4"/>
    <n v="41.5"/>
  </r>
  <r>
    <n v="400"/>
    <x v="11"/>
    <x v="34"/>
    <x v="1"/>
    <s v="Percent change"/>
    <s v="Units"/>
    <x v="5"/>
    <n v="37.5"/>
  </r>
  <r>
    <n v="400"/>
    <x v="11"/>
    <x v="34"/>
    <x v="1"/>
    <s v="Percent change"/>
    <s v="Units"/>
    <x v="6"/>
    <n v="32.5"/>
  </r>
  <r>
    <n v="200"/>
    <x v="3"/>
    <x v="34"/>
    <x v="1"/>
    <s v="Percent change"/>
    <s v="Units"/>
    <x v="0"/>
    <n v="34.685000000000002"/>
  </r>
  <r>
    <n v="200"/>
    <x v="3"/>
    <x v="34"/>
    <x v="1"/>
    <s v="Percent change"/>
    <s v="Units"/>
    <x v="1"/>
    <n v="36.43"/>
  </r>
  <r>
    <n v="200"/>
    <x v="3"/>
    <x v="34"/>
    <x v="1"/>
    <s v="Percent change"/>
    <s v="Units"/>
    <x v="2"/>
    <n v="40.213999999999999"/>
  </r>
  <r>
    <n v="200"/>
    <x v="3"/>
    <x v="34"/>
    <x v="1"/>
    <s v="Percent change"/>
    <s v="Units"/>
    <x v="3"/>
    <n v="45.752000000000002"/>
  </r>
  <r>
    <n v="200"/>
    <x v="3"/>
    <x v="34"/>
    <x v="1"/>
    <s v="Percent change"/>
    <s v="Units"/>
    <x v="4"/>
    <n v="41.5"/>
  </r>
  <r>
    <n v="200"/>
    <x v="3"/>
    <x v="34"/>
    <x v="1"/>
    <s v="Percent change"/>
    <s v="Units"/>
    <x v="5"/>
    <n v="37.5"/>
  </r>
  <r>
    <n v="200"/>
    <x v="3"/>
    <x v="34"/>
    <x v="1"/>
    <s v="Percent change"/>
    <s v="Units"/>
    <x v="6"/>
    <n v="32.5"/>
  </r>
  <r>
    <n v="1"/>
    <x v="2"/>
    <x v="34"/>
    <x v="1"/>
    <s v="Percent change"/>
    <s v="Units"/>
    <x v="0"/>
    <n v="34.685000000000002"/>
  </r>
  <r>
    <n v="1"/>
    <x v="2"/>
    <x v="34"/>
    <x v="1"/>
    <s v="Percent change"/>
    <s v="Units"/>
    <x v="1"/>
    <n v="36.43"/>
  </r>
  <r>
    <n v="1"/>
    <x v="2"/>
    <x v="34"/>
    <x v="1"/>
    <s v="Percent change"/>
    <s v="Units"/>
    <x v="2"/>
    <n v="40.213999999999999"/>
  </r>
  <r>
    <n v="1"/>
    <x v="2"/>
    <x v="34"/>
    <x v="1"/>
    <s v="Percent change"/>
    <s v="Units"/>
    <x v="3"/>
    <n v="45.752000000000002"/>
  </r>
  <r>
    <n v="1"/>
    <x v="2"/>
    <x v="34"/>
    <x v="1"/>
    <s v="Percent change"/>
    <s v="Units"/>
    <x v="4"/>
    <n v="41.5"/>
  </r>
  <r>
    <n v="1"/>
    <x v="2"/>
    <x v="34"/>
    <x v="1"/>
    <s v="Percent change"/>
    <s v="Units"/>
    <x v="5"/>
    <n v="37.5"/>
  </r>
  <r>
    <n v="1"/>
    <x v="2"/>
    <x v="34"/>
    <x v="1"/>
    <s v="Percent change"/>
    <s v="Units"/>
    <x v="6"/>
    <n v="32.5"/>
  </r>
  <r>
    <n v="1"/>
    <x v="2"/>
    <x v="130"/>
    <x v="7"/>
    <s v="Percent of GDP"/>
    <s v="Units"/>
    <x v="0"/>
    <n v="49.878999999999998"/>
  </r>
  <r>
    <n v="1"/>
    <x v="2"/>
    <x v="130"/>
    <x v="7"/>
    <s v="Percent of GDP"/>
    <s v="Units"/>
    <x v="1"/>
    <n v="42.677"/>
  </r>
  <r>
    <n v="1"/>
    <x v="2"/>
    <x v="130"/>
    <x v="7"/>
    <s v="Percent of GDP"/>
    <s v="Units"/>
    <x v="2"/>
    <n v="41.884999999999998"/>
  </r>
  <r>
    <n v="1"/>
    <x v="2"/>
    <x v="130"/>
    <x v="7"/>
    <s v="Percent of GDP"/>
    <s v="Units"/>
    <x v="3"/>
    <n v="50.389000000000003"/>
  </r>
  <r>
    <n v="1"/>
    <x v="2"/>
    <x v="130"/>
    <x v="7"/>
    <s v="Percent of GDP"/>
    <s v="Units"/>
    <x v="4"/>
    <n v="66.052999999999997"/>
  </r>
  <r>
    <n v="1"/>
    <x v="2"/>
    <x v="130"/>
    <x v="7"/>
    <s v="Percent of GDP"/>
    <s v="Units"/>
    <x v="5"/>
    <n v="37.4"/>
  </r>
  <r>
    <n v="1"/>
    <x v="2"/>
    <x v="130"/>
    <x v="7"/>
    <s v="Percent of GDP"/>
    <s v="Units"/>
    <x v="6"/>
    <n v="33.414999999999999"/>
  </r>
  <r>
    <n v="505"/>
    <x v="4"/>
    <x v="130"/>
    <x v="7"/>
    <s v="Percent of GDP"/>
    <s v="Units"/>
    <x v="0"/>
    <n v="49.878999999999998"/>
  </r>
  <r>
    <n v="505"/>
    <x v="4"/>
    <x v="130"/>
    <x v="7"/>
    <s v="Percent of GDP"/>
    <s v="Units"/>
    <x v="1"/>
    <n v="42.677"/>
  </r>
  <r>
    <n v="505"/>
    <x v="4"/>
    <x v="130"/>
    <x v="7"/>
    <s v="Percent of GDP"/>
    <s v="Units"/>
    <x v="2"/>
    <n v="41.884999999999998"/>
  </r>
  <r>
    <n v="505"/>
    <x v="4"/>
    <x v="130"/>
    <x v="7"/>
    <s v="Percent of GDP"/>
    <s v="Units"/>
    <x v="3"/>
    <n v="50.389000000000003"/>
  </r>
  <r>
    <n v="505"/>
    <x v="4"/>
    <x v="130"/>
    <x v="7"/>
    <s v="Percent of GDP"/>
    <s v="Units"/>
    <x v="4"/>
    <n v="66.052999999999997"/>
  </r>
  <r>
    <n v="505"/>
    <x v="4"/>
    <x v="130"/>
    <x v="7"/>
    <s v="Percent of GDP"/>
    <s v="Units"/>
    <x v="5"/>
    <n v="37.4"/>
  </r>
  <r>
    <n v="505"/>
    <x v="4"/>
    <x v="130"/>
    <x v="7"/>
    <s v="Percent of GDP"/>
    <s v="Units"/>
    <x v="6"/>
    <n v="33.414999999999999"/>
  </r>
  <r>
    <n v="200"/>
    <x v="3"/>
    <x v="130"/>
    <x v="7"/>
    <s v="Percent of GDP"/>
    <s v="Units"/>
    <x v="0"/>
    <n v="49.878999999999998"/>
  </r>
  <r>
    <n v="200"/>
    <x v="3"/>
    <x v="130"/>
    <x v="7"/>
    <s v="Percent of GDP"/>
    <s v="Units"/>
    <x v="1"/>
    <n v="42.677"/>
  </r>
  <r>
    <n v="200"/>
    <x v="3"/>
    <x v="130"/>
    <x v="7"/>
    <s v="Percent of GDP"/>
    <s v="Units"/>
    <x v="2"/>
    <n v="41.884999999999998"/>
  </r>
  <r>
    <n v="200"/>
    <x v="3"/>
    <x v="130"/>
    <x v="7"/>
    <s v="Percent of GDP"/>
    <s v="Units"/>
    <x v="3"/>
    <n v="50.389000000000003"/>
  </r>
  <r>
    <n v="200"/>
    <x v="3"/>
    <x v="130"/>
    <x v="7"/>
    <s v="Percent of GDP"/>
    <s v="Units"/>
    <x v="4"/>
    <n v="66.052999999999997"/>
  </r>
  <r>
    <n v="200"/>
    <x v="3"/>
    <x v="130"/>
    <x v="7"/>
    <s v="Percent of GDP"/>
    <s v="Units"/>
    <x v="5"/>
    <n v="37.4"/>
  </r>
  <r>
    <n v="200"/>
    <x v="3"/>
    <x v="130"/>
    <x v="7"/>
    <s v="Percent of GDP"/>
    <s v="Units"/>
    <x v="6"/>
    <n v="33.414999999999999"/>
  </r>
  <r>
    <n v="1"/>
    <x v="2"/>
    <x v="131"/>
    <x v="0"/>
    <s v="U.S. dollars"/>
    <s v="Billions"/>
    <x v="0"/>
    <n v="25.091000000000001"/>
  </r>
  <r>
    <n v="1"/>
    <x v="2"/>
    <x v="131"/>
    <x v="0"/>
    <s v="U.S. dollars"/>
    <s v="Billions"/>
    <x v="1"/>
    <n v="23.826000000000001"/>
  </r>
  <r>
    <n v="1"/>
    <x v="2"/>
    <x v="131"/>
    <x v="0"/>
    <s v="U.S. dollars"/>
    <s v="Billions"/>
    <x v="2"/>
    <n v="28.49"/>
  </r>
  <r>
    <n v="1"/>
    <x v="2"/>
    <x v="131"/>
    <x v="0"/>
    <s v="U.S. dollars"/>
    <s v="Billions"/>
    <x v="3"/>
    <n v="31.716000000000001"/>
  </r>
  <r>
    <n v="1"/>
    <x v="2"/>
    <x v="131"/>
    <x v="0"/>
    <s v="U.S. dollars"/>
    <s v="Billions"/>
    <x v="4"/>
    <n v="34.886000000000003"/>
  </r>
  <r>
    <n v="1"/>
    <x v="2"/>
    <x v="131"/>
    <x v="0"/>
    <s v="U.S. dollars"/>
    <s v="Billions"/>
    <x v="5"/>
    <n v="37.354999999999997"/>
  </r>
  <r>
    <n v="1"/>
    <x v="2"/>
    <x v="131"/>
    <x v="0"/>
    <s v="U.S. dollars"/>
    <s v="Billions"/>
    <x v="6"/>
    <n v="39.624000000000002"/>
  </r>
  <r>
    <n v="200"/>
    <x v="3"/>
    <x v="131"/>
    <x v="0"/>
    <s v="U.S. dollars"/>
    <s v="Billions"/>
    <x v="0"/>
    <n v="25.091000000000001"/>
  </r>
  <r>
    <n v="200"/>
    <x v="3"/>
    <x v="131"/>
    <x v="0"/>
    <s v="U.S. dollars"/>
    <s v="Billions"/>
    <x v="1"/>
    <n v="23.826000000000001"/>
  </r>
  <r>
    <n v="200"/>
    <x v="3"/>
    <x v="131"/>
    <x v="0"/>
    <s v="U.S. dollars"/>
    <s v="Billions"/>
    <x v="2"/>
    <n v="28.49"/>
  </r>
  <r>
    <n v="200"/>
    <x v="3"/>
    <x v="131"/>
    <x v="0"/>
    <s v="U.S. dollars"/>
    <s v="Billions"/>
    <x v="3"/>
    <n v="31.716000000000001"/>
  </r>
  <r>
    <n v="200"/>
    <x v="3"/>
    <x v="131"/>
    <x v="0"/>
    <s v="U.S. dollars"/>
    <s v="Billions"/>
    <x v="4"/>
    <n v="34.886000000000003"/>
  </r>
  <r>
    <n v="200"/>
    <x v="3"/>
    <x v="131"/>
    <x v="0"/>
    <s v="U.S. dollars"/>
    <s v="Billions"/>
    <x v="5"/>
    <n v="37.354999999999997"/>
  </r>
  <r>
    <n v="200"/>
    <x v="3"/>
    <x v="131"/>
    <x v="0"/>
    <s v="U.S. dollars"/>
    <s v="Billions"/>
    <x v="6"/>
    <n v="39.624000000000002"/>
  </r>
  <r>
    <n v="205"/>
    <x v="7"/>
    <x v="131"/>
    <x v="0"/>
    <s v="U.S. dollars"/>
    <s v="Billions"/>
    <x v="0"/>
    <n v="25.091000000000001"/>
  </r>
  <r>
    <n v="205"/>
    <x v="7"/>
    <x v="131"/>
    <x v="0"/>
    <s v="U.S. dollars"/>
    <s v="Billions"/>
    <x v="1"/>
    <n v="23.826000000000001"/>
  </r>
  <r>
    <n v="205"/>
    <x v="7"/>
    <x v="131"/>
    <x v="0"/>
    <s v="U.S. dollars"/>
    <s v="Billions"/>
    <x v="2"/>
    <n v="28.49"/>
  </r>
  <r>
    <n v="205"/>
    <x v="7"/>
    <x v="131"/>
    <x v="0"/>
    <s v="U.S. dollars"/>
    <s v="Billions"/>
    <x v="3"/>
    <n v="31.716000000000001"/>
  </r>
  <r>
    <n v="205"/>
    <x v="7"/>
    <x v="131"/>
    <x v="0"/>
    <s v="U.S. dollars"/>
    <s v="Billions"/>
    <x v="4"/>
    <n v="34.886000000000003"/>
  </r>
  <r>
    <n v="205"/>
    <x v="7"/>
    <x v="131"/>
    <x v="0"/>
    <s v="U.S. dollars"/>
    <s v="Billions"/>
    <x v="5"/>
    <n v="37.354999999999997"/>
  </r>
  <r>
    <n v="205"/>
    <x v="7"/>
    <x v="131"/>
    <x v="0"/>
    <s v="U.S. dollars"/>
    <s v="Billions"/>
    <x v="6"/>
    <n v="39.624000000000002"/>
  </r>
  <r>
    <n v="1"/>
    <x v="2"/>
    <x v="132"/>
    <x v="7"/>
    <s v="Percent of GDP"/>
    <s v="Units"/>
    <x v="0"/>
    <n v="34.640999999999998"/>
  </r>
  <r>
    <n v="1"/>
    <x v="2"/>
    <x v="132"/>
    <x v="7"/>
    <s v="Percent of GDP"/>
    <s v="Units"/>
    <x v="1"/>
    <n v="34.192999999999998"/>
  </r>
  <r>
    <n v="1"/>
    <x v="2"/>
    <x v="132"/>
    <x v="7"/>
    <s v="Percent of GDP"/>
    <s v="Units"/>
    <x v="2"/>
    <n v="45.648000000000003"/>
  </r>
  <r>
    <n v="1"/>
    <x v="2"/>
    <x v="132"/>
    <x v="7"/>
    <s v="Percent of GDP"/>
    <s v="Units"/>
    <x v="3"/>
    <n v="39.151000000000003"/>
  </r>
  <r>
    <n v="1"/>
    <x v="2"/>
    <x v="132"/>
    <x v="7"/>
    <s v="Percent of GDP"/>
    <s v="Units"/>
    <x v="4"/>
    <n v="36.658999999999999"/>
  </r>
  <r>
    <n v="1"/>
    <x v="2"/>
    <x v="132"/>
    <x v="7"/>
    <s v="Percent of GDP"/>
    <s v="Units"/>
    <x v="5"/>
    <n v="37.244999999999997"/>
  </r>
  <r>
    <n v="1"/>
    <x v="2"/>
    <x v="132"/>
    <x v="7"/>
    <s v="Percent of GDP"/>
    <s v="Units"/>
    <x v="6"/>
    <n v="36.683"/>
  </r>
  <r>
    <n v="205"/>
    <x v="7"/>
    <x v="132"/>
    <x v="7"/>
    <s v="Percent of GDP"/>
    <s v="Units"/>
    <x v="0"/>
    <n v="34.640999999999998"/>
  </r>
  <r>
    <n v="205"/>
    <x v="7"/>
    <x v="132"/>
    <x v="7"/>
    <s v="Percent of GDP"/>
    <s v="Units"/>
    <x v="1"/>
    <n v="34.192999999999998"/>
  </r>
  <r>
    <n v="205"/>
    <x v="7"/>
    <x v="132"/>
    <x v="7"/>
    <s v="Percent of GDP"/>
    <s v="Units"/>
    <x v="2"/>
    <n v="45.648000000000003"/>
  </r>
  <r>
    <n v="205"/>
    <x v="7"/>
    <x v="132"/>
    <x v="7"/>
    <s v="Percent of GDP"/>
    <s v="Units"/>
    <x v="3"/>
    <n v="39.151000000000003"/>
  </r>
  <r>
    <n v="205"/>
    <x v="7"/>
    <x v="132"/>
    <x v="7"/>
    <s v="Percent of GDP"/>
    <s v="Units"/>
    <x v="4"/>
    <n v="36.658999999999999"/>
  </r>
  <r>
    <n v="205"/>
    <x v="7"/>
    <x v="132"/>
    <x v="7"/>
    <s v="Percent of GDP"/>
    <s v="Units"/>
    <x v="5"/>
    <n v="37.244999999999997"/>
  </r>
  <r>
    <n v="205"/>
    <x v="7"/>
    <x v="132"/>
    <x v="7"/>
    <s v="Percent of GDP"/>
    <s v="Units"/>
    <x v="6"/>
    <n v="36.683"/>
  </r>
  <r>
    <n v="200"/>
    <x v="3"/>
    <x v="132"/>
    <x v="7"/>
    <s v="Percent of GDP"/>
    <s v="Units"/>
    <x v="0"/>
    <n v="34.640999999999998"/>
  </r>
  <r>
    <n v="200"/>
    <x v="3"/>
    <x v="132"/>
    <x v="7"/>
    <s v="Percent of GDP"/>
    <s v="Units"/>
    <x v="1"/>
    <n v="34.192999999999998"/>
  </r>
  <r>
    <n v="200"/>
    <x v="3"/>
    <x v="132"/>
    <x v="7"/>
    <s v="Percent of GDP"/>
    <s v="Units"/>
    <x v="2"/>
    <n v="45.648000000000003"/>
  </r>
  <r>
    <n v="200"/>
    <x v="3"/>
    <x v="132"/>
    <x v="7"/>
    <s v="Percent of GDP"/>
    <s v="Units"/>
    <x v="3"/>
    <n v="39.151000000000003"/>
  </r>
  <r>
    <n v="200"/>
    <x v="3"/>
    <x v="132"/>
    <x v="7"/>
    <s v="Percent of GDP"/>
    <s v="Units"/>
    <x v="4"/>
    <n v="36.658999999999999"/>
  </r>
  <r>
    <n v="200"/>
    <x v="3"/>
    <x v="132"/>
    <x v="7"/>
    <s v="Percent of GDP"/>
    <s v="Units"/>
    <x v="5"/>
    <n v="37.244999999999997"/>
  </r>
  <r>
    <n v="200"/>
    <x v="3"/>
    <x v="132"/>
    <x v="7"/>
    <s v="Percent of GDP"/>
    <s v="Units"/>
    <x v="6"/>
    <n v="36.683"/>
  </r>
  <r>
    <n v="110"/>
    <x v="0"/>
    <x v="0"/>
    <x v="3"/>
    <s v="Percent of GDP"/>
    <s v="Units"/>
    <x v="0"/>
    <n v="35.848999999999997"/>
  </r>
  <r>
    <n v="110"/>
    <x v="0"/>
    <x v="0"/>
    <x v="3"/>
    <s v="Percent of GDP"/>
    <s v="Units"/>
    <x v="1"/>
    <n v="44.637"/>
  </r>
  <r>
    <n v="110"/>
    <x v="0"/>
    <x v="0"/>
    <x v="3"/>
    <s v="Percent of GDP"/>
    <s v="Units"/>
    <x v="2"/>
    <n v="42.783000000000001"/>
  </r>
  <r>
    <n v="110"/>
    <x v="0"/>
    <x v="0"/>
    <x v="3"/>
    <s v="Percent of GDP"/>
    <s v="Units"/>
    <x v="3"/>
    <n v="36.786000000000001"/>
  </r>
  <r>
    <n v="110"/>
    <x v="0"/>
    <x v="0"/>
    <x v="3"/>
    <s v="Percent of GDP"/>
    <s v="Units"/>
    <x v="4"/>
    <n v="38.067"/>
  </r>
  <r>
    <n v="110"/>
    <x v="0"/>
    <x v="0"/>
    <x v="3"/>
    <s v="Percent of GDP"/>
    <s v="Units"/>
    <x v="5"/>
    <n v="37.048000000000002"/>
  </r>
  <r>
    <n v="110"/>
    <x v="0"/>
    <x v="0"/>
    <x v="3"/>
    <s v="Percent of GDP"/>
    <s v="Units"/>
    <x v="6"/>
    <n v="37.454000000000001"/>
  </r>
  <r>
    <n v="119"/>
    <x v="1"/>
    <x v="0"/>
    <x v="3"/>
    <s v="Percent of GDP"/>
    <s v="Units"/>
    <x v="0"/>
    <n v="35.848999999999997"/>
  </r>
  <r>
    <n v="119"/>
    <x v="1"/>
    <x v="0"/>
    <x v="3"/>
    <s v="Percent of GDP"/>
    <s v="Units"/>
    <x v="1"/>
    <n v="44.637"/>
  </r>
  <r>
    <n v="119"/>
    <x v="1"/>
    <x v="0"/>
    <x v="3"/>
    <s v="Percent of GDP"/>
    <s v="Units"/>
    <x v="2"/>
    <n v="42.783000000000001"/>
  </r>
  <r>
    <n v="119"/>
    <x v="1"/>
    <x v="0"/>
    <x v="3"/>
    <s v="Percent of GDP"/>
    <s v="Units"/>
    <x v="3"/>
    <n v="36.786000000000001"/>
  </r>
  <r>
    <n v="119"/>
    <x v="1"/>
    <x v="0"/>
    <x v="3"/>
    <s v="Percent of GDP"/>
    <s v="Units"/>
    <x v="4"/>
    <n v="38.067"/>
  </r>
  <r>
    <n v="119"/>
    <x v="1"/>
    <x v="0"/>
    <x v="3"/>
    <s v="Percent of GDP"/>
    <s v="Units"/>
    <x v="5"/>
    <n v="37.048000000000002"/>
  </r>
  <r>
    <n v="119"/>
    <x v="1"/>
    <x v="0"/>
    <x v="3"/>
    <s v="Percent of GDP"/>
    <s v="Units"/>
    <x v="6"/>
    <n v="37.454000000000001"/>
  </r>
  <r>
    <n v="200"/>
    <x v="3"/>
    <x v="41"/>
    <x v="3"/>
    <s v="Percent of GDP"/>
    <s v="Units"/>
    <x v="0"/>
    <n v="33.31"/>
  </r>
  <r>
    <n v="200"/>
    <x v="3"/>
    <x v="41"/>
    <x v="3"/>
    <s v="Percent of GDP"/>
    <s v="Units"/>
    <x v="1"/>
    <n v="38.183"/>
  </r>
  <r>
    <n v="200"/>
    <x v="3"/>
    <x v="41"/>
    <x v="3"/>
    <s v="Percent of GDP"/>
    <s v="Units"/>
    <x v="2"/>
    <n v="37.142000000000003"/>
  </r>
  <r>
    <n v="200"/>
    <x v="3"/>
    <x v="41"/>
    <x v="3"/>
    <s v="Percent of GDP"/>
    <s v="Units"/>
    <x v="3"/>
    <n v="36.820999999999998"/>
  </r>
  <r>
    <n v="200"/>
    <x v="3"/>
    <x v="41"/>
    <x v="3"/>
    <s v="Percent of GDP"/>
    <s v="Units"/>
    <x v="4"/>
    <n v="37.149000000000001"/>
  </r>
  <r>
    <n v="200"/>
    <x v="3"/>
    <x v="41"/>
    <x v="3"/>
    <s v="Percent of GDP"/>
    <s v="Units"/>
    <x v="5"/>
    <n v="36.884"/>
  </r>
  <r>
    <n v="200"/>
    <x v="3"/>
    <x v="41"/>
    <x v="3"/>
    <s v="Percent of GDP"/>
    <s v="Units"/>
    <x v="6"/>
    <n v="38.109000000000002"/>
  </r>
  <r>
    <n v="903"/>
    <x v="8"/>
    <x v="41"/>
    <x v="3"/>
    <s v="Percent of GDP"/>
    <s v="Units"/>
    <x v="0"/>
    <n v="33.31"/>
  </r>
  <r>
    <n v="903"/>
    <x v="8"/>
    <x v="41"/>
    <x v="3"/>
    <s v="Percent of GDP"/>
    <s v="Units"/>
    <x v="1"/>
    <n v="38.183"/>
  </r>
  <r>
    <n v="903"/>
    <x v="8"/>
    <x v="41"/>
    <x v="3"/>
    <s v="Percent of GDP"/>
    <s v="Units"/>
    <x v="2"/>
    <n v="37.142000000000003"/>
  </r>
  <r>
    <n v="903"/>
    <x v="8"/>
    <x v="41"/>
    <x v="3"/>
    <s v="Percent of GDP"/>
    <s v="Units"/>
    <x v="3"/>
    <n v="36.820999999999998"/>
  </r>
  <r>
    <n v="903"/>
    <x v="8"/>
    <x v="41"/>
    <x v="3"/>
    <s v="Percent of GDP"/>
    <s v="Units"/>
    <x v="4"/>
    <n v="37.149000000000001"/>
  </r>
  <r>
    <n v="903"/>
    <x v="8"/>
    <x v="41"/>
    <x v="3"/>
    <s v="Percent of GDP"/>
    <s v="Units"/>
    <x v="5"/>
    <n v="36.884"/>
  </r>
  <r>
    <n v="903"/>
    <x v="8"/>
    <x v="41"/>
    <x v="3"/>
    <s v="Percent of GDP"/>
    <s v="Units"/>
    <x v="6"/>
    <n v="38.109000000000002"/>
  </r>
  <r>
    <n v="998"/>
    <x v="6"/>
    <x v="41"/>
    <x v="3"/>
    <s v="Percent of GDP"/>
    <s v="Units"/>
    <x v="0"/>
    <n v="33.31"/>
  </r>
  <r>
    <n v="998"/>
    <x v="6"/>
    <x v="41"/>
    <x v="3"/>
    <s v="Percent of GDP"/>
    <s v="Units"/>
    <x v="1"/>
    <n v="38.183"/>
  </r>
  <r>
    <n v="998"/>
    <x v="6"/>
    <x v="41"/>
    <x v="3"/>
    <s v="Percent of GDP"/>
    <s v="Units"/>
    <x v="2"/>
    <n v="37.142000000000003"/>
  </r>
  <r>
    <n v="998"/>
    <x v="6"/>
    <x v="41"/>
    <x v="3"/>
    <s v="Percent of GDP"/>
    <s v="Units"/>
    <x v="3"/>
    <n v="36.820999999999998"/>
  </r>
  <r>
    <n v="998"/>
    <x v="6"/>
    <x v="41"/>
    <x v="3"/>
    <s v="Percent of GDP"/>
    <s v="Units"/>
    <x v="4"/>
    <n v="37.149000000000001"/>
  </r>
  <r>
    <n v="998"/>
    <x v="6"/>
    <x v="41"/>
    <x v="3"/>
    <s v="Percent of GDP"/>
    <s v="Units"/>
    <x v="5"/>
    <n v="36.884"/>
  </r>
  <r>
    <n v="998"/>
    <x v="6"/>
    <x v="41"/>
    <x v="3"/>
    <s v="Percent of GDP"/>
    <s v="Units"/>
    <x v="6"/>
    <n v="38.109000000000002"/>
  </r>
  <r>
    <n v="200"/>
    <x v="3"/>
    <x v="130"/>
    <x v="4"/>
    <s v="Percent change"/>
    <s v="Units"/>
    <x v="0"/>
    <n v="4.5030000000000001"/>
  </r>
  <r>
    <n v="200"/>
    <x v="3"/>
    <x v="130"/>
    <x v="4"/>
    <s v="Percent change"/>
    <s v="Units"/>
    <x v="1"/>
    <n v="0.69299999999999995"/>
  </r>
  <r>
    <n v="200"/>
    <x v="3"/>
    <x v="130"/>
    <x v="4"/>
    <s v="Percent change"/>
    <s v="Units"/>
    <x v="2"/>
    <n v="-14.871"/>
  </r>
  <r>
    <n v="200"/>
    <x v="3"/>
    <x v="130"/>
    <x v="4"/>
    <s v="Percent change"/>
    <s v="Units"/>
    <x v="3"/>
    <n v="6.3109999999999999"/>
  </r>
  <r>
    <n v="200"/>
    <x v="3"/>
    <x v="130"/>
    <x v="4"/>
    <s v="Percent change"/>
    <s v="Units"/>
    <x v="4"/>
    <n v="-1.536"/>
  </r>
  <r>
    <n v="200"/>
    <x v="3"/>
    <x v="130"/>
    <x v="4"/>
    <s v="Percent change"/>
    <s v="Units"/>
    <x v="5"/>
    <n v="36.878999999999998"/>
  </r>
  <r>
    <n v="200"/>
    <x v="3"/>
    <x v="130"/>
    <x v="4"/>
    <s v="Percent change"/>
    <s v="Units"/>
    <x v="6"/>
    <n v="19.815999999999999"/>
  </r>
  <r>
    <n v="505"/>
    <x v="4"/>
    <x v="130"/>
    <x v="4"/>
    <s v="Percent change"/>
    <s v="Units"/>
    <x v="0"/>
    <n v="4.5030000000000001"/>
  </r>
  <r>
    <n v="505"/>
    <x v="4"/>
    <x v="130"/>
    <x v="4"/>
    <s v="Percent change"/>
    <s v="Units"/>
    <x v="1"/>
    <n v="0.69299999999999995"/>
  </r>
  <r>
    <n v="505"/>
    <x v="4"/>
    <x v="130"/>
    <x v="4"/>
    <s v="Percent change"/>
    <s v="Units"/>
    <x v="2"/>
    <n v="-14.871"/>
  </r>
  <r>
    <n v="505"/>
    <x v="4"/>
    <x v="130"/>
    <x v="4"/>
    <s v="Percent change"/>
    <s v="Units"/>
    <x v="3"/>
    <n v="6.3109999999999999"/>
  </r>
  <r>
    <n v="505"/>
    <x v="4"/>
    <x v="130"/>
    <x v="4"/>
    <s v="Percent change"/>
    <s v="Units"/>
    <x v="4"/>
    <n v="-1.536"/>
  </r>
  <r>
    <n v="505"/>
    <x v="4"/>
    <x v="130"/>
    <x v="4"/>
    <s v="Percent change"/>
    <s v="Units"/>
    <x v="5"/>
    <n v="36.878999999999998"/>
  </r>
  <r>
    <n v="505"/>
    <x v="4"/>
    <x v="130"/>
    <x v="4"/>
    <s v="Percent change"/>
    <s v="Units"/>
    <x v="6"/>
    <n v="19.815999999999999"/>
  </r>
  <r>
    <n v="1"/>
    <x v="2"/>
    <x v="130"/>
    <x v="4"/>
    <s v="Percent change"/>
    <s v="Units"/>
    <x v="0"/>
    <n v="4.5030000000000001"/>
  </r>
  <r>
    <n v="1"/>
    <x v="2"/>
    <x v="130"/>
    <x v="4"/>
    <s v="Percent change"/>
    <s v="Units"/>
    <x v="1"/>
    <n v="0.69299999999999995"/>
  </r>
  <r>
    <n v="1"/>
    <x v="2"/>
    <x v="130"/>
    <x v="4"/>
    <s v="Percent change"/>
    <s v="Units"/>
    <x v="2"/>
    <n v="-14.871"/>
  </r>
  <r>
    <n v="1"/>
    <x v="2"/>
    <x v="130"/>
    <x v="4"/>
    <s v="Percent change"/>
    <s v="Units"/>
    <x v="3"/>
    <n v="6.3109999999999999"/>
  </r>
  <r>
    <n v="1"/>
    <x v="2"/>
    <x v="130"/>
    <x v="4"/>
    <s v="Percent change"/>
    <s v="Units"/>
    <x v="4"/>
    <n v="-1.536"/>
  </r>
  <r>
    <n v="1"/>
    <x v="2"/>
    <x v="130"/>
    <x v="4"/>
    <s v="Percent change"/>
    <s v="Units"/>
    <x v="5"/>
    <n v="36.878999999999998"/>
  </r>
  <r>
    <n v="1"/>
    <x v="2"/>
    <x v="130"/>
    <x v="4"/>
    <s v="Percent change"/>
    <s v="Units"/>
    <x v="6"/>
    <n v="19.815999999999999"/>
  </r>
  <r>
    <n v="200"/>
    <x v="3"/>
    <x v="133"/>
    <x v="3"/>
    <s v="Percent of GDP"/>
    <s v="Units"/>
    <x v="0"/>
    <n v="31.984999999999999"/>
  </r>
  <r>
    <n v="200"/>
    <x v="3"/>
    <x v="133"/>
    <x v="3"/>
    <s v="Percent of GDP"/>
    <s v="Units"/>
    <x v="1"/>
    <n v="36.686"/>
  </r>
  <r>
    <n v="200"/>
    <x v="3"/>
    <x v="133"/>
    <x v="3"/>
    <s v="Percent of GDP"/>
    <s v="Units"/>
    <x v="2"/>
    <n v="34.581000000000003"/>
  </r>
  <r>
    <n v="200"/>
    <x v="3"/>
    <x v="133"/>
    <x v="3"/>
    <s v="Percent of GDP"/>
    <s v="Units"/>
    <x v="3"/>
    <n v="36.424999999999997"/>
  </r>
  <r>
    <n v="200"/>
    <x v="3"/>
    <x v="133"/>
    <x v="3"/>
    <s v="Percent of GDP"/>
    <s v="Units"/>
    <x v="4"/>
    <n v="37.753999999999998"/>
  </r>
  <r>
    <n v="200"/>
    <x v="3"/>
    <x v="133"/>
    <x v="3"/>
    <s v="Percent of GDP"/>
    <s v="Units"/>
    <x v="5"/>
    <n v="36.762999999999998"/>
  </r>
  <r>
    <n v="200"/>
    <x v="3"/>
    <x v="133"/>
    <x v="3"/>
    <s v="Percent of GDP"/>
    <s v="Units"/>
    <x v="6"/>
    <n v="36.398000000000003"/>
  </r>
  <r>
    <n v="903"/>
    <x v="8"/>
    <x v="133"/>
    <x v="3"/>
    <s v="Percent of GDP"/>
    <s v="Units"/>
    <x v="0"/>
    <n v="31.984999999999999"/>
  </r>
  <r>
    <n v="903"/>
    <x v="8"/>
    <x v="133"/>
    <x v="3"/>
    <s v="Percent of GDP"/>
    <s v="Units"/>
    <x v="1"/>
    <n v="36.686"/>
  </r>
  <r>
    <n v="903"/>
    <x v="8"/>
    <x v="133"/>
    <x v="3"/>
    <s v="Percent of GDP"/>
    <s v="Units"/>
    <x v="2"/>
    <n v="34.581000000000003"/>
  </r>
  <r>
    <n v="903"/>
    <x v="8"/>
    <x v="133"/>
    <x v="3"/>
    <s v="Percent of GDP"/>
    <s v="Units"/>
    <x v="3"/>
    <n v="36.424999999999997"/>
  </r>
  <r>
    <n v="903"/>
    <x v="8"/>
    <x v="133"/>
    <x v="3"/>
    <s v="Percent of GDP"/>
    <s v="Units"/>
    <x v="4"/>
    <n v="37.753999999999998"/>
  </r>
  <r>
    <n v="903"/>
    <x v="8"/>
    <x v="133"/>
    <x v="3"/>
    <s v="Percent of GDP"/>
    <s v="Units"/>
    <x v="5"/>
    <n v="36.762999999999998"/>
  </r>
  <r>
    <n v="903"/>
    <x v="8"/>
    <x v="133"/>
    <x v="3"/>
    <s v="Percent of GDP"/>
    <s v="Units"/>
    <x v="6"/>
    <n v="36.398000000000003"/>
  </r>
  <r>
    <n v="903"/>
    <x v="8"/>
    <x v="91"/>
    <x v="3"/>
    <s v="Percent of GDP"/>
    <s v="Units"/>
    <x v="0"/>
    <n v="37.353000000000002"/>
  </r>
  <r>
    <n v="903"/>
    <x v="8"/>
    <x v="91"/>
    <x v="3"/>
    <s v="Percent of GDP"/>
    <s v="Units"/>
    <x v="1"/>
    <n v="38.045000000000002"/>
  </r>
  <r>
    <n v="903"/>
    <x v="8"/>
    <x v="91"/>
    <x v="3"/>
    <s v="Percent of GDP"/>
    <s v="Units"/>
    <x v="2"/>
    <n v="37.063000000000002"/>
  </r>
  <r>
    <n v="903"/>
    <x v="8"/>
    <x v="91"/>
    <x v="3"/>
    <s v="Percent of GDP"/>
    <s v="Units"/>
    <x v="3"/>
    <n v="36.642000000000003"/>
  </r>
  <r>
    <n v="903"/>
    <x v="8"/>
    <x v="91"/>
    <x v="3"/>
    <s v="Percent of GDP"/>
    <s v="Units"/>
    <x v="4"/>
    <n v="36.119"/>
  </r>
  <r>
    <n v="903"/>
    <x v="8"/>
    <x v="91"/>
    <x v="3"/>
    <s v="Percent of GDP"/>
    <s v="Units"/>
    <x v="5"/>
    <n v="36.753999999999998"/>
  </r>
  <r>
    <n v="903"/>
    <x v="8"/>
    <x v="91"/>
    <x v="3"/>
    <s v="Percent of GDP"/>
    <s v="Units"/>
    <x v="6"/>
    <n v="37.033999999999999"/>
  </r>
  <r>
    <n v="200"/>
    <x v="3"/>
    <x v="91"/>
    <x v="3"/>
    <s v="Percent of GDP"/>
    <s v="Units"/>
    <x v="0"/>
    <n v="37.353000000000002"/>
  </r>
  <r>
    <n v="200"/>
    <x v="3"/>
    <x v="91"/>
    <x v="3"/>
    <s v="Percent of GDP"/>
    <s v="Units"/>
    <x v="1"/>
    <n v="38.045000000000002"/>
  </r>
  <r>
    <n v="200"/>
    <x v="3"/>
    <x v="91"/>
    <x v="3"/>
    <s v="Percent of GDP"/>
    <s v="Units"/>
    <x v="2"/>
    <n v="37.063000000000002"/>
  </r>
  <r>
    <n v="200"/>
    <x v="3"/>
    <x v="91"/>
    <x v="3"/>
    <s v="Percent of GDP"/>
    <s v="Units"/>
    <x v="3"/>
    <n v="36.642000000000003"/>
  </r>
  <r>
    <n v="200"/>
    <x v="3"/>
    <x v="91"/>
    <x v="3"/>
    <s v="Percent of GDP"/>
    <s v="Units"/>
    <x v="4"/>
    <n v="36.119"/>
  </r>
  <r>
    <n v="200"/>
    <x v="3"/>
    <x v="91"/>
    <x v="3"/>
    <s v="Percent of GDP"/>
    <s v="Units"/>
    <x v="5"/>
    <n v="36.753999999999998"/>
  </r>
  <r>
    <n v="200"/>
    <x v="3"/>
    <x v="91"/>
    <x v="3"/>
    <s v="Percent of GDP"/>
    <s v="Units"/>
    <x v="6"/>
    <n v="37.033999999999999"/>
  </r>
  <r>
    <n v="1"/>
    <x v="2"/>
    <x v="134"/>
    <x v="5"/>
    <s v="Percent of GDP"/>
    <s v="Units"/>
    <x v="0"/>
    <n v="38.659999999999997"/>
  </r>
  <r>
    <n v="1"/>
    <x v="2"/>
    <x v="134"/>
    <x v="5"/>
    <s v="Percent of GDP"/>
    <s v="Units"/>
    <x v="1"/>
    <n v="38.134"/>
  </r>
  <r>
    <n v="1"/>
    <x v="2"/>
    <x v="134"/>
    <x v="5"/>
    <s v="Percent of GDP"/>
    <s v="Units"/>
    <x v="2"/>
    <n v="43.220999999999997"/>
  </r>
  <r>
    <n v="1"/>
    <x v="2"/>
    <x v="134"/>
    <x v="5"/>
    <s v="Percent of GDP"/>
    <s v="Units"/>
    <x v="3"/>
    <n v="37.448"/>
  </r>
  <r>
    <n v="1"/>
    <x v="2"/>
    <x v="134"/>
    <x v="5"/>
    <s v="Percent of GDP"/>
    <s v="Units"/>
    <x v="4"/>
    <n v="35.707000000000001"/>
  </r>
  <r>
    <n v="1"/>
    <x v="2"/>
    <x v="134"/>
    <x v="5"/>
    <s v="Percent of GDP"/>
    <s v="Units"/>
    <x v="5"/>
    <n v="36.731000000000002"/>
  </r>
  <r>
    <n v="1"/>
    <x v="2"/>
    <x v="134"/>
    <x v="5"/>
    <s v="Percent of GDP"/>
    <s v="Units"/>
    <x v="6"/>
    <n v="37.978999999999999"/>
  </r>
  <r>
    <n v="200"/>
    <x v="3"/>
    <x v="134"/>
    <x v="5"/>
    <s v="Percent of GDP"/>
    <s v="Units"/>
    <x v="0"/>
    <n v="38.659999999999997"/>
  </r>
  <r>
    <n v="200"/>
    <x v="3"/>
    <x v="134"/>
    <x v="5"/>
    <s v="Percent of GDP"/>
    <s v="Units"/>
    <x v="1"/>
    <n v="38.134"/>
  </r>
  <r>
    <n v="200"/>
    <x v="3"/>
    <x v="134"/>
    <x v="5"/>
    <s v="Percent of GDP"/>
    <s v="Units"/>
    <x v="2"/>
    <n v="43.220999999999997"/>
  </r>
  <r>
    <n v="200"/>
    <x v="3"/>
    <x v="134"/>
    <x v="5"/>
    <s v="Percent of GDP"/>
    <s v="Units"/>
    <x v="3"/>
    <n v="37.448"/>
  </r>
  <r>
    <n v="200"/>
    <x v="3"/>
    <x v="134"/>
    <x v="5"/>
    <s v="Percent of GDP"/>
    <s v="Units"/>
    <x v="4"/>
    <n v="35.707000000000001"/>
  </r>
  <r>
    <n v="200"/>
    <x v="3"/>
    <x v="134"/>
    <x v="5"/>
    <s v="Percent of GDP"/>
    <s v="Units"/>
    <x v="5"/>
    <n v="36.731000000000002"/>
  </r>
  <r>
    <n v="200"/>
    <x v="3"/>
    <x v="134"/>
    <x v="5"/>
    <s v="Percent of GDP"/>
    <s v="Units"/>
    <x v="6"/>
    <n v="37.978999999999999"/>
  </r>
  <r>
    <n v="400"/>
    <x v="11"/>
    <x v="134"/>
    <x v="5"/>
    <s v="Percent of GDP"/>
    <s v="Units"/>
    <x v="0"/>
    <n v="38.659999999999997"/>
  </r>
  <r>
    <n v="400"/>
    <x v="11"/>
    <x v="134"/>
    <x v="5"/>
    <s v="Percent of GDP"/>
    <s v="Units"/>
    <x v="1"/>
    <n v="38.134"/>
  </r>
  <r>
    <n v="400"/>
    <x v="11"/>
    <x v="134"/>
    <x v="5"/>
    <s v="Percent of GDP"/>
    <s v="Units"/>
    <x v="2"/>
    <n v="43.220999999999997"/>
  </r>
  <r>
    <n v="400"/>
    <x v="11"/>
    <x v="134"/>
    <x v="5"/>
    <s v="Percent of GDP"/>
    <s v="Units"/>
    <x v="3"/>
    <n v="37.448"/>
  </r>
  <r>
    <n v="400"/>
    <x v="11"/>
    <x v="134"/>
    <x v="5"/>
    <s v="Percent of GDP"/>
    <s v="Units"/>
    <x v="4"/>
    <n v="35.707000000000001"/>
  </r>
  <r>
    <n v="400"/>
    <x v="11"/>
    <x v="134"/>
    <x v="5"/>
    <s v="Percent of GDP"/>
    <s v="Units"/>
    <x v="5"/>
    <n v="36.731000000000002"/>
  </r>
  <r>
    <n v="400"/>
    <x v="11"/>
    <x v="134"/>
    <x v="5"/>
    <s v="Percent of GDP"/>
    <s v="Units"/>
    <x v="6"/>
    <n v="37.978999999999999"/>
  </r>
  <r>
    <n v="200"/>
    <x v="3"/>
    <x v="135"/>
    <x v="3"/>
    <s v="Percent of GDP"/>
    <s v="Units"/>
    <x v="0"/>
    <n v="31.405999999999999"/>
  </r>
  <r>
    <n v="200"/>
    <x v="3"/>
    <x v="135"/>
    <x v="3"/>
    <s v="Percent of GDP"/>
    <s v="Units"/>
    <x v="1"/>
    <n v="36.402999999999999"/>
  </r>
  <r>
    <n v="200"/>
    <x v="3"/>
    <x v="135"/>
    <x v="3"/>
    <s v="Percent of GDP"/>
    <s v="Units"/>
    <x v="2"/>
    <n v="35.271999999999998"/>
  </r>
  <r>
    <n v="200"/>
    <x v="3"/>
    <x v="135"/>
    <x v="3"/>
    <s v="Percent of GDP"/>
    <s v="Units"/>
    <x v="3"/>
    <n v="34.701000000000001"/>
  </r>
  <r>
    <n v="200"/>
    <x v="3"/>
    <x v="135"/>
    <x v="3"/>
    <s v="Percent of GDP"/>
    <s v="Units"/>
    <x v="4"/>
    <n v="37.896999999999998"/>
  </r>
  <r>
    <n v="200"/>
    <x v="3"/>
    <x v="135"/>
    <x v="3"/>
    <s v="Percent of GDP"/>
    <s v="Units"/>
    <x v="5"/>
    <n v="36.706000000000003"/>
  </r>
  <r>
    <n v="200"/>
    <x v="3"/>
    <x v="135"/>
    <x v="3"/>
    <s v="Percent of GDP"/>
    <s v="Units"/>
    <x v="6"/>
    <n v="36.445"/>
  </r>
  <r>
    <n v="903"/>
    <x v="8"/>
    <x v="135"/>
    <x v="3"/>
    <s v="Percent of GDP"/>
    <s v="Units"/>
    <x v="0"/>
    <n v="31.405999999999999"/>
  </r>
  <r>
    <n v="903"/>
    <x v="8"/>
    <x v="135"/>
    <x v="3"/>
    <s v="Percent of GDP"/>
    <s v="Units"/>
    <x v="1"/>
    <n v="36.402999999999999"/>
  </r>
  <r>
    <n v="903"/>
    <x v="8"/>
    <x v="135"/>
    <x v="3"/>
    <s v="Percent of GDP"/>
    <s v="Units"/>
    <x v="2"/>
    <n v="35.271999999999998"/>
  </r>
  <r>
    <n v="903"/>
    <x v="8"/>
    <x v="135"/>
    <x v="3"/>
    <s v="Percent of GDP"/>
    <s v="Units"/>
    <x v="3"/>
    <n v="34.701000000000001"/>
  </r>
  <r>
    <n v="903"/>
    <x v="8"/>
    <x v="135"/>
    <x v="3"/>
    <s v="Percent of GDP"/>
    <s v="Units"/>
    <x v="4"/>
    <n v="37.896999999999998"/>
  </r>
  <r>
    <n v="903"/>
    <x v="8"/>
    <x v="135"/>
    <x v="3"/>
    <s v="Percent of GDP"/>
    <s v="Units"/>
    <x v="5"/>
    <n v="36.706000000000003"/>
  </r>
  <r>
    <n v="903"/>
    <x v="8"/>
    <x v="135"/>
    <x v="3"/>
    <s v="Percent of GDP"/>
    <s v="Units"/>
    <x v="6"/>
    <n v="36.445"/>
  </r>
  <r>
    <n v="603"/>
    <x v="12"/>
    <x v="136"/>
    <x v="3"/>
    <s v="Percent of GDP"/>
    <s v="Units"/>
    <x v="0"/>
    <n v="37.414999999999999"/>
  </r>
  <r>
    <n v="603"/>
    <x v="12"/>
    <x v="136"/>
    <x v="3"/>
    <s v="Percent of GDP"/>
    <s v="Units"/>
    <x v="1"/>
    <n v="41.476999999999997"/>
  </r>
  <r>
    <n v="603"/>
    <x v="12"/>
    <x v="136"/>
    <x v="3"/>
    <s v="Percent of GDP"/>
    <s v="Units"/>
    <x v="2"/>
    <n v="39.192999999999998"/>
  </r>
  <r>
    <n v="603"/>
    <x v="12"/>
    <x v="136"/>
    <x v="3"/>
    <s v="Percent of GDP"/>
    <s v="Units"/>
    <x v="3"/>
    <n v="36.145000000000003"/>
  </r>
  <r>
    <n v="603"/>
    <x v="12"/>
    <x v="136"/>
    <x v="3"/>
    <s v="Percent of GDP"/>
    <s v="Units"/>
    <x v="4"/>
    <n v="37.253999999999998"/>
  </r>
  <r>
    <n v="603"/>
    <x v="12"/>
    <x v="136"/>
    <x v="3"/>
    <s v="Percent of GDP"/>
    <s v="Units"/>
    <x v="5"/>
    <n v="36.679000000000002"/>
  </r>
  <r>
    <n v="603"/>
    <x v="12"/>
    <x v="136"/>
    <x v="3"/>
    <s v="Percent of GDP"/>
    <s v="Units"/>
    <x v="6"/>
    <n v="35.363"/>
  </r>
  <r>
    <n v="200"/>
    <x v="3"/>
    <x v="136"/>
    <x v="3"/>
    <s v="Percent of GDP"/>
    <s v="Units"/>
    <x v="0"/>
    <n v="37.414999999999999"/>
  </r>
  <r>
    <n v="200"/>
    <x v="3"/>
    <x v="136"/>
    <x v="3"/>
    <s v="Percent of GDP"/>
    <s v="Units"/>
    <x v="1"/>
    <n v="41.476999999999997"/>
  </r>
  <r>
    <n v="200"/>
    <x v="3"/>
    <x v="136"/>
    <x v="3"/>
    <s v="Percent of GDP"/>
    <s v="Units"/>
    <x v="2"/>
    <n v="39.192999999999998"/>
  </r>
  <r>
    <n v="200"/>
    <x v="3"/>
    <x v="136"/>
    <x v="3"/>
    <s v="Percent of GDP"/>
    <s v="Units"/>
    <x v="3"/>
    <n v="36.145000000000003"/>
  </r>
  <r>
    <n v="200"/>
    <x v="3"/>
    <x v="136"/>
    <x v="3"/>
    <s v="Percent of GDP"/>
    <s v="Units"/>
    <x v="4"/>
    <n v="37.253999999999998"/>
  </r>
  <r>
    <n v="200"/>
    <x v="3"/>
    <x v="136"/>
    <x v="3"/>
    <s v="Percent of GDP"/>
    <s v="Units"/>
    <x v="5"/>
    <n v="36.679000000000002"/>
  </r>
  <r>
    <n v="200"/>
    <x v="3"/>
    <x v="136"/>
    <x v="3"/>
    <s v="Percent of GDP"/>
    <s v="Units"/>
    <x v="6"/>
    <n v="35.363"/>
  </r>
  <r>
    <n v="1"/>
    <x v="2"/>
    <x v="137"/>
    <x v="7"/>
    <s v="Percent of GDP"/>
    <s v="Units"/>
    <x v="0"/>
    <n v="25.568999999999999"/>
  </r>
  <r>
    <n v="1"/>
    <x v="2"/>
    <x v="137"/>
    <x v="7"/>
    <s v="Percent of GDP"/>
    <s v="Units"/>
    <x v="1"/>
    <n v="28.242999999999999"/>
  </r>
  <r>
    <n v="1"/>
    <x v="2"/>
    <x v="137"/>
    <x v="7"/>
    <s v="Percent of GDP"/>
    <s v="Units"/>
    <x v="2"/>
    <n v="33.715000000000003"/>
  </r>
  <r>
    <n v="1"/>
    <x v="2"/>
    <x v="137"/>
    <x v="7"/>
    <s v="Percent of GDP"/>
    <s v="Units"/>
    <x v="3"/>
    <n v="37.042999999999999"/>
  </r>
  <r>
    <n v="1"/>
    <x v="2"/>
    <x v="137"/>
    <x v="7"/>
    <s v="Percent of GDP"/>
    <s v="Units"/>
    <x v="4"/>
    <n v="37.378"/>
  </r>
  <r>
    <n v="1"/>
    <x v="2"/>
    <x v="137"/>
    <x v="7"/>
    <s v="Percent of GDP"/>
    <s v="Units"/>
    <x v="5"/>
    <n v="36.603000000000002"/>
  </r>
  <r>
    <n v="1"/>
    <x v="2"/>
    <x v="137"/>
    <x v="7"/>
    <s v="Percent of GDP"/>
    <s v="Units"/>
    <x v="6"/>
    <n v="28.731000000000002"/>
  </r>
  <r>
    <n v="205"/>
    <x v="7"/>
    <x v="137"/>
    <x v="7"/>
    <s v="Percent of GDP"/>
    <s v="Units"/>
    <x v="0"/>
    <n v="25.568999999999999"/>
  </r>
  <r>
    <n v="205"/>
    <x v="7"/>
    <x v="137"/>
    <x v="7"/>
    <s v="Percent of GDP"/>
    <s v="Units"/>
    <x v="1"/>
    <n v="28.242999999999999"/>
  </r>
  <r>
    <n v="205"/>
    <x v="7"/>
    <x v="137"/>
    <x v="7"/>
    <s v="Percent of GDP"/>
    <s v="Units"/>
    <x v="2"/>
    <n v="33.715000000000003"/>
  </r>
  <r>
    <n v="205"/>
    <x v="7"/>
    <x v="137"/>
    <x v="7"/>
    <s v="Percent of GDP"/>
    <s v="Units"/>
    <x v="3"/>
    <n v="37.042999999999999"/>
  </r>
  <r>
    <n v="205"/>
    <x v="7"/>
    <x v="137"/>
    <x v="7"/>
    <s v="Percent of GDP"/>
    <s v="Units"/>
    <x v="4"/>
    <n v="37.378"/>
  </r>
  <r>
    <n v="205"/>
    <x v="7"/>
    <x v="137"/>
    <x v="7"/>
    <s v="Percent of GDP"/>
    <s v="Units"/>
    <x v="5"/>
    <n v="36.603000000000002"/>
  </r>
  <r>
    <n v="205"/>
    <x v="7"/>
    <x v="137"/>
    <x v="7"/>
    <s v="Percent of GDP"/>
    <s v="Units"/>
    <x v="6"/>
    <n v="28.731000000000002"/>
  </r>
  <r>
    <n v="200"/>
    <x v="3"/>
    <x v="137"/>
    <x v="7"/>
    <s v="Percent of GDP"/>
    <s v="Units"/>
    <x v="0"/>
    <n v="25.568999999999999"/>
  </r>
  <r>
    <n v="200"/>
    <x v="3"/>
    <x v="137"/>
    <x v="7"/>
    <s v="Percent of GDP"/>
    <s v="Units"/>
    <x v="1"/>
    <n v="28.242999999999999"/>
  </r>
  <r>
    <n v="200"/>
    <x v="3"/>
    <x v="137"/>
    <x v="7"/>
    <s v="Percent of GDP"/>
    <s v="Units"/>
    <x v="2"/>
    <n v="33.715000000000003"/>
  </r>
  <r>
    <n v="200"/>
    <x v="3"/>
    <x v="137"/>
    <x v="7"/>
    <s v="Percent of GDP"/>
    <s v="Units"/>
    <x v="3"/>
    <n v="37.042999999999999"/>
  </r>
  <r>
    <n v="200"/>
    <x v="3"/>
    <x v="137"/>
    <x v="7"/>
    <s v="Percent of GDP"/>
    <s v="Units"/>
    <x v="4"/>
    <n v="37.378"/>
  </r>
  <r>
    <n v="200"/>
    <x v="3"/>
    <x v="137"/>
    <x v="7"/>
    <s v="Percent of GDP"/>
    <s v="Units"/>
    <x v="5"/>
    <n v="36.603000000000002"/>
  </r>
  <r>
    <n v="200"/>
    <x v="3"/>
    <x v="137"/>
    <x v="7"/>
    <s v="Percent of GDP"/>
    <s v="Units"/>
    <x v="6"/>
    <n v="28.731000000000002"/>
  </r>
  <r>
    <n v="123"/>
    <x v="9"/>
    <x v="12"/>
    <x v="3"/>
    <s v="Percent of GDP"/>
    <s v="Units"/>
    <x v="0"/>
    <n v="38.860999999999997"/>
  </r>
  <r>
    <n v="123"/>
    <x v="9"/>
    <x v="12"/>
    <x v="3"/>
    <s v="Percent of GDP"/>
    <s v="Units"/>
    <x v="1"/>
    <n v="44.37"/>
  </r>
  <r>
    <n v="123"/>
    <x v="9"/>
    <x v="12"/>
    <x v="3"/>
    <s v="Percent of GDP"/>
    <s v="Units"/>
    <x v="2"/>
    <n v="41.813000000000002"/>
  </r>
  <r>
    <n v="123"/>
    <x v="9"/>
    <x v="12"/>
    <x v="3"/>
    <s v="Percent of GDP"/>
    <s v="Units"/>
    <x v="3"/>
    <n v="37.557000000000002"/>
  </r>
  <r>
    <n v="123"/>
    <x v="9"/>
    <x v="12"/>
    <x v="3"/>
    <s v="Percent of GDP"/>
    <s v="Units"/>
    <x v="4"/>
    <n v="37.134"/>
  </r>
  <r>
    <n v="123"/>
    <x v="9"/>
    <x v="12"/>
    <x v="3"/>
    <s v="Percent of GDP"/>
    <s v="Units"/>
    <x v="5"/>
    <n v="36.566000000000003"/>
  </r>
  <r>
    <n v="123"/>
    <x v="9"/>
    <x v="12"/>
    <x v="3"/>
    <s v="Percent of GDP"/>
    <s v="Units"/>
    <x v="6"/>
    <n v="35.268000000000001"/>
  </r>
  <r>
    <n v="110"/>
    <x v="0"/>
    <x v="12"/>
    <x v="3"/>
    <s v="Percent of GDP"/>
    <s v="Units"/>
    <x v="0"/>
    <n v="38.860999999999997"/>
  </r>
  <r>
    <n v="110"/>
    <x v="0"/>
    <x v="12"/>
    <x v="3"/>
    <s v="Percent of GDP"/>
    <s v="Units"/>
    <x v="1"/>
    <n v="44.37"/>
  </r>
  <r>
    <n v="110"/>
    <x v="0"/>
    <x v="12"/>
    <x v="3"/>
    <s v="Percent of GDP"/>
    <s v="Units"/>
    <x v="2"/>
    <n v="41.813000000000002"/>
  </r>
  <r>
    <n v="110"/>
    <x v="0"/>
    <x v="12"/>
    <x v="3"/>
    <s v="Percent of GDP"/>
    <s v="Units"/>
    <x v="3"/>
    <n v="37.557000000000002"/>
  </r>
  <r>
    <n v="110"/>
    <x v="0"/>
    <x v="12"/>
    <x v="3"/>
    <s v="Percent of GDP"/>
    <s v="Units"/>
    <x v="4"/>
    <n v="37.134"/>
  </r>
  <r>
    <n v="110"/>
    <x v="0"/>
    <x v="12"/>
    <x v="3"/>
    <s v="Percent of GDP"/>
    <s v="Units"/>
    <x v="5"/>
    <n v="36.566000000000003"/>
  </r>
  <r>
    <n v="110"/>
    <x v="0"/>
    <x v="12"/>
    <x v="3"/>
    <s v="Percent of GDP"/>
    <s v="Units"/>
    <x v="6"/>
    <n v="35.268000000000001"/>
  </r>
  <r>
    <n v="903"/>
    <x v="8"/>
    <x v="70"/>
    <x v="2"/>
    <s v="Percent of GDP"/>
    <s v="Units"/>
    <x v="0"/>
    <n v="34.911000000000001"/>
  </r>
  <r>
    <n v="903"/>
    <x v="8"/>
    <x v="70"/>
    <x v="2"/>
    <s v="Percent of GDP"/>
    <s v="Units"/>
    <x v="1"/>
    <n v="34.880000000000003"/>
  </r>
  <r>
    <n v="903"/>
    <x v="8"/>
    <x v="70"/>
    <x v="2"/>
    <s v="Percent of GDP"/>
    <s v="Units"/>
    <x v="2"/>
    <n v="35.792999999999999"/>
  </r>
  <r>
    <n v="903"/>
    <x v="8"/>
    <x v="70"/>
    <x v="2"/>
    <s v="Percent of GDP"/>
    <s v="Units"/>
    <x v="3"/>
    <n v="36.887"/>
  </r>
  <r>
    <n v="903"/>
    <x v="8"/>
    <x v="70"/>
    <x v="2"/>
    <s v="Percent of GDP"/>
    <s v="Units"/>
    <x v="4"/>
    <n v="34.683999999999997"/>
  </r>
  <r>
    <n v="903"/>
    <x v="8"/>
    <x v="70"/>
    <x v="2"/>
    <s v="Percent of GDP"/>
    <s v="Units"/>
    <x v="5"/>
    <n v="36.308"/>
  </r>
  <r>
    <n v="903"/>
    <x v="8"/>
    <x v="70"/>
    <x v="2"/>
    <s v="Percent of GDP"/>
    <s v="Units"/>
    <x v="6"/>
    <n v="36.241"/>
  </r>
  <r>
    <n v="200"/>
    <x v="3"/>
    <x v="70"/>
    <x v="2"/>
    <s v="Percent of GDP"/>
    <s v="Units"/>
    <x v="0"/>
    <n v="34.911000000000001"/>
  </r>
  <r>
    <n v="200"/>
    <x v="3"/>
    <x v="70"/>
    <x v="2"/>
    <s v="Percent of GDP"/>
    <s v="Units"/>
    <x v="1"/>
    <n v="34.880000000000003"/>
  </r>
  <r>
    <n v="200"/>
    <x v="3"/>
    <x v="70"/>
    <x v="2"/>
    <s v="Percent of GDP"/>
    <s v="Units"/>
    <x v="2"/>
    <n v="35.792999999999999"/>
  </r>
  <r>
    <n v="200"/>
    <x v="3"/>
    <x v="70"/>
    <x v="2"/>
    <s v="Percent of GDP"/>
    <s v="Units"/>
    <x v="3"/>
    <n v="36.887"/>
  </r>
  <r>
    <n v="200"/>
    <x v="3"/>
    <x v="70"/>
    <x v="2"/>
    <s v="Percent of GDP"/>
    <s v="Units"/>
    <x v="4"/>
    <n v="34.683999999999997"/>
  </r>
  <r>
    <n v="200"/>
    <x v="3"/>
    <x v="70"/>
    <x v="2"/>
    <s v="Percent of GDP"/>
    <s v="Units"/>
    <x v="5"/>
    <n v="36.308"/>
  </r>
  <r>
    <n v="200"/>
    <x v="3"/>
    <x v="70"/>
    <x v="2"/>
    <s v="Percent of GDP"/>
    <s v="Units"/>
    <x v="6"/>
    <n v="36.241"/>
  </r>
  <r>
    <n v="998"/>
    <x v="6"/>
    <x v="70"/>
    <x v="2"/>
    <s v="Percent of GDP"/>
    <s v="Units"/>
    <x v="0"/>
    <n v="34.911000000000001"/>
  </r>
  <r>
    <n v="998"/>
    <x v="6"/>
    <x v="70"/>
    <x v="2"/>
    <s v="Percent of GDP"/>
    <s v="Units"/>
    <x v="1"/>
    <n v="34.880000000000003"/>
  </r>
  <r>
    <n v="998"/>
    <x v="6"/>
    <x v="70"/>
    <x v="2"/>
    <s v="Percent of GDP"/>
    <s v="Units"/>
    <x v="2"/>
    <n v="35.792999999999999"/>
  </r>
  <r>
    <n v="998"/>
    <x v="6"/>
    <x v="70"/>
    <x v="2"/>
    <s v="Percent of GDP"/>
    <s v="Units"/>
    <x v="3"/>
    <n v="36.887"/>
  </r>
  <r>
    <n v="998"/>
    <x v="6"/>
    <x v="70"/>
    <x v="2"/>
    <s v="Percent of GDP"/>
    <s v="Units"/>
    <x v="4"/>
    <n v="34.683999999999997"/>
  </r>
  <r>
    <n v="998"/>
    <x v="6"/>
    <x v="70"/>
    <x v="2"/>
    <s v="Percent of GDP"/>
    <s v="Units"/>
    <x v="5"/>
    <n v="36.308"/>
  </r>
  <r>
    <n v="998"/>
    <x v="6"/>
    <x v="70"/>
    <x v="2"/>
    <s v="Percent of GDP"/>
    <s v="Units"/>
    <x v="6"/>
    <n v="36.241"/>
  </r>
  <r>
    <n v="200"/>
    <x v="3"/>
    <x v="49"/>
    <x v="3"/>
    <s v="Percent of GDP"/>
    <s v="Units"/>
    <x v="0"/>
    <n v="37.098999999999997"/>
  </r>
  <r>
    <n v="200"/>
    <x v="3"/>
    <x v="49"/>
    <x v="3"/>
    <s v="Percent of GDP"/>
    <s v="Units"/>
    <x v="1"/>
    <n v="37.506"/>
  </r>
  <r>
    <n v="200"/>
    <x v="3"/>
    <x v="49"/>
    <x v="3"/>
    <s v="Percent of GDP"/>
    <s v="Units"/>
    <x v="2"/>
    <n v="32.54"/>
  </r>
  <r>
    <n v="200"/>
    <x v="3"/>
    <x v="49"/>
    <x v="3"/>
    <s v="Percent of GDP"/>
    <s v="Units"/>
    <x v="3"/>
    <n v="32.03"/>
  </r>
  <r>
    <n v="200"/>
    <x v="3"/>
    <x v="49"/>
    <x v="3"/>
    <s v="Percent of GDP"/>
    <s v="Units"/>
    <x v="4"/>
    <n v="34.054000000000002"/>
  </r>
  <r>
    <n v="200"/>
    <x v="3"/>
    <x v="49"/>
    <x v="3"/>
    <s v="Percent of GDP"/>
    <s v="Units"/>
    <x v="5"/>
    <n v="36.298999999999999"/>
  </r>
  <r>
    <n v="200"/>
    <x v="3"/>
    <x v="49"/>
    <x v="3"/>
    <s v="Percent of GDP"/>
    <s v="Units"/>
    <x v="6"/>
    <n v="34.665999999999997"/>
  </r>
  <r>
    <n v="400"/>
    <x v="11"/>
    <x v="49"/>
    <x v="3"/>
    <s v="Percent of GDP"/>
    <s v="Units"/>
    <x v="0"/>
    <n v="37.098999999999997"/>
  </r>
  <r>
    <n v="400"/>
    <x v="11"/>
    <x v="49"/>
    <x v="3"/>
    <s v="Percent of GDP"/>
    <s v="Units"/>
    <x v="1"/>
    <n v="37.506"/>
  </r>
  <r>
    <n v="400"/>
    <x v="11"/>
    <x v="49"/>
    <x v="3"/>
    <s v="Percent of GDP"/>
    <s v="Units"/>
    <x v="2"/>
    <n v="32.54"/>
  </r>
  <r>
    <n v="400"/>
    <x v="11"/>
    <x v="49"/>
    <x v="3"/>
    <s v="Percent of GDP"/>
    <s v="Units"/>
    <x v="3"/>
    <n v="32.03"/>
  </r>
  <r>
    <n v="400"/>
    <x v="11"/>
    <x v="49"/>
    <x v="3"/>
    <s v="Percent of GDP"/>
    <s v="Units"/>
    <x v="4"/>
    <n v="34.054000000000002"/>
  </r>
  <r>
    <n v="400"/>
    <x v="11"/>
    <x v="49"/>
    <x v="3"/>
    <s v="Percent of GDP"/>
    <s v="Units"/>
    <x v="5"/>
    <n v="36.298999999999999"/>
  </r>
  <r>
    <n v="400"/>
    <x v="11"/>
    <x v="49"/>
    <x v="3"/>
    <s v="Percent of GDP"/>
    <s v="Units"/>
    <x v="6"/>
    <n v="34.665999999999997"/>
  </r>
  <r>
    <n v="200"/>
    <x v="3"/>
    <x v="137"/>
    <x v="3"/>
    <s v="Percent of GDP"/>
    <s v="Units"/>
    <x v="0"/>
    <n v="29.123999999999999"/>
  </r>
  <r>
    <n v="200"/>
    <x v="3"/>
    <x v="137"/>
    <x v="3"/>
    <s v="Percent of GDP"/>
    <s v="Units"/>
    <x v="1"/>
    <n v="32.703000000000003"/>
  </r>
  <r>
    <n v="200"/>
    <x v="3"/>
    <x v="137"/>
    <x v="3"/>
    <s v="Percent of GDP"/>
    <s v="Units"/>
    <x v="2"/>
    <n v="37.853000000000002"/>
  </r>
  <r>
    <n v="200"/>
    <x v="3"/>
    <x v="137"/>
    <x v="3"/>
    <s v="Percent of GDP"/>
    <s v="Units"/>
    <x v="3"/>
    <n v="37.500999999999998"/>
  </r>
  <r>
    <n v="200"/>
    <x v="3"/>
    <x v="137"/>
    <x v="3"/>
    <s v="Percent of GDP"/>
    <s v="Units"/>
    <x v="4"/>
    <n v="38.113"/>
  </r>
  <r>
    <n v="200"/>
    <x v="3"/>
    <x v="137"/>
    <x v="3"/>
    <s v="Percent of GDP"/>
    <s v="Units"/>
    <x v="5"/>
    <n v="36.192999999999998"/>
  </r>
  <r>
    <n v="200"/>
    <x v="3"/>
    <x v="137"/>
    <x v="3"/>
    <s v="Percent of GDP"/>
    <s v="Units"/>
    <x v="6"/>
    <n v="32.274000000000001"/>
  </r>
  <r>
    <n v="205"/>
    <x v="7"/>
    <x v="137"/>
    <x v="3"/>
    <s v="Percent of GDP"/>
    <s v="Units"/>
    <x v="0"/>
    <n v="29.123999999999999"/>
  </r>
  <r>
    <n v="205"/>
    <x v="7"/>
    <x v="137"/>
    <x v="3"/>
    <s v="Percent of GDP"/>
    <s v="Units"/>
    <x v="1"/>
    <n v="32.703000000000003"/>
  </r>
  <r>
    <n v="205"/>
    <x v="7"/>
    <x v="137"/>
    <x v="3"/>
    <s v="Percent of GDP"/>
    <s v="Units"/>
    <x v="2"/>
    <n v="37.853000000000002"/>
  </r>
  <r>
    <n v="205"/>
    <x v="7"/>
    <x v="137"/>
    <x v="3"/>
    <s v="Percent of GDP"/>
    <s v="Units"/>
    <x v="3"/>
    <n v="37.500999999999998"/>
  </r>
  <r>
    <n v="205"/>
    <x v="7"/>
    <x v="137"/>
    <x v="3"/>
    <s v="Percent of GDP"/>
    <s v="Units"/>
    <x v="4"/>
    <n v="38.113"/>
  </r>
  <r>
    <n v="205"/>
    <x v="7"/>
    <x v="137"/>
    <x v="3"/>
    <s v="Percent of GDP"/>
    <s v="Units"/>
    <x v="5"/>
    <n v="36.192999999999998"/>
  </r>
  <r>
    <n v="205"/>
    <x v="7"/>
    <x v="137"/>
    <x v="3"/>
    <s v="Percent of GDP"/>
    <s v="Units"/>
    <x v="6"/>
    <n v="32.274000000000001"/>
  </r>
  <r>
    <n v="123"/>
    <x v="9"/>
    <x v="127"/>
    <x v="3"/>
    <s v="Percent of GDP"/>
    <s v="Units"/>
    <x v="0"/>
    <n v="35.844000000000001"/>
  </r>
  <r>
    <n v="123"/>
    <x v="9"/>
    <x v="127"/>
    <x v="3"/>
    <s v="Percent of GDP"/>
    <s v="Units"/>
    <x v="1"/>
    <n v="42.335999999999999"/>
  </r>
  <r>
    <n v="123"/>
    <x v="9"/>
    <x v="127"/>
    <x v="3"/>
    <s v="Percent of GDP"/>
    <s v="Units"/>
    <x v="2"/>
    <n v="39.043999999999997"/>
  </r>
  <r>
    <n v="123"/>
    <x v="9"/>
    <x v="127"/>
    <x v="3"/>
    <s v="Percent of GDP"/>
    <s v="Units"/>
    <x v="3"/>
    <n v="34.889000000000003"/>
  </r>
  <r>
    <n v="123"/>
    <x v="9"/>
    <x v="127"/>
    <x v="3"/>
    <s v="Percent of GDP"/>
    <s v="Units"/>
    <x v="4"/>
    <n v="36.523000000000003"/>
  </r>
  <r>
    <n v="123"/>
    <x v="9"/>
    <x v="127"/>
    <x v="3"/>
    <s v="Percent of GDP"/>
    <s v="Units"/>
    <x v="5"/>
    <n v="36.188000000000002"/>
  </r>
  <r>
    <n v="123"/>
    <x v="9"/>
    <x v="127"/>
    <x v="3"/>
    <s v="Percent of GDP"/>
    <s v="Units"/>
    <x v="6"/>
    <n v="36.790999999999997"/>
  </r>
  <r>
    <n v="110"/>
    <x v="0"/>
    <x v="127"/>
    <x v="3"/>
    <s v="Percent of GDP"/>
    <s v="Units"/>
    <x v="0"/>
    <n v="35.844000000000001"/>
  </r>
  <r>
    <n v="110"/>
    <x v="0"/>
    <x v="127"/>
    <x v="3"/>
    <s v="Percent of GDP"/>
    <s v="Units"/>
    <x v="1"/>
    <n v="42.335999999999999"/>
  </r>
  <r>
    <n v="110"/>
    <x v="0"/>
    <x v="127"/>
    <x v="3"/>
    <s v="Percent of GDP"/>
    <s v="Units"/>
    <x v="2"/>
    <n v="39.043999999999997"/>
  </r>
  <r>
    <n v="110"/>
    <x v="0"/>
    <x v="127"/>
    <x v="3"/>
    <s v="Percent of GDP"/>
    <s v="Units"/>
    <x v="3"/>
    <n v="34.889000000000003"/>
  </r>
  <r>
    <n v="110"/>
    <x v="0"/>
    <x v="127"/>
    <x v="3"/>
    <s v="Percent of GDP"/>
    <s v="Units"/>
    <x v="4"/>
    <n v="36.523000000000003"/>
  </r>
  <r>
    <n v="110"/>
    <x v="0"/>
    <x v="127"/>
    <x v="3"/>
    <s v="Percent of GDP"/>
    <s v="Units"/>
    <x v="5"/>
    <n v="36.188000000000002"/>
  </r>
  <r>
    <n v="110"/>
    <x v="0"/>
    <x v="127"/>
    <x v="3"/>
    <s v="Percent of GDP"/>
    <s v="Units"/>
    <x v="6"/>
    <n v="36.790999999999997"/>
  </r>
  <r>
    <n v="163"/>
    <x v="5"/>
    <x v="24"/>
    <x v="5"/>
    <s v="Percent of GDP"/>
    <s v="Units"/>
    <x v="0"/>
    <n v="34.914999999999999"/>
  </r>
  <r>
    <n v="163"/>
    <x v="5"/>
    <x v="24"/>
    <x v="5"/>
    <s v="Percent of GDP"/>
    <s v="Units"/>
    <x v="1"/>
    <n v="36.529000000000003"/>
  </r>
  <r>
    <n v="163"/>
    <x v="5"/>
    <x v="24"/>
    <x v="5"/>
    <s v="Percent of GDP"/>
    <s v="Units"/>
    <x v="2"/>
    <n v="37.325000000000003"/>
  </r>
  <r>
    <n v="163"/>
    <x v="5"/>
    <x v="24"/>
    <x v="5"/>
    <s v="Percent of GDP"/>
    <s v="Units"/>
    <x v="3"/>
    <n v="34.497"/>
  </r>
  <r>
    <n v="163"/>
    <x v="5"/>
    <x v="24"/>
    <x v="5"/>
    <s v="Percent of GDP"/>
    <s v="Units"/>
    <x v="4"/>
    <n v="36.417999999999999"/>
  </r>
  <r>
    <n v="163"/>
    <x v="5"/>
    <x v="24"/>
    <x v="5"/>
    <s v="Percent of GDP"/>
    <s v="Units"/>
    <x v="5"/>
    <n v="36.106999999999999"/>
  </r>
  <r>
    <n v="163"/>
    <x v="5"/>
    <x v="24"/>
    <x v="5"/>
    <s v="Percent of GDP"/>
    <s v="Units"/>
    <x v="6"/>
    <n v="35.411000000000001"/>
  </r>
  <r>
    <n v="998"/>
    <x v="6"/>
    <x v="24"/>
    <x v="5"/>
    <s v="Percent of GDP"/>
    <s v="Units"/>
    <x v="0"/>
    <n v="34.914999999999999"/>
  </r>
  <r>
    <n v="998"/>
    <x v="6"/>
    <x v="24"/>
    <x v="5"/>
    <s v="Percent of GDP"/>
    <s v="Units"/>
    <x v="1"/>
    <n v="36.529000000000003"/>
  </r>
  <r>
    <n v="998"/>
    <x v="6"/>
    <x v="24"/>
    <x v="5"/>
    <s v="Percent of GDP"/>
    <s v="Units"/>
    <x v="2"/>
    <n v="37.325000000000003"/>
  </r>
  <r>
    <n v="998"/>
    <x v="6"/>
    <x v="24"/>
    <x v="5"/>
    <s v="Percent of GDP"/>
    <s v="Units"/>
    <x v="3"/>
    <n v="34.497"/>
  </r>
  <r>
    <n v="998"/>
    <x v="6"/>
    <x v="24"/>
    <x v="5"/>
    <s v="Percent of GDP"/>
    <s v="Units"/>
    <x v="4"/>
    <n v="36.417999999999999"/>
  </r>
  <r>
    <n v="998"/>
    <x v="6"/>
    <x v="24"/>
    <x v="5"/>
    <s v="Percent of GDP"/>
    <s v="Units"/>
    <x v="5"/>
    <n v="36.106999999999999"/>
  </r>
  <r>
    <n v="998"/>
    <x v="6"/>
    <x v="24"/>
    <x v="5"/>
    <s v="Percent of GDP"/>
    <s v="Units"/>
    <x v="6"/>
    <n v="35.411000000000001"/>
  </r>
  <r>
    <n v="110"/>
    <x v="0"/>
    <x v="24"/>
    <x v="5"/>
    <s v="Percent of GDP"/>
    <s v="Units"/>
    <x v="0"/>
    <n v="34.914999999999999"/>
  </r>
  <r>
    <n v="110"/>
    <x v="0"/>
    <x v="24"/>
    <x v="5"/>
    <s v="Percent of GDP"/>
    <s v="Units"/>
    <x v="1"/>
    <n v="36.529000000000003"/>
  </r>
  <r>
    <n v="110"/>
    <x v="0"/>
    <x v="24"/>
    <x v="5"/>
    <s v="Percent of GDP"/>
    <s v="Units"/>
    <x v="2"/>
    <n v="37.325000000000003"/>
  </r>
  <r>
    <n v="110"/>
    <x v="0"/>
    <x v="24"/>
    <x v="5"/>
    <s v="Percent of GDP"/>
    <s v="Units"/>
    <x v="3"/>
    <n v="34.497"/>
  </r>
  <r>
    <n v="110"/>
    <x v="0"/>
    <x v="24"/>
    <x v="5"/>
    <s v="Percent of GDP"/>
    <s v="Units"/>
    <x v="4"/>
    <n v="36.417999999999999"/>
  </r>
  <r>
    <n v="110"/>
    <x v="0"/>
    <x v="24"/>
    <x v="5"/>
    <s v="Percent of GDP"/>
    <s v="Units"/>
    <x v="5"/>
    <n v="36.106999999999999"/>
  </r>
  <r>
    <n v="110"/>
    <x v="0"/>
    <x v="24"/>
    <x v="5"/>
    <s v="Percent of GDP"/>
    <s v="Units"/>
    <x v="6"/>
    <n v="35.411000000000001"/>
  </r>
  <r>
    <n v="1"/>
    <x v="2"/>
    <x v="24"/>
    <x v="5"/>
    <s v="Percent of GDP"/>
    <s v="Units"/>
    <x v="0"/>
    <n v="34.914999999999999"/>
  </r>
  <r>
    <n v="1"/>
    <x v="2"/>
    <x v="24"/>
    <x v="5"/>
    <s v="Percent of GDP"/>
    <s v="Units"/>
    <x v="1"/>
    <n v="36.529000000000003"/>
  </r>
  <r>
    <n v="1"/>
    <x v="2"/>
    <x v="24"/>
    <x v="5"/>
    <s v="Percent of GDP"/>
    <s v="Units"/>
    <x v="2"/>
    <n v="37.325000000000003"/>
  </r>
  <r>
    <n v="1"/>
    <x v="2"/>
    <x v="24"/>
    <x v="5"/>
    <s v="Percent of GDP"/>
    <s v="Units"/>
    <x v="3"/>
    <n v="34.497"/>
  </r>
  <r>
    <n v="1"/>
    <x v="2"/>
    <x v="24"/>
    <x v="5"/>
    <s v="Percent of GDP"/>
    <s v="Units"/>
    <x v="4"/>
    <n v="36.417999999999999"/>
  </r>
  <r>
    <n v="1"/>
    <x v="2"/>
    <x v="24"/>
    <x v="5"/>
    <s v="Percent of GDP"/>
    <s v="Units"/>
    <x v="5"/>
    <n v="36.106999999999999"/>
  </r>
  <r>
    <n v="1"/>
    <x v="2"/>
    <x v="24"/>
    <x v="5"/>
    <s v="Percent of GDP"/>
    <s v="Units"/>
    <x v="6"/>
    <n v="35.411000000000001"/>
  </r>
  <r>
    <n v="1"/>
    <x v="2"/>
    <x v="138"/>
    <x v="5"/>
    <s v="Percent of GDP"/>
    <s v="Units"/>
    <x v="0"/>
    <n v="34.506"/>
  </r>
  <r>
    <n v="1"/>
    <x v="2"/>
    <x v="138"/>
    <x v="5"/>
    <s v="Percent of GDP"/>
    <s v="Units"/>
    <x v="1"/>
    <n v="29.51"/>
  </r>
  <r>
    <n v="1"/>
    <x v="2"/>
    <x v="138"/>
    <x v="5"/>
    <s v="Percent of GDP"/>
    <s v="Units"/>
    <x v="2"/>
    <n v="36.854999999999997"/>
  </r>
  <r>
    <n v="1"/>
    <x v="2"/>
    <x v="138"/>
    <x v="5"/>
    <s v="Percent of GDP"/>
    <s v="Units"/>
    <x v="3"/>
    <n v="40.389000000000003"/>
  </r>
  <r>
    <n v="1"/>
    <x v="2"/>
    <x v="138"/>
    <x v="5"/>
    <s v="Percent of GDP"/>
    <s v="Units"/>
    <x v="4"/>
    <n v="38.347000000000001"/>
  </r>
  <r>
    <n v="1"/>
    <x v="2"/>
    <x v="138"/>
    <x v="5"/>
    <s v="Percent of GDP"/>
    <s v="Units"/>
    <x v="5"/>
    <n v="36.014000000000003"/>
  </r>
  <r>
    <n v="1"/>
    <x v="2"/>
    <x v="138"/>
    <x v="5"/>
    <s v="Percent of GDP"/>
    <s v="Units"/>
    <x v="6"/>
    <n v="35.896999999999998"/>
  </r>
  <r>
    <n v="603"/>
    <x v="12"/>
    <x v="138"/>
    <x v="5"/>
    <s v="Percent of GDP"/>
    <s v="Units"/>
    <x v="0"/>
    <n v="34.506"/>
  </r>
  <r>
    <n v="603"/>
    <x v="12"/>
    <x v="138"/>
    <x v="5"/>
    <s v="Percent of GDP"/>
    <s v="Units"/>
    <x v="1"/>
    <n v="29.51"/>
  </r>
  <r>
    <n v="603"/>
    <x v="12"/>
    <x v="138"/>
    <x v="5"/>
    <s v="Percent of GDP"/>
    <s v="Units"/>
    <x v="2"/>
    <n v="36.854999999999997"/>
  </r>
  <r>
    <n v="603"/>
    <x v="12"/>
    <x v="138"/>
    <x v="5"/>
    <s v="Percent of GDP"/>
    <s v="Units"/>
    <x v="3"/>
    <n v="40.389000000000003"/>
  </r>
  <r>
    <n v="603"/>
    <x v="12"/>
    <x v="138"/>
    <x v="5"/>
    <s v="Percent of GDP"/>
    <s v="Units"/>
    <x v="4"/>
    <n v="38.347000000000001"/>
  </r>
  <r>
    <n v="603"/>
    <x v="12"/>
    <x v="138"/>
    <x v="5"/>
    <s v="Percent of GDP"/>
    <s v="Units"/>
    <x v="5"/>
    <n v="36.014000000000003"/>
  </r>
  <r>
    <n v="603"/>
    <x v="12"/>
    <x v="138"/>
    <x v="5"/>
    <s v="Percent of GDP"/>
    <s v="Units"/>
    <x v="6"/>
    <n v="35.896999999999998"/>
  </r>
  <r>
    <n v="200"/>
    <x v="3"/>
    <x v="138"/>
    <x v="5"/>
    <s v="Percent of GDP"/>
    <s v="Units"/>
    <x v="0"/>
    <n v="34.506"/>
  </r>
  <r>
    <n v="200"/>
    <x v="3"/>
    <x v="138"/>
    <x v="5"/>
    <s v="Percent of GDP"/>
    <s v="Units"/>
    <x v="1"/>
    <n v="29.51"/>
  </r>
  <r>
    <n v="200"/>
    <x v="3"/>
    <x v="138"/>
    <x v="5"/>
    <s v="Percent of GDP"/>
    <s v="Units"/>
    <x v="2"/>
    <n v="36.854999999999997"/>
  </r>
  <r>
    <n v="200"/>
    <x v="3"/>
    <x v="138"/>
    <x v="5"/>
    <s v="Percent of GDP"/>
    <s v="Units"/>
    <x v="3"/>
    <n v="40.389000000000003"/>
  </r>
  <r>
    <n v="200"/>
    <x v="3"/>
    <x v="138"/>
    <x v="5"/>
    <s v="Percent of GDP"/>
    <s v="Units"/>
    <x v="4"/>
    <n v="38.347000000000001"/>
  </r>
  <r>
    <n v="200"/>
    <x v="3"/>
    <x v="138"/>
    <x v="5"/>
    <s v="Percent of GDP"/>
    <s v="Units"/>
    <x v="5"/>
    <n v="36.014000000000003"/>
  </r>
  <r>
    <n v="200"/>
    <x v="3"/>
    <x v="138"/>
    <x v="5"/>
    <s v="Percent of GDP"/>
    <s v="Units"/>
    <x v="6"/>
    <n v="35.896999999999998"/>
  </r>
  <r>
    <n v="998"/>
    <x v="6"/>
    <x v="84"/>
    <x v="2"/>
    <s v="Percent of GDP"/>
    <s v="Units"/>
    <x v="0"/>
    <n v="34.003"/>
  </r>
  <r>
    <n v="998"/>
    <x v="6"/>
    <x v="84"/>
    <x v="2"/>
    <s v="Percent of GDP"/>
    <s v="Units"/>
    <x v="1"/>
    <n v="34.651000000000003"/>
  </r>
  <r>
    <n v="998"/>
    <x v="6"/>
    <x v="84"/>
    <x v="2"/>
    <s v="Percent of GDP"/>
    <s v="Units"/>
    <x v="2"/>
    <n v="36.073999999999998"/>
  </r>
  <r>
    <n v="998"/>
    <x v="6"/>
    <x v="84"/>
    <x v="2"/>
    <s v="Percent of GDP"/>
    <s v="Units"/>
    <x v="3"/>
    <n v="35.488999999999997"/>
  </r>
  <r>
    <n v="998"/>
    <x v="6"/>
    <x v="84"/>
    <x v="2"/>
    <s v="Percent of GDP"/>
    <s v="Units"/>
    <x v="4"/>
    <n v="37.125"/>
  </r>
  <r>
    <n v="998"/>
    <x v="6"/>
    <x v="84"/>
    <x v="2"/>
    <s v="Percent of GDP"/>
    <s v="Units"/>
    <x v="5"/>
    <n v="35.933999999999997"/>
  </r>
  <r>
    <n v="998"/>
    <x v="6"/>
    <x v="84"/>
    <x v="2"/>
    <s v="Percent of GDP"/>
    <s v="Units"/>
    <x v="6"/>
    <n v="35.956000000000003"/>
  </r>
  <r>
    <n v="110"/>
    <x v="0"/>
    <x v="84"/>
    <x v="2"/>
    <s v="Percent of GDP"/>
    <s v="Units"/>
    <x v="0"/>
    <n v="34.003"/>
  </r>
  <r>
    <n v="110"/>
    <x v="0"/>
    <x v="84"/>
    <x v="2"/>
    <s v="Percent of GDP"/>
    <s v="Units"/>
    <x v="1"/>
    <n v="34.651000000000003"/>
  </r>
  <r>
    <n v="110"/>
    <x v="0"/>
    <x v="84"/>
    <x v="2"/>
    <s v="Percent of GDP"/>
    <s v="Units"/>
    <x v="2"/>
    <n v="36.073999999999998"/>
  </r>
  <r>
    <n v="110"/>
    <x v="0"/>
    <x v="84"/>
    <x v="2"/>
    <s v="Percent of GDP"/>
    <s v="Units"/>
    <x v="3"/>
    <n v="35.488999999999997"/>
  </r>
  <r>
    <n v="110"/>
    <x v="0"/>
    <x v="84"/>
    <x v="2"/>
    <s v="Percent of GDP"/>
    <s v="Units"/>
    <x v="4"/>
    <n v="37.125"/>
  </r>
  <r>
    <n v="110"/>
    <x v="0"/>
    <x v="84"/>
    <x v="2"/>
    <s v="Percent of GDP"/>
    <s v="Units"/>
    <x v="5"/>
    <n v="35.933999999999997"/>
  </r>
  <r>
    <n v="110"/>
    <x v="0"/>
    <x v="84"/>
    <x v="2"/>
    <s v="Percent of GDP"/>
    <s v="Units"/>
    <x v="6"/>
    <n v="35.956000000000003"/>
  </r>
  <r>
    <n v="163"/>
    <x v="5"/>
    <x v="84"/>
    <x v="2"/>
    <s v="Percent of GDP"/>
    <s v="Units"/>
    <x v="0"/>
    <n v="34.003"/>
  </r>
  <r>
    <n v="163"/>
    <x v="5"/>
    <x v="84"/>
    <x v="2"/>
    <s v="Percent of GDP"/>
    <s v="Units"/>
    <x v="1"/>
    <n v="34.651000000000003"/>
  </r>
  <r>
    <n v="163"/>
    <x v="5"/>
    <x v="84"/>
    <x v="2"/>
    <s v="Percent of GDP"/>
    <s v="Units"/>
    <x v="2"/>
    <n v="36.073999999999998"/>
  </r>
  <r>
    <n v="163"/>
    <x v="5"/>
    <x v="84"/>
    <x v="2"/>
    <s v="Percent of GDP"/>
    <s v="Units"/>
    <x v="3"/>
    <n v="35.488999999999997"/>
  </r>
  <r>
    <n v="163"/>
    <x v="5"/>
    <x v="84"/>
    <x v="2"/>
    <s v="Percent of GDP"/>
    <s v="Units"/>
    <x v="4"/>
    <n v="37.125"/>
  </r>
  <r>
    <n v="163"/>
    <x v="5"/>
    <x v="84"/>
    <x v="2"/>
    <s v="Percent of GDP"/>
    <s v="Units"/>
    <x v="5"/>
    <n v="35.933999999999997"/>
  </r>
  <r>
    <n v="163"/>
    <x v="5"/>
    <x v="84"/>
    <x v="2"/>
    <s v="Percent of GDP"/>
    <s v="Units"/>
    <x v="6"/>
    <n v="35.956000000000003"/>
  </r>
  <r>
    <n v="110"/>
    <x v="0"/>
    <x v="3"/>
    <x v="2"/>
    <s v="Percent of GDP"/>
    <s v="Units"/>
    <x v="0"/>
    <n v="34.249000000000002"/>
  </r>
  <r>
    <n v="110"/>
    <x v="0"/>
    <x v="3"/>
    <x v="2"/>
    <s v="Percent of GDP"/>
    <s v="Units"/>
    <x v="1"/>
    <n v="35.451000000000001"/>
  </r>
  <r>
    <n v="110"/>
    <x v="0"/>
    <x v="3"/>
    <x v="2"/>
    <s v="Percent of GDP"/>
    <s v="Units"/>
    <x v="2"/>
    <n v="36.380000000000003"/>
  </r>
  <r>
    <n v="110"/>
    <x v="0"/>
    <x v="3"/>
    <x v="2"/>
    <s v="Percent of GDP"/>
    <s v="Units"/>
    <x v="3"/>
    <n v="37.595999999999997"/>
  </r>
  <r>
    <n v="110"/>
    <x v="0"/>
    <x v="3"/>
    <x v="2"/>
    <s v="Percent of GDP"/>
    <s v="Units"/>
    <x v="4"/>
    <n v="36.481999999999999"/>
  </r>
  <r>
    <n v="110"/>
    <x v="0"/>
    <x v="3"/>
    <x v="2"/>
    <s v="Percent of GDP"/>
    <s v="Units"/>
    <x v="5"/>
    <n v="35.776000000000003"/>
  </r>
  <r>
    <n v="110"/>
    <x v="0"/>
    <x v="3"/>
    <x v="2"/>
    <s v="Percent of GDP"/>
    <s v="Units"/>
    <x v="6"/>
    <n v="36.512"/>
  </r>
  <r>
    <n v="119"/>
    <x v="1"/>
    <x v="3"/>
    <x v="2"/>
    <s v="Percent of GDP"/>
    <s v="Units"/>
    <x v="0"/>
    <n v="34.249000000000002"/>
  </r>
  <r>
    <n v="119"/>
    <x v="1"/>
    <x v="3"/>
    <x v="2"/>
    <s v="Percent of GDP"/>
    <s v="Units"/>
    <x v="1"/>
    <n v="35.451000000000001"/>
  </r>
  <r>
    <n v="119"/>
    <x v="1"/>
    <x v="3"/>
    <x v="2"/>
    <s v="Percent of GDP"/>
    <s v="Units"/>
    <x v="2"/>
    <n v="36.380000000000003"/>
  </r>
  <r>
    <n v="119"/>
    <x v="1"/>
    <x v="3"/>
    <x v="2"/>
    <s v="Percent of GDP"/>
    <s v="Units"/>
    <x v="3"/>
    <n v="37.595999999999997"/>
  </r>
  <r>
    <n v="119"/>
    <x v="1"/>
    <x v="3"/>
    <x v="2"/>
    <s v="Percent of GDP"/>
    <s v="Units"/>
    <x v="4"/>
    <n v="36.481999999999999"/>
  </r>
  <r>
    <n v="119"/>
    <x v="1"/>
    <x v="3"/>
    <x v="2"/>
    <s v="Percent of GDP"/>
    <s v="Units"/>
    <x v="5"/>
    <n v="35.776000000000003"/>
  </r>
  <r>
    <n v="119"/>
    <x v="1"/>
    <x v="3"/>
    <x v="2"/>
    <s v="Percent of GDP"/>
    <s v="Units"/>
    <x v="6"/>
    <n v="36.512"/>
  </r>
  <r>
    <n v="200"/>
    <x v="3"/>
    <x v="139"/>
    <x v="5"/>
    <s v="Percent of GDP"/>
    <s v="Units"/>
    <x v="0"/>
    <n v="39.695999999999998"/>
  </r>
  <r>
    <n v="200"/>
    <x v="3"/>
    <x v="139"/>
    <x v="5"/>
    <s v="Percent of GDP"/>
    <s v="Units"/>
    <x v="1"/>
    <n v="42.841999999999999"/>
  </r>
  <r>
    <n v="200"/>
    <x v="3"/>
    <x v="139"/>
    <x v="5"/>
    <s v="Percent of GDP"/>
    <s v="Units"/>
    <x v="2"/>
    <n v="38.125"/>
  </r>
  <r>
    <n v="200"/>
    <x v="3"/>
    <x v="139"/>
    <x v="5"/>
    <s v="Percent of GDP"/>
    <s v="Units"/>
    <x v="3"/>
    <n v="35.585999999999999"/>
  </r>
  <r>
    <n v="200"/>
    <x v="3"/>
    <x v="139"/>
    <x v="5"/>
    <s v="Percent of GDP"/>
    <s v="Units"/>
    <x v="4"/>
    <n v="30.927"/>
  </r>
  <r>
    <n v="200"/>
    <x v="3"/>
    <x v="139"/>
    <x v="5"/>
    <s v="Percent of GDP"/>
    <s v="Units"/>
    <x v="5"/>
    <n v="35.728000000000002"/>
  </r>
  <r>
    <n v="200"/>
    <x v="3"/>
    <x v="139"/>
    <x v="5"/>
    <s v="Percent of GDP"/>
    <s v="Units"/>
    <x v="6"/>
    <n v="37.539000000000001"/>
  </r>
  <r>
    <n v="603"/>
    <x v="12"/>
    <x v="139"/>
    <x v="5"/>
    <s v="Percent of GDP"/>
    <s v="Units"/>
    <x v="0"/>
    <n v="39.695999999999998"/>
  </r>
  <r>
    <n v="603"/>
    <x v="12"/>
    <x v="139"/>
    <x v="5"/>
    <s v="Percent of GDP"/>
    <s v="Units"/>
    <x v="1"/>
    <n v="42.841999999999999"/>
  </r>
  <r>
    <n v="603"/>
    <x v="12"/>
    <x v="139"/>
    <x v="5"/>
    <s v="Percent of GDP"/>
    <s v="Units"/>
    <x v="2"/>
    <n v="38.125"/>
  </r>
  <r>
    <n v="603"/>
    <x v="12"/>
    <x v="139"/>
    <x v="5"/>
    <s v="Percent of GDP"/>
    <s v="Units"/>
    <x v="3"/>
    <n v="35.585999999999999"/>
  </r>
  <r>
    <n v="603"/>
    <x v="12"/>
    <x v="139"/>
    <x v="5"/>
    <s v="Percent of GDP"/>
    <s v="Units"/>
    <x v="4"/>
    <n v="30.927"/>
  </r>
  <r>
    <n v="603"/>
    <x v="12"/>
    <x v="139"/>
    <x v="5"/>
    <s v="Percent of GDP"/>
    <s v="Units"/>
    <x v="5"/>
    <n v="35.728000000000002"/>
  </r>
  <r>
    <n v="603"/>
    <x v="12"/>
    <x v="139"/>
    <x v="5"/>
    <s v="Percent of GDP"/>
    <s v="Units"/>
    <x v="6"/>
    <n v="37.539000000000001"/>
  </r>
  <r>
    <n v="1"/>
    <x v="2"/>
    <x v="139"/>
    <x v="5"/>
    <s v="Percent of GDP"/>
    <s v="Units"/>
    <x v="0"/>
    <n v="39.695999999999998"/>
  </r>
  <r>
    <n v="1"/>
    <x v="2"/>
    <x v="139"/>
    <x v="5"/>
    <s v="Percent of GDP"/>
    <s v="Units"/>
    <x v="1"/>
    <n v="42.841999999999999"/>
  </r>
  <r>
    <n v="1"/>
    <x v="2"/>
    <x v="139"/>
    <x v="5"/>
    <s v="Percent of GDP"/>
    <s v="Units"/>
    <x v="2"/>
    <n v="38.125"/>
  </r>
  <r>
    <n v="1"/>
    <x v="2"/>
    <x v="139"/>
    <x v="5"/>
    <s v="Percent of GDP"/>
    <s v="Units"/>
    <x v="3"/>
    <n v="35.585999999999999"/>
  </r>
  <r>
    <n v="1"/>
    <x v="2"/>
    <x v="139"/>
    <x v="5"/>
    <s v="Percent of GDP"/>
    <s v="Units"/>
    <x v="4"/>
    <n v="30.927"/>
  </r>
  <r>
    <n v="1"/>
    <x v="2"/>
    <x v="139"/>
    <x v="5"/>
    <s v="Percent of GDP"/>
    <s v="Units"/>
    <x v="5"/>
    <n v="35.728000000000002"/>
  </r>
  <r>
    <n v="1"/>
    <x v="2"/>
    <x v="139"/>
    <x v="5"/>
    <s v="Percent of GDP"/>
    <s v="Units"/>
    <x v="6"/>
    <n v="37.539000000000001"/>
  </r>
  <r>
    <n v="200"/>
    <x v="3"/>
    <x v="108"/>
    <x v="5"/>
    <s v="Percent of GDP"/>
    <s v="Units"/>
    <x v="0"/>
    <n v="30.582999999999998"/>
  </r>
  <r>
    <n v="200"/>
    <x v="3"/>
    <x v="108"/>
    <x v="5"/>
    <s v="Percent of GDP"/>
    <s v="Units"/>
    <x v="1"/>
    <n v="25.722000000000001"/>
  </r>
  <r>
    <n v="200"/>
    <x v="3"/>
    <x v="108"/>
    <x v="5"/>
    <s v="Percent of GDP"/>
    <s v="Units"/>
    <x v="2"/>
    <n v="32.209000000000003"/>
  </r>
  <r>
    <n v="200"/>
    <x v="3"/>
    <x v="108"/>
    <x v="5"/>
    <s v="Percent of GDP"/>
    <s v="Units"/>
    <x v="3"/>
    <n v="42.106000000000002"/>
  </r>
  <r>
    <n v="200"/>
    <x v="3"/>
    <x v="108"/>
    <x v="5"/>
    <s v="Percent of GDP"/>
    <s v="Units"/>
    <x v="4"/>
    <n v="34.831000000000003"/>
  </r>
  <r>
    <n v="200"/>
    <x v="3"/>
    <x v="108"/>
    <x v="5"/>
    <s v="Percent of GDP"/>
    <s v="Units"/>
    <x v="5"/>
    <n v="35.694000000000003"/>
  </r>
  <r>
    <n v="200"/>
    <x v="3"/>
    <x v="108"/>
    <x v="5"/>
    <s v="Percent of GDP"/>
    <s v="Units"/>
    <x v="6"/>
    <n v="34.89"/>
  </r>
  <r>
    <n v="400"/>
    <x v="11"/>
    <x v="108"/>
    <x v="5"/>
    <s v="Percent of GDP"/>
    <s v="Units"/>
    <x v="0"/>
    <n v="30.582999999999998"/>
  </r>
  <r>
    <n v="400"/>
    <x v="11"/>
    <x v="108"/>
    <x v="5"/>
    <s v="Percent of GDP"/>
    <s v="Units"/>
    <x v="1"/>
    <n v="25.722000000000001"/>
  </r>
  <r>
    <n v="400"/>
    <x v="11"/>
    <x v="108"/>
    <x v="5"/>
    <s v="Percent of GDP"/>
    <s v="Units"/>
    <x v="2"/>
    <n v="32.209000000000003"/>
  </r>
  <r>
    <n v="400"/>
    <x v="11"/>
    <x v="108"/>
    <x v="5"/>
    <s v="Percent of GDP"/>
    <s v="Units"/>
    <x v="3"/>
    <n v="42.106000000000002"/>
  </r>
  <r>
    <n v="400"/>
    <x v="11"/>
    <x v="108"/>
    <x v="5"/>
    <s v="Percent of GDP"/>
    <s v="Units"/>
    <x v="4"/>
    <n v="34.831000000000003"/>
  </r>
  <r>
    <n v="400"/>
    <x v="11"/>
    <x v="108"/>
    <x v="5"/>
    <s v="Percent of GDP"/>
    <s v="Units"/>
    <x v="5"/>
    <n v="35.694000000000003"/>
  </r>
  <r>
    <n v="400"/>
    <x v="11"/>
    <x v="108"/>
    <x v="5"/>
    <s v="Percent of GDP"/>
    <s v="Units"/>
    <x v="6"/>
    <n v="34.89"/>
  </r>
  <r>
    <n v="1"/>
    <x v="2"/>
    <x v="108"/>
    <x v="5"/>
    <s v="Percent of GDP"/>
    <s v="Units"/>
    <x v="0"/>
    <n v="30.582999999999998"/>
  </r>
  <r>
    <n v="1"/>
    <x v="2"/>
    <x v="108"/>
    <x v="5"/>
    <s v="Percent of GDP"/>
    <s v="Units"/>
    <x v="1"/>
    <n v="25.722000000000001"/>
  </r>
  <r>
    <n v="1"/>
    <x v="2"/>
    <x v="108"/>
    <x v="5"/>
    <s v="Percent of GDP"/>
    <s v="Units"/>
    <x v="2"/>
    <n v="32.209000000000003"/>
  </r>
  <r>
    <n v="1"/>
    <x v="2"/>
    <x v="108"/>
    <x v="5"/>
    <s v="Percent of GDP"/>
    <s v="Units"/>
    <x v="3"/>
    <n v="42.106000000000002"/>
  </r>
  <r>
    <n v="1"/>
    <x v="2"/>
    <x v="108"/>
    <x v="5"/>
    <s v="Percent of GDP"/>
    <s v="Units"/>
    <x v="4"/>
    <n v="34.831000000000003"/>
  </r>
  <r>
    <n v="1"/>
    <x v="2"/>
    <x v="108"/>
    <x v="5"/>
    <s v="Percent of GDP"/>
    <s v="Units"/>
    <x v="5"/>
    <n v="35.694000000000003"/>
  </r>
  <r>
    <n v="1"/>
    <x v="2"/>
    <x v="108"/>
    <x v="5"/>
    <s v="Percent of GDP"/>
    <s v="Units"/>
    <x v="6"/>
    <n v="34.89"/>
  </r>
  <r>
    <n v="123"/>
    <x v="9"/>
    <x v="28"/>
    <x v="2"/>
    <s v="Percent of GDP"/>
    <s v="Units"/>
    <x v="0"/>
    <n v="34.843000000000004"/>
  </r>
  <r>
    <n v="123"/>
    <x v="9"/>
    <x v="28"/>
    <x v="2"/>
    <s v="Percent of GDP"/>
    <s v="Units"/>
    <x v="1"/>
    <n v="34.104999999999997"/>
  </r>
  <r>
    <n v="123"/>
    <x v="9"/>
    <x v="28"/>
    <x v="2"/>
    <s v="Percent of GDP"/>
    <s v="Units"/>
    <x v="2"/>
    <n v="36.481999999999999"/>
  </r>
  <r>
    <n v="123"/>
    <x v="9"/>
    <x v="28"/>
    <x v="2"/>
    <s v="Percent of GDP"/>
    <s v="Units"/>
    <x v="3"/>
    <n v="37.207999999999998"/>
  </r>
  <r>
    <n v="123"/>
    <x v="9"/>
    <x v="28"/>
    <x v="2"/>
    <s v="Percent of GDP"/>
    <s v="Units"/>
    <x v="4"/>
    <n v="34.033999999999999"/>
  </r>
  <r>
    <n v="123"/>
    <x v="9"/>
    <x v="28"/>
    <x v="2"/>
    <s v="Percent of GDP"/>
    <s v="Units"/>
    <x v="5"/>
    <n v="35.655999999999999"/>
  </r>
  <r>
    <n v="123"/>
    <x v="9"/>
    <x v="28"/>
    <x v="2"/>
    <s v="Percent of GDP"/>
    <s v="Units"/>
    <x v="6"/>
    <n v="35.270000000000003"/>
  </r>
  <r>
    <n v="110"/>
    <x v="0"/>
    <x v="28"/>
    <x v="2"/>
    <s v="Percent of GDP"/>
    <s v="Units"/>
    <x v="0"/>
    <n v="34.843000000000004"/>
  </r>
  <r>
    <n v="110"/>
    <x v="0"/>
    <x v="28"/>
    <x v="2"/>
    <s v="Percent of GDP"/>
    <s v="Units"/>
    <x v="1"/>
    <n v="34.104999999999997"/>
  </r>
  <r>
    <n v="110"/>
    <x v="0"/>
    <x v="28"/>
    <x v="2"/>
    <s v="Percent of GDP"/>
    <s v="Units"/>
    <x v="2"/>
    <n v="36.481999999999999"/>
  </r>
  <r>
    <n v="110"/>
    <x v="0"/>
    <x v="28"/>
    <x v="2"/>
    <s v="Percent of GDP"/>
    <s v="Units"/>
    <x v="3"/>
    <n v="37.207999999999998"/>
  </r>
  <r>
    <n v="110"/>
    <x v="0"/>
    <x v="28"/>
    <x v="2"/>
    <s v="Percent of GDP"/>
    <s v="Units"/>
    <x v="4"/>
    <n v="34.033999999999999"/>
  </r>
  <r>
    <n v="110"/>
    <x v="0"/>
    <x v="28"/>
    <x v="2"/>
    <s v="Percent of GDP"/>
    <s v="Units"/>
    <x v="5"/>
    <n v="35.655999999999999"/>
  </r>
  <r>
    <n v="110"/>
    <x v="0"/>
    <x v="28"/>
    <x v="2"/>
    <s v="Percent of GDP"/>
    <s v="Units"/>
    <x v="6"/>
    <n v="35.270000000000003"/>
  </r>
  <r>
    <n v="903"/>
    <x v="8"/>
    <x v="10"/>
    <x v="2"/>
    <s v="Percent of GDP"/>
    <s v="Units"/>
    <x v="0"/>
    <n v="35.682000000000002"/>
  </r>
  <r>
    <n v="903"/>
    <x v="8"/>
    <x v="10"/>
    <x v="2"/>
    <s v="Percent of GDP"/>
    <s v="Units"/>
    <x v="1"/>
    <n v="35.164000000000001"/>
  </r>
  <r>
    <n v="903"/>
    <x v="8"/>
    <x v="10"/>
    <x v="2"/>
    <s v="Percent of GDP"/>
    <s v="Units"/>
    <x v="2"/>
    <n v="35.44"/>
  </r>
  <r>
    <n v="903"/>
    <x v="8"/>
    <x v="10"/>
    <x v="2"/>
    <s v="Percent of GDP"/>
    <s v="Units"/>
    <x v="3"/>
    <n v="34.164000000000001"/>
  </r>
  <r>
    <n v="903"/>
    <x v="8"/>
    <x v="10"/>
    <x v="2"/>
    <s v="Percent of GDP"/>
    <s v="Units"/>
    <x v="4"/>
    <n v="34.537999999999997"/>
  </r>
  <r>
    <n v="903"/>
    <x v="8"/>
    <x v="10"/>
    <x v="2"/>
    <s v="Percent of GDP"/>
    <s v="Units"/>
    <x v="5"/>
    <n v="35.616999999999997"/>
  </r>
  <r>
    <n v="903"/>
    <x v="8"/>
    <x v="10"/>
    <x v="2"/>
    <s v="Percent of GDP"/>
    <s v="Units"/>
    <x v="6"/>
    <n v="35.878999999999998"/>
  </r>
  <r>
    <n v="200"/>
    <x v="3"/>
    <x v="10"/>
    <x v="2"/>
    <s v="Percent of GDP"/>
    <s v="Units"/>
    <x v="0"/>
    <n v="35.682000000000002"/>
  </r>
  <r>
    <n v="200"/>
    <x v="3"/>
    <x v="10"/>
    <x v="2"/>
    <s v="Percent of GDP"/>
    <s v="Units"/>
    <x v="1"/>
    <n v="35.164000000000001"/>
  </r>
  <r>
    <n v="200"/>
    <x v="3"/>
    <x v="10"/>
    <x v="2"/>
    <s v="Percent of GDP"/>
    <s v="Units"/>
    <x v="2"/>
    <n v="35.44"/>
  </r>
  <r>
    <n v="200"/>
    <x v="3"/>
    <x v="10"/>
    <x v="2"/>
    <s v="Percent of GDP"/>
    <s v="Units"/>
    <x v="3"/>
    <n v="34.164000000000001"/>
  </r>
  <r>
    <n v="200"/>
    <x v="3"/>
    <x v="10"/>
    <x v="2"/>
    <s v="Percent of GDP"/>
    <s v="Units"/>
    <x v="4"/>
    <n v="34.537999999999997"/>
  </r>
  <r>
    <n v="200"/>
    <x v="3"/>
    <x v="10"/>
    <x v="2"/>
    <s v="Percent of GDP"/>
    <s v="Units"/>
    <x v="5"/>
    <n v="35.616999999999997"/>
  </r>
  <r>
    <n v="200"/>
    <x v="3"/>
    <x v="10"/>
    <x v="2"/>
    <s v="Percent of GDP"/>
    <s v="Units"/>
    <x v="6"/>
    <n v="35.878999999999998"/>
  </r>
  <r>
    <n v="200"/>
    <x v="3"/>
    <x v="106"/>
    <x v="3"/>
    <s v="Percent of GDP"/>
    <s v="Units"/>
    <x v="0"/>
    <n v="36.066000000000003"/>
  </r>
  <r>
    <n v="200"/>
    <x v="3"/>
    <x v="106"/>
    <x v="3"/>
    <s v="Percent of GDP"/>
    <s v="Units"/>
    <x v="1"/>
    <n v="37.975999999999999"/>
  </r>
  <r>
    <n v="200"/>
    <x v="3"/>
    <x v="106"/>
    <x v="3"/>
    <s v="Percent of GDP"/>
    <s v="Units"/>
    <x v="2"/>
    <n v="34.398000000000003"/>
  </r>
  <r>
    <n v="200"/>
    <x v="3"/>
    <x v="106"/>
    <x v="3"/>
    <s v="Percent of GDP"/>
    <s v="Units"/>
    <x v="3"/>
    <n v="35.997"/>
  </r>
  <r>
    <n v="200"/>
    <x v="3"/>
    <x v="106"/>
    <x v="3"/>
    <s v="Percent of GDP"/>
    <s v="Units"/>
    <x v="4"/>
    <n v="35.344999999999999"/>
  </r>
  <r>
    <n v="200"/>
    <x v="3"/>
    <x v="106"/>
    <x v="3"/>
    <s v="Percent of GDP"/>
    <s v="Units"/>
    <x v="5"/>
    <n v="35.482999999999997"/>
  </r>
  <r>
    <n v="200"/>
    <x v="3"/>
    <x v="106"/>
    <x v="3"/>
    <s v="Percent of GDP"/>
    <s v="Units"/>
    <x v="6"/>
    <n v="34.848999999999997"/>
  </r>
  <r>
    <n v="205"/>
    <x v="7"/>
    <x v="106"/>
    <x v="3"/>
    <s v="Percent of GDP"/>
    <s v="Units"/>
    <x v="0"/>
    <n v="36.066000000000003"/>
  </r>
  <r>
    <n v="205"/>
    <x v="7"/>
    <x v="106"/>
    <x v="3"/>
    <s v="Percent of GDP"/>
    <s v="Units"/>
    <x v="1"/>
    <n v="37.975999999999999"/>
  </r>
  <r>
    <n v="205"/>
    <x v="7"/>
    <x v="106"/>
    <x v="3"/>
    <s v="Percent of GDP"/>
    <s v="Units"/>
    <x v="2"/>
    <n v="34.398000000000003"/>
  </r>
  <r>
    <n v="205"/>
    <x v="7"/>
    <x v="106"/>
    <x v="3"/>
    <s v="Percent of GDP"/>
    <s v="Units"/>
    <x v="3"/>
    <n v="35.997"/>
  </r>
  <r>
    <n v="205"/>
    <x v="7"/>
    <x v="106"/>
    <x v="3"/>
    <s v="Percent of GDP"/>
    <s v="Units"/>
    <x v="4"/>
    <n v="35.344999999999999"/>
  </r>
  <r>
    <n v="205"/>
    <x v="7"/>
    <x v="106"/>
    <x v="3"/>
    <s v="Percent of GDP"/>
    <s v="Units"/>
    <x v="5"/>
    <n v="35.482999999999997"/>
  </r>
  <r>
    <n v="205"/>
    <x v="7"/>
    <x v="106"/>
    <x v="3"/>
    <s v="Percent of GDP"/>
    <s v="Units"/>
    <x v="6"/>
    <n v="34.848999999999997"/>
  </r>
  <r>
    <n v="1"/>
    <x v="2"/>
    <x v="125"/>
    <x v="0"/>
    <s v="U.S. dollars"/>
    <s v="Billions"/>
    <x v="0"/>
    <n v="23.405000000000001"/>
  </r>
  <r>
    <n v="1"/>
    <x v="2"/>
    <x v="125"/>
    <x v="0"/>
    <s v="U.S. dollars"/>
    <s v="Billions"/>
    <x v="1"/>
    <n v="24.533999999999999"/>
  </r>
  <r>
    <n v="1"/>
    <x v="2"/>
    <x v="125"/>
    <x v="0"/>
    <s v="U.S. dollars"/>
    <s v="Billions"/>
    <x v="2"/>
    <n v="27.584"/>
  </r>
  <r>
    <n v="1"/>
    <x v="2"/>
    <x v="125"/>
    <x v="0"/>
    <s v="U.S. dollars"/>
    <s v="Billions"/>
    <x v="3"/>
    <n v="27.744"/>
  </r>
  <r>
    <n v="1"/>
    <x v="2"/>
    <x v="125"/>
    <x v="0"/>
    <s v="U.S. dollars"/>
    <s v="Billions"/>
    <x v="4"/>
    <n v="31.407"/>
  </r>
  <r>
    <n v="1"/>
    <x v="2"/>
    <x v="125"/>
    <x v="0"/>
    <s v="U.S. dollars"/>
    <s v="Billions"/>
    <x v="5"/>
    <n v="35.450000000000003"/>
  </r>
  <r>
    <n v="1"/>
    <x v="2"/>
    <x v="125"/>
    <x v="0"/>
    <s v="U.S. dollars"/>
    <s v="Billions"/>
    <x v="6"/>
    <n v="39.963000000000001"/>
  </r>
  <r>
    <n v="603"/>
    <x v="12"/>
    <x v="125"/>
    <x v="0"/>
    <s v="U.S. dollars"/>
    <s v="Billions"/>
    <x v="0"/>
    <n v="23.405000000000001"/>
  </r>
  <r>
    <n v="603"/>
    <x v="12"/>
    <x v="125"/>
    <x v="0"/>
    <s v="U.S. dollars"/>
    <s v="Billions"/>
    <x v="1"/>
    <n v="24.533999999999999"/>
  </r>
  <r>
    <n v="603"/>
    <x v="12"/>
    <x v="125"/>
    <x v="0"/>
    <s v="U.S. dollars"/>
    <s v="Billions"/>
    <x v="2"/>
    <n v="27.584"/>
  </r>
  <r>
    <n v="603"/>
    <x v="12"/>
    <x v="125"/>
    <x v="0"/>
    <s v="U.S. dollars"/>
    <s v="Billions"/>
    <x v="3"/>
    <n v="27.744"/>
  </r>
  <r>
    <n v="603"/>
    <x v="12"/>
    <x v="125"/>
    <x v="0"/>
    <s v="U.S. dollars"/>
    <s v="Billions"/>
    <x v="4"/>
    <n v="31.407"/>
  </r>
  <r>
    <n v="603"/>
    <x v="12"/>
    <x v="125"/>
    <x v="0"/>
    <s v="U.S. dollars"/>
    <s v="Billions"/>
    <x v="5"/>
    <n v="35.450000000000003"/>
  </r>
  <r>
    <n v="603"/>
    <x v="12"/>
    <x v="125"/>
    <x v="0"/>
    <s v="U.S. dollars"/>
    <s v="Billions"/>
    <x v="6"/>
    <n v="39.963000000000001"/>
  </r>
  <r>
    <n v="200"/>
    <x v="3"/>
    <x v="125"/>
    <x v="0"/>
    <s v="U.S. dollars"/>
    <s v="Billions"/>
    <x v="0"/>
    <n v="23.405000000000001"/>
  </r>
  <r>
    <n v="200"/>
    <x v="3"/>
    <x v="125"/>
    <x v="0"/>
    <s v="U.S. dollars"/>
    <s v="Billions"/>
    <x v="1"/>
    <n v="24.533999999999999"/>
  </r>
  <r>
    <n v="200"/>
    <x v="3"/>
    <x v="125"/>
    <x v="0"/>
    <s v="U.S. dollars"/>
    <s v="Billions"/>
    <x v="2"/>
    <n v="27.584"/>
  </r>
  <r>
    <n v="200"/>
    <x v="3"/>
    <x v="125"/>
    <x v="0"/>
    <s v="U.S. dollars"/>
    <s v="Billions"/>
    <x v="3"/>
    <n v="27.744"/>
  </r>
  <r>
    <n v="200"/>
    <x v="3"/>
    <x v="125"/>
    <x v="0"/>
    <s v="U.S. dollars"/>
    <s v="Billions"/>
    <x v="4"/>
    <n v="31.407"/>
  </r>
  <r>
    <n v="200"/>
    <x v="3"/>
    <x v="125"/>
    <x v="0"/>
    <s v="U.S. dollars"/>
    <s v="Billions"/>
    <x v="5"/>
    <n v="35.450000000000003"/>
  </r>
  <r>
    <n v="200"/>
    <x v="3"/>
    <x v="125"/>
    <x v="0"/>
    <s v="U.S. dollars"/>
    <s v="Billions"/>
    <x v="6"/>
    <n v="39.963000000000001"/>
  </r>
  <r>
    <n v="200"/>
    <x v="3"/>
    <x v="117"/>
    <x v="5"/>
    <s v="Percent of GDP"/>
    <s v="Units"/>
    <x v="0"/>
    <n v="34.450000000000003"/>
  </r>
  <r>
    <n v="200"/>
    <x v="3"/>
    <x v="117"/>
    <x v="5"/>
    <s v="Percent of GDP"/>
    <s v="Units"/>
    <x v="1"/>
    <n v="29.428000000000001"/>
  </r>
  <r>
    <n v="200"/>
    <x v="3"/>
    <x v="117"/>
    <x v="5"/>
    <s v="Percent of GDP"/>
    <s v="Units"/>
    <x v="2"/>
    <n v="27.462"/>
  </r>
  <r>
    <n v="200"/>
    <x v="3"/>
    <x v="117"/>
    <x v="5"/>
    <s v="Percent of GDP"/>
    <s v="Units"/>
    <x v="3"/>
    <n v="24.742999999999999"/>
  </r>
  <r>
    <n v="200"/>
    <x v="3"/>
    <x v="117"/>
    <x v="5"/>
    <s v="Percent of GDP"/>
    <s v="Units"/>
    <x v="4"/>
    <n v="32.192"/>
  </r>
  <r>
    <n v="200"/>
    <x v="3"/>
    <x v="117"/>
    <x v="5"/>
    <s v="Percent of GDP"/>
    <s v="Units"/>
    <x v="5"/>
    <n v="35.423000000000002"/>
  </r>
  <r>
    <n v="200"/>
    <x v="3"/>
    <x v="117"/>
    <x v="5"/>
    <s v="Percent of GDP"/>
    <s v="Units"/>
    <x v="6"/>
    <n v="34.523000000000003"/>
  </r>
  <r>
    <n v="1"/>
    <x v="2"/>
    <x v="117"/>
    <x v="5"/>
    <s v="Percent of GDP"/>
    <s v="Units"/>
    <x v="0"/>
    <n v="34.450000000000003"/>
  </r>
  <r>
    <n v="1"/>
    <x v="2"/>
    <x v="117"/>
    <x v="5"/>
    <s v="Percent of GDP"/>
    <s v="Units"/>
    <x v="1"/>
    <n v="29.428000000000001"/>
  </r>
  <r>
    <n v="1"/>
    <x v="2"/>
    <x v="117"/>
    <x v="5"/>
    <s v="Percent of GDP"/>
    <s v="Units"/>
    <x v="2"/>
    <n v="27.462"/>
  </r>
  <r>
    <n v="1"/>
    <x v="2"/>
    <x v="117"/>
    <x v="5"/>
    <s v="Percent of GDP"/>
    <s v="Units"/>
    <x v="3"/>
    <n v="24.742999999999999"/>
  </r>
  <r>
    <n v="1"/>
    <x v="2"/>
    <x v="117"/>
    <x v="5"/>
    <s v="Percent of GDP"/>
    <s v="Units"/>
    <x v="4"/>
    <n v="32.192"/>
  </r>
  <r>
    <n v="1"/>
    <x v="2"/>
    <x v="117"/>
    <x v="5"/>
    <s v="Percent of GDP"/>
    <s v="Units"/>
    <x v="5"/>
    <n v="35.423000000000002"/>
  </r>
  <r>
    <n v="1"/>
    <x v="2"/>
    <x v="117"/>
    <x v="5"/>
    <s v="Percent of GDP"/>
    <s v="Units"/>
    <x v="6"/>
    <n v="34.523000000000003"/>
  </r>
  <r>
    <n v="505"/>
    <x v="4"/>
    <x v="117"/>
    <x v="5"/>
    <s v="Percent of GDP"/>
    <s v="Units"/>
    <x v="0"/>
    <n v="34.450000000000003"/>
  </r>
  <r>
    <n v="505"/>
    <x v="4"/>
    <x v="117"/>
    <x v="5"/>
    <s v="Percent of GDP"/>
    <s v="Units"/>
    <x v="1"/>
    <n v="29.428000000000001"/>
  </r>
  <r>
    <n v="505"/>
    <x v="4"/>
    <x v="117"/>
    <x v="5"/>
    <s v="Percent of GDP"/>
    <s v="Units"/>
    <x v="2"/>
    <n v="27.462"/>
  </r>
  <r>
    <n v="505"/>
    <x v="4"/>
    <x v="117"/>
    <x v="5"/>
    <s v="Percent of GDP"/>
    <s v="Units"/>
    <x v="3"/>
    <n v="24.742999999999999"/>
  </r>
  <r>
    <n v="505"/>
    <x v="4"/>
    <x v="117"/>
    <x v="5"/>
    <s v="Percent of GDP"/>
    <s v="Units"/>
    <x v="4"/>
    <n v="32.192"/>
  </r>
  <r>
    <n v="505"/>
    <x v="4"/>
    <x v="117"/>
    <x v="5"/>
    <s v="Percent of GDP"/>
    <s v="Units"/>
    <x v="5"/>
    <n v="35.423000000000002"/>
  </r>
  <r>
    <n v="505"/>
    <x v="4"/>
    <x v="117"/>
    <x v="5"/>
    <s v="Percent of GDP"/>
    <s v="Units"/>
    <x v="6"/>
    <n v="34.523000000000003"/>
  </r>
  <r>
    <n v="200"/>
    <x v="3"/>
    <x v="16"/>
    <x v="3"/>
    <s v="Percent of GDP"/>
    <s v="Units"/>
    <x v="0"/>
    <n v="34.862000000000002"/>
  </r>
  <r>
    <n v="200"/>
    <x v="3"/>
    <x v="16"/>
    <x v="3"/>
    <s v="Percent of GDP"/>
    <s v="Units"/>
    <x v="1"/>
    <n v="34.112000000000002"/>
  </r>
  <r>
    <n v="200"/>
    <x v="3"/>
    <x v="16"/>
    <x v="3"/>
    <s v="Percent of GDP"/>
    <s v="Units"/>
    <x v="2"/>
    <n v="30.821999999999999"/>
  </r>
  <r>
    <n v="200"/>
    <x v="3"/>
    <x v="16"/>
    <x v="3"/>
    <s v="Percent of GDP"/>
    <s v="Units"/>
    <x v="3"/>
    <n v="27.7"/>
  </r>
  <r>
    <n v="200"/>
    <x v="3"/>
    <x v="16"/>
    <x v="3"/>
    <s v="Percent of GDP"/>
    <s v="Units"/>
    <x v="4"/>
    <n v="33.851999999999997"/>
  </r>
  <r>
    <n v="200"/>
    <x v="3"/>
    <x v="16"/>
    <x v="3"/>
    <s v="Percent of GDP"/>
    <s v="Units"/>
    <x v="5"/>
    <n v="35.39"/>
  </r>
  <r>
    <n v="200"/>
    <x v="3"/>
    <x v="16"/>
    <x v="3"/>
    <s v="Percent of GDP"/>
    <s v="Units"/>
    <x v="6"/>
    <n v="33.402000000000001"/>
  </r>
  <r>
    <n v="903"/>
    <x v="8"/>
    <x v="16"/>
    <x v="3"/>
    <s v="Percent of GDP"/>
    <s v="Units"/>
    <x v="0"/>
    <n v="34.862000000000002"/>
  </r>
  <r>
    <n v="903"/>
    <x v="8"/>
    <x v="16"/>
    <x v="3"/>
    <s v="Percent of GDP"/>
    <s v="Units"/>
    <x v="1"/>
    <n v="34.112000000000002"/>
  </r>
  <r>
    <n v="903"/>
    <x v="8"/>
    <x v="16"/>
    <x v="3"/>
    <s v="Percent of GDP"/>
    <s v="Units"/>
    <x v="2"/>
    <n v="30.821999999999999"/>
  </r>
  <r>
    <n v="903"/>
    <x v="8"/>
    <x v="16"/>
    <x v="3"/>
    <s v="Percent of GDP"/>
    <s v="Units"/>
    <x v="3"/>
    <n v="27.7"/>
  </r>
  <r>
    <n v="903"/>
    <x v="8"/>
    <x v="16"/>
    <x v="3"/>
    <s v="Percent of GDP"/>
    <s v="Units"/>
    <x v="4"/>
    <n v="33.851999999999997"/>
  </r>
  <r>
    <n v="903"/>
    <x v="8"/>
    <x v="16"/>
    <x v="3"/>
    <s v="Percent of GDP"/>
    <s v="Units"/>
    <x v="5"/>
    <n v="35.39"/>
  </r>
  <r>
    <n v="903"/>
    <x v="8"/>
    <x v="16"/>
    <x v="3"/>
    <s v="Percent of GDP"/>
    <s v="Units"/>
    <x v="6"/>
    <n v="33.402000000000001"/>
  </r>
  <r>
    <n v="200"/>
    <x v="3"/>
    <x v="140"/>
    <x v="0"/>
    <s v="U.S. dollars"/>
    <s v="Billions"/>
    <x v="0"/>
    <n v="26.881"/>
  </r>
  <r>
    <n v="200"/>
    <x v="3"/>
    <x v="140"/>
    <x v="0"/>
    <s v="U.S. dollars"/>
    <s v="Billions"/>
    <x v="1"/>
    <n v="24.920999999999999"/>
  </r>
  <r>
    <n v="200"/>
    <x v="3"/>
    <x v="140"/>
    <x v="0"/>
    <s v="U.S. dollars"/>
    <s v="Billions"/>
    <x v="2"/>
    <n v="29.042999999999999"/>
  </r>
  <r>
    <n v="200"/>
    <x v="3"/>
    <x v="140"/>
    <x v="0"/>
    <s v="U.S. dollars"/>
    <s v="Billions"/>
    <x v="3"/>
    <n v="31.989000000000001"/>
  </r>
  <r>
    <n v="200"/>
    <x v="3"/>
    <x v="140"/>
    <x v="0"/>
    <s v="U.S. dollars"/>
    <s v="Billions"/>
    <x v="4"/>
    <n v="34.015999999999998"/>
  </r>
  <r>
    <n v="200"/>
    <x v="3"/>
    <x v="140"/>
    <x v="0"/>
    <s v="U.S. dollars"/>
    <s v="Billions"/>
    <x v="5"/>
    <n v="35.332999999999998"/>
  </r>
  <r>
    <n v="200"/>
    <x v="3"/>
    <x v="140"/>
    <x v="0"/>
    <s v="U.S. dollars"/>
    <s v="Billions"/>
    <x v="6"/>
    <n v="37.090000000000003"/>
  </r>
  <r>
    <n v="1"/>
    <x v="2"/>
    <x v="140"/>
    <x v="0"/>
    <s v="U.S. dollars"/>
    <s v="Billions"/>
    <x v="0"/>
    <n v="26.881"/>
  </r>
  <r>
    <n v="1"/>
    <x v="2"/>
    <x v="140"/>
    <x v="0"/>
    <s v="U.S. dollars"/>
    <s v="Billions"/>
    <x v="1"/>
    <n v="24.920999999999999"/>
  </r>
  <r>
    <n v="1"/>
    <x v="2"/>
    <x v="140"/>
    <x v="0"/>
    <s v="U.S. dollars"/>
    <s v="Billions"/>
    <x v="2"/>
    <n v="29.042999999999999"/>
  </r>
  <r>
    <n v="1"/>
    <x v="2"/>
    <x v="140"/>
    <x v="0"/>
    <s v="U.S. dollars"/>
    <s v="Billions"/>
    <x v="3"/>
    <n v="31.989000000000001"/>
  </r>
  <r>
    <n v="1"/>
    <x v="2"/>
    <x v="140"/>
    <x v="0"/>
    <s v="U.S. dollars"/>
    <s v="Billions"/>
    <x v="4"/>
    <n v="34.015999999999998"/>
  </r>
  <r>
    <n v="1"/>
    <x v="2"/>
    <x v="140"/>
    <x v="0"/>
    <s v="U.S. dollars"/>
    <s v="Billions"/>
    <x v="5"/>
    <n v="35.332999999999998"/>
  </r>
  <r>
    <n v="1"/>
    <x v="2"/>
    <x v="140"/>
    <x v="0"/>
    <s v="U.S. dollars"/>
    <s v="Billions"/>
    <x v="6"/>
    <n v="37.090000000000003"/>
  </r>
  <r>
    <n v="205"/>
    <x v="7"/>
    <x v="140"/>
    <x v="0"/>
    <s v="U.S. dollars"/>
    <s v="Billions"/>
    <x v="0"/>
    <n v="26.881"/>
  </r>
  <r>
    <n v="205"/>
    <x v="7"/>
    <x v="140"/>
    <x v="0"/>
    <s v="U.S. dollars"/>
    <s v="Billions"/>
    <x v="1"/>
    <n v="24.920999999999999"/>
  </r>
  <r>
    <n v="205"/>
    <x v="7"/>
    <x v="140"/>
    <x v="0"/>
    <s v="U.S. dollars"/>
    <s v="Billions"/>
    <x v="2"/>
    <n v="29.042999999999999"/>
  </r>
  <r>
    <n v="205"/>
    <x v="7"/>
    <x v="140"/>
    <x v="0"/>
    <s v="U.S. dollars"/>
    <s v="Billions"/>
    <x v="3"/>
    <n v="31.989000000000001"/>
  </r>
  <r>
    <n v="205"/>
    <x v="7"/>
    <x v="140"/>
    <x v="0"/>
    <s v="U.S. dollars"/>
    <s v="Billions"/>
    <x v="4"/>
    <n v="34.015999999999998"/>
  </r>
  <r>
    <n v="205"/>
    <x v="7"/>
    <x v="140"/>
    <x v="0"/>
    <s v="U.S. dollars"/>
    <s v="Billions"/>
    <x v="5"/>
    <n v="35.332999999999998"/>
  </r>
  <r>
    <n v="205"/>
    <x v="7"/>
    <x v="140"/>
    <x v="0"/>
    <s v="U.S. dollars"/>
    <s v="Billions"/>
    <x v="6"/>
    <n v="37.090000000000003"/>
  </r>
  <r>
    <n v="200"/>
    <x v="3"/>
    <x v="141"/>
    <x v="3"/>
    <s v="Percent of GDP"/>
    <s v="Units"/>
    <x v="0"/>
    <n v="31.175999999999998"/>
  </r>
  <r>
    <n v="200"/>
    <x v="3"/>
    <x v="141"/>
    <x v="3"/>
    <s v="Percent of GDP"/>
    <s v="Units"/>
    <x v="1"/>
    <n v="45.798999999999999"/>
  </r>
  <r>
    <n v="200"/>
    <x v="3"/>
    <x v="141"/>
    <x v="3"/>
    <s v="Percent of GDP"/>
    <s v="Units"/>
    <x v="2"/>
    <n v="38.662999999999997"/>
  </r>
  <r>
    <n v="200"/>
    <x v="3"/>
    <x v="141"/>
    <x v="3"/>
    <s v="Percent of GDP"/>
    <s v="Units"/>
    <x v="3"/>
    <n v="30.748000000000001"/>
  </r>
  <r>
    <n v="200"/>
    <x v="3"/>
    <x v="141"/>
    <x v="3"/>
    <s v="Percent of GDP"/>
    <s v="Units"/>
    <x v="4"/>
    <n v="32.941000000000003"/>
  </r>
  <r>
    <n v="200"/>
    <x v="3"/>
    <x v="141"/>
    <x v="3"/>
    <s v="Percent of GDP"/>
    <s v="Units"/>
    <x v="5"/>
    <n v="35.323999999999998"/>
  </r>
  <r>
    <n v="200"/>
    <x v="3"/>
    <x v="141"/>
    <x v="3"/>
    <s v="Percent of GDP"/>
    <s v="Units"/>
    <x v="6"/>
    <n v="34.546999999999997"/>
  </r>
  <r>
    <n v="603"/>
    <x v="12"/>
    <x v="141"/>
    <x v="3"/>
    <s v="Percent of GDP"/>
    <s v="Units"/>
    <x v="0"/>
    <n v="31.175999999999998"/>
  </r>
  <r>
    <n v="603"/>
    <x v="12"/>
    <x v="141"/>
    <x v="3"/>
    <s v="Percent of GDP"/>
    <s v="Units"/>
    <x v="1"/>
    <n v="45.798999999999999"/>
  </r>
  <r>
    <n v="603"/>
    <x v="12"/>
    <x v="141"/>
    <x v="3"/>
    <s v="Percent of GDP"/>
    <s v="Units"/>
    <x v="2"/>
    <n v="38.662999999999997"/>
  </r>
  <r>
    <n v="603"/>
    <x v="12"/>
    <x v="141"/>
    <x v="3"/>
    <s v="Percent of GDP"/>
    <s v="Units"/>
    <x v="3"/>
    <n v="30.748000000000001"/>
  </r>
  <r>
    <n v="603"/>
    <x v="12"/>
    <x v="141"/>
    <x v="3"/>
    <s v="Percent of GDP"/>
    <s v="Units"/>
    <x v="4"/>
    <n v="32.941000000000003"/>
  </r>
  <r>
    <n v="603"/>
    <x v="12"/>
    <x v="141"/>
    <x v="3"/>
    <s v="Percent of GDP"/>
    <s v="Units"/>
    <x v="5"/>
    <n v="35.323999999999998"/>
  </r>
  <r>
    <n v="603"/>
    <x v="12"/>
    <x v="141"/>
    <x v="3"/>
    <s v="Percent of GDP"/>
    <s v="Units"/>
    <x v="6"/>
    <n v="34.546999999999997"/>
  </r>
  <r>
    <n v="110"/>
    <x v="0"/>
    <x v="12"/>
    <x v="2"/>
    <s v="Percent of GDP"/>
    <s v="Units"/>
    <x v="0"/>
    <n v="34.457000000000001"/>
  </r>
  <r>
    <n v="110"/>
    <x v="0"/>
    <x v="12"/>
    <x v="2"/>
    <s v="Percent of GDP"/>
    <s v="Units"/>
    <x v="1"/>
    <n v="35.652000000000001"/>
  </r>
  <r>
    <n v="110"/>
    <x v="0"/>
    <x v="12"/>
    <x v="2"/>
    <s v="Percent of GDP"/>
    <s v="Units"/>
    <x v="2"/>
    <n v="35.356999999999999"/>
  </r>
  <r>
    <n v="110"/>
    <x v="0"/>
    <x v="12"/>
    <x v="2"/>
    <s v="Percent of GDP"/>
    <s v="Units"/>
    <x v="3"/>
    <n v="35.302999999999997"/>
  </r>
  <r>
    <n v="110"/>
    <x v="0"/>
    <x v="12"/>
    <x v="2"/>
    <s v="Percent of GDP"/>
    <s v="Units"/>
    <x v="4"/>
    <n v="36.189"/>
  </r>
  <r>
    <n v="110"/>
    <x v="0"/>
    <x v="12"/>
    <x v="2"/>
    <s v="Percent of GDP"/>
    <s v="Units"/>
    <x v="5"/>
    <n v="35.228000000000002"/>
  </r>
  <r>
    <n v="110"/>
    <x v="0"/>
    <x v="12"/>
    <x v="2"/>
    <s v="Percent of GDP"/>
    <s v="Units"/>
    <x v="6"/>
    <n v="33.865000000000002"/>
  </r>
  <r>
    <n v="123"/>
    <x v="9"/>
    <x v="12"/>
    <x v="2"/>
    <s v="Percent of GDP"/>
    <s v="Units"/>
    <x v="0"/>
    <n v="34.457000000000001"/>
  </r>
  <r>
    <n v="123"/>
    <x v="9"/>
    <x v="12"/>
    <x v="2"/>
    <s v="Percent of GDP"/>
    <s v="Units"/>
    <x v="1"/>
    <n v="35.652000000000001"/>
  </r>
  <r>
    <n v="123"/>
    <x v="9"/>
    <x v="12"/>
    <x v="2"/>
    <s v="Percent of GDP"/>
    <s v="Units"/>
    <x v="2"/>
    <n v="35.356999999999999"/>
  </r>
  <r>
    <n v="123"/>
    <x v="9"/>
    <x v="12"/>
    <x v="2"/>
    <s v="Percent of GDP"/>
    <s v="Units"/>
    <x v="3"/>
    <n v="35.302999999999997"/>
  </r>
  <r>
    <n v="123"/>
    <x v="9"/>
    <x v="12"/>
    <x v="2"/>
    <s v="Percent of GDP"/>
    <s v="Units"/>
    <x v="4"/>
    <n v="36.189"/>
  </r>
  <r>
    <n v="123"/>
    <x v="9"/>
    <x v="12"/>
    <x v="2"/>
    <s v="Percent of GDP"/>
    <s v="Units"/>
    <x v="5"/>
    <n v="35.228000000000002"/>
  </r>
  <r>
    <n v="123"/>
    <x v="9"/>
    <x v="12"/>
    <x v="2"/>
    <s v="Percent of GDP"/>
    <s v="Units"/>
    <x v="6"/>
    <n v="33.865000000000002"/>
  </r>
  <r>
    <n v="200"/>
    <x v="3"/>
    <x v="122"/>
    <x v="7"/>
    <s v="Percent of GDP"/>
    <s v="Units"/>
    <x v="0"/>
    <n v="24.437000000000001"/>
  </r>
  <r>
    <n v="200"/>
    <x v="3"/>
    <x v="122"/>
    <x v="7"/>
    <s v="Percent of GDP"/>
    <s v="Units"/>
    <x v="1"/>
    <n v="46.042000000000002"/>
  </r>
  <r>
    <n v="200"/>
    <x v="3"/>
    <x v="122"/>
    <x v="7"/>
    <s v="Percent of GDP"/>
    <s v="Units"/>
    <x v="2"/>
    <n v="52.081000000000003"/>
  </r>
  <r>
    <n v="200"/>
    <x v="3"/>
    <x v="122"/>
    <x v="7"/>
    <s v="Percent of GDP"/>
    <s v="Units"/>
    <x v="3"/>
    <n v="50.804000000000002"/>
  </r>
  <r>
    <n v="200"/>
    <x v="3"/>
    <x v="122"/>
    <x v="7"/>
    <s v="Percent of GDP"/>
    <s v="Units"/>
    <x v="4"/>
    <n v="42.609000000000002"/>
  </r>
  <r>
    <n v="200"/>
    <x v="3"/>
    <x v="122"/>
    <x v="7"/>
    <s v="Percent of GDP"/>
    <s v="Units"/>
    <x v="5"/>
    <n v="35.220999999999997"/>
  </r>
  <r>
    <n v="200"/>
    <x v="3"/>
    <x v="122"/>
    <x v="7"/>
    <s v="Percent of GDP"/>
    <s v="Units"/>
    <x v="6"/>
    <n v="34.872999999999998"/>
  </r>
  <r>
    <n v="505"/>
    <x v="4"/>
    <x v="122"/>
    <x v="7"/>
    <s v="Percent of GDP"/>
    <s v="Units"/>
    <x v="0"/>
    <n v="24.437000000000001"/>
  </r>
  <r>
    <n v="505"/>
    <x v="4"/>
    <x v="122"/>
    <x v="7"/>
    <s v="Percent of GDP"/>
    <s v="Units"/>
    <x v="1"/>
    <n v="46.042000000000002"/>
  </r>
  <r>
    <n v="505"/>
    <x v="4"/>
    <x v="122"/>
    <x v="7"/>
    <s v="Percent of GDP"/>
    <s v="Units"/>
    <x v="2"/>
    <n v="52.081000000000003"/>
  </r>
  <r>
    <n v="505"/>
    <x v="4"/>
    <x v="122"/>
    <x v="7"/>
    <s v="Percent of GDP"/>
    <s v="Units"/>
    <x v="3"/>
    <n v="50.804000000000002"/>
  </r>
  <r>
    <n v="505"/>
    <x v="4"/>
    <x v="122"/>
    <x v="7"/>
    <s v="Percent of GDP"/>
    <s v="Units"/>
    <x v="4"/>
    <n v="42.609000000000002"/>
  </r>
  <r>
    <n v="505"/>
    <x v="4"/>
    <x v="122"/>
    <x v="7"/>
    <s v="Percent of GDP"/>
    <s v="Units"/>
    <x v="5"/>
    <n v="35.220999999999997"/>
  </r>
  <r>
    <n v="505"/>
    <x v="4"/>
    <x v="122"/>
    <x v="7"/>
    <s v="Percent of GDP"/>
    <s v="Units"/>
    <x v="6"/>
    <n v="34.872999999999998"/>
  </r>
  <r>
    <n v="1"/>
    <x v="2"/>
    <x v="122"/>
    <x v="7"/>
    <s v="Percent of GDP"/>
    <s v="Units"/>
    <x v="0"/>
    <n v="24.437000000000001"/>
  </r>
  <r>
    <n v="1"/>
    <x v="2"/>
    <x v="122"/>
    <x v="7"/>
    <s v="Percent of GDP"/>
    <s v="Units"/>
    <x v="1"/>
    <n v="46.042000000000002"/>
  </r>
  <r>
    <n v="1"/>
    <x v="2"/>
    <x v="122"/>
    <x v="7"/>
    <s v="Percent of GDP"/>
    <s v="Units"/>
    <x v="2"/>
    <n v="52.081000000000003"/>
  </r>
  <r>
    <n v="1"/>
    <x v="2"/>
    <x v="122"/>
    <x v="7"/>
    <s v="Percent of GDP"/>
    <s v="Units"/>
    <x v="3"/>
    <n v="50.804000000000002"/>
  </r>
  <r>
    <n v="1"/>
    <x v="2"/>
    <x v="122"/>
    <x v="7"/>
    <s v="Percent of GDP"/>
    <s v="Units"/>
    <x v="4"/>
    <n v="42.609000000000002"/>
  </r>
  <r>
    <n v="1"/>
    <x v="2"/>
    <x v="122"/>
    <x v="7"/>
    <s v="Percent of GDP"/>
    <s v="Units"/>
    <x v="5"/>
    <n v="35.220999999999997"/>
  </r>
  <r>
    <n v="1"/>
    <x v="2"/>
    <x v="122"/>
    <x v="7"/>
    <s v="Percent of GDP"/>
    <s v="Units"/>
    <x v="6"/>
    <n v="34.872999999999998"/>
  </r>
  <r>
    <n v="903"/>
    <x v="8"/>
    <x v="91"/>
    <x v="2"/>
    <s v="Percent of GDP"/>
    <s v="Units"/>
    <x v="0"/>
    <n v="38.262999999999998"/>
  </r>
  <r>
    <n v="903"/>
    <x v="8"/>
    <x v="91"/>
    <x v="2"/>
    <s v="Percent of GDP"/>
    <s v="Units"/>
    <x v="1"/>
    <n v="35.174999999999997"/>
  </r>
  <r>
    <n v="903"/>
    <x v="8"/>
    <x v="91"/>
    <x v="2"/>
    <s v="Percent of GDP"/>
    <s v="Units"/>
    <x v="2"/>
    <n v="35.325000000000003"/>
  </r>
  <r>
    <n v="903"/>
    <x v="8"/>
    <x v="91"/>
    <x v="2"/>
    <s v="Percent of GDP"/>
    <s v="Units"/>
    <x v="3"/>
    <n v="32.140999999999998"/>
  </r>
  <r>
    <n v="903"/>
    <x v="8"/>
    <x v="91"/>
    <x v="2"/>
    <s v="Percent of GDP"/>
    <s v="Units"/>
    <x v="4"/>
    <n v="33.805999999999997"/>
  </r>
  <r>
    <n v="903"/>
    <x v="8"/>
    <x v="91"/>
    <x v="2"/>
    <s v="Percent of GDP"/>
    <s v="Units"/>
    <x v="5"/>
    <n v="35.119"/>
  </r>
  <r>
    <n v="903"/>
    <x v="8"/>
    <x v="91"/>
    <x v="2"/>
    <s v="Percent of GDP"/>
    <s v="Units"/>
    <x v="6"/>
    <n v="35.411000000000001"/>
  </r>
  <r>
    <n v="200"/>
    <x v="3"/>
    <x v="91"/>
    <x v="2"/>
    <s v="Percent of GDP"/>
    <s v="Units"/>
    <x v="0"/>
    <n v="38.262999999999998"/>
  </r>
  <r>
    <n v="200"/>
    <x v="3"/>
    <x v="91"/>
    <x v="2"/>
    <s v="Percent of GDP"/>
    <s v="Units"/>
    <x v="1"/>
    <n v="35.174999999999997"/>
  </r>
  <r>
    <n v="200"/>
    <x v="3"/>
    <x v="91"/>
    <x v="2"/>
    <s v="Percent of GDP"/>
    <s v="Units"/>
    <x v="2"/>
    <n v="35.325000000000003"/>
  </r>
  <r>
    <n v="200"/>
    <x v="3"/>
    <x v="91"/>
    <x v="2"/>
    <s v="Percent of GDP"/>
    <s v="Units"/>
    <x v="3"/>
    <n v="32.140999999999998"/>
  </r>
  <r>
    <n v="200"/>
    <x v="3"/>
    <x v="91"/>
    <x v="2"/>
    <s v="Percent of GDP"/>
    <s v="Units"/>
    <x v="4"/>
    <n v="33.805999999999997"/>
  </r>
  <r>
    <n v="200"/>
    <x v="3"/>
    <x v="91"/>
    <x v="2"/>
    <s v="Percent of GDP"/>
    <s v="Units"/>
    <x v="5"/>
    <n v="35.119"/>
  </r>
  <r>
    <n v="200"/>
    <x v="3"/>
    <x v="91"/>
    <x v="2"/>
    <s v="Percent of GDP"/>
    <s v="Units"/>
    <x v="6"/>
    <n v="35.411000000000001"/>
  </r>
  <r>
    <n v="200"/>
    <x v="3"/>
    <x v="142"/>
    <x v="3"/>
    <s v="Percent of GDP"/>
    <s v="Units"/>
    <x v="0"/>
    <n v="31.75"/>
  </r>
  <r>
    <n v="200"/>
    <x v="3"/>
    <x v="142"/>
    <x v="3"/>
    <s v="Percent of GDP"/>
    <s v="Units"/>
    <x v="1"/>
    <n v="30.503"/>
  </r>
  <r>
    <n v="200"/>
    <x v="3"/>
    <x v="142"/>
    <x v="3"/>
    <s v="Percent of GDP"/>
    <s v="Units"/>
    <x v="2"/>
    <n v="34.728999999999999"/>
  </r>
  <r>
    <n v="200"/>
    <x v="3"/>
    <x v="142"/>
    <x v="3"/>
    <s v="Percent of GDP"/>
    <s v="Units"/>
    <x v="3"/>
    <n v="33.119999999999997"/>
  </r>
  <r>
    <n v="200"/>
    <x v="3"/>
    <x v="142"/>
    <x v="3"/>
    <s v="Percent of GDP"/>
    <s v="Units"/>
    <x v="4"/>
    <n v="31.169"/>
  </r>
  <r>
    <n v="200"/>
    <x v="3"/>
    <x v="142"/>
    <x v="3"/>
    <s v="Percent of GDP"/>
    <s v="Units"/>
    <x v="5"/>
    <n v="34.936"/>
  </r>
  <r>
    <n v="200"/>
    <x v="3"/>
    <x v="142"/>
    <x v="3"/>
    <s v="Percent of GDP"/>
    <s v="Units"/>
    <x v="6"/>
    <n v="35.412999999999997"/>
  </r>
  <r>
    <n v="505"/>
    <x v="4"/>
    <x v="142"/>
    <x v="3"/>
    <s v="Percent of GDP"/>
    <s v="Units"/>
    <x v="0"/>
    <n v="31.75"/>
  </r>
  <r>
    <n v="505"/>
    <x v="4"/>
    <x v="142"/>
    <x v="3"/>
    <s v="Percent of GDP"/>
    <s v="Units"/>
    <x v="1"/>
    <n v="30.503"/>
  </r>
  <r>
    <n v="505"/>
    <x v="4"/>
    <x v="142"/>
    <x v="3"/>
    <s v="Percent of GDP"/>
    <s v="Units"/>
    <x v="2"/>
    <n v="34.728999999999999"/>
  </r>
  <r>
    <n v="505"/>
    <x v="4"/>
    <x v="142"/>
    <x v="3"/>
    <s v="Percent of GDP"/>
    <s v="Units"/>
    <x v="3"/>
    <n v="33.119999999999997"/>
  </r>
  <r>
    <n v="505"/>
    <x v="4"/>
    <x v="142"/>
    <x v="3"/>
    <s v="Percent of GDP"/>
    <s v="Units"/>
    <x v="4"/>
    <n v="31.169"/>
  </r>
  <r>
    <n v="505"/>
    <x v="4"/>
    <x v="142"/>
    <x v="3"/>
    <s v="Percent of GDP"/>
    <s v="Units"/>
    <x v="5"/>
    <n v="34.936"/>
  </r>
  <r>
    <n v="505"/>
    <x v="4"/>
    <x v="142"/>
    <x v="3"/>
    <s v="Percent of GDP"/>
    <s v="Units"/>
    <x v="6"/>
    <n v="35.412999999999997"/>
  </r>
  <r>
    <n v="200"/>
    <x v="3"/>
    <x v="122"/>
    <x v="2"/>
    <s v="Percent of GDP"/>
    <s v="Units"/>
    <x v="0"/>
    <n v="42.631"/>
  </r>
  <r>
    <n v="200"/>
    <x v="3"/>
    <x v="122"/>
    <x v="2"/>
    <s v="Percent of GDP"/>
    <s v="Units"/>
    <x v="1"/>
    <n v="41.429000000000002"/>
  </r>
  <r>
    <n v="200"/>
    <x v="3"/>
    <x v="122"/>
    <x v="2"/>
    <s v="Percent of GDP"/>
    <s v="Units"/>
    <x v="2"/>
    <n v="46.77"/>
  </r>
  <r>
    <n v="200"/>
    <x v="3"/>
    <x v="122"/>
    <x v="2"/>
    <s v="Percent of GDP"/>
    <s v="Units"/>
    <x v="3"/>
    <n v="36.686999999999998"/>
  </r>
  <r>
    <n v="200"/>
    <x v="3"/>
    <x v="122"/>
    <x v="2"/>
    <s v="Percent of GDP"/>
    <s v="Units"/>
    <x v="4"/>
    <n v="40.981000000000002"/>
  </r>
  <r>
    <n v="200"/>
    <x v="3"/>
    <x v="122"/>
    <x v="2"/>
    <s v="Percent of GDP"/>
    <s v="Units"/>
    <x v="5"/>
    <n v="34.758000000000003"/>
  </r>
  <r>
    <n v="200"/>
    <x v="3"/>
    <x v="122"/>
    <x v="2"/>
    <s v="Percent of GDP"/>
    <s v="Units"/>
    <x v="6"/>
    <n v="32.311"/>
  </r>
  <r>
    <n v="505"/>
    <x v="4"/>
    <x v="122"/>
    <x v="2"/>
    <s v="Percent of GDP"/>
    <s v="Units"/>
    <x v="0"/>
    <n v="42.631"/>
  </r>
  <r>
    <n v="505"/>
    <x v="4"/>
    <x v="122"/>
    <x v="2"/>
    <s v="Percent of GDP"/>
    <s v="Units"/>
    <x v="1"/>
    <n v="41.429000000000002"/>
  </r>
  <r>
    <n v="505"/>
    <x v="4"/>
    <x v="122"/>
    <x v="2"/>
    <s v="Percent of GDP"/>
    <s v="Units"/>
    <x v="2"/>
    <n v="46.77"/>
  </r>
  <r>
    <n v="505"/>
    <x v="4"/>
    <x v="122"/>
    <x v="2"/>
    <s v="Percent of GDP"/>
    <s v="Units"/>
    <x v="3"/>
    <n v="36.686999999999998"/>
  </r>
  <r>
    <n v="505"/>
    <x v="4"/>
    <x v="122"/>
    <x v="2"/>
    <s v="Percent of GDP"/>
    <s v="Units"/>
    <x v="4"/>
    <n v="40.981000000000002"/>
  </r>
  <r>
    <n v="505"/>
    <x v="4"/>
    <x v="122"/>
    <x v="2"/>
    <s v="Percent of GDP"/>
    <s v="Units"/>
    <x v="5"/>
    <n v="34.758000000000003"/>
  </r>
  <r>
    <n v="505"/>
    <x v="4"/>
    <x v="122"/>
    <x v="2"/>
    <s v="Percent of GDP"/>
    <s v="Units"/>
    <x v="6"/>
    <n v="32.311"/>
  </r>
  <r>
    <n v="200"/>
    <x v="3"/>
    <x v="79"/>
    <x v="7"/>
    <s v="Percent of GDP"/>
    <s v="Units"/>
    <x v="0"/>
    <n v="38.128"/>
  </r>
  <r>
    <n v="200"/>
    <x v="3"/>
    <x v="79"/>
    <x v="7"/>
    <s v="Percent of GDP"/>
    <s v="Units"/>
    <x v="1"/>
    <n v="24.797999999999998"/>
  </r>
  <r>
    <n v="200"/>
    <x v="3"/>
    <x v="79"/>
    <x v="7"/>
    <s v="Percent of GDP"/>
    <s v="Units"/>
    <x v="2"/>
    <n v="32.374000000000002"/>
  </r>
  <r>
    <n v="200"/>
    <x v="3"/>
    <x v="79"/>
    <x v="7"/>
    <s v="Percent of GDP"/>
    <s v="Units"/>
    <x v="3"/>
    <n v="34.323999999999998"/>
  </r>
  <r>
    <n v="200"/>
    <x v="3"/>
    <x v="79"/>
    <x v="7"/>
    <s v="Percent of GDP"/>
    <s v="Units"/>
    <x v="4"/>
    <n v="34.725999999999999"/>
  </r>
  <r>
    <n v="200"/>
    <x v="3"/>
    <x v="79"/>
    <x v="7"/>
    <s v="Percent of GDP"/>
    <s v="Units"/>
    <x v="5"/>
    <n v="34.750999999999998"/>
  </r>
  <r>
    <n v="200"/>
    <x v="3"/>
    <x v="79"/>
    <x v="7"/>
    <s v="Percent of GDP"/>
    <s v="Units"/>
    <x v="6"/>
    <n v="34.823"/>
  </r>
  <r>
    <n v="1"/>
    <x v="2"/>
    <x v="79"/>
    <x v="7"/>
    <s v="Percent of GDP"/>
    <s v="Units"/>
    <x v="0"/>
    <n v="38.128"/>
  </r>
  <r>
    <n v="1"/>
    <x v="2"/>
    <x v="79"/>
    <x v="7"/>
    <s v="Percent of GDP"/>
    <s v="Units"/>
    <x v="1"/>
    <n v="24.797999999999998"/>
  </r>
  <r>
    <n v="1"/>
    <x v="2"/>
    <x v="79"/>
    <x v="7"/>
    <s v="Percent of GDP"/>
    <s v="Units"/>
    <x v="2"/>
    <n v="32.374000000000002"/>
  </r>
  <r>
    <n v="1"/>
    <x v="2"/>
    <x v="79"/>
    <x v="7"/>
    <s v="Percent of GDP"/>
    <s v="Units"/>
    <x v="3"/>
    <n v="34.323999999999998"/>
  </r>
  <r>
    <n v="1"/>
    <x v="2"/>
    <x v="79"/>
    <x v="7"/>
    <s v="Percent of GDP"/>
    <s v="Units"/>
    <x v="4"/>
    <n v="34.725999999999999"/>
  </r>
  <r>
    <n v="1"/>
    <x v="2"/>
    <x v="79"/>
    <x v="7"/>
    <s v="Percent of GDP"/>
    <s v="Units"/>
    <x v="5"/>
    <n v="34.750999999999998"/>
  </r>
  <r>
    <n v="1"/>
    <x v="2"/>
    <x v="79"/>
    <x v="7"/>
    <s v="Percent of GDP"/>
    <s v="Units"/>
    <x v="6"/>
    <n v="34.823"/>
  </r>
  <r>
    <n v="205"/>
    <x v="7"/>
    <x v="79"/>
    <x v="7"/>
    <s v="Percent of GDP"/>
    <s v="Units"/>
    <x v="0"/>
    <n v="38.128"/>
  </r>
  <r>
    <n v="205"/>
    <x v="7"/>
    <x v="79"/>
    <x v="7"/>
    <s v="Percent of GDP"/>
    <s v="Units"/>
    <x v="1"/>
    <n v="24.797999999999998"/>
  </r>
  <r>
    <n v="205"/>
    <x v="7"/>
    <x v="79"/>
    <x v="7"/>
    <s v="Percent of GDP"/>
    <s v="Units"/>
    <x v="2"/>
    <n v="32.374000000000002"/>
  </r>
  <r>
    <n v="205"/>
    <x v="7"/>
    <x v="79"/>
    <x v="7"/>
    <s v="Percent of GDP"/>
    <s v="Units"/>
    <x v="3"/>
    <n v="34.323999999999998"/>
  </r>
  <r>
    <n v="205"/>
    <x v="7"/>
    <x v="79"/>
    <x v="7"/>
    <s v="Percent of GDP"/>
    <s v="Units"/>
    <x v="4"/>
    <n v="34.725999999999999"/>
  </r>
  <r>
    <n v="205"/>
    <x v="7"/>
    <x v="79"/>
    <x v="7"/>
    <s v="Percent of GDP"/>
    <s v="Units"/>
    <x v="5"/>
    <n v="34.750999999999998"/>
  </r>
  <r>
    <n v="205"/>
    <x v="7"/>
    <x v="79"/>
    <x v="7"/>
    <s v="Percent of GDP"/>
    <s v="Units"/>
    <x v="6"/>
    <n v="34.823"/>
  </r>
  <r>
    <n v="505"/>
    <x v="4"/>
    <x v="143"/>
    <x v="2"/>
    <s v="Percent of GDP"/>
    <s v="Units"/>
    <x v="0"/>
    <n v="31.821999999999999"/>
  </r>
  <r>
    <n v="505"/>
    <x v="4"/>
    <x v="143"/>
    <x v="2"/>
    <s v="Percent of GDP"/>
    <s v="Units"/>
    <x v="1"/>
    <n v="27.884"/>
  </r>
  <r>
    <n v="505"/>
    <x v="4"/>
    <x v="143"/>
    <x v="2"/>
    <s v="Percent of GDP"/>
    <s v="Units"/>
    <x v="2"/>
    <n v="32.845999999999997"/>
  </r>
  <r>
    <n v="505"/>
    <x v="4"/>
    <x v="143"/>
    <x v="2"/>
    <s v="Percent of GDP"/>
    <s v="Units"/>
    <x v="3"/>
    <n v="34.393999999999998"/>
  </r>
  <r>
    <n v="505"/>
    <x v="4"/>
    <x v="143"/>
    <x v="2"/>
    <s v="Percent of GDP"/>
    <s v="Units"/>
    <x v="4"/>
    <n v="35.298000000000002"/>
  </r>
  <r>
    <n v="505"/>
    <x v="4"/>
    <x v="143"/>
    <x v="2"/>
    <s v="Percent of GDP"/>
    <s v="Units"/>
    <x v="5"/>
    <n v="34.735999999999997"/>
  </r>
  <r>
    <n v="505"/>
    <x v="4"/>
    <x v="143"/>
    <x v="2"/>
    <s v="Percent of GDP"/>
    <s v="Units"/>
    <x v="6"/>
    <n v="33.424999999999997"/>
  </r>
  <r>
    <n v="200"/>
    <x v="3"/>
    <x v="143"/>
    <x v="2"/>
    <s v="Percent of GDP"/>
    <s v="Units"/>
    <x v="0"/>
    <n v="31.821999999999999"/>
  </r>
  <r>
    <n v="200"/>
    <x v="3"/>
    <x v="143"/>
    <x v="2"/>
    <s v="Percent of GDP"/>
    <s v="Units"/>
    <x v="1"/>
    <n v="27.884"/>
  </r>
  <r>
    <n v="200"/>
    <x v="3"/>
    <x v="143"/>
    <x v="2"/>
    <s v="Percent of GDP"/>
    <s v="Units"/>
    <x v="2"/>
    <n v="32.845999999999997"/>
  </r>
  <r>
    <n v="200"/>
    <x v="3"/>
    <x v="143"/>
    <x v="2"/>
    <s v="Percent of GDP"/>
    <s v="Units"/>
    <x v="3"/>
    <n v="34.393999999999998"/>
  </r>
  <r>
    <n v="200"/>
    <x v="3"/>
    <x v="143"/>
    <x v="2"/>
    <s v="Percent of GDP"/>
    <s v="Units"/>
    <x v="4"/>
    <n v="35.298000000000002"/>
  </r>
  <r>
    <n v="200"/>
    <x v="3"/>
    <x v="143"/>
    <x v="2"/>
    <s v="Percent of GDP"/>
    <s v="Units"/>
    <x v="5"/>
    <n v="34.735999999999997"/>
  </r>
  <r>
    <n v="200"/>
    <x v="3"/>
    <x v="143"/>
    <x v="2"/>
    <s v="Percent of GDP"/>
    <s v="Units"/>
    <x v="6"/>
    <n v="33.424999999999997"/>
  </r>
  <r>
    <n v="505"/>
    <x v="4"/>
    <x v="143"/>
    <x v="3"/>
    <s v="Percent of GDP"/>
    <s v="Units"/>
    <x v="0"/>
    <n v="30.818999999999999"/>
  </r>
  <r>
    <n v="505"/>
    <x v="4"/>
    <x v="143"/>
    <x v="3"/>
    <s v="Percent of GDP"/>
    <s v="Units"/>
    <x v="1"/>
    <n v="37.124000000000002"/>
  </r>
  <r>
    <n v="505"/>
    <x v="4"/>
    <x v="143"/>
    <x v="3"/>
    <s v="Percent of GDP"/>
    <s v="Units"/>
    <x v="2"/>
    <n v="35.892000000000003"/>
  </r>
  <r>
    <n v="505"/>
    <x v="4"/>
    <x v="143"/>
    <x v="3"/>
    <s v="Percent of GDP"/>
    <s v="Units"/>
    <x v="3"/>
    <n v="33.738"/>
  </r>
  <r>
    <n v="505"/>
    <x v="4"/>
    <x v="143"/>
    <x v="3"/>
    <s v="Percent of GDP"/>
    <s v="Units"/>
    <x v="4"/>
    <n v="32.795000000000002"/>
  </r>
  <r>
    <n v="505"/>
    <x v="4"/>
    <x v="143"/>
    <x v="3"/>
    <s v="Percent of GDP"/>
    <s v="Units"/>
    <x v="5"/>
    <n v="34.728000000000002"/>
  </r>
  <r>
    <n v="505"/>
    <x v="4"/>
    <x v="143"/>
    <x v="3"/>
    <s v="Percent of GDP"/>
    <s v="Units"/>
    <x v="6"/>
    <n v="34.438000000000002"/>
  </r>
  <r>
    <n v="200"/>
    <x v="3"/>
    <x v="143"/>
    <x v="3"/>
    <s v="Percent of GDP"/>
    <s v="Units"/>
    <x v="0"/>
    <n v="30.818999999999999"/>
  </r>
  <r>
    <n v="200"/>
    <x v="3"/>
    <x v="143"/>
    <x v="3"/>
    <s v="Percent of GDP"/>
    <s v="Units"/>
    <x v="1"/>
    <n v="37.124000000000002"/>
  </r>
  <r>
    <n v="200"/>
    <x v="3"/>
    <x v="143"/>
    <x v="3"/>
    <s v="Percent of GDP"/>
    <s v="Units"/>
    <x v="2"/>
    <n v="35.892000000000003"/>
  </r>
  <r>
    <n v="200"/>
    <x v="3"/>
    <x v="143"/>
    <x v="3"/>
    <s v="Percent of GDP"/>
    <s v="Units"/>
    <x v="3"/>
    <n v="33.738"/>
  </r>
  <r>
    <n v="200"/>
    <x v="3"/>
    <x v="143"/>
    <x v="3"/>
    <s v="Percent of GDP"/>
    <s v="Units"/>
    <x v="4"/>
    <n v="32.795000000000002"/>
  </r>
  <r>
    <n v="200"/>
    <x v="3"/>
    <x v="143"/>
    <x v="3"/>
    <s v="Percent of GDP"/>
    <s v="Units"/>
    <x v="5"/>
    <n v="34.728000000000002"/>
  </r>
  <r>
    <n v="200"/>
    <x v="3"/>
    <x v="143"/>
    <x v="3"/>
    <s v="Percent of GDP"/>
    <s v="Units"/>
    <x v="6"/>
    <n v="34.438000000000002"/>
  </r>
  <r>
    <n v="200"/>
    <x v="3"/>
    <x v="29"/>
    <x v="5"/>
    <s v="Percent of GDP"/>
    <s v="Units"/>
    <x v="0"/>
    <n v="32.997999999999998"/>
  </r>
  <r>
    <n v="200"/>
    <x v="3"/>
    <x v="29"/>
    <x v="5"/>
    <s v="Percent of GDP"/>
    <s v="Units"/>
    <x v="1"/>
    <n v="29.367000000000001"/>
  </r>
  <r>
    <n v="200"/>
    <x v="3"/>
    <x v="29"/>
    <x v="5"/>
    <s v="Percent of GDP"/>
    <s v="Units"/>
    <x v="2"/>
    <n v="37.377000000000002"/>
  </r>
  <r>
    <n v="200"/>
    <x v="3"/>
    <x v="29"/>
    <x v="5"/>
    <s v="Percent of GDP"/>
    <s v="Units"/>
    <x v="3"/>
    <n v="35.482999999999997"/>
  </r>
  <r>
    <n v="200"/>
    <x v="3"/>
    <x v="29"/>
    <x v="5"/>
    <s v="Percent of GDP"/>
    <s v="Units"/>
    <x v="4"/>
    <n v="35.363999999999997"/>
  </r>
  <r>
    <n v="200"/>
    <x v="3"/>
    <x v="29"/>
    <x v="5"/>
    <s v="Percent of GDP"/>
    <s v="Units"/>
    <x v="5"/>
    <n v="34.667000000000002"/>
  </r>
  <r>
    <n v="200"/>
    <x v="3"/>
    <x v="29"/>
    <x v="5"/>
    <s v="Percent of GDP"/>
    <s v="Units"/>
    <x v="6"/>
    <n v="34.381"/>
  </r>
  <r>
    <n v="400"/>
    <x v="11"/>
    <x v="29"/>
    <x v="5"/>
    <s v="Percent of GDP"/>
    <s v="Units"/>
    <x v="0"/>
    <n v="32.997999999999998"/>
  </r>
  <r>
    <n v="400"/>
    <x v="11"/>
    <x v="29"/>
    <x v="5"/>
    <s v="Percent of GDP"/>
    <s v="Units"/>
    <x v="1"/>
    <n v="29.367000000000001"/>
  </r>
  <r>
    <n v="400"/>
    <x v="11"/>
    <x v="29"/>
    <x v="5"/>
    <s v="Percent of GDP"/>
    <s v="Units"/>
    <x v="2"/>
    <n v="37.377000000000002"/>
  </r>
  <r>
    <n v="400"/>
    <x v="11"/>
    <x v="29"/>
    <x v="5"/>
    <s v="Percent of GDP"/>
    <s v="Units"/>
    <x v="3"/>
    <n v="35.482999999999997"/>
  </r>
  <r>
    <n v="400"/>
    <x v="11"/>
    <x v="29"/>
    <x v="5"/>
    <s v="Percent of GDP"/>
    <s v="Units"/>
    <x v="4"/>
    <n v="35.363999999999997"/>
  </r>
  <r>
    <n v="400"/>
    <x v="11"/>
    <x v="29"/>
    <x v="5"/>
    <s v="Percent of GDP"/>
    <s v="Units"/>
    <x v="5"/>
    <n v="34.667000000000002"/>
  </r>
  <r>
    <n v="400"/>
    <x v="11"/>
    <x v="29"/>
    <x v="5"/>
    <s v="Percent of GDP"/>
    <s v="Units"/>
    <x v="6"/>
    <n v="34.381"/>
  </r>
  <r>
    <n v="1"/>
    <x v="2"/>
    <x v="29"/>
    <x v="5"/>
    <s v="Percent of GDP"/>
    <s v="Units"/>
    <x v="0"/>
    <n v="32.997999999999998"/>
  </r>
  <r>
    <n v="1"/>
    <x v="2"/>
    <x v="29"/>
    <x v="5"/>
    <s v="Percent of GDP"/>
    <s v="Units"/>
    <x v="1"/>
    <n v="29.367000000000001"/>
  </r>
  <r>
    <n v="1"/>
    <x v="2"/>
    <x v="29"/>
    <x v="5"/>
    <s v="Percent of GDP"/>
    <s v="Units"/>
    <x v="2"/>
    <n v="37.377000000000002"/>
  </r>
  <r>
    <n v="1"/>
    <x v="2"/>
    <x v="29"/>
    <x v="5"/>
    <s v="Percent of GDP"/>
    <s v="Units"/>
    <x v="3"/>
    <n v="35.482999999999997"/>
  </r>
  <r>
    <n v="1"/>
    <x v="2"/>
    <x v="29"/>
    <x v="5"/>
    <s v="Percent of GDP"/>
    <s v="Units"/>
    <x v="4"/>
    <n v="35.363999999999997"/>
  </r>
  <r>
    <n v="1"/>
    <x v="2"/>
    <x v="29"/>
    <x v="5"/>
    <s v="Percent of GDP"/>
    <s v="Units"/>
    <x v="5"/>
    <n v="34.667000000000002"/>
  </r>
  <r>
    <n v="1"/>
    <x v="2"/>
    <x v="29"/>
    <x v="5"/>
    <s v="Percent of GDP"/>
    <s v="Units"/>
    <x v="6"/>
    <n v="34.381"/>
  </r>
  <r>
    <n v="205"/>
    <x v="7"/>
    <x v="111"/>
    <x v="3"/>
    <s v="Percent of GDP"/>
    <s v="Units"/>
    <x v="0"/>
    <n v="21.643000000000001"/>
  </r>
  <r>
    <n v="205"/>
    <x v="7"/>
    <x v="111"/>
    <x v="3"/>
    <s v="Percent of GDP"/>
    <s v="Units"/>
    <x v="1"/>
    <n v="32.682000000000002"/>
  </r>
  <r>
    <n v="205"/>
    <x v="7"/>
    <x v="111"/>
    <x v="3"/>
    <s v="Percent of GDP"/>
    <s v="Units"/>
    <x v="2"/>
    <n v="31.244"/>
  </r>
  <r>
    <n v="205"/>
    <x v="7"/>
    <x v="111"/>
    <x v="3"/>
    <s v="Percent of GDP"/>
    <s v="Units"/>
    <x v="3"/>
    <n v="31.808"/>
  </r>
  <r>
    <n v="205"/>
    <x v="7"/>
    <x v="111"/>
    <x v="3"/>
    <s v="Percent of GDP"/>
    <s v="Units"/>
    <x v="4"/>
    <n v="30.048999999999999"/>
  </r>
  <r>
    <n v="205"/>
    <x v="7"/>
    <x v="111"/>
    <x v="3"/>
    <s v="Percent of GDP"/>
    <s v="Units"/>
    <x v="5"/>
    <n v="34.628"/>
  </r>
  <r>
    <n v="205"/>
    <x v="7"/>
    <x v="111"/>
    <x v="3"/>
    <s v="Percent of GDP"/>
    <s v="Units"/>
    <x v="6"/>
    <n v="28.948"/>
  </r>
  <r>
    <n v="200"/>
    <x v="3"/>
    <x v="111"/>
    <x v="3"/>
    <s v="Percent of GDP"/>
    <s v="Units"/>
    <x v="0"/>
    <n v="21.643000000000001"/>
  </r>
  <r>
    <n v="200"/>
    <x v="3"/>
    <x v="111"/>
    <x v="3"/>
    <s v="Percent of GDP"/>
    <s v="Units"/>
    <x v="1"/>
    <n v="32.682000000000002"/>
  </r>
  <r>
    <n v="200"/>
    <x v="3"/>
    <x v="111"/>
    <x v="3"/>
    <s v="Percent of GDP"/>
    <s v="Units"/>
    <x v="2"/>
    <n v="31.244"/>
  </r>
  <r>
    <n v="200"/>
    <x v="3"/>
    <x v="111"/>
    <x v="3"/>
    <s v="Percent of GDP"/>
    <s v="Units"/>
    <x v="3"/>
    <n v="31.808"/>
  </r>
  <r>
    <n v="200"/>
    <x v="3"/>
    <x v="111"/>
    <x v="3"/>
    <s v="Percent of GDP"/>
    <s v="Units"/>
    <x v="4"/>
    <n v="30.048999999999999"/>
  </r>
  <r>
    <n v="200"/>
    <x v="3"/>
    <x v="111"/>
    <x v="3"/>
    <s v="Percent of GDP"/>
    <s v="Units"/>
    <x v="5"/>
    <n v="34.628"/>
  </r>
  <r>
    <n v="200"/>
    <x v="3"/>
    <x v="111"/>
    <x v="3"/>
    <s v="Percent of GDP"/>
    <s v="Units"/>
    <x v="6"/>
    <n v="28.948"/>
  </r>
  <r>
    <n v="205"/>
    <x v="7"/>
    <x v="23"/>
    <x v="2"/>
    <s v="Percent of GDP"/>
    <s v="Units"/>
    <x v="0"/>
    <n v="33.683999999999997"/>
  </r>
  <r>
    <n v="205"/>
    <x v="7"/>
    <x v="23"/>
    <x v="2"/>
    <s v="Percent of GDP"/>
    <s v="Units"/>
    <x v="1"/>
    <n v="33.805"/>
  </r>
  <r>
    <n v="205"/>
    <x v="7"/>
    <x v="23"/>
    <x v="2"/>
    <s v="Percent of GDP"/>
    <s v="Units"/>
    <x v="2"/>
    <n v="33.457999999999998"/>
  </r>
  <r>
    <n v="205"/>
    <x v="7"/>
    <x v="23"/>
    <x v="2"/>
    <s v="Percent of GDP"/>
    <s v="Units"/>
    <x v="3"/>
    <n v="33.96"/>
  </r>
  <r>
    <n v="205"/>
    <x v="7"/>
    <x v="23"/>
    <x v="2"/>
    <s v="Percent of GDP"/>
    <s v="Units"/>
    <x v="4"/>
    <n v="32.191000000000003"/>
  </r>
  <r>
    <n v="205"/>
    <x v="7"/>
    <x v="23"/>
    <x v="2"/>
    <s v="Percent of GDP"/>
    <s v="Units"/>
    <x v="5"/>
    <n v="34.549999999999997"/>
  </r>
  <r>
    <n v="205"/>
    <x v="7"/>
    <x v="23"/>
    <x v="2"/>
    <s v="Percent of GDP"/>
    <s v="Units"/>
    <x v="6"/>
    <n v="34.872999999999998"/>
  </r>
  <r>
    <n v="200"/>
    <x v="3"/>
    <x v="23"/>
    <x v="2"/>
    <s v="Percent of GDP"/>
    <s v="Units"/>
    <x v="0"/>
    <n v="33.683999999999997"/>
  </r>
  <r>
    <n v="200"/>
    <x v="3"/>
    <x v="23"/>
    <x v="2"/>
    <s v="Percent of GDP"/>
    <s v="Units"/>
    <x v="1"/>
    <n v="33.805"/>
  </r>
  <r>
    <n v="200"/>
    <x v="3"/>
    <x v="23"/>
    <x v="2"/>
    <s v="Percent of GDP"/>
    <s v="Units"/>
    <x v="2"/>
    <n v="33.457999999999998"/>
  </r>
  <r>
    <n v="200"/>
    <x v="3"/>
    <x v="23"/>
    <x v="2"/>
    <s v="Percent of GDP"/>
    <s v="Units"/>
    <x v="3"/>
    <n v="33.96"/>
  </r>
  <r>
    <n v="200"/>
    <x v="3"/>
    <x v="23"/>
    <x v="2"/>
    <s v="Percent of GDP"/>
    <s v="Units"/>
    <x v="4"/>
    <n v="32.191000000000003"/>
  </r>
  <r>
    <n v="200"/>
    <x v="3"/>
    <x v="23"/>
    <x v="2"/>
    <s v="Percent of GDP"/>
    <s v="Units"/>
    <x v="5"/>
    <n v="34.549999999999997"/>
  </r>
  <r>
    <n v="200"/>
    <x v="3"/>
    <x v="23"/>
    <x v="2"/>
    <s v="Percent of GDP"/>
    <s v="Units"/>
    <x v="6"/>
    <n v="34.872999999999998"/>
  </r>
  <r>
    <n v="205"/>
    <x v="7"/>
    <x v="23"/>
    <x v="3"/>
    <s v="Percent of GDP"/>
    <s v="Units"/>
    <x v="0"/>
    <n v="38.128999999999998"/>
  </r>
  <r>
    <n v="205"/>
    <x v="7"/>
    <x v="23"/>
    <x v="3"/>
    <s v="Percent of GDP"/>
    <s v="Units"/>
    <x v="1"/>
    <n v="42.478999999999999"/>
  </r>
  <r>
    <n v="205"/>
    <x v="7"/>
    <x v="23"/>
    <x v="3"/>
    <s v="Percent of GDP"/>
    <s v="Units"/>
    <x v="2"/>
    <n v="37.779000000000003"/>
  </r>
  <r>
    <n v="205"/>
    <x v="7"/>
    <x v="23"/>
    <x v="3"/>
    <s v="Percent of GDP"/>
    <s v="Units"/>
    <x v="3"/>
    <n v="37.814"/>
  </r>
  <r>
    <n v="205"/>
    <x v="7"/>
    <x v="23"/>
    <x v="3"/>
    <s v="Percent of GDP"/>
    <s v="Units"/>
    <x v="4"/>
    <n v="36.438000000000002"/>
  </r>
  <r>
    <n v="205"/>
    <x v="7"/>
    <x v="23"/>
    <x v="3"/>
    <s v="Percent of GDP"/>
    <s v="Units"/>
    <x v="5"/>
    <n v="34.540999999999997"/>
  </r>
  <r>
    <n v="205"/>
    <x v="7"/>
    <x v="23"/>
    <x v="3"/>
    <s v="Percent of GDP"/>
    <s v="Units"/>
    <x v="6"/>
    <n v="34.212000000000003"/>
  </r>
  <r>
    <n v="200"/>
    <x v="3"/>
    <x v="23"/>
    <x v="3"/>
    <s v="Percent of GDP"/>
    <s v="Units"/>
    <x v="0"/>
    <n v="38.128999999999998"/>
  </r>
  <r>
    <n v="200"/>
    <x v="3"/>
    <x v="23"/>
    <x v="3"/>
    <s v="Percent of GDP"/>
    <s v="Units"/>
    <x v="1"/>
    <n v="42.478999999999999"/>
  </r>
  <r>
    <n v="200"/>
    <x v="3"/>
    <x v="23"/>
    <x v="3"/>
    <s v="Percent of GDP"/>
    <s v="Units"/>
    <x v="2"/>
    <n v="37.779000000000003"/>
  </r>
  <r>
    <n v="200"/>
    <x v="3"/>
    <x v="23"/>
    <x v="3"/>
    <s v="Percent of GDP"/>
    <s v="Units"/>
    <x v="3"/>
    <n v="37.814"/>
  </r>
  <r>
    <n v="200"/>
    <x v="3"/>
    <x v="23"/>
    <x v="3"/>
    <s v="Percent of GDP"/>
    <s v="Units"/>
    <x v="4"/>
    <n v="36.438000000000002"/>
  </r>
  <r>
    <n v="200"/>
    <x v="3"/>
    <x v="23"/>
    <x v="3"/>
    <s v="Percent of GDP"/>
    <s v="Units"/>
    <x v="5"/>
    <n v="34.540999999999997"/>
  </r>
  <r>
    <n v="200"/>
    <x v="3"/>
    <x v="23"/>
    <x v="3"/>
    <s v="Percent of GDP"/>
    <s v="Units"/>
    <x v="6"/>
    <n v="34.212000000000003"/>
  </r>
  <r>
    <n v="603"/>
    <x v="12"/>
    <x v="136"/>
    <x v="2"/>
    <s v="Percent of GDP"/>
    <s v="Units"/>
    <x v="0"/>
    <n v="31.922999999999998"/>
  </r>
  <r>
    <n v="603"/>
    <x v="12"/>
    <x v="136"/>
    <x v="2"/>
    <s v="Percent of GDP"/>
    <s v="Units"/>
    <x v="1"/>
    <n v="33.406999999999996"/>
  </r>
  <r>
    <n v="603"/>
    <x v="12"/>
    <x v="136"/>
    <x v="2"/>
    <s v="Percent of GDP"/>
    <s v="Units"/>
    <x v="2"/>
    <n v="30.472000000000001"/>
  </r>
  <r>
    <n v="603"/>
    <x v="12"/>
    <x v="136"/>
    <x v="2"/>
    <s v="Percent of GDP"/>
    <s v="Units"/>
    <x v="3"/>
    <n v="30.114000000000001"/>
  </r>
  <r>
    <n v="603"/>
    <x v="12"/>
    <x v="136"/>
    <x v="2"/>
    <s v="Percent of GDP"/>
    <s v="Units"/>
    <x v="4"/>
    <n v="33.572000000000003"/>
  </r>
  <r>
    <n v="603"/>
    <x v="12"/>
    <x v="136"/>
    <x v="2"/>
    <s v="Percent of GDP"/>
    <s v="Units"/>
    <x v="5"/>
    <n v="34.54"/>
  </r>
  <r>
    <n v="603"/>
    <x v="12"/>
    <x v="136"/>
    <x v="2"/>
    <s v="Percent of GDP"/>
    <s v="Units"/>
    <x v="6"/>
    <n v="32.042000000000002"/>
  </r>
  <r>
    <n v="200"/>
    <x v="3"/>
    <x v="136"/>
    <x v="2"/>
    <s v="Percent of GDP"/>
    <s v="Units"/>
    <x v="0"/>
    <n v="31.922999999999998"/>
  </r>
  <r>
    <n v="200"/>
    <x v="3"/>
    <x v="136"/>
    <x v="2"/>
    <s v="Percent of GDP"/>
    <s v="Units"/>
    <x v="1"/>
    <n v="33.406999999999996"/>
  </r>
  <r>
    <n v="200"/>
    <x v="3"/>
    <x v="136"/>
    <x v="2"/>
    <s v="Percent of GDP"/>
    <s v="Units"/>
    <x v="2"/>
    <n v="30.472000000000001"/>
  </r>
  <r>
    <n v="200"/>
    <x v="3"/>
    <x v="136"/>
    <x v="2"/>
    <s v="Percent of GDP"/>
    <s v="Units"/>
    <x v="3"/>
    <n v="30.114000000000001"/>
  </r>
  <r>
    <n v="200"/>
    <x v="3"/>
    <x v="136"/>
    <x v="2"/>
    <s v="Percent of GDP"/>
    <s v="Units"/>
    <x v="4"/>
    <n v="33.572000000000003"/>
  </r>
  <r>
    <n v="200"/>
    <x v="3"/>
    <x v="136"/>
    <x v="2"/>
    <s v="Percent of GDP"/>
    <s v="Units"/>
    <x v="5"/>
    <n v="34.54"/>
  </r>
  <r>
    <n v="200"/>
    <x v="3"/>
    <x v="136"/>
    <x v="2"/>
    <s v="Percent of GDP"/>
    <s v="Units"/>
    <x v="6"/>
    <n v="32.042000000000002"/>
  </r>
  <r>
    <n v="200"/>
    <x v="3"/>
    <x v="25"/>
    <x v="0"/>
    <s v="U.S. dollars"/>
    <s v="Billions"/>
    <x v="0"/>
    <n v="26.033000000000001"/>
  </r>
  <r>
    <n v="200"/>
    <x v="3"/>
    <x v="25"/>
    <x v="0"/>
    <s v="U.S. dollars"/>
    <s v="Billions"/>
    <x v="1"/>
    <n v="26.878"/>
  </r>
  <r>
    <n v="200"/>
    <x v="3"/>
    <x v="25"/>
    <x v="0"/>
    <s v="U.S. dollars"/>
    <s v="Billions"/>
    <x v="2"/>
    <n v="36.015999999999998"/>
  </r>
  <r>
    <n v="200"/>
    <x v="3"/>
    <x v="25"/>
    <x v="0"/>
    <s v="U.S. dollars"/>
    <s v="Billions"/>
    <x v="3"/>
    <n v="31.291"/>
  </r>
  <r>
    <n v="200"/>
    <x v="3"/>
    <x v="25"/>
    <x v="0"/>
    <s v="U.S. dollars"/>
    <s v="Billions"/>
    <x v="4"/>
    <n v="32.216000000000001"/>
  </r>
  <r>
    <n v="200"/>
    <x v="3"/>
    <x v="25"/>
    <x v="0"/>
    <s v="U.S. dollars"/>
    <s v="Billions"/>
    <x v="5"/>
    <n v="34.405000000000001"/>
  </r>
  <r>
    <n v="200"/>
    <x v="3"/>
    <x v="25"/>
    <x v="0"/>
    <s v="U.S. dollars"/>
    <s v="Billions"/>
    <x v="6"/>
    <n v="35.311999999999998"/>
  </r>
  <r>
    <n v="1"/>
    <x v="2"/>
    <x v="25"/>
    <x v="0"/>
    <s v="U.S. dollars"/>
    <s v="Billions"/>
    <x v="0"/>
    <n v="26.033000000000001"/>
  </r>
  <r>
    <n v="1"/>
    <x v="2"/>
    <x v="25"/>
    <x v="0"/>
    <s v="U.S. dollars"/>
    <s v="Billions"/>
    <x v="1"/>
    <n v="26.878"/>
  </r>
  <r>
    <n v="1"/>
    <x v="2"/>
    <x v="25"/>
    <x v="0"/>
    <s v="U.S. dollars"/>
    <s v="Billions"/>
    <x v="2"/>
    <n v="36.015999999999998"/>
  </r>
  <r>
    <n v="1"/>
    <x v="2"/>
    <x v="25"/>
    <x v="0"/>
    <s v="U.S. dollars"/>
    <s v="Billions"/>
    <x v="3"/>
    <n v="31.291"/>
  </r>
  <r>
    <n v="1"/>
    <x v="2"/>
    <x v="25"/>
    <x v="0"/>
    <s v="U.S. dollars"/>
    <s v="Billions"/>
    <x v="4"/>
    <n v="32.216000000000001"/>
  </r>
  <r>
    <n v="1"/>
    <x v="2"/>
    <x v="25"/>
    <x v="0"/>
    <s v="U.S. dollars"/>
    <s v="Billions"/>
    <x v="5"/>
    <n v="34.405000000000001"/>
  </r>
  <r>
    <n v="1"/>
    <x v="2"/>
    <x v="25"/>
    <x v="0"/>
    <s v="U.S. dollars"/>
    <s v="Billions"/>
    <x v="6"/>
    <n v="35.311999999999998"/>
  </r>
  <r>
    <n v="603"/>
    <x v="12"/>
    <x v="25"/>
    <x v="0"/>
    <s v="U.S. dollars"/>
    <s v="Billions"/>
    <x v="0"/>
    <n v="26.033000000000001"/>
  </r>
  <r>
    <n v="603"/>
    <x v="12"/>
    <x v="25"/>
    <x v="0"/>
    <s v="U.S. dollars"/>
    <s v="Billions"/>
    <x v="1"/>
    <n v="26.878"/>
  </r>
  <r>
    <n v="603"/>
    <x v="12"/>
    <x v="25"/>
    <x v="0"/>
    <s v="U.S. dollars"/>
    <s v="Billions"/>
    <x v="2"/>
    <n v="36.015999999999998"/>
  </r>
  <r>
    <n v="603"/>
    <x v="12"/>
    <x v="25"/>
    <x v="0"/>
    <s v="U.S. dollars"/>
    <s v="Billions"/>
    <x v="3"/>
    <n v="31.291"/>
  </r>
  <r>
    <n v="603"/>
    <x v="12"/>
    <x v="25"/>
    <x v="0"/>
    <s v="U.S. dollars"/>
    <s v="Billions"/>
    <x v="4"/>
    <n v="32.216000000000001"/>
  </r>
  <r>
    <n v="603"/>
    <x v="12"/>
    <x v="25"/>
    <x v="0"/>
    <s v="U.S. dollars"/>
    <s v="Billions"/>
    <x v="5"/>
    <n v="34.405000000000001"/>
  </r>
  <r>
    <n v="603"/>
    <x v="12"/>
    <x v="25"/>
    <x v="0"/>
    <s v="U.S. dollars"/>
    <s v="Billions"/>
    <x v="6"/>
    <n v="35.311999999999998"/>
  </r>
  <r>
    <n v="1"/>
    <x v="2"/>
    <x v="33"/>
    <x v="5"/>
    <s v="Percent of GDP"/>
    <s v="Units"/>
    <x v="0"/>
    <n v="35.74"/>
  </r>
  <r>
    <n v="1"/>
    <x v="2"/>
    <x v="33"/>
    <x v="5"/>
    <s v="Percent of GDP"/>
    <s v="Units"/>
    <x v="1"/>
    <n v="36.265000000000001"/>
  </r>
  <r>
    <n v="1"/>
    <x v="2"/>
    <x v="33"/>
    <x v="5"/>
    <s v="Percent of GDP"/>
    <s v="Units"/>
    <x v="2"/>
    <n v="30.693000000000001"/>
  </r>
  <r>
    <n v="1"/>
    <x v="2"/>
    <x v="33"/>
    <x v="5"/>
    <s v="Percent of GDP"/>
    <s v="Units"/>
    <x v="3"/>
    <n v="32.545999999999999"/>
  </r>
  <r>
    <n v="1"/>
    <x v="2"/>
    <x v="33"/>
    <x v="5"/>
    <s v="Percent of GDP"/>
    <s v="Units"/>
    <x v="4"/>
    <n v="37.076999999999998"/>
  </r>
  <r>
    <n v="1"/>
    <x v="2"/>
    <x v="33"/>
    <x v="5"/>
    <s v="Percent of GDP"/>
    <s v="Units"/>
    <x v="5"/>
    <n v="34.377000000000002"/>
  </r>
  <r>
    <n v="1"/>
    <x v="2"/>
    <x v="33"/>
    <x v="5"/>
    <s v="Percent of GDP"/>
    <s v="Units"/>
    <x v="6"/>
    <n v="34.308"/>
  </r>
  <r>
    <n v="505"/>
    <x v="4"/>
    <x v="33"/>
    <x v="5"/>
    <s v="Percent of GDP"/>
    <s v="Units"/>
    <x v="0"/>
    <n v="35.74"/>
  </r>
  <r>
    <n v="505"/>
    <x v="4"/>
    <x v="33"/>
    <x v="5"/>
    <s v="Percent of GDP"/>
    <s v="Units"/>
    <x v="1"/>
    <n v="36.265000000000001"/>
  </r>
  <r>
    <n v="505"/>
    <x v="4"/>
    <x v="33"/>
    <x v="5"/>
    <s v="Percent of GDP"/>
    <s v="Units"/>
    <x v="2"/>
    <n v="30.693000000000001"/>
  </r>
  <r>
    <n v="505"/>
    <x v="4"/>
    <x v="33"/>
    <x v="5"/>
    <s v="Percent of GDP"/>
    <s v="Units"/>
    <x v="3"/>
    <n v="32.545999999999999"/>
  </r>
  <r>
    <n v="505"/>
    <x v="4"/>
    <x v="33"/>
    <x v="5"/>
    <s v="Percent of GDP"/>
    <s v="Units"/>
    <x v="4"/>
    <n v="37.076999999999998"/>
  </r>
  <r>
    <n v="505"/>
    <x v="4"/>
    <x v="33"/>
    <x v="5"/>
    <s v="Percent of GDP"/>
    <s v="Units"/>
    <x v="5"/>
    <n v="34.377000000000002"/>
  </r>
  <r>
    <n v="505"/>
    <x v="4"/>
    <x v="33"/>
    <x v="5"/>
    <s v="Percent of GDP"/>
    <s v="Units"/>
    <x v="6"/>
    <n v="34.308"/>
  </r>
  <r>
    <n v="200"/>
    <x v="3"/>
    <x v="33"/>
    <x v="5"/>
    <s v="Percent of GDP"/>
    <s v="Units"/>
    <x v="0"/>
    <n v="35.74"/>
  </r>
  <r>
    <n v="200"/>
    <x v="3"/>
    <x v="33"/>
    <x v="5"/>
    <s v="Percent of GDP"/>
    <s v="Units"/>
    <x v="1"/>
    <n v="36.265000000000001"/>
  </r>
  <r>
    <n v="200"/>
    <x v="3"/>
    <x v="33"/>
    <x v="5"/>
    <s v="Percent of GDP"/>
    <s v="Units"/>
    <x v="2"/>
    <n v="30.693000000000001"/>
  </r>
  <r>
    <n v="200"/>
    <x v="3"/>
    <x v="33"/>
    <x v="5"/>
    <s v="Percent of GDP"/>
    <s v="Units"/>
    <x v="3"/>
    <n v="32.545999999999999"/>
  </r>
  <r>
    <n v="200"/>
    <x v="3"/>
    <x v="33"/>
    <x v="5"/>
    <s v="Percent of GDP"/>
    <s v="Units"/>
    <x v="4"/>
    <n v="37.076999999999998"/>
  </r>
  <r>
    <n v="200"/>
    <x v="3"/>
    <x v="33"/>
    <x v="5"/>
    <s v="Percent of GDP"/>
    <s v="Units"/>
    <x v="5"/>
    <n v="34.377000000000002"/>
  </r>
  <r>
    <n v="200"/>
    <x v="3"/>
    <x v="33"/>
    <x v="5"/>
    <s v="Percent of GDP"/>
    <s v="Units"/>
    <x v="6"/>
    <n v="34.308"/>
  </r>
  <r>
    <n v="400"/>
    <x v="11"/>
    <x v="101"/>
    <x v="3"/>
    <s v="Percent of GDP"/>
    <s v="Units"/>
    <x v="0"/>
    <n v="30.036999999999999"/>
  </r>
  <r>
    <n v="400"/>
    <x v="11"/>
    <x v="101"/>
    <x v="3"/>
    <s v="Percent of GDP"/>
    <s v="Units"/>
    <x v="1"/>
    <n v="31.242999999999999"/>
  </r>
  <r>
    <n v="400"/>
    <x v="11"/>
    <x v="101"/>
    <x v="3"/>
    <s v="Percent of GDP"/>
    <s v="Units"/>
    <x v="2"/>
    <n v="32.284999999999997"/>
  </r>
  <r>
    <n v="400"/>
    <x v="11"/>
    <x v="101"/>
    <x v="3"/>
    <s v="Percent of GDP"/>
    <s v="Units"/>
    <x v="3"/>
    <n v="32.633000000000003"/>
  </r>
  <r>
    <n v="400"/>
    <x v="11"/>
    <x v="101"/>
    <x v="3"/>
    <s v="Percent of GDP"/>
    <s v="Units"/>
    <x v="4"/>
    <n v="33.374000000000002"/>
  </r>
  <r>
    <n v="400"/>
    <x v="11"/>
    <x v="101"/>
    <x v="3"/>
    <s v="Percent of GDP"/>
    <s v="Units"/>
    <x v="5"/>
    <n v="34.375"/>
  </r>
  <r>
    <n v="400"/>
    <x v="11"/>
    <x v="101"/>
    <x v="3"/>
    <s v="Percent of GDP"/>
    <s v="Units"/>
    <x v="6"/>
    <n v="32.314"/>
  </r>
  <r>
    <n v="200"/>
    <x v="3"/>
    <x v="101"/>
    <x v="3"/>
    <s v="Percent of GDP"/>
    <s v="Units"/>
    <x v="0"/>
    <n v="30.036999999999999"/>
  </r>
  <r>
    <n v="200"/>
    <x v="3"/>
    <x v="101"/>
    <x v="3"/>
    <s v="Percent of GDP"/>
    <s v="Units"/>
    <x v="1"/>
    <n v="31.242999999999999"/>
  </r>
  <r>
    <n v="200"/>
    <x v="3"/>
    <x v="101"/>
    <x v="3"/>
    <s v="Percent of GDP"/>
    <s v="Units"/>
    <x v="2"/>
    <n v="32.284999999999997"/>
  </r>
  <r>
    <n v="200"/>
    <x v="3"/>
    <x v="101"/>
    <x v="3"/>
    <s v="Percent of GDP"/>
    <s v="Units"/>
    <x v="3"/>
    <n v="32.633000000000003"/>
  </r>
  <r>
    <n v="200"/>
    <x v="3"/>
    <x v="101"/>
    <x v="3"/>
    <s v="Percent of GDP"/>
    <s v="Units"/>
    <x v="4"/>
    <n v="33.374000000000002"/>
  </r>
  <r>
    <n v="200"/>
    <x v="3"/>
    <x v="101"/>
    <x v="3"/>
    <s v="Percent of GDP"/>
    <s v="Units"/>
    <x v="5"/>
    <n v="34.375"/>
  </r>
  <r>
    <n v="200"/>
    <x v="3"/>
    <x v="101"/>
    <x v="3"/>
    <s v="Percent of GDP"/>
    <s v="Units"/>
    <x v="6"/>
    <n v="32.314"/>
  </r>
  <r>
    <n v="1"/>
    <x v="2"/>
    <x v="85"/>
    <x v="5"/>
    <s v="Percent of GDP"/>
    <s v="Units"/>
    <x v="0"/>
    <n v="32.081000000000003"/>
  </r>
  <r>
    <n v="1"/>
    <x v="2"/>
    <x v="85"/>
    <x v="5"/>
    <s v="Percent of GDP"/>
    <s v="Units"/>
    <x v="1"/>
    <n v="36.415999999999997"/>
  </r>
  <r>
    <n v="1"/>
    <x v="2"/>
    <x v="85"/>
    <x v="5"/>
    <s v="Percent of GDP"/>
    <s v="Units"/>
    <x v="2"/>
    <n v="37.146999999999998"/>
  </r>
  <r>
    <n v="1"/>
    <x v="2"/>
    <x v="85"/>
    <x v="5"/>
    <s v="Percent of GDP"/>
    <s v="Units"/>
    <x v="3"/>
    <n v="33.631"/>
  </r>
  <r>
    <n v="1"/>
    <x v="2"/>
    <x v="85"/>
    <x v="5"/>
    <s v="Percent of GDP"/>
    <s v="Units"/>
    <x v="4"/>
    <n v="33.098999999999997"/>
  </r>
  <r>
    <n v="1"/>
    <x v="2"/>
    <x v="85"/>
    <x v="5"/>
    <s v="Percent of GDP"/>
    <s v="Units"/>
    <x v="5"/>
    <n v="34.265000000000001"/>
  </r>
  <r>
    <n v="1"/>
    <x v="2"/>
    <x v="85"/>
    <x v="5"/>
    <s v="Percent of GDP"/>
    <s v="Units"/>
    <x v="6"/>
    <n v="35.377000000000002"/>
  </r>
  <r>
    <n v="200"/>
    <x v="3"/>
    <x v="85"/>
    <x v="5"/>
    <s v="Percent of GDP"/>
    <s v="Units"/>
    <x v="0"/>
    <n v="32.081000000000003"/>
  </r>
  <r>
    <n v="200"/>
    <x v="3"/>
    <x v="85"/>
    <x v="5"/>
    <s v="Percent of GDP"/>
    <s v="Units"/>
    <x v="1"/>
    <n v="36.415999999999997"/>
  </r>
  <r>
    <n v="200"/>
    <x v="3"/>
    <x v="85"/>
    <x v="5"/>
    <s v="Percent of GDP"/>
    <s v="Units"/>
    <x v="2"/>
    <n v="37.146999999999998"/>
  </r>
  <r>
    <n v="200"/>
    <x v="3"/>
    <x v="85"/>
    <x v="5"/>
    <s v="Percent of GDP"/>
    <s v="Units"/>
    <x v="3"/>
    <n v="33.631"/>
  </r>
  <r>
    <n v="200"/>
    <x v="3"/>
    <x v="85"/>
    <x v="5"/>
    <s v="Percent of GDP"/>
    <s v="Units"/>
    <x v="4"/>
    <n v="33.098999999999997"/>
  </r>
  <r>
    <n v="200"/>
    <x v="3"/>
    <x v="85"/>
    <x v="5"/>
    <s v="Percent of GDP"/>
    <s v="Units"/>
    <x v="5"/>
    <n v="34.265000000000001"/>
  </r>
  <r>
    <n v="200"/>
    <x v="3"/>
    <x v="85"/>
    <x v="5"/>
    <s v="Percent of GDP"/>
    <s v="Units"/>
    <x v="6"/>
    <n v="35.377000000000002"/>
  </r>
  <r>
    <n v="603"/>
    <x v="12"/>
    <x v="85"/>
    <x v="5"/>
    <s v="Percent of GDP"/>
    <s v="Units"/>
    <x v="0"/>
    <n v="32.081000000000003"/>
  </r>
  <r>
    <n v="603"/>
    <x v="12"/>
    <x v="85"/>
    <x v="5"/>
    <s v="Percent of GDP"/>
    <s v="Units"/>
    <x v="1"/>
    <n v="36.415999999999997"/>
  </r>
  <r>
    <n v="603"/>
    <x v="12"/>
    <x v="85"/>
    <x v="5"/>
    <s v="Percent of GDP"/>
    <s v="Units"/>
    <x v="2"/>
    <n v="37.146999999999998"/>
  </r>
  <r>
    <n v="603"/>
    <x v="12"/>
    <x v="85"/>
    <x v="5"/>
    <s v="Percent of GDP"/>
    <s v="Units"/>
    <x v="3"/>
    <n v="33.631"/>
  </r>
  <r>
    <n v="603"/>
    <x v="12"/>
    <x v="85"/>
    <x v="5"/>
    <s v="Percent of GDP"/>
    <s v="Units"/>
    <x v="4"/>
    <n v="33.098999999999997"/>
  </r>
  <r>
    <n v="603"/>
    <x v="12"/>
    <x v="85"/>
    <x v="5"/>
    <s v="Percent of GDP"/>
    <s v="Units"/>
    <x v="5"/>
    <n v="34.265000000000001"/>
  </r>
  <r>
    <n v="603"/>
    <x v="12"/>
    <x v="85"/>
    <x v="5"/>
    <s v="Percent of GDP"/>
    <s v="Units"/>
    <x v="6"/>
    <n v="35.377000000000002"/>
  </r>
  <r>
    <n v="1"/>
    <x v="2"/>
    <x v="118"/>
    <x v="0"/>
    <s v="U.S. dollars"/>
    <s v="Billions"/>
    <x v="0"/>
    <n v="25.95"/>
  </r>
  <r>
    <n v="1"/>
    <x v="2"/>
    <x v="118"/>
    <x v="0"/>
    <s v="U.S. dollars"/>
    <s v="Billions"/>
    <x v="1"/>
    <n v="25.207000000000001"/>
  </r>
  <r>
    <n v="1"/>
    <x v="2"/>
    <x v="118"/>
    <x v="0"/>
    <s v="U.S. dollars"/>
    <s v="Billions"/>
    <x v="2"/>
    <n v="29.501999999999999"/>
  </r>
  <r>
    <n v="1"/>
    <x v="2"/>
    <x v="118"/>
    <x v="0"/>
    <s v="U.S. dollars"/>
    <s v="Billions"/>
    <x v="3"/>
    <n v="29.274000000000001"/>
  </r>
  <r>
    <n v="1"/>
    <x v="2"/>
    <x v="118"/>
    <x v="0"/>
    <s v="U.S. dollars"/>
    <s v="Billions"/>
    <x v="4"/>
    <n v="32.185000000000002"/>
  </r>
  <r>
    <n v="1"/>
    <x v="2"/>
    <x v="118"/>
    <x v="0"/>
    <s v="U.S. dollars"/>
    <s v="Billions"/>
    <x v="5"/>
    <n v="34.220999999999997"/>
  </r>
  <r>
    <n v="1"/>
    <x v="2"/>
    <x v="118"/>
    <x v="0"/>
    <s v="U.S. dollars"/>
    <s v="Billions"/>
    <x v="6"/>
    <n v="35.935000000000002"/>
  </r>
  <r>
    <n v="163"/>
    <x v="5"/>
    <x v="118"/>
    <x v="0"/>
    <s v="U.S. dollars"/>
    <s v="Billions"/>
    <x v="0"/>
    <n v="25.95"/>
  </r>
  <r>
    <n v="163"/>
    <x v="5"/>
    <x v="118"/>
    <x v="0"/>
    <s v="U.S. dollars"/>
    <s v="Billions"/>
    <x v="1"/>
    <n v="25.207000000000001"/>
  </r>
  <r>
    <n v="163"/>
    <x v="5"/>
    <x v="118"/>
    <x v="0"/>
    <s v="U.S. dollars"/>
    <s v="Billions"/>
    <x v="2"/>
    <n v="29.501999999999999"/>
  </r>
  <r>
    <n v="163"/>
    <x v="5"/>
    <x v="118"/>
    <x v="0"/>
    <s v="U.S. dollars"/>
    <s v="Billions"/>
    <x v="3"/>
    <n v="29.274000000000001"/>
  </r>
  <r>
    <n v="163"/>
    <x v="5"/>
    <x v="118"/>
    <x v="0"/>
    <s v="U.S. dollars"/>
    <s v="Billions"/>
    <x v="4"/>
    <n v="32.185000000000002"/>
  </r>
  <r>
    <n v="163"/>
    <x v="5"/>
    <x v="118"/>
    <x v="0"/>
    <s v="U.S. dollars"/>
    <s v="Billions"/>
    <x v="5"/>
    <n v="34.220999999999997"/>
  </r>
  <r>
    <n v="163"/>
    <x v="5"/>
    <x v="118"/>
    <x v="0"/>
    <s v="U.S. dollars"/>
    <s v="Billions"/>
    <x v="6"/>
    <n v="35.935000000000002"/>
  </r>
  <r>
    <n v="998"/>
    <x v="6"/>
    <x v="118"/>
    <x v="0"/>
    <s v="U.S. dollars"/>
    <s v="Billions"/>
    <x v="0"/>
    <n v="25.95"/>
  </r>
  <r>
    <n v="998"/>
    <x v="6"/>
    <x v="118"/>
    <x v="0"/>
    <s v="U.S. dollars"/>
    <s v="Billions"/>
    <x v="1"/>
    <n v="25.207000000000001"/>
  </r>
  <r>
    <n v="998"/>
    <x v="6"/>
    <x v="118"/>
    <x v="0"/>
    <s v="U.S. dollars"/>
    <s v="Billions"/>
    <x v="2"/>
    <n v="29.501999999999999"/>
  </r>
  <r>
    <n v="998"/>
    <x v="6"/>
    <x v="118"/>
    <x v="0"/>
    <s v="U.S. dollars"/>
    <s v="Billions"/>
    <x v="3"/>
    <n v="29.274000000000001"/>
  </r>
  <r>
    <n v="998"/>
    <x v="6"/>
    <x v="118"/>
    <x v="0"/>
    <s v="U.S. dollars"/>
    <s v="Billions"/>
    <x v="4"/>
    <n v="32.185000000000002"/>
  </r>
  <r>
    <n v="998"/>
    <x v="6"/>
    <x v="118"/>
    <x v="0"/>
    <s v="U.S. dollars"/>
    <s v="Billions"/>
    <x v="5"/>
    <n v="34.220999999999997"/>
  </r>
  <r>
    <n v="998"/>
    <x v="6"/>
    <x v="118"/>
    <x v="0"/>
    <s v="U.S. dollars"/>
    <s v="Billions"/>
    <x v="6"/>
    <n v="35.935000000000002"/>
  </r>
  <r>
    <n v="110"/>
    <x v="0"/>
    <x v="118"/>
    <x v="0"/>
    <s v="U.S. dollars"/>
    <s v="Billions"/>
    <x v="0"/>
    <n v="25.95"/>
  </r>
  <r>
    <n v="110"/>
    <x v="0"/>
    <x v="118"/>
    <x v="0"/>
    <s v="U.S. dollars"/>
    <s v="Billions"/>
    <x v="1"/>
    <n v="25.207000000000001"/>
  </r>
  <r>
    <n v="110"/>
    <x v="0"/>
    <x v="118"/>
    <x v="0"/>
    <s v="U.S. dollars"/>
    <s v="Billions"/>
    <x v="2"/>
    <n v="29.501999999999999"/>
  </r>
  <r>
    <n v="110"/>
    <x v="0"/>
    <x v="118"/>
    <x v="0"/>
    <s v="U.S. dollars"/>
    <s v="Billions"/>
    <x v="3"/>
    <n v="29.274000000000001"/>
  </r>
  <r>
    <n v="110"/>
    <x v="0"/>
    <x v="118"/>
    <x v="0"/>
    <s v="U.S. dollars"/>
    <s v="Billions"/>
    <x v="4"/>
    <n v="32.185000000000002"/>
  </r>
  <r>
    <n v="110"/>
    <x v="0"/>
    <x v="118"/>
    <x v="0"/>
    <s v="U.S. dollars"/>
    <s v="Billions"/>
    <x v="5"/>
    <n v="34.220999999999997"/>
  </r>
  <r>
    <n v="110"/>
    <x v="0"/>
    <x v="118"/>
    <x v="0"/>
    <s v="U.S. dollars"/>
    <s v="Billions"/>
    <x v="6"/>
    <n v="35.935000000000002"/>
  </r>
  <r>
    <n v="123"/>
    <x v="9"/>
    <x v="13"/>
    <x v="5"/>
    <s v="Percent of GDP"/>
    <s v="Units"/>
    <x v="0"/>
    <n v="34.845999999999997"/>
  </r>
  <r>
    <n v="123"/>
    <x v="9"/>
    <x v="13"/>
    <x v="5"/>
    <s v="Percent of GDP"/>
    <s v="Units"/>
    <x v="1"/>
    <n v="36.28"/>
  </r>
  <r>
    <n v="123"/>
    <x v="9"/>
    <x v="13"/>
    <x v="5"/>
    <s v="Percent of GDP"/>
    <s v="Units"/>
    <x v="2"/>
    <n v="36.792000000000002"/>
  </r>
  <r>
    <n v="123"/>
    <x v="9"/>
    <x v="13"/>
    <x v="5"/>
    <s v="Percent of GDP"/>
    <s v="Units"/>
    <x v="3"/>
    <n v="34.523000000000003"/>
  </r>
  <r>
    <n v="123"/>
    <x v="9"/>
    <x v="13"/>
    <x v="5"/>
    <s v="Percent of GDP"/>
    <s v="Units"/>
    <x v="4"/>
    <n v="34.201000000000001"/>
  </r>
  <r>
    <n v="123"/>
    <x v="9"/>
    <x v="13"/>
    <x v="5"/>
    <s v="Percent of GDP"/>
    <s v="Units"/>
    <x v="5"/>
    <n v="34.213000000000001"/>
  </r>
  <r>
    <n v="123"/>
    <x v="9"/>
    <x v="13"/>
    <x v="5"/>
    <s v="Percent of GDP"/>
    <s v="Units"/>
    <x v="6"/>
    <n v="34.442999999999998"/>
  </r>
  <r>
    <n v="1"/>
    <x v="2"/>
    <x v="13"/>
    <x v="5"/>
    <s v="Percent of GDP"/>
    <s v="Units"/>
    <x v="0"/>
    <n v="34.845999999999997"/>
  </r>
  <r>
    <n v="1"/>
    <x v="2"/>
    <x v="13"/>
    <x v="5"/>
    <s v="Percent of GDP"/>
    <s v="Units"/>
    <x v="1"/>
    <n v="36.28"/>
  </r>
  <r>
    <n v="1"/>
    <x v="2"/>
    <x v="13"/>
    <x v="5"/>
    <s v="Percent of GDP"/>
    <s v="Units"/>
    <x v="2"/>
    <n v="36.792000000000002"/>
  </r>
  <r>
    <n v="1"/>
    <x v="2"/>
    <x v="13"/>
    <x v="5"/>
    <s v="Percent of GDP"/>
    <s v="Units"/>
    <x v="3"/>
    <n v="34.523000000000003"/>
  </r>
  <r>
    <n v="1"/>
    <x v="2"/>
    <x v="13"/>
    <x v="5"/>
    <s v="Percent of GDP"/>
    <s v="Units"/>
    <x v="4"/>
    <n v="34.201000000000001"/>
  </r>
  <r>
    <n v="1"/>
    <x v="2"/>
    <x v="13"/>
    <x v="5"/>
    <s v="Percent of GDP"/>
    <s v="Units"/>
    <x v="5"/>
    <n v="34.213000000000001"/>
  </r>
  <r>
    <n v="1"/>
    <x v="2"/>
    <x v="13"/>
    <x v="5"/>
    <s v="Percent of GDP"/>
    <s v="Units"/>
    <x v="6"/>
    <n v="34.442999999999998"/>
  </r>
  <r>
    <n v="110"/>
    <x v="0"/>
    <x v="13"/>
    <x v="5"/>
    <s v="Percent of GDP"/>
    <s v="Units"/>
    <x v="0"/>
    <n v="34.845999999999997"/>
  </r>
  <r>
    <n v="110"/>
    <x v="0"/>
    <x v="13"/>
    <x v="5"/>
    <s v="Percent of GDP"/>
    <s v="Units"/>
    <x v="1"/>
    <n v="36.28"/>
  </r>
  <r>
    <n v="110"/>
    <x v="0"/>
    <x v="13"/>
    <x v="5"/>
    <s v="Percent of GDP"/>
    <s v="Units"/>
    <x v="2"/>
    <n v="36.792000000000002"/>
  </r>
  <r>
    <n v="110"/>
    <x v="0"/>
    <x v="13"/>
    <x v="5"/>
    <s v="Percent of GDP"/>
    <s v="Units"/>
    <x v="3"/>
    <n v="34.523000000000003"/>
  </r>
  <r>
    <n v="110"/>
    <x v="0"/>
    <x v="13"/>
    <x v="5"/>
    <s v="Percent of GDP"/>
    <s v="Units"/>
    <x v="4"/>
    <n v="34.201000000000001"/>
  </r>
  <r>
    <n v="110"/>
    <x v="0"/>
    <x v="13"/>
    <x v="5"/>
    <s v="Percent of GDP"/>
    <s v="Units"/>
    <x v="5"/>
    <n v="34.213000000000001"/>
  </r>
  <r>
    <n v="110"/>
    <x v="0"/>
    <x v="13"/>
    <x v="5"/>
    <s v="Percent of GDP"/>
    <s v="Units"/>
    <x v="6"/>
    <n v="34.442999999999998"/>
  </r>
  <r>
    <n v="163"/>
    <x v="5"/>
    <x v="128"/>
    <x v="2"/>
    <s v="Percent of GDP"/>
    <s v="Units"/>
    <x v="0"/>
    <n v="36.186"/>
  </r>
  <r>
    <n v="163"/>
    <x v="5"/>
    <x v="128"/>
    <x v="2"/>
    <s v="Percent of GDP"/>
    <s v="Units"/>
    <x v="1"/>
    <n v="35.676000000000002"/>
  </r>
  <r>
    <n v="163"/>
    <x v="5"/>
    <x v="128"/>
    <x v="2"/>
    <s v="Percent of GDP"/>
    <s v="Units"/>
    <x v="2"/>
    <n v="35.487000000000002"/>
  </r>
  <r>
    <n v="163"/>
    <x v="5"/>
    <x v="128"/>
    <x v="2"/>
    <s v="Percent of GDP"/>
    <s v="Units"/>
    <x v="3"/>
    <n v="33.753999999999998"/>
  </r>
  <r>
    <n v="163"/>
    <x v="5"/>
    <x v="128"/>
    <x v="2"/>
    <s v="Percent of GDP"/>
    <s v="Units"/>
    <x v="4"/>
    <n v="35.072000000000003"/>
  </r>
  <r>
    <n v="163"/>
    <x v="5"/>
    <x v="128"/>
    <x v="2"/>
    <s v="Percent of GDP"/>
    <s v="Units"/>
    <x v="5"/>
    <n v="34.070999999999998"/>
  </r>
  <r>
    <n v="163"/>
    <x v="5"/>
    <x v="128"/>
    <x v="2"/>
    <s v="Percent of GDP"/>
    <s v="Units"/>
    <x v="6"/>
    <n v="33.703000000000003"/>
  </r>
  <r>
    <n v="998"/>
    <x v="6"/>
    <x v="128"/>
    <x v="2"/>
    <s v="Percent of GDP"/>
    <s v="Units"/>
    <x v="0"/>
    <n v="36.186"/>
  </r>
  <r>
    <n v="998"/>
    <x v="6"/>
    <x v="128"/>
    <x v="2"/>
    <s v="Percent of GDP"/>
    <s v="Units"/>
    <x v="1"/>
    <n v="35.676000000000002"/>
  </r>
  <r>
    <n v="998"/>
    <x v="6"/>
    <x v="128"/>
    <x v="2"/>
    <s v="Percent of GDP"/>
    <s v="Units"/>
    <x v="2"/>
    <n v="35.487000000000002"/>
  </r>
  <r>
    <n v="998"/>
    <x v="6"/>
    <x v="128"/>
    <x v="2"/>
    <s v="Percent of GDP"/>
    <s v="Units"/>
    <x v="3"/>
    <n v="33.753999999999998"/>
  </r>
  <r>
    <n v="998"/>
    <x v="6"/>
    <x v="128"/>
    <x v="2"/>
    <s v="Percent of GDP"/>
    <s v="Units"/>
    <x v="4"/>
    <n v="35.072000000000003"/>
  </r>
  <r>
    <n v="998"/>
    <x v="6"/>
    <x v="128"/>
    <x v="2"/>
    <s v="Percent of GDP"/>
    <s v="Units"/>
    <x v="5"/>
    <n v="34.070999999999998"/>
  </r>
  <r>
    <n v="998"/>
    <x v="6"/>
    <x v="128"/>
    <x v="2"/>
    <s v="Percent of GDP"/>
    <s v="Units"/>
    <x v="6"/>
    <n v="33.703000000000003"/>
  </r>
  <r>
    <n v="110"/>
    <x v="0"/>
    <x v="128"/>
    <x v="2"/>
    <s v="Percent of GDP"/>
    <s v="Units"/>
    <x v="0"/>
    <n v="36.186"/>
  </r>
  <r>
    <n v="110"/>
    <x v="0"/>
    <x v="128"/>
    <x v="2"/>
    <s v="Percent of GDP"/>
    <s v="Units"/>
    <x v="1"/>
    <n v="35.676000000000002"/>
  </r>
  <r>
    <n v="110"/>
    <x v="0"/>
    <x v="128"/>
    <x v="2"/>
    <s v="Percent of GDP"/>
    <s v="Units"/>
    <x v="2"/>
    <n v="35.487000000000002"/>
  </r>
  <r>
    <n v="110"/>
    <x v="0"/>
    <x v="128"/>
    <x v="2"/>
    <s v="Percent of GDP"/>
    <s v="Units"/>
    <x v="3"/>
    <n v="33.753999999999998"/>
  </r>
  <r>
    <n v="110"/>
    <x v="0"/>
    <x v="128"/>
    <x v="2"/>
    <s v="Percent of GDP"/>
    <s v="Units"/>
    <x v="4"/>
    <n v="35.072000000000003"/>
  </r>
  <r>
    <n v="110"/>
    <x v="0"/>
    <x v="128"/>
    <x v="2"/>
    <s v="Percent of GDP"/>
    <s v="Units"/>
    <x v="5"/>
    <n v="34.070999999999998"/>
  </r>
  <r>
    <n v="110"/>
    <x v="0"/>
    <x v="128"/>
    <x v="2"/>
    <s v="Percent of GDP"/>
    <s v="Units"/>
    <x v="6"/>
    <n v="33.703000000000003"/>
  </r>
  <r>
    <n v="505"/>
    <x v="4"/>
    <x v="117"/>
    <x v="7"/>
    <s v="Percent of GDP"/>
    <s v="Units"/>
    <x v="0"/>
    <n v="41.378999999999998"/>
  </r>
  <r>
    <n v="505"/>
    <x v="4"/>
    <x v="117"/>
    <x v="7"/>
    <s v="Percent of GDP"/>
    <s v="Units"/>
    <x v="1"/>
    <n v="30.44"/>
  </r>
  <r>
    <n v="505"/>
    <x v="4"/>
    <x v="117"/>
    <x v="7"/>
    <s v="Percent of GDP"/>
    <s v="Units"/>
    <x v="2"/>
    <n v="35.164000000000001"/>
  </r>
  <r>
    <n v="505"/>
    <x v="4"/>
    <x v="117"/>
    <x v="7"/>
    <s v="Percent of GDP"/>
    <s v="Units"/>
    <x v="3"/>
    <n v="37.417000000000002"/>
  </r>
  <r>
    <n v="505"/>
    <x v="4"/>
    <x v="117"/>
    <x v="7"/>
    <s v="Percent of GDP"/>
    <s v="Units"/>
    <x v="4"/>
    <n v="33.551000000000002"/>
  </r>
  <r>
    <n v="505"/>
    <x v="4"/>
    <x v="117"/>
    <x v="7"/>
    <s v="Percent of GDP"/>
    <s v="Units"/>
    <x v="5"/>
    <n v="33.968000000000004"/>
  </r>
  <r>
    <n v="505"/>
    <x v="4"/>
    <x v="117"/>
    <x v="7"/>
    <s v="Percent of GDP"/>
    <s v="Units"/>
    <x v="6"/>
    <n v="36.524999999999999"/>
  </r>
  <r>
    <n v="200"/>
    <x v="3"/>
    <x v="117"/>
    <x v="7"/>
    <s v="Percent of GDP"/>
    <s v="Units"/>
    <x v="0"/>
    <n v="41.378999999999998"/>
  </r>
  <r>
    <n v="200"/>
    <x v="3"/>
    <x v="117"/>
    <x v="7"/>
    <s v="Percent of GDP"/>
    <s v="Units"/>
    <x v="1"/>
    <n v="30.44"/>
  </r>
  <r>
    <n v="200"/>
    <x v="3"/>
    <x v="117"/>
    <x v="7"/>
    <s v="Percent of GDP"/>
    <s v="Units"/>
    <x v="2"/>
    <n v="35.164000000000001"/>
  </r>
  <r>
    <n v="200"/>
    <x v="3"/>
    <x v="117"/>
    <x v="7"/>
    <s v="Percent of GDP"/>
    <s v="Units"/>
    <x v="3"/>
    <n v="37.417000000000002"/>
  </r>
  <r>
    <n v="200"/>
    <x v="3"/>
    <x v="117"/>
    <x v="7"/>
    <s v="Percent of GDP"/>
    <s v="Units"/>
    <x v="4"/>
    <n v="33.551000000000002"/>
  </r>
  <r>
    <n v="200"/>
    <x v="3"/>
    <x v="117"/>
    <x v="7"/>
    <s v="Percent of GDP"/>
    <s v="Units"/>
    <x v="5"/>
    <n v="33.968000000000004"/>
  </r>
  <r>
    <n v="200"/>
    <x v="3"/>
    <x v="117"/>
    <x v="7"/>
    <s v="Percent of GDP"/>
    <s v="Units"/>
    <x v="6"/>
    <n v="36.524999999999999"/>
  </r>
  <r>
    <n v="1"/>
    <x v="2"/>
    <x v="117"/>
    <x v="7"/>
    <s v="Percent of GDP"/>
    <s v="Units"/>
    <x v="0"/>
    <n v="41.378999999999998"/>
  </r>
  <r>
    <n v="1"/>
    <x v="2"/>
    <x v="117"/>
    <x v="7"/>
    <s v="Percent of GDP"/>
    <s v="Units"/>
    <x v="1"/>
    <n v="30.44"/>
  </r>
  <r>
    <n v="1"/>
    <x v="2"/>
    <x v="117"/>
    <x v="7"/>
    <s v="Percent of GDP"/>
    <s v="Units"/>
    <x v="2"/>
    <n v="35.164000000000001"/>
  </r>
  <r>
    <n v="1"/>
    <x v="2"/>
    <x v="117"/>
    <x v="7"/>
    <s v="Percent of GDP"/>
    <s v="Units"/>
    <x v="3"/>
    <n v="37.417000000000002"/>
  </r>
  <r>
    <n v="1"/>
    <x v="2"/>
    <x v="117"/>
    <x v="7"/>
    <s v="Percent of GDP"/>
    <s v="Units"/>
    <x v="4"/>
    <n v="33.551000000000002"/>
  </r>
  <r>
    <n v="1"/>
    <x v="2"/>
    <x v="117"/>
    <x v="7"/>
    <s v="Percent of GDP"/>
    <s v="Units"/>
    <x v="5"/>
    <n v="33.968000000000004"/>
  </r>
  <r>
    <n v="1"/>
    <x v="2"/>
    <x v="117"/>
    <x v="7"/>
    <s v="Percent of GDP"/>
    <s v="Units"/>
    <x v="6"/>
    <n v="36.524999999999999"/>
  </r>
  <r>
    <n v="505"/>
    <x v="4"/>
    <x v="142"/>
    <x v="2"/>
    <s v="Percent of GDP"/>
    <s v="Units"/>
    <x v="0"/>
    <n v="33.256999999999998"/>
  </r>
  <r>
    <n v="505"/>
    <x v="4"/>
    <x v="142"/>
    <x v="2"/>
    <s v="Percent of GDP"/>
    <s v="Units"/>
    <x v="1"/>
    <n v="35.911000000000001"/>
  </r>
  <r>
    <n v="505"/>
    <x v="4"/>
    <x v="142"/>
    <x v="2"/>
    <s v="Percent of GDP"/>
    <s v="Units"/>
    <x v="2"/>
    <n v="36.473999999999997"/>
  </r>
  <r>
    <n v="505"/>
    <x v="4"/>
    <x v="142"/>
    <x v="2"/>
    <s v="Percent of GDP"/>
    <s v="Units"/>
    <x v="3"/>
    <n v="38.488999999999997"/>
  </r>
  <r>
    <n v="505"/>
    <x v="4"/>
    <x v="142"/>
    <x v="2"/>
    <s v="Percent of GDP"/>
    <s v="Units"/>
    <x v="4"/>
    <n v="34.213000000000001"/>
  </r>
  <r>
    <n v="505"/>
    <x v="4"/>
    <x v="142"/>
    <x v="2"/>
    <s v="Percent of GDP"/>
    <s v="Units"/>
    <x v="5"/>
    <n v="33.953000000000003"/>
  </r>
  <r>
    <n v="505"/>
    <x v="4"/>
    <x v="142"/>
    <x v="2"/>
    <s v="Percent of GDP"/>
    <s v="Units"/>
    <x v="6"/>
    <n v="33.262"/>
  </r>
  <r>
    <n v="200"/>
    <x v="3"/>
    <x v="142"/>
    <x v="2"/>
    <s v="Percent of GDP"/>
    <s v="Units"/>
    <x v="0"/>
    <n v="33.256999999999998"/>
  </r>
  <r>
    <n v="200"/>
    <x v="3"/>
    <x v="142"/>
    <x v="2"/>
    <s v="Percent of GDP"/>
    <s v="Units"/>
    <x v="1"/>
    <n v="35.911000000000001"/>
  </r>
  <r>
    <n v="200"/>
    <x v="3"/>
    <x v="142"/>
    <x v="2"/>
    <s v="Percent of GDP"/>
    <s v="Units"/>
    <x v="2"/>
    <n v="36.473999999999997"/>
  </r>
  <r>
    <n v="200"/>
    <x v="3"/>
    <x v="142"/>
    <x v="2"/>
    <s v="Percent of GDP"/>
    <s v="Units"/>
    <x v="3"/>
    <n v="38.488999999999997"/>
  </r>
  <r>
    <n v="200"/>
    <x v="3"/>
    <x v="142"/>
    <x v="2"/>
    <s v="Percent of GDP"/>
    <s v="Units"/>
    <x v="4"/>
    <n v="34.213000000000001"/>
  </r>
  <r>
    <n v="200"/>
    <x v="3"/>
    <x v="142"/>
    <x v="2"/>
    <s v="Percent of GDP"/>
    <s v="Units"/>
    <x v="5"/>
    <n v="33.953000000000003"/>
  </r>
  <r>
    <n v="200"/>
    <x v="3"/>
    <x v="142"/>
    <x v="2"/>
    <s v="Percent of GDP"/>
    <s v="Units"/>
    <x v="6"/>
    <n v="33.262"/>
  </r>
  <r>
    <n v="603"/>
    <x v="12"/>
    <x v="141"/>
    <x v="2"/>
    <s v="Percent of GDP"/>
    <s v="Units"/>
    <x v="0"/>
    <n v="32.167000000000002"/>
  </r>
  <r>
    <n v="603"/>
    <x v="12"/>
    <x v="141"/>
    <x v="2"/>
    <s v="Percent of GDP"/>
    <s v="Units"/>
    <x v="1"/>
    <n v="30.966000000000001"/>
  </r>
  <r>
    <n v="603"/>
    <x v="12"/>
    <x v="141"/>
    <x v="2"/>
    <s v="Percent of GDP"/>
    <s v="Units"/>
    <x v="2"/>
    <n v="33.072000000000003"/>
  </r>
  <r>
    <n v="603"/>
    <x v="12"/>
    <x v="141"/>
    <x v="2"/>
    <s v="Percent of GDP"/>
    <s v="Units"/>
    <x v="3"/>
    <n v="29.952999999999999"/>
  </r>
  <r>
    <n v="603"/>
    <x v="12"/>
    <x v="141"/>
    <x v="2"/>
    <s v="Percent of GDP"/>
    <s v="Units"/>
    <x v="4"/>
    <n v="31.457999999999998"/>
  </r>
  <r>
    <n v="603"/>
    <x v="12"/>
    <x v="141"/>
    <x v="2"/>
    <s v="Percent of GDP"/>
    <s v="Units"/>
    <x v="5"/>
    <n v="33.914999999999999"/>
  </r>
  <r>
    <n v="603"/>
    <x v="12"/>
    <x v="141"/>
    <x v="2"/>
    <s v="Percent of GDP"/>
    <s v="Units"/>
    <x v="6"/>
    <n v="34.1"/>
  </r>
  <r>
    <n v="200"/>
    <x v="3"/>
    <x v="141"/>
    <x v="2"/>
    <s v="Percent of GDP"/>
    <s v="Units"/>
    <x v="0"/>
    <n v="32.167000000000002"/>
  </r>
  <r>
    <n v="200"/>
    <x v="3"/>
    <x v="141"/>
    <x v="2"/>
    <s v="Percent of GDP"/>
    <s v="Units"/>
    <x v="1"/>
    <n v="30.966000000000001"/>
  </r>
  <r>
    <n v="200"/>
    <x v="3"/>
    <x v="141"/>
    <x v="2"/>
    <s v="Percent of GDP"/>
    <s v="Units"/>
    <x v="2"/>
    <n v="33.072000000000003"/>
  </r>
  <r>
    <n v="200"/>
    <x v="3"/>
    <x v="141"/>
    <x v="2"/>
    <s v="Percent of GDP"/>
    <s v="Units"/>
    <x v="3"/>
    <n v="29.952999999999999"/>
  </r>
  <r>
    <n v="200"/>
    <x v="3"/>
    <x v="141"/>
    <x v="2"/>
    <s v="Percent of GDP"/>
    <s v="Units"/>
    <x v="4"/>
    <n v="31.457999999999998"/>
  </r>
  <r>
    <n v="200"/>
    <x v="3"/>
    <x v="141"/>
    <x v="2"/>
    <s v="Percent of GDP"/>
    <s v="Units"/>
    <x v="5"/>
    <n v="33.914999999999999"/>
  </r>
  <r>
    <n v="200"/>
    <x v="3"/>
    <x v="141"/>
    <x v="2"/>
    <s v="Percent of GDP"/>
    <s v="Units"/>
    <x v="6"/>
    <n v="34.1"/>
  </r>
  <r>
    <n v="205"/>
    <x v="7"/>
    <x v="120"/>
    <x v="8"/>
    <s v="Percent change"/>
    <s v="Units"/>
    <x v="0"/>
    <n v="5.3529999999999998"/>
  </r>
  <r>
    <n v="205"/>
    <x v="7"/>
    <x v="120"/>
    <x v="8"/>
    <s v="Percent change"/>
    <s v="Units"/>
    <x v="1"/>
    <n v="43.48"/>
  </r>
  <r>
    <n v="205"/>
    <x v="7"/>
    <x v="120"/>
    <x v="8"/>
    <s v="Percent change"/>
    <s v="Units"/>
    <x v="2"/>
    <n v="20.059999999999999"/>
  </r>
  <r>
    <n v="205"/>
    <x v="7"/>
    <x v="120"/>
    <x v="8"/>
    <s v="Percent change"/>
    <s v="Units"/>
    <x v="3"/>
    <n v="62.287999999999997"/>
  </r>
  <r>
    <n v="205"/>
    <x v="7"/>
    <x v="120"/>
    <x v="8"/>
    <s v="Percent change"/>
    <s v="Units"/>
    <x v="4"/>
    <n v="32.963000000000001"/>
  </r>
  <r>
    <n v="205"/>
    <x v="7"/>
    <x v="120"/>
    <x v="8"/>
    <s v="Percent change"/>
    <s v="Units"/>
    <x v="5"/>
    <n v="33.895000000000003"/>
  </r>
  <r>
    <n v="205"/>
    <x v="7"/>
    <x v="120"/>
    <x v="8"/>
    <s v="Percent change"/>
    <s v="Units"/>
    <x v="6"/>
    <n v="18.716000000000001"/>
  </r>
  <r>
    <n v="200"/>
    <x v="3"/>
    <x v="120"/>
    <x v="8"/>
    <s v="Percent change"/>
    <s v="Units"/>
    <x v="0"/>
    <n v="5.3529999999999998"/>
  </r>
  <r>
    <n v="200"/>
    <x v="3"/>
    <x v="120"/>
    <x v="8"/>
    <s v="Percent change"/>
    <s v="Units"/>
    <x v="1"/>
    <n v="43.48"/>
  </r>
  <r>
    <n v="200"/>
    <x v="3"/>
    <x v="120"/>
    <x v="8"/>
    <s v="Percent change"/>
    <s v="Units"/>
    <x v="2"/>
    <n v="20.059999999999999"/>
  </r>
  <r>
    <n v="200"/>
    <x v="3"/>
    <x v="120"/>
    <x v="8"/>
    <s v="Percent change"/>
    <s v="Units"/>
    <x v="3"/>
    <n v="62.287999999999997"/>
  </r>
  <r>
    <n v="200"/>
    <x v="3"/>
    <x v="120"/>
    <x v="8"/>
    <s v="Percent change"/>
    <s v="Units"/>
    <x v="4"/>
    <n v="32.963000000000001"/>
  </r>
  <r>
    <n v="200"/>
    <x v="3"/>
    <x v="120"/>
    <x v="8"/>
    <s v="Percent change"/>
    <s v="Units"/>
    <x v="5"/>
    <n v="33.895000000000003"/>
  </r>
  <r>
    <n v="200"/>
    <x v="3"/>
    <x v="120"/>
    <x v="8"/>
    <s v="Percent change"/>
    <s v="Units"/>
    <x v="6"/>
    <n v="18.716000000000001"/>
  </r>
  <r>
    <n v="1"/>
    <x v="2"/>
    <x v="120"/>
    <x v="8"/>
    <s v="Percent change"/>
    <s v="Units"/>
    <x v="0"/>
    <n v="5.3529999999999998"/>
  </r>
  <r>
    <n v="1"/>
    <x v="2"/>
    <x v="120"/>
    <x v="8"/>
    <s v="Percent change"/>
    <s v="Units"/>
    <x v="1"/>
    <n v="43.48"/>
  </r>
  <r>
    <n v="1"/>
    <x v="2"/>
    <x v="120"/>
    <x v="8"/>
    <s v="Percent change"/>
    <s v="Units"/>
    <x v="2"/>
    <n v="20.059999999999999"/>
  </r>
  <r>
    <n v="1"/>
    <x v="2"/>
    <x v="120"/>
    <x v="8"/>
    <s v="Percent change"/>
    <s v="Units"/>
    <x v="3"/>
    <n v="62.287999999999997"/>
  </r>
  <r>
    <n v="1"/>
    <x v="2"/>
    <x v="120"/>
    <x v="8"/>
    <s v="Percent change"/>
    <s v="Units"/>
    <x v="4"/>
    <n v="32.963000000000001"/>
  </r>
  <r>
    <n v="1"/>
    <x v="2"/>
    <x v="120"/>
    <x v="8"/>
    <s v="Percent change"/>
    <s v="Units"/>
    <x v="5"/>
    <n v="33.895000000000003"/>
  </r>
  <r>
    <n v="1"/>
    <x v="2"/>
    <x v="120"/>
    <x v="8"/>
    <s v="Percent change"/>
    <s v="Units"/>
    <x v="6"/>
    <n v="18.716000000000001"/>
  </r>
  <r>
    <n v="205"/>
    <x v="7"/>
    <x v="39"/>
    <x v="3"/>
    <s v="Percent of GDP"/>
    <s v="Units"/>
    <x v="0"/>
    <n v="32.878999999999998"/>
  </r>
  <r>
    <n v="205"/>
    <x v="7"/>
    <x v="39"/>
    <x v="3"/>
    <s v="Percent of GDP"/>
    <s v="Units"/>
    <x v="1"/>
    <n v="33.542000000000002"/>
  </r>
  <r>
    <n v="205"/>
    <x v="7"/>
    <x v="39"/>
    <x v="3"/>
    <s v="Percent of GDP"/>
    <s v="Units"/>
    <x v="2"/>
    <n v="34.302"/>
  </r>
  <r>
    <n v="205"/>
    <x v="7"/>
    <x v="39"/>
    <x v="3"/>
    <s v="Percent of GDP"/>
    <s v="Units"/>
    <x v="3"/>
    <n v="33.933999999999997"/>
  </r>
  <r>
    <n v="205"/>
    <x v="7"/>
    <x v="39"/>
    <x v="3"/>
    <s v="Percent of GDP"/>
    <s v="Units"/>
    <x v="4"/>
    <n v="35.037999999999997"/>
  </r>
  <r>
    <n v="205"/>
    <x v="7"/>
    <x v="39"/>
    <x v="3"/>
    <s v="Percent of GDP"/>
    <s v="Units"/>
    <x v="5"/>
    <n v="33.890999999999998"/>
  </r>
  <r>
    <n v="205"/>
    <x v="7"/>
    <x v="39"/>
    <x v="3"/>
    <s v="Percent of GDP"/>
    <s v="Units"/>
    <x v="6"/>
    <n v="32.863999999999997"/>
  </r>
  <r>
    <n v="200"/>
    <x v="3"/>
    <x v="39"/>
    <x v="3"/>
    <s v="Percent of GDP"/>
    <s v="Units"/>
    <x v="0"/>
    <n v="32.878999999999998"/>
  </r>
  <r>
    <n v="200"/>
    <x v="3"/>
    <x v="39"/>
    <x v="3"/>
    <s v="Percent of GDP"/>
    <s v="Units"/>
    <x v="1"/>
    <n v="33.542000000000002"/>
  </r>
  <r>
    <n v="200"/>
    <x v="3"/>
    <x v="39"/>
    <x v="3"/>
    <s v="Percent of GDP"/>
    <s v="Units"/>
    <x v="2"/>
    <n v="34.302"/>
  </r>
  <r>
    <n v="200"/>
    <x v="3"/>
    <x v="39"/>
    <x v="3"/>
    <s v="Percent of GDP"/>
    <s v="Units"/>
    <x v="3"/>
    <n v="33.933999999999997"/>
  </r>
  <r>
    <n v="200"/>
    <x v="3"/>
    <x v="39"/>
    <x v="3"/>
    <s v="Percent of GDP"/>
    <s v="Units"/>
    <x v="4"/>
    <n v="35.037999999999997"/>
  </r>
  <r>
    <n v="200"/>
    <x v="3"/>
    <x v="39"/>
    <x v="3"/>
    <s v="Percent of GDP"/>
    <s v="Units"/>
    <x v="5"/>
    <n v="33.890999999999998"/>
  </r>
  <r>
    <n v="200"/>
    <x v="3"/>
    <x v="39"/>
    <x v="3"/>
    <s v="Percent of GDP"/>
    <s v="Units"/>
    <x v="6"/>
    <n v="32.863999999999997"/>
  </r>
  <r>
    <n v="505"/>
    <x v="4"/>
    <x v="1"/>
    <x v="3"/>
    <s v="Percent of GDP"/>
    <s v="Units"/>
    <x v="0"/>
    <n v="34.152999999999999"/>
  </r>
  <r>
    <n v="505"/>
    <x v="4"/>
    <x v="1"/>
    <x v="3"/>
    <s v="Percent of GDP"/>
    <s v="Units"/>
    <x v="1"/>
    <n v="35.402999999999999"/>
  </r>
  <r>
    <n v="505"/>
    <x v="4"/>
    <x v="1"/>
    <x v="3"/>
    <s v="Percent of GDP"/>
    <s v="Units"/>
    <x v="2"/>
    <n v="32.686"/>
  </r>
  <r>
    <n v="505"/>
    <x v="4"/>
    <x v="1"/>
    <x v="3"/>
    <s v="Percent of GDP"/>
    <s v="Units"/>
    <x v="3"/>
    <n v="33.481000000000002"/>
  </r>
  <r>
    <n v="505"/>
    <x v="4"/>
    <x v="1"/>
    <x v="3"/>
    <s v="Percent of GDP"/>
    <s v="Units"/>
    <x v="4"/>
    <n v="33.856000000000002"/>
  </r>
  <r>
    <n v="505"/>
    <x v="4"/>
    <x v="1"/>
    <x v="3"/>
    <s v="Percent of GDP"/>
    <s v="Units"/>
    <x v="5"/>
    <n v="33.564"/>
  </r>
  <r>
    <n v="505"/>
    <x v="4"/>
    <x v="1"/>
    <x v="3"/>
    <s v="Percent of GDP"/>
    <s v="Units"/>
    <x v="6"/>
    <n v="33.954000000000001"/>
  </r>
  <r>
    <n v="200"/>
    <x v="3"/>
    <x v="1"/>
    <x v="3"/>
    <s v="Percent of GDP"/>
    <s v="Units"/>
    <x v="0"/>
    <n v="34.152999999999999"/>
  </r>
  <r>
    <n v="200"/>
    <x v="3"/>
    <x v="1"/>
    <x v="3"/>
    <s v="Percent of GDP"/>
    <s v="Units"/>
    <x v="1"/>
    <n v="35.402999999999999"/>
  </r>
  <r>
    <n v="200"/>
    <x v="3"/>
    <x v="1"/>
    <x v="3"/>
    <s v="Percent of GDP"/>
    <s v="Units"/>
    <x v="2"/>
    <n v="32.686"/>
  </r>
  <r>
    <n v="200"/>
    <x v="3"/>
    <x v="1"/>
    <x v="3"/>
    <s v="Percent of GDP"/>
    <s v="Units"/>
    <x v="3"/>
    <n v="33.481000000000002"/>
  </r>
  <r>
    <n v="200"/>
    <x v="3"/>
    <x v="1"/>
    <x v="3"/>
    <s v="Percent of GDP"/>
    <s v="Units"/>
    <x v="4"/>
    <n v="33.856000000000002"/>
  </r>
  <r>
    <n v="200"/>
    <x v="3"/>
    <x v="1"/>
    <x v="3"/>
    <s v="Percent of GDP"/>
    <s v="Units"/>
    <x v="5"/>
    <n v="33.564"/>
  </r>
  <r>
    <n v="200"/>
    <x v="3"/>
    <x v="1"/>
    <x v="3"/>
    <s v="Percent of GDP"/>
    <s v="Units"/>
    <x v="6"/>
    <n v="33.954000000000001"/>
  </r>
  <r>
    <n v="603"/>
    <x v="12"/>
    <x v="144"/>
    <x v="7"/>
    <s v="Percent of GDP"/>
    <s v="Units"/>
    <x v="0"/>
    <n v="25.63"/>
  </r>
  <r>
    <n v="603"/>
    <x v="12"/>
    <x v="144"/>
    <x v="7"/>
    <s v="Percent of GDP"/>
    <s v="Units"/>
    <x v="1"/>
    <n v="25.634"/>
  </r>
  <r>
    <n v="603"/>
    <x v="12"/>
    <x v="144"/>
    <x v="7"/>
    <s v="Percent of GDP"/>
    <s v="Units"/>
    <x v="2"/>
    <n v="28.850999999999999"/>
  </r>
  <r>
    <n v="603"/>
    <x v="12"/>
    <x v="144"/>
    <x v="7"/>
    <s v="Percent of GDP"/>
    <s v="Units"/>
    <x v="3"/>
    <n v="36.526000000000003"/>
  </r>
  <r>
    <n v="603"/>
    <x v="12"/>
    <x v="144"/>
    <x v="7"/>
    <s v="Percent of GDP"/>
    <s v="Units"/>
    <x v="4"/>
    <n v="32.173999999999999"/>
  </r>
  <r>
    <n v="603"/>
    <x v="12"/>
    <x v="144"/>
    <x v="7"/>
    <s v="Percent of GDP"/>
    <s v="Units"/>
    <x v="5"/>
    <n v="33.436"/>
  </r>
  <r>
    <n v="603"/>
    <x v="12"/>
    <x v="144"/>
    <x v="7"/>
    <s v="Percent of GDP"/>
    <s v="Units"/>
    <x v="6"/>
    <n v="32.192"/>
  </r>
  <r>
    <n v="1"/>
    <x v="2"/>
    <x v="144"/>
    <x v="7"/>
    <s v="Percent of GDP"/>
    <s v="Units"/>
    <x v="0"/>
    <n v="25.63"/>
  </r>
  <r>
    <n v="1"/>
    <x v="2"/>
    <x v="144"/>
    <x v="7"/>
    <s v="Percent of GDP"/>
    <s v="Units"/>
    <x v="1"/>
    <n v="25.634"/>
  </r>
  <r>
    <n v="1"/>
    <x v="2"/>
    <x v="144"/>
    <x v="7"/>
    <s v="Percent of GDP"/>
    <s v="Units"/>
    <x v="2"/>
    <n v="28.850999999999999"/>
  </r>
  <r>
    <n v="1"/>
    <x v="2"/>
    <x v="144"/>
    <x v="7"/>
    <s v="Percent of GDP"/>
    <s v="Units"/>
    <x v="3"/>
    <n v="36.526000000000003"/>
  </r>
  <r>
    <n v="1"/>
    <x v="2"/>
    <x v="144"/>
    <x v="7"/>
    <s v="Percent of GDP"/>
    <s v="Units"/>
    <x v="4"/>
    <n v="32.173999999999999"/>
  </r>
  <r>
    <n v="1"/>
    <x v="2"/>
    <x v="144"/>
    <x v="7"/>
    <s v="Percent of GDP"/>
    <s v="Units"/>
    <x v="5"/>
    <n v="33.436"/>
  </r>
  <r>
    <n v="1"/>
    <x v="2"/>
    <x v="144"/>
    <x v="7"/>
    <s v="Percent of GDP"/>
    <s v="Units"/>
    <x v="6"/>
    <n v="32.192"/>
  </r>
  <r>
    <n v="200"/>
    <x v="3"/>
    <x v="144"/>
    <x v="7"/>
    <s v="Percent of GDP"/>
    <s v="Units"/>
    <x v="0"/>
    <n v="25.63"/>
  </r>
  <r>
    <n v="200"/>
    <x v="3"/>
    <x v="144"/>
    <x v="7"/>
    <s v="Percent of GDP"/>
    <s v="Units"/>
    <x v="1"/>
    <n v="25.634"/>
  </r>
  <r>
    <n v="200"/>
    <x v="3"/>
    <x v="144"/>
    <x v="7"/>
    <s v="Percent of GDP"/>
    <s v="Units"/>
    <x v="2"/>
    <n v="28.850999999999999"/>
  </r>
  <r>
    <n v="200"/>
    <x v="3"/>
    <x v="144"/>
    <x v="7"/>
    <s v="Percent of GDP"/>
    <s v="Units"/>
    <x v="3"/>
    <n v="36.526000000000003"/>
  </r>
  <r>
    <n v="200"/>
    <x v="3"/>
    <x v="144"/>
    <x v="7"/>
    <s v="Percent of GDP"/>
    <s v="Units"/>
    <x v="4"/>
    <n v="32.173999999999999"/>
  </r>
  <r>
    <n v="200"/>
    <x v="3"/>
    <x v="144"/>
    <x v="7"/>
    <s v="Percent of GDP"/>
    <s v="Units"/>
    <x v="5"/>
    <n v="33.436"/>
  </r>
  <r>
    <n v="200"/>
    <x v="3"/>
    <x v="144"/>
    <x v="7"/>
    <s v="Percent of GDP"/>
    <s v="Units"/>
    <x v="6"/>
    <n v="32.192"/>
  </r>
  <r>
    <n v="110"/>
    <x v="0"/>
    <x v="113"/>
    <x v="0"/>
    <s v="U.S. dollars"/>
    <s v="Billions"/>
    <x v="0"/>
    <n v="24.681000000000001"/>
  </r>
  <r>
    <n v="110"/>
    <x v="0"/>
    <x v="113"/>
    <x v="0"/>
    <s v="U.S. dollars"/>
    <s v="Billions"/>
    <x v="1"/>
    <n v="21.63"/>
  </r>
  <r>
    <n v="110"/>
    <x v="0"/>
    <x v="113"/>
    <x v="0"/>
    <s v="U.S. dollars"/>
    <s v="Billions"/>
    <x v="2"/>
    <n v="25.797999999999998"/>
  </r>
  <r>
    <n v="110"/>
    <x v="0"/>
    <x v="113"/>
    <x v="0"/>
    <s v="U.S. dollars"/>
    <s v="Billions"/>
    <x v="3"/>
    <n v="28.702000000000002"/>
  </r>
  <r>
    <n v="110"/>
    <x v="0"/>
    <x v="113"/>
    <x v="0"/>
    <s v="U.S. dollars"/>
    <s v="Billions"/>
    <x v="4"/>
    <n v="31.02"/>
  </r>
  <r>
    <n v="110"/>
    <x v="0"/>
    <x v="113"/>
    <x v="0"/>
    <s v="U.S. dollars"/>
    <s v="Billions"/>
    <x v="5"/>
    <n v="33.338000000000001"/>
  </r>
  <r>
    <n v="110"/>
    <x v="0"/>
    <x v="113"/>
    <x v="0"/>
    <s v="U.S. dollars"/>
    <s v="Billions"/>
    <x v="6"/>
    <n v="35.802"/>
  </r>
  <r>
    <n v="1"/>
    <x v="2"/>
    <x v="113"/>
    <x v="0"/>
    <s v="U.S. dollars"/>
    <s v="Billions"/>
    <x v="0"/>
    <n v="24.681000000000001"/>
  </r>
  <r>
    <n v="1"/>
    <x v="2"/>
    <x v="113"/>
    <x v="0"/>
    <s v="U.S. dollars"/>
    <s v="Billions"/>
    <x v="1"/>
    <n v="21.63"/>
  </r>
  <r>
    <n v="1"/>
    <x v="2"/>
    <x v="113"/>
    <x v="0"/>
    <s v="U.S. dollars"/>
    <s v="Billions"/>
    <x v="2"/>
    <n v="25.797999999999998"/>
  </r>
  <r>
    <n v="1"/>
    <x v="2"/>
    <x v="113"/>
    <x v="0"/>
    <s v="U.S. dollars"/>
    <s v="Billions"/>
    <x v="3"/>
    <n v="28.702000000000002"/>
  </r>
  <r>
    <n v="1"/>
    <x v="2"/>
    <x v="113"/>
    <x v="0"/>
    <s v="U.S. dollars"/>
    <s v="Billions"/>
    <x v="4"/>
    <n v="31.02"/>
  </r>
  <r>
    <n v="1"/>
    <x v="2"/>
    <x v="113"/>
    <x v="0"/>
    <s v="U.S. dollars"/>
    <s v="Billions"/>
    <x v="5"/>
    <n v="33.338000000000001"/>
  </r>
  <r>
    <n v="1"/>
    <x v="2"/>
    <x v="113"/>
    <x v="0"/>
    <s v="U.S. dollars"/>
    <s v="Billions"/>
    <x v="6"/>
    <n v="35.802"/>
  </r>
  <r>
    <n v="123"/>
    <x v="9"/>
    <x v="113"/>
    <x v="0"/>
    <s v="U.S. dollars"/>
    <s v="Billions"/>
    <x v="0"/>
    <n v="24.681000000000001"/>
  </r>
  <r>
    <n v="123"/>
    <x v="9"/>
    <x v="113"/>
    <x v="0"/>
    <s v="U.S. dollars"/>
    <s v="Billions"/>
    <x v="1"/>
    <n v="21.63"/>
  </r>
  <r>
    <n v="123"/>
    <x v="9"/>
    <x v="113"/>
    <x v="0"/>
    <s v="U.S. dollars"/>
    <s v="Billions"/>
    <x v="2"/>
    <n v="25.797999999999998"/>
  </r>
  <r>
    <n v="123"/>
    <x v="9"/>
    <x v="113"/>
    <x v="0"/>
    <s v="U.S. dollars"/>
    <s v="Billions"/>
    <x v="3"/>
    <n v="28.702000000000002"/>
  </r>
  <r>
    <n v="123"/>
    <x v="9"/>
    <x v="113"/>
    <x v="0"/>
    <s v="U.S. dollars"/>
    <s v="Billions"/>
    <x v="4"/>
    <n v="31.02"/>
  </r>
  <r>
    <n v="123"/>
    <x v="9"/>
    <x v="113"/>
    <x v="0"/>
    <s v="U.S. dollars"/>
    <s v="Billions"/>
    <x v="5"/>
    <n v="33.338000000000001"/>
  </r>
  <r>
    <n v="123"/>
    <x v="9"/>
    <x v="113"/>
    <x v="0"/>
    <s v="U.S. dollars"/>
    <s v="Billions"/>
    <x v="6"/>
    <n v="35.802"/>
  </r>
  <r>
    <n v="200"/>
    <x v="3"/>
    <x v="4"/>
    <x v="7"/>
    <s v="Percent of GDP"/>
    <s v="Units"/>
    <x v="0"/>
    <n v="30.096"/>
  </r>
  <r>
    <n v="200"/>
    <x v="3"/>
    <x v="4"/>
    <x v="7"/>
    <s v="Percent of GDP"/>
    <s v="Units"/>
    <x v="1"/>
    <n v="28.922000000000001"/>
  </r>
  <r>
    <n v="200"/>
    <x v="3"/>
    <x v="4"/>
    <x v="7"/>
    <s v="Percent of GDP"/>
    <s v="Units"/>
    <x v="2"/>
    <n v="32.116"/>
  </r>
  <r>
    <n v="200"/>
    <x v="3"/>
    <x v="4"/>
    <x v="7"/>
    <s v="Percent of GDP"/>
    <s v="Units"/>
    <x v="3"/>
    <n v="33.024000000000001"/>
  </r>
  <r>
    <n v="200"/>
    <x v="3"/>
    <x v="4"/>
    <x v="7"/>
    <s v="Percent of GDP"/>
    <s v="Units"/>
    <x v="4"/>
    <n v="32.985999999999997"/>
  </r>
  <r>
    <n v="200"/>
    <x v="3"/>
    <x v="4"/>
    <x v="7"/>
    <s v="Percent of GDP"/>
    <s v="Units"/>
    <x v="5"/>
    <n v="33.332999999999998"/>
  </r>
  <r>
    <n v="200"/>
    <x v="3"/>
    <x v="4"/>
    <x v="7"/>
    <s v="Percent of GDP"/>
    <s v="Units"/>
    <x v="6"/>
    <n v="33.186"/>
  </r>
  <r>
    <n v="1"/>
    <x v="2"/>
    <x v="4"/>
    <x v="7"/>
    <s v="Percent of GDP"/>
    <s v="Units"/>
    <x v="0"/>
    <n v="30.096"/>
  </r>
  <r>
    <n v="1"/>
    <x v="2"/>
    <x v="4"/>
    <x v="7"/>
    <s v="Percent of GDP"/>
    <s v="Units"/>
    <x v="1"/>
    <n v="28.922000000000001"/>
  </r>
  <r>
    <n v="1"/>
    <x v="2"/>
    <x v="4"/>
    <x v="7"/>
    <s v="Percent of GDP"/>
    <s v="Units"/>
    <x v="2"/>
    <n v="32.116"/>
  </r>
  <r>
    <n v="1"/>
    <x v="2"/>
    <x v="4"/>
    <x v="7"/>
    <s v="Percent of GDP"/>
    <s v="Units"/>
    <x v="3"/>
    <n v="33.024000000000001"/>
  </r>
  <r>
    <n v="1"/>
    <x v="2"/>
    <x v="4"/>
    <x v="7"/>
    <s v="Percent of GDP"/>
    <s v="Units"/>
    <x v="4"/>
    <n v="32.985999999999997"/>
  </r>
  <r>
    <n v="1"/>
    <x v="2"/>
    <x v="4"/>
    <x v="7"/>
    <s v="Percent of GDP"/>
    <s v="Units"/>
    <x v="5"/>
    <n v="33.332999999999998"/>
  </r>
  <r>
    <n v="1"/>
    <x v="2"/>
    <x v="4"/>
    <x v="7"/>
    <s v="Percent of GDP"/>
    <s v="Units"/>
    <x v="6"/>
    <n v="33.186"/>
  </r>
  <r>
    <n v="505"/>
    <x v="4"/>
    <x v="4"/>
    <x v="7"/>
    <s v="Percent of GDP"/>
    <s v="Units"/>
    <x v="0"/>
    <n v="30.096"/>
  </r>
  <r>
    <n v="505"/>
    <x v="4"/>
    <x v="4"/>
    <x v="7"/>
    <s v="Percent of GDP"/>
    <s v="Units"/>
    <x v="1"/>
    <n v="28.922000000000001"/>
  </r>
  <r>
    <n v="505"/>
    <x v="4"/>
    <x v="4"/>
    <x v="7"/>
    <s v="Percent of GDP"/>
    <s v="Units"/>
    <x v="2"/>
    <n v="32.116"/>
  </r>
  <r>
    <n v="505"/>
    <x v="4"/>
    <x v="4"/>
    <x v="7"/>
    <s v="Percent of GDP"/>
    <s v="Units"/>
    <x v="3"/>
    <n v="33.024000000000001"/>
  </r>
  <r>
    <n v="505"/>
    <x v="4"/>
    <x v="4"/>
    <x v="7"/>
    <s v="Percent of GDP"/>
    <s v="Units"/>
    <x v="4"/>
    <n v="32.985999999999997"/>
  </r>
  <r>
    <n v="505"/>
    <x v="4"/>
    <x v="4"/>
    <x v="7"/>
    <s v="Percent of GDP"/>
    <s v="Units"/>
    <x v="5"/>
    <n v="33.332999999999998"/>
  </r>
  <r>
    <n v="505"/>
    <x v="4"/>
    <x v="4"/>
    <x v="7"/>
    <s v="Percent of GDP"/>
    <s v="Units"/>
    <x v="6"/>
    <n v="33.186"/>
  </r>
  <r>
    <n v="200"/>
    <x v="3"/>
    <x v="135"/>
    <x v="2"/>
    <s v="Percent of GDP"/>
    <s v="Units"/>
    <x v="0"/>
    <n v="29.437999999999999"/>
  </r>
  <r>
    <n v="200"/>
    <x v="3"/>
    <x v="135"/>
    <x v="2"/>
    <s v="Percent of GDP"/>
    <s v="Units"/>
    <x v="1"/>
    <n v="28.353999999999999"/>
  </r>
  <r>
    <n v="200"/>
    <x v="3"/>
    <x v="135"/>
    <x v="2"/>
    <s v="Percent of GDP"/>
    <s v="Units"/>
    <x v="2"/>
    <n v="29.954999999999998"/>
  </r>
  <r>
    <n v="200"/>
    <x v="3"/>
    <x v="135"/>
    <x v="2"/>
    <s v="Percent of GDP"/>
    <s v="Units"/>
    <x v="3"/>
    <n v="30.286000000000001"/>
  </r>
  <r>
    <n v="200"/>
    <x v="3"/>
    <x v="135"/>
    <x v="2"/>
    <s v="Percent of GDP"/>
    <s v="Units"/>
    <x v="4"/>
    <n v="32.969000000000001"/>
  </r>
  <r>
    <n v="200"/>
    <x v="3"/>
    <x v="135"/>
    <x v="2"/>
    <s v="Percent of GDP"/>
    <s v="Units"/>
    <x v="5"/>
    <n v="33.26"/>
  </r>
  <r>
    <n v="200"/>
    <x v="3"/>
    <x v="135"/>
    <x v="2"/>
    <s v="Percent of GDP"/>
    <s v="Units"/>
    <x v="6"/>
    <n v="33.398000000000003"/>
  </r>
  <r>
    <n v="903"/>
    <x v="8"/>
    <x v="135"/>
    <x v="2"/>
    <s v="Percent of GDP"/>
    <s v="Units"/>
    <x v="0"/>
    <n v="29.437999999999999"/>
  </r>
  <r>
    <n v="903"/>
    <x v="8"/>
    <x v="135"/>
    <x v="2"/>
    <s v="Percent of GDP"/>
    <s v="Units"/>
    <x v="1"/>
    <n v="28.353999999999999"/>
  </r>
  <r>
    <n v="903"/>
    <x v="8"/>
    <x v="135"/>
    <x v="2"/>
    <s v="Percent of GDP"/>
    <s v="Units"/>
    <x v="2"/>
    <n v="29.954999999999998"/>
  </r>
  <r>
    <n v="903"/>
    <x v="8"/>
    <x v="135"/>
    <x v="2"/>
    <s v="Percent of GDP"/>
    <s v="Units"/>
    <x v="3"/>
    <n v="30.286000000000001"/>
  </r>
  <r>
    <n v="903"/>
    <x v="8"/>
    <x v="135"/>
    <x v="2"/>
    <s v="Percent of GDP"/>
    <s v="Units"/>
    <x v="4"/>
    <n v="32.969000000000001"/>
  </r>
  <r>
    <n v="903"/>
    <x v="8"/>
    <x v="135"/>
    <x v="2"/>
    <s v="Percent of GDP"/>
    <s v="Units"/>
    <x v="5"/>
    <n v="33.26"/>
  </r>
  <r>
    <n v="903"/>
    <x v="8"/>
    <x v="135"/>
    <x v="2"/>
    <s v="Percent of GDP"/>
    <s v="Units"/>
    <x v="6"/>
    <n v="33.398000000000003"/>
  </r>
  <r>
    <n v="603"/>
    <x v="12"/>
    <x v="40"/>
    <x v="3"/>
    <s v="Percent of GDP"/>
    <s v="Units"/>
    <x v="0"/>
    <n v="31.393999999999998"/>
  </r>
  <r>
    <n v="603"/>
    <x v="12"/>
    <x v="40"/>
    <x v="3"/>
    <s v="Percent of GDP"/>
    <s v="Units"/>
    <x v="1"/>
    <n v="34.582999999999998"/>
  </r>
  <r>
    <n v="603"/>
    <x v="12"/>
    <x v="40"/>
    <x v="3"/>
    <s v="Percent of GDP"/>
    <s v="Units"/>
    <x v="2"/>
    <n v="32.601999999999997"/>
  </r>
  <r>
    <n v="603"/>
    <x v="12"/>
    <x v="40"/>
    <x v="3"/>
    <s v="Percent of GDP"/>
    <s v="Units"/>
    <x v="3"/>
    <n v="32.01"/>
  </r>
  <r>
    <n v="603"/>
    <x v="12"/>
    <x v="40"/>
    <x v="3"/>
    <s v="Percent of GDP"/>
    <s v="Units"/>
    <x v="4"/>
    <n v="32.908999999999999"/>
  </r>
  <r>
    <n v="603"/>
    <x v="12"/>
    <x v="40"/>
    <x v="3"/>
    <s v="Percent of GDP"/>
    <s v="Units"/>
    <x v="5"/>
    <n v="33.220999999999997"/>
  </r>
  <r>
    <n v="603"/>
    <x v="12"/>
    <x v="40"/>
    <x v="3"/>
    <s v="Percent of GDP"/>
    <s v="Units"/>
    <x v="6"/>
    <n v="33.46"/>
  </r>
  <r>
    <n v="200"/>
    <x v="3"/>
    <x v="40"/>
    <x v="3"/>
    <s v="Percent of GDP"/>
    <s v="Units"/>
    <x v="0"/>
    <n v="31.393999999999998"/>
  </r>
  <r>
    <n v="200"/>
    <x v="3"/>
    <x v="40"/>
    <x v="3"/>
    <s v="Percent of GDP"/>
    <s v="Units"/>
    <x v="1"/>
    <n v="34.582999999999998"/>
  </r>
  <r>
    <n v="200"/>
    <x v="3"/>
    <x v="40"/>
    <x v="3"/>
    <s v="Percent of GDP"/>
    <s v="Units"/>
    <x v="2"/>
    <n v="32.601999999999997"/>
  </r>
  <r>
    <n v="200"/>
    <x v="3"/>
    <x v="40"/>
    <x v="3"/>
    <s v="Percent of GDP"/>
    <s v="Units"/>
    <x v="3"/>
    <n v="32.01"/>
  </r>
  <r>
    <n v="200"/>
    <x v="3"/>
    <x v="40"/>
    <x v="3"/>
    <s v="Percent of GDP"/>
    <s v="Units"/>
    <x v="4"/>
    <n v="32.908999999999999"/>
  </r>
  <r>
    <n v="200"/>
    <x v="3"/>
    <x v="40"/>
    <x v="3"/>
    <s v="Percent of GDP"/>
    <s v="Units"/>
    <x v="5"/>
    <n v="33.220999999999997"/>
  </r>
  <r>
    <n v="200"/>
    <x v="3"/>
    <x v="40"/>
    <x v="3"/>
    <s v="Percent of GDP"/>
    <s v="Units"/>
    <x v="6"/>
    <n v="33.46"/>
  </r>
  <r>
    <n v="400"/>
    <x v="11"/>
    <x v="99"/>
    <x v="3"/>
    <s v="Percent of GDP"/>
    <s v="Units"/>
    <x v="0"/>
    <n v="29.532"/>
  </r>
  <r>
    <n v="400"/>
    <x v="11"/>
    <x v="99"/>
    <x v="3"/>
    <s v="Percent of GDP"/>
    <s v="Units"/>
    <x v="1"/>
    <n v="34.494999999999997"/>
  </r>
  <r>
    <n v="400"/>
    <x v="11"/>
    <x v="99"/>
    <x v="3"/>
    <s v="Percent of GDP"/>
    <s v="Units"/>
    <x v="2"/>
    <n v="33.292999999999999"/>
  </r>
  <r>
    <n v="400"/>
    <x v="11"/>
    <x v="99"/>
    <x v="3"/>
    <s v="Percent of GDP"/>
    <s v="Units"/>
    <x v="3"/>
    <n v="35.174999999999997"/>
  </r>
  <r>
    <n v="400"/>
    <x v="11"/>
    <x v="99"/>
    <x v="3"/>
    <s v="Percent of GDP"/>
    <s v="Units"/>
    <x v="4"/>
    <n v="34.113"/>
  </r>
  <r>
    <n v="400"/>
    <x v="11"/>
    <x v="99"/>
    <x v="3"/>
    <s v="Percent of GDP"/>
    <s v="Units"/>
    <x v="5"/>
    <n v="32.966999999999999"/>
  </r>
  <r>
    <n v="400"/>
    <x v="11"/>
    <x v="99"/>
    <x v="3"/>
    <s v="Percent of GDP"/>
    <s v="Units"/>
    <x v="6"/>
    <n v="32.218000000000004"/>
  </r>
  <r>
    <n v="200"/>
    <x v="3"/>
    <x v="99"/>
    <x v="3"/>
    <s v="Percent of GDP"/>
    <s v="Units"/>
    <x v="0"/>
    <n v="29.532"/>
  </r>
  <r>
    <n v="200"/>
    <x v="3"/>
    <x v="99"/>
    <x v="3"/>
    <s v="Percent of GDP"/>
    <s v="Units"/>
    <x v="1"/>
    <n v="34.494999999999997"/>
  </r>
  <r>
    <n v="200"/>
    <x v="3"/>
    <x v="99"/>
    <x v="3"/>
    <s v="Percent of GDP"/>
    <s v="Units"/>
    <x v="2"/>
    <n v="33.292999999999999"/>
  </r>
  <r>
    <n v="200"/>
    <x v="3"/>
    <x v="99"/>
    <x v="3"/>
    <s v="Percent of GDP"/>
    <s v="Units"/>
    <x v="3"/>
    <n v="35.174999999999997"/>
  </r>
  <r>
    <n v="200"/>
    <x v="3"/>
    <x v="99"/>
    <x v="3"/>
    <s v="Percent of GDP"/>
    <s v="Units"/>
    <x v="4"/>
    <n v="34.113"/>
  </r>
  <r>
    <n v="200"/>
    <x v="3"/>
    <x v="99"/>
    <x v="3"/>
    <s v="Percent of GDP"/>
    <s v="Units"/>
    <x v="5"/>
    <n v="32.966999999999999"/>
  </r>
  <r>
    <n v="200"/>
    <x v="3"/>
    <x v="99"/>
    <x v="3"/>
    <s v="Percent of GDP"/>
    <s v="Units"/>
    <x v="6"/>
    <n v="32.218000000000004"/>
  </r>
  <r>
    <n v="1"/>
    <x v="2"/>
    <x v="145"/>
    <x v="0"/>
    <s v="U.S. dollars"/>
    <s v="Billions"/>
    <x v="0"/>
    <n v="17.645"/>
  </r>
  <r>
    <n v="1"/>
    <x v="2"/>
    <x v="145"/>
    <x v="0"/>
    <s v="U.S. dollars"/>
    <s v="Billions"/>
    <x v="1"/>
    <n v="16.013000000000002"/>
  </r>
  <r>
    <n v="1"/>
    <x v="2"/>
    <x v="145"/>
    <x v="0"/>
    <s v="U.S. dollars"/>
    <s v="Billions"/>
    <x v="2"/>
    <n v="18.849"/>
  </r>
  <r>
    <n v="1"/>
    <x v="2"/>
    <x v="145"/>
    <x v="0"/>
    <s v="U.S. dollars"/>
    <s v="Billions"/>
    <x v="3"/>
    <n v="24.984999999999999"/>
  </r>
  <r>
    <n v="1"/>
    <x v="2"/>
    <x v="145"/>
    <x v="0"/>
    <s v="U.S. dollars"/>
    <s v="Billions"/>
    <x v="4"/>
    <n v="30.536000000000001"/>
  </r>
  <r>
    <n v="1"/>
    <x v="2"/>
    <x v="145"/>
    <x v="0"/>
    <s v="U.S. dollars"/>
    <s v="Billions"/>
    <x v="5"/>
    <n v="32.865000000000002"/>
  </r>
  <r>
    <n v="1"/>
    <x v="2"/>
    <x v="145"/>
    <x v="0"/>
    <s v="U.S. dollars"/>
    <s v="Billions"/>
    <x v="6"/>
    <n v="35.554000000000002"/>
  </r>
  <r>
    <n v="200"/>
    <x v="3"/>
    <x v="145"/>
    <x v="0"/>
    <s v="U.S. dollars"/>
    <s v="Billions"/>
    <x v="0"/>
    <n v="17.645"/>
  </r>
  <r>
    <n v="200"/>
    <x v="3"/>
    <x v="145"/>
    <x v="0"/>
    <s v="U.S. dollars"/>
    <s v="Billions"/>
    <x v="1"/>
    <n v="16.013000000000002"/>
  </r>
  <r>
    <n v="200"/>
    <x v="3"/>
    <x v="145"/>
    <x v="0"/>
    <s v="U.S. dollars"/>
    <s v="Billions"/>
    <x v="2"/>
    <n v="18.849"/>
  </r>
  <r>
    <n v="200"/>
    <x v="3"/>
    <x v="145"/>
    <x v="0"/>
    <s v="U.S. dollars"/>
    <s v="Billions"/>
    <x v="3"/>
    <n v="24.984999999999999"/>
  </r>
  <r>
    <n v="200"/>
    <x v="3"/>
    <x v="145"/>
    <x v="0"/>
    <s v="U.S. dollars"/>
    <s v="Billions"/>
    <x v="4"/>
    <n v="30.536000000000001"/>
  </r>
  <r>
    <n v="200"/>
    <x v="3"/>
    <x v="145"/>
    <x v="0"/>
    <s v="U.S. dollars"/>
    <s v="Billions"/>
    <x v="5"/>
    <n v="32.865000000000002"/>
  </r>
  <r>
    <n v="200"/>
    <x v="3"/>
    <x v="145"/>
    <x v="0"/>
    <s v="U.S. dollars"/>
    <s v="Billions"/>
    <x v="6"/>
    <n v="35.554000000000002"/>
  </r>
  <r>
    <n v="400"/>
    <x v="11"/>
    <x v="145"/>
    <x v="0"/>
    <s v="U.S. dollars"/>
    <s v="Billions"/>
    <x v="0"/>
    <n v="17.645"/>
  </r>
  <r>
    <n v="400"/>
    <x v="11"/>
    <x v="145"/>
    <x v="0"/>
    <s v="U.S. dollars"/>
    <s v="Billions"/>
    <x v="1"/>
    <n v="16.013000000000002"/>
  </r>
  <r>
    <n v="400"/>
    <x v="11"/>
    <x v="145"/>
    <x v="0"/>
    <s v="U.S. dollars"/>
    <s v="Billions"/>
    <x v="2"/>
    <n v="18.849"/>
  </r>
  <r>
    <n v="400"/>
    <x v="11"/>
    <x v="145"/>
    <x v="0"/>
    <s v="U.S. dollars"/>
    <s v="Billions"/>
    <x v="3"/>
    <n v="24.984999999999999"/>
  </r>
  <r>
    <n v="400"/>
    <x v="11"/>
    <x v="145"/>
    <x v="0"/>
    <s v="U.S. dollars"/>
    <s v="Billions"/>
    <x v="4"/>
    <n v="30.536000000000001"/>
  </r>
  <r>
    <n v="400"/>
    <x v="11"/>
    <x v="145"/>
    <x v="0"/>
    <s v="U.S. dollars"/>
    <s v="Billions"/>
    <x v="5"/>
    <n v="32.865000000000002"/>
  </r>
  <r>
    <n v="400"/>
    <x v="11"/>
    <x v="145"/>
    <x v="0"/>
    <s v="U.S. dollars"/>
    <s v="Billions"/>
    <x v="6"/>
    <n v="35.554000000000002"/>
  </r>
  <r>
    <n v="200"/>
    <x v="3"/>
    <x v="134"/>
    <x v="7"/>
    <s v="Percent of GDP"/>
    <s v="Units"/>
    <x v="0"/>
    <n v="47.963000000000001"/>
  </r>
  <r>
    <n v="200"/>
    <x v="3"/>
    <x v="134"/>
    <x v="7"/>
    <s v="Percent of GDP"/>
    <s v="Units"/>
    <x v="1"/>
    <n v="47.661999999999999"/>
  </r>
  <r>
    <n v="200"/>
    <x v="3"/>
    <x v="134"/>
    <x v="7"/>
    <s v="Percent of GDP"/>
    <s v="Units"/>
    <x v="2"/>
    <n v="61.956000000000003"/>
  </r>
  <r>
    <n v="200"/>
    <x v="3"/>
    <x v="134"/>
    <x v="7"/>
    <s v="Percent of GDP"/>
    <s v="Units"/>
    <x v="3"/>
    <n v="43.527999999999999"/>
  </r>
  <r>
    <n v="200"/>
    <x v="3"/>
    <x v="134"/>
    <x v="7"/>
    <s v="Percent of GDP"/>
    <s v="Units"/>
    <x v="4"/>
    <n v="38.582000000000001"/>
  </r>
  <r>
    <n v="200"/>
    <x v="3"/>
    <x v="134"/>
    <x v="7"/>
    <s v="Percent of GDP"/>
    <s v="Units"/>
    <x v="5"/>
    <n v="32.85"/>
  </r>
  <r>
    <n v="200"/>
    <x v="3"/>
    <x v="134"/>
    <x v="7"/>
    <s v="Percent of GDP"/>
    <s v="Units"/>
    <x v="6"/>
    <n v="33.149000000000001"/>
  </r>
  <r>
    <n v="400"/>
    <x v="11"/>
    <x v="134"/>
    <x v="7"/>
    <s v="Percent of GDP"/>
    <s v="Units"/>
    <x v="0"/>
    <n v="47.963000000000001"/>
  </r>
  <r>
    <n v="400"/>
    <x v="11"/>
    <x v="134"/>
    <x v="7"/>
    <s v="Percent of GDP"/>
    <s v="Units"/>
    <x v="1"/>
    <n v="47.661999999999999"/>
  </r>
  <r>
    <n v="400"/>
    <x v="11"/>
    <x v="134"/>
    <x v="7"/>
    <s v="Percent of GDP"/>
    <s v="Units"/>
    <x v="2"/>
    <n v="61.956000000000003"/>
  </r>
  <r>
    <n v="400"/>
    <x v="11"/>
    <x v="134"/>
    <x v="7"/>
    <s v="Percent of GDP"/>
    <s v="Units"/>
    <x v="3"/>
    <n v="43.527999999999999"/>
  </r>
  <r>
    <n v="400"/>
    <x v="11"/>
    <x v="134"/>
    <x v="7"/>
    <s v="Percent of GDP"/>
    <s v="Units"/>
    <x v="4"/>
    <n v="38.582000000000001"/>
  </r>
  <r>
    <n v="400"/>
    <x v="11"/>
    <x v="134"/>
    <x v="7"/>
    <s v="Percent of GDP"/>
    <s v="Units"/>
    <x v="5"/>
    <n v="32.85"/>
  </r>
  <r>
    <n v="400"/>
    <x v="11"/>
    <x v="134"/>
    <x v="7"/>
    <s v="Percent of GDP"/>
    <s v="Units"/>
    <x v="6"/>
    <n v="33.149000000000001"/>
  </r>
  <r>
    <n v="1"/>
    <x v="2"/>
    <x v="134"/>
    <x v="7"/>
    <s v="Percent of GDP"/>
    <s v="Units"/>
    <x v="0"/>
    <n v="47.963000000000001"/>
  </r>
  <r>
    <n v="1"/>
    <x v="2"/>
    <x v="134"/>
    <x v="7"/>
    <s v="Percent of GDP"/>
    <s v="Units"/>
    <x v="1"/>
    <n v="47.661999999999999"/>
  </r>
  <r>
    <n v="1"/>
    <x v="2"/>
    <x v="134"/>
    <x v="7"/>
    <s v="Percent of GDP"/>
    <s v="Units"/>
    <x v="2"/>
    <n v="61.956000000000003"/>
  </r>
  <r>
    <n v="1"/>
    <x v="2"/>
    <x v="134"/>
    <x v="7"/>
    <s v="Percent of GDP"/>
    <s v="Units"/>
    <x v="3"/>
    <n v="43.527999999999999"/>
  </r>
  <r>
    <n v="1"/>
    <x v="2"/>
    <x v="134"/>
    <x v="7"/>
    <s v="Percent of GDP"/>
    <s v="Units"/>
    <x v="4"/>
    <n v="38.582000000000001"/>
  </r>
  <r>
    <n v="1"/>
    <x v="2"/>
    <x v="134"/>
    <x v="7"/>
    <s v="Percent of GDP"/>
    <s v="Units"/>
    <x v="5"/>
    <n v="32.85"/>
  </r>
  <r>
    <n v="1"/>
    <x v="2"/>
    <x v="134"/>
    <x v="7"/>
    <s v="Percent of GDP"/>
    <s v="Units"/>
    <x v="6"/>
    <n v="33.149000000000001"/>
  </r>
  <r>
    <n v="998"/>
    <x v="6"/>
    <x v="22"/>
    <x v="5"/>
    <s v="Percent of GDP"/>
    <s v="Units"/>
    <x v="0"/>
    <n v="30.459"/>
  </r>
  <r>
    <n v="998"/>
    <x v="6"/>
    <x v="22"/>
    <x v="5"/>
    <s v="Percent of GDP"/>
    <s v="Units"/>
    <x v="1"/>
    <n v="30.962"/>
  </r>
  <r>
    <n v="998"/>
    <x v="6"/>
    <x v="22"/>
    <x v="5"/>
    <s v="Percent of GDP"/>
    <s v="Units"/>
    <x v="2"/>
    <n v="32.927999999999997"/>
  </r>
  <r>
    <n v="998"/>
    <x v="6"/>
    <x v="22"/>
    <x v="5"/>
    <s v="Percent of GDP"/>
    <s v="Units"/>
    <x v="3"/>
    <n v="34.331000000000003"/>
  </r>
  <r>
    <n v="998"/>
    <x v="6"/>
    <x v="22"/>
    <x v="5"/>
    <s v="Percent of GDP"/>
    <s v="Units"/>
    <x v="4"/>
    <n v="32.981000000000002"/>
  </r>
  <r>
    <n v="998"/>
    <x v="6"/>
    <x v="22"/>
    <x v="5"/>
    <s v="Percent of GDP"/>
    <s v="Units"/>
    <x v="5"/>
    <n v="32.765000000000001"/>
  </r>
  <r>
    <n v="998"/>
    <x v="6"/>
    <x v="22"/>
    <x v="5"/>
    <s v="Percent of GDP"/>
    <s v="Units"/>
    <x v="6"/>
    <n v="33.094999999999999"/>
  </r>
  <r>
    <n v="123"/>
    <x v="9"/>
    <x v="22"/>
    <x v="5"/>
    <s v="Percent of GDP"/>
    <s v="Units"/>
    <x v="0"/>
    <n v="30.459"/>
  </r>
  <r>
    <n v="123"/>
    <x v="9"/>
    <x v="22"/>
    <x v="5"/>
    <s v="Percent of GDP"/>
    <s v="Units"/>
    <x v="1"/>
    <n v="30.962"/>
  </r>
  <r>
    <n v="123"/>
    <x v="9"/>
    <x v="22"/>
    <x v="5"/>
    <s v="Percent of GDP"/>
    <s v="Units"/>
    <x v="2"/>
    <n v="32.927999999999997"/>
  </r>
  <r>
    <n v="123"/>
    <x v="9"/>
    <x v="22"/>
    <x v="5"/>
    <s v="Percent of GDP"/>
    <s v="Units"/>
    <x v="3"/>
    <n v="34.331000000000003"/>
  </r>
  <r>
    <n v="123"/>
    <x v="9"/>
    <x v="22"/>
    <x v="5"/>
    <s v="Percent of GDP"/>
    <s v="Units"/>
    <x v="4"/>
    <n v="32.981000000000002"/>
  </r>
  <r>
    <n v="123"/>
    <x v="9"/>
    <x v="22"/>
    <x v="5"/>
    <s v="Percent of GDP"/>
    <s v="Units"/>
    <x v="5"/>
    <n v="32.765000000000001"/>
  </r>
  <r>
    <n v="123"/>
    <x v="9"/>
    <x v="22"/>
    <x v="5"/>
    <s v="Percent of GDP"/>
    <s v="Units"/>
    <x v="6"/>
    <n v="33.094999999999999"/>
  </r>
  <r>
    <n v="110"/>
    <x v="0"/>
    <x v="22"/>
    <x v="5"/>
    <s v="Percent of GDP"/>
    <s v="Units"/>
    <x v="0"/>
    <n v="30.459"/>
  </r>
  <r>
    <n v="110"/>
    <x v="0"/>
    <x v="22"/>
    <x v="5"/>
    <s v="Percent of GDP"/>
    <s v="Units"/>
    <x v="1"/>
    <n v="30.962"/>
  </r>
  <r>
    <n v="110"/>
    <x v="0"/>
    <x v="22"/>
    <x v="5"/>
    <s v="Percent of GDP"/>
    <s v="Units"/>
    <x v="2"/>
    <n v="32.927999999999997"/>
  </r>
  <r>
    <n v="110"/>
    <x v="0"/>
    <x v="22"/>
    <x v="5"/>
    <s v="Percent of GDP"/>
    <s v="Units"/>
    <x v="3"/>
    <n v="34.331000000000003"/>
  </r>
  <r>
    <n v="110"/>
    <x v="0"/>
    <x v="22"/>
    <x v="5"/>
    <s v="Percent of GDP"/>
    <s v="Units"/>
    <x v="4"/>
    <n v="32.981000000000002"/>
  </r>
  <r>
    <n v="110"/>
    <x v="0"/>
    <x v="22"/>
    <x v="5"/>
    <s v="Percent of GDP"/>
    <s v="Units"/>
    <x v="5"/>
    <n v="32.765000000000001"/>
  </r>
  <r>
    <n v="110"/>
    <x v="0"/>
    <x v="22"/>
    <x v="5"/>
    <s v="Percent of GDP"/>
    <s v="Units"/>
    <x v="6"/>
    <n v="33.094999999999999"/>
  </r>
  <r>
    <n v="1"/>
    <x v="2"/>
    <x v="22"/>
    <x v="5"/>
    <s v="Percent of GDP"/>
    <s v="Units"/>
    <x v="0"/>
    <n v="30.459"/>
  </r>
  <r>
    <n v="1"/>
    <x v="2"/>
    <x v="22"/>
    <x v="5"/>
    <s v="Percent of GDP"/>
    <s v="Units"/>
    <x v="1"/>
    <n v="30.962"/>
  </r>
  <r>
    <n v="1"/>
    <x v="2"/>
    <x v="22"/>
    <x v="5"/>
    <s v="Percent of GDP"/>
    <s v="Units"/>
    <x v="2"/>
    <n v="32.927999999999997"/>
  </r>
  <r>
    <n v="1"/>
    <x v="2"/>
    <x v="22"/>
    <x v="5"/>
    <s v="Percent of GDP"/>
    <s v="Units"/>
    <x v="3"/>
    <n v="34.331000000000003"/>
  </r>
  <r>
    <n v="1"/>
    <x v="2"/>
    <x v="22"/>
    <x v="5"/>
    <s v="Percent of GDP"/>
    <s v="Units"/>
    <x v="4"/>
    <n v="32.981000000000002"/>
  </r>
  <r>
    <n v="1"/>
    <x v="2"/>
    <x v="22"/>
    <x v="5"/>
    <s v="Percent of GDP"/>
    <s v="Units"/>
    <x v="5"/>
    <n v="32.765000000000001"/>
  </r>
  <r>
    <n v="1"/>
    <x v="2"/>
    <x v="22"/>
    <x v="5"/>
    <s v="Percent of GDP"/>
    <s v="Units"/>
    <x v="6"/>
    <n v="33.094999999999999"/>
  </r>
  <r>
    <n v="205"/>
    <x v="7"/>
    <x v="79"/>
    <x v="5"/>
    <s v="Percent of GDP"/>
    <s v="Units"/>
    <x v="0"/>
    <n v="32.354999999999997"/>
  </r>
  <r>
    <n v="205"/>
    <x v="7"/>
    <x v="79"/>
    <x v="5"/>
    <s v="Percent of GDP"/>
    <s v="Units"/>
    <x v="1"/>
    <n v="24.466000000000001"/>
  </r>
  <r>
    <n v="205"/>
    <x v="7"/>
    <x v="79"/>
    <x v="5"/>
    <s v="Percent of GDP"/>
    <s v="Units"/>
    <x v="2"/>
    <n v="29.331"/>
  </r>
  <r>
    <n v="205"/>
    <x v="7"/>
    <x v="79"/>
    <x v="5"/>
    <s v="Percent of GDP"/>
    <s v="Units"/>
    <x v="3"/>
    <n v="30.402000000000001"/>
  </r>
  <r>
    <n v="205"/>
    <x v="7"/>
    <x v="79"/>
    <x v="5"/>
    <s v="Percent of GDP"/>
    <s v="Units"/>
    <x v="4"/>
    <n v="36.75"/>
  </r>
  <r>
    <n v="205"/>
    <x v="7"/>
    <x v="79"/>
    <x v="5"/>
    <s v="Percent of GDP"/>
    <s v="Units"/>
    <x v="5"/>
    <n v="32.695999999999998"/>
  </r>
  <r>
    <n v="205"/>
    <x v="7"/>
    <x v="79"/>
    <x v="5"/>
    <s v="Percent of GDP"/>
    <s v="Units"/>
    <x v="6"/>
    <n v="31.428999999999998"/>
  </r>
  <r>
    <n v="200"/>
    <x v="3"/>
    <x v="79"/>
    <x v="5"/>
    <s v="Percent of GDP"/>
    <s v="Units"/>
    <x v="0"/>
    <n v="32.354999999999997"/>
  </r>
  <r>
    <n v="200"/>
    <x v="3"/>
    <x v="79"/>
    <x v="5"/>
    <s v="Percent of GDP"/>
    <s v="Units"/>
    <x v="1"/>
    <n v="24.466000000000001"/>
  </r>
  <r>
    <n v="200"/>
    <x v="3"/>
    <x v="79"/>
    <x v="5"/>
    <s v="Percent of GDP"/>
    <s v="Units"/>
    <x v="2"/>
    <n v="29.331"/>
  </r>
  <r>
    <n v="200"/>
    <x v="3"/>
    <x v="79"/>
    <x v="5"/>
    <s v="Percent of GDP"/>
    <s v="Units"/>
    <x v="3"/>
    <n v="30.402000000000001"/>
  </r>
  <r>
    <n v="200"/>
    <x v="3"/>
    <x v="79"/>
    <x v="5"/>
    <s v="Percent of GDP"/>
    <s v="Units"/>
    <x v="4"/>
    <n v="36.75"/>
  </r>
  <r>
    <n v="200"/>
    <x v="3"/>
    <x v="79"/>
    <x v="5"/>
    <s v="Percent of GDP"/>
    <s v="Units"/>
    <x v="5"/>
    <n v="32.695999999999998"/>
  </r>
  <r>
    <n v="200"/>
    <x v="3"/>
    <x v="79"/>
    <x v="5"/>
    <s v="Percent of GDP"/>
    <s v="Units"/>
    <x v="6"/>
    <n v="31.428999999999998"/>
  </r>
  <r>
    <n v="1"/>
    <x v="2"/>
    <x v="79"/>
    <x v="5"/>
    <s v="Percent of GDP"/>
    <s v="Units"/>
    <x v="0"/>
    <n v="32.354999999999997"/>
  </r>
  <r>
    <n v="1"/>
    <x v="2"/>
    <x v="79"/>
    <x v="5"/>
    <s v="Percent of GDP"/>
    <s v="Units"/>
    <x v="1"/>
    <n v="24.466000000000001"/>
  </r>
  <r>
    <n v="1"/>
    <x v="2"/>
    <x v="79"/>
    <x v="5"/>
    <s v="Percent of GDP"/>
    <s v="Units"/>
    <x v="2"/>
    <n v="29.331"/>
  </r>
  <r>
    <n v="1"/>
    <x v="2"/>
    <x v="79"/>
    <x v="5"/>
    <s v="Percent of GDP"/>
    <s v="Units"/>
    <x v="3"/>
    <n v="30.402000000000001"/>
  </r>
  <r>
    <n v="1"/>
    <x v="2"/>
    <x v="79"/>
    <x v="5"/>
    <s v="Percent of GDP"/>
    <s v="Units"/>
    <x v="4"/>
    <n v="36.75"/>
  </r>
  <r>
    <n v="1"/>
    <x v="2"/>
    <x v="79"/>
    <x v="5"/>
    <s v="Percent of GDP"/>
    <s v="Units"/>
    <x v="5"/>
    <n v="32.695999999999998"/>
  </r>
  <r>
    <n v="1"/>
    <x v="2"/>
    <x v="79"/>
    <x v="5"/>
    <s v="Percent of GDP"/>
    <s v="Units"/>
    <x v="6"/>
    <n v="31.428999999999998"/>
  </r>
  <r>
    <n v="505"/>
    <x v="4"/>
    <x v="143"/>
    <x v="7"/>
    <s v="Percent of GDP"/>
    <s v="Units"/>
    <x v="0"/>
    <n v="35.591999999999999"/>
  </r>
  <r>
    <n v="505"/>
    <x v="4"/>
    <x v="143"/>
    <x v="7"/>
    <s v="Percent of GDP"/>
    <s v="Units"/>
    <x v="1"/>
    <n v="22.384"/>
  </r>
  <r>
    <n v="505"/>
    <x v="4"/>
    <x v="143"/>
    <x v="7"/>
    <s v="Percent of GDP"/>
    <s v="Units"/>
    <x v="2"/>
    <n v="36.719000000000001"/>
  </r>
  <r>
    <n v="505"/>
    <x v="4"/>
    <x v="143"/>
    <x v="7"/>
    <s v="Percent of GDP"/>
    <s v="Units"/>
    <x v="3"/>
    <n v="42.332000000000001"/>
  </r>
  <r>
    <n v="505"/>
    <x v="4"/>
    <x v="143"/>
    <x v="7"/>
    <s v="Percent of GDP"/>
    <s v="Units"/>
    <x v="4"/>
    <n v="32.387"/>
  </r>
  <r>
    <n v="505"/>
    <x v="4"/>
    <x v="143"/>
    <x v="7"/>
    <s v="Percent of GDP"/>
    <s v="Units"/>
    <x v="5"/>
    <n v="32.64"/>
  </r>
  <r>
    <n v="505"/>
    <x v="4"/>
    <x v="143"/>
    <x v="7"/>
    <s v="Percent of GDP"/>
    <s v="Units"/>
    <x v="6"/>
    <n v="36.341999999999999"/>
  </r>
  <r>
    <n v="200"/>
    <x v="3"/>
    <x v="143"/>
    <x v="7"/>
    <s v="Percent of GDP"/>
    <s v="Units"/>
    <x v="0"/>
    <n v="35.591999999999999"/>
  </r>
  <r>
    <n v="200"/>
    <x v="3"/>
    <x v="143"/>
    <x v="7"/>
    <s v="Percent of GDP"/>
    <s v="Units"/>
    <x v="1"/>
    <n v="22.384"/>
  </r>
  <r>
    <n v="200"/>
    <x v="3"/>
    <x v="143"/>
    <x v="7"/>
    <s v="Percent of GDP"/>
    <s v="Units"/>
    <x v="2"/>
    <n v="36.719000000000001"/>
  </r>
  <r>
    <n v="200"/>
    <x v="3"/>
    <x v="143"/>
    <x v="7"/>
    <s v="Percent of GDP"/>
    <s v="Units"/>
    <x v="3"/>
    <n v="42.332000000000001"/>
  </r>
  <r>
    <n v="200"/>
    <x v="3"/>
    <x v="143"/>
    <x v="7"/>
    <s v="Percent of GDP"/>
    <s v="Units"/>
    <x v="4"/>
    <n v="32.387"/>
  </r>
  <r>
    <n v="200"/>
    <x v="3"/>
    <x v="143"/>
    <x v="7"/>
    <s v="Percent of GDP"/>
    <s v="Units"/>
    <x v="5"/>
    <n v="32.64"/>
  </r>
  <r>
    <n v="200"/>
    <x v="3"/>
    <x v="143"/>
    <x v="7"/>
    <s v="Percent of GDP"/>
    <s v="Units"/>
    <x v="6"/>
    <n v="36.341999999999999"/>
  </r>
  <r>
    <n v="1"/>
    <x v="2"/>
    <x v="143"/>
    <x v="7"/>
    <s v="Percent of GDP"/>
    <s v="Units"/>
    <x v="0"/>
    <n v="35.591999999999999"/>
  </r>
  <r>
    <n v="1"/>
    <x v="2"/>
    <x v="143"/>
    <x v="7"/>
    <s v="Percent of GDP"/>
    <s v="Units"/>
    <x v="1"/>
    <n v="22.384"/>
  </r>
  <r>
    <n v="1"/>
    <x v="2"/>
    <x v="143"/>
    <x v="7"/>
    <s v="Percent of GDP"/>
    <s v="Units"/>
    <x v="2"/>
    <n v="36.719000000000001"/>
  </r>
  <r>
    <n v="1"/>
    <x v="2"/>
    <x v="143"/>
    <x v="7"/>
    <s v="Percent of GDP"/>
    <s v="Units"/>
    <x v="3"/>
    <n v="42.332000000000001"/>
  </r>
  <r>
    <n v="1"/>
    <x v="2"/>
    <x v="143"/>
    <x v="7"/>
    <s v="Percent of GDP"/>
    <s v="Units"/>
    <x v="4"/>
    <n v="32.387"/>
  </r>
  <r>
    <n v="1"/>
    <x v="2"/>
    <x v="143"/>
    <x v="7"/>
    <s v="Percent of GDP"/>
    <s v="Units"/>
    <x v="5"/>
    <n v="32.64"/>
  </r>
  <r>
    <n v="1"/>
    <x v="2"/>
    <x v="143"/>
    <x v="7"/>
    <s v="Percent of GDP"/>
    <s v="Units"/>
    <x v="6"/>
    <n v="36.341999999999999"/>
  </r>
  <r>
    <n v="110"/>
    <x v="0"/>
    <x v="18"/>
    <x v="5"/>
    <s v="Percent of GDP"/>
    <s v="Units"/>
    <x v="0"/>
    <n v="30.384"/>
  </r>
  <r>
    <n v="110"/>
    <x v="0"/>
    <x v="18"/>
    <x v="5"/>
    <s v="Percent of GDP"/>
    <s v="Units"/>
    <x v="1"/>
    <n v="30.140999999999998"/>
  </r>
  <r>
    <n v="110"/>
    <x v="0"/>
    <x v="18"/>
    <x v="5"/>
    <s v="Percent of GDP"/>
    <s v="Units"/>
    <x v="2"/>
    <n v="33.148000000000003"/>
  </r>
  <r>
    <n v="110"/>
    <x v="0"/>
    <x v="18"/>
    <x v="5"/>
    <s v="Percent of GDP"/>
    <s v="Units"/>
    <x v="3"/>
    <n v="33.884"/>
  </r>
  <r>
    <n v="110"/>
    <x v="0"/>
    <x v="18"/>
    <x v="5"/>
    <s v="Percent of GDP"/>
    <s v="Units"/>
    <x v="4"/>
    <n v="32.081000000000003"/>
  </r>
  <r>
    <n v="110"/>
    <x v="0"/>
    <x v="18"/>
    <x v="5"/>
    <s v="Percent of GDP"/>
    <s v="Units"/>
    <x v="5"/>
    <n v="32.567"/>
  </r>
  <r>
    <n v="110"/>
    <x v="0"/>
    <x v="18"/>
    <x v="5"/>
    <s v="Percent of GDP"/>
    <s v="Units"/>
    <x v="6"/>
    <n v="32.295000000000002"/>
  </r>
  <r>
    <n v="1"/>
    <x v="2"/>
    <x v="18"/>
    <x v="5"/>
    <s v="Percent of GDP"/>
    <s v="Units"/>
    <x v="0"/>
    <n v="30.384"/>
  </r>
  <r>
    <n v="1"/>
    <x v="2"/>
    <x v="18"/>
    <x v="5"/>
    <s v="Percent of GDP"/>
    <s v="Units"/>
    <x v="1"/>
    <n v="30.140999999999998"/>
  </r>
  <r>
    <n v="1"/>
    <x v="2"/>
    <x v="18"/>
    <x v="5"/>
    <s v="Percent of GDP"/>
    <s v="Units"/>
    <x v="2"/>
    <n v="33.148000000000003"/>
  </r>
  <r>
    <n v="1"/>
    <x v="2"/>
    <x v="18"/>
    <x v="5"/>
    <s v="Percent of GDP"/>
    <s v="Units"/>
    <x v="3"/>
    <n v="33.884"/>
  </r>
  <r>
    <n v="1"/>
    <x v="2"/>
    <x v="18"/>
    <x v="5"/>
    <s v="Percent of GDP"/>
    <s v="Units"/>
    <x v="4"/>
    <n v="32.081000000000003"/>
  </r>
  <r>
    <n v="1"/>
    <x v="2"/>
    <x v="18"/>
    <x v="5"/>
    <s v="Percent of GDP"/>
    <s v="Units"/>
    <x v="5"/>
    <n v="32.567"/>
  </r>
  <r>
    <n v="1"/>
    <x v="2"/>
    <x v="18"/>
    <x v="5"/>
    <s v="Percent of GDP"/>
    <s v="Units"/>
    <x v="6"/>
    <n v="32.295000000000002"/>
  </r>
  <r>
    <n v="123"/>
    <x v="9"/>
    <x v="18"/>
    <x v="5"/>
    <s v="Percent of GDP"/>
    <s v="Units"/>
    <x v="0"/>
    <n v="30.384"/>
  </r>
  <r>
    <n v="123"/>
    <x v="9"/>
    <x v="18"/>
    <x v="5"/>
    <s v="Percent of GDP"/>
    <s v="Units"/>
    <x v="1"/>
    <n v="30.140999999999998"/>
  </r>
  <r>
    <n v="123"/>
    <x v="9"/>
    <x v="18"/>
    <x v="5"/>
    <s v="Percent of GDP"/>
    <s v="Units"/>
    <x v="2"/>
    <n v="33.148000000000003"/>
  </r>
  <r>
    <n v="123"/>
    <x v="9"/>
    <x v="18"/>
    <x v="5"/>
    <s v="Percent of GDP"/>
    <s v="Units"/>
    <x v="3"/>
    <n v="33.884"/>
  </r>
  <r>
    <n v="123"/>
    <x v="9"/>
    <x v="18"/>
    <x v="5"/>
    <s v="Percent of GDP"/>
    <s v="Units"/>
    <x v="4"/>
    <n v="32.081000000000003"/>
  </r>
  <r>
    <n v="123"/>
    <x v="9"/>
    <x v="18"/>
    <x v="5"/>
    <s v="Percent of GDP"/>
    <s v="Units"/>
    <x v="5"/>
    <n v="32.567"/>
  </r>
  <r>
    <n v="123"/>
    <x v="9"/>
    <x v="18"/>
    <x v="5"/>
    <s v="Percent of GDP"/>
    <s v="Units"/>
    <x v="6"/>
    <n v="32.295000000000002"/>
  </r>
  <r>
    <n v="200"/>
    <x v="3"/>
    <x v="42"/>
    <x v="1"/>
    <s v="Percent change"/>
    <s v="Units"/>
    <x v="0"/>
    <n v="13.875"/>
  </r>
  <r>
    <n v="200"/>
    <x v="3"/>
    <x v="42"/>
    <x v="1"/>
    <s v="Percent change"/>
    <s v="Units"/>
    <x v="1"/>
    <n v="5.7"/>
  </r>
  <r>
    <n v="200"/>
    <x v="3"/>
    <x v="42"/>
    <x v="1"/>
    <s v="Percent change"/>
    <s v="Units"/>
    <x v="2"/>
    <n v="4.5"/>
  </r>
  <r>
    <n v="200"/>
    <x v="3"/>
    <x v="42"/>
    <x v="1"/>
    <s v="Percent change"/>
    <s v="Units"/>
    <x v="3"/>
    <n v="8.5"/>
  </r>
  <r>
    <n v="200"/>
    <x v="3"/>
    <x v="42"/>
    <x v="1"/>
    <s v="Percent change"/>
    <s v="Units"/>
    <x v="4"/>
    <n v="24.391999999999999"/>
  </r>
  <r>
    <n v="200"/>
    <x v="3"/>
    <x v="42"/>
    <x v="1"/>
    <s v="Percent change"/>
    <s v="Units"/>
    <x v="5"/>
    <n v="32.546999999999997"/>
  </r>
  <r>
    <n v="200"/>
    <x v="3"/>
    <x v="42"/>
    <x v="1"/>
    <s v="Percent change"/>
    <s v="Units"/>
    <x v="6"/>
    <n v="25.704999999999998"/>
  </r>
  <r>
    <n v="1"/>
    <x v="2"/>
    <x v="42"/>
    <x v="1"/>
    <s v="Percent change"/>
    <s v="Units"/>
    <x v="0"/>
    <n v="13.875"/>
  </r>
  <r>
    <n v="1"/>
    <x v="2"/>
    <x v="42"/>
    <x v="1"/>
    <s v="Percent change"/>
    <s v="Units"/>
    <x v="1"/>
    <n v="5.7"/>
  </r>
  <r>
    <n v="1"/>
    <x v="2"/>
    <x v="42"/>
    <x v="1"/>
    <s v="Percent change"/>
    <s v="Units"/>
    <x v="2"/>
    <n v="4.5"/>
  </r>
  <r>
    <n v="1"/>
    <x v="2"/>
    <x v="42"/>
    <x v="1"/>
    <s v="Percent change"/>
    <s v="Units"/>
    <x v="3"/>
    <n v="8.5"/>
  </r>
  <r>
    <n v="1"/>
    <x v="2"/>
    <x v="42"/>
    <x v="1"/>
    <s v="Percent change"/>
    <s v="Units"/>
    <x v="4"/>
    <n v="24.391999999999999"/>
  </r>
  <r>
    <n v="1"/>
    <x v="2"/>
    <x v="42"/>
    <x v="1"/>
    <s v="Percent change"/>
    <s v="Units"/>
    <x v="5"/>
    <n v="32.546999999999997"/>
  </r>
  <r>
    <n v="1"/>
    <x v="2"/>
    <x v="42"/>
    <x v="1"/>
    <s v="Percent change"/>
    <s v="Units"/>
    <x v="6"/>
    <n v="25.704999999999998"/>
  </r>
  <r>
    <n v="400"/>
    <x v="11"/>
    <x v="42"/>
    <x v="1"/>
    <s v="Percent change"/>
    <s v="Units"/>
    <x v="0"/>
    <n v="13.875"/>
  </r>
  <r>
    <n v="400"/>
    <x v="11"/>
    <x v="42"/>
    <x v="1"/>
    <s v="Percent change"/>
    <s v="Units"/>
    <x v="1"/>
    <n v="5.7"/>
  </r>
  <r>
    <n v="400"/>
    <x v="11"/>
    <x v="42"/>
    <x v="1"/>
    <s v="Percent change"/>
    <s v="Units"/>
    <x v="2"/>
    <n v="4.5"/>
  </r>
  <r>
    <n v="400"/>
    <x v="11"/>
    <x v="42"/>
    <x v="1"/>
    <s v="Percent change"/>
    <s v="Units"/>
    <x v="3"/>
    <n v="8.5"/>
  </r>
  <r>
    <n v="400"/>
    <x v="11"/>
    <x v="42"/>
    <x v="1"/>
    <s v="Percent change"/>
    <s v="Units"/>
    <x v="4"/>
    <n v="24.391999999999999"/>
  </r>
  <r>
    <n v="400"/>
    <x v="11"/>
    <x v="42"/>
    <x v="1"/>
    <s v="Percent change"/>
    <s v="Units"/>
    <x v="5"/>
    <n v="32.546999999999997"/>
  </r>
  <r>
    <n v="400"/>
    <x v="11"/>
    <x v="42"/>
    <x v="1"/>
    <s v="Percent change"/>
    <s v="Units"/>
    <x v="6"/>
    <n v="25.704999999999998"/>
  </r>
  <r>
    <n v="110"/>
    <x v="0"/>
    <x v="18"/>
    <x v="2"/>
    <s v="Percent of GDP"/>
    <s v="Units"/>
    <x v="0"/>
    <n v="33.308999999999997"/>
  </r>
  <r>
    <n v="110"/>
    <x v="0"/>
    <x v="18"/>
    <x v="2"/>
    <s v="Percent of GDP"/>
    <s v="Units"/>
    <x v="1"/>
    <n v="33.994999999999997"/>
  </r>
  <r>
    <n v="110"/>
    <x v="0"/>
    <x v="18"/>
    <x v="2"/>
    <s v="Percent of GDP"/>
    <s v="Units"/>
    <x v="2"/>
    <n v="34.228999999999999"/>
  </r>
  <r>
    <n v="110"/>
    <x v="0"/>
    <x v="18"/>
    <x v="2"/>
    <s v="Percent of GDP"/>
    <s v="Units"/>
    <x v="3"/>
    <n v="33.140999999999998"/>
  </r>
  <r>
    <n v="110"/>
    <x v="0"/>
    <x v="18"/>
    <x v="2"/>
    <s v="Percent of GDP"/>
    <s v="Units"/>
    <x v="4"/>
    <n v="32.536000000000001"/>
  </r>
  <r>
    <n v="110"/>
    <x v="0"/>
    <x v="18"/>
    <x v="2"/>
    <s v="Percent of GDP"/>
    <s v="Units"/>
    <x v="5"/>
    <n v="32.536000000000001"/>
  </r>
  <r>
    <n v="110"/>
    <x v="0"/>
    <x v="18"/>
    <x v="2"/>
    <s v="Percent of GDP"/>
    <s v="Units"/>
    <x v="6"/>
    <n v="32.372999999999998"/>
  </r>
  <r>
    <n v="123"/>
    <x v="9"/>
    <x v="18"/>
    <x v="2"/>
    <s v="Percent of GDP"/>
    <s v="Units"/>
    <x v="0"/>
    <n v="33.308999999999997"/>
  </r>
  <r>
    <n v="123"/>
    <x v="9"/>
    <x v="18"/>
    <x v="2"/>
    <s v="Percent of GDP"/>
    <s v="Units"/>
    <x v="1"/>
    <n v="33.994999999999997"/>
  </r>
  <r>
    <n v="123"/>
    <x v="9"/>
    <x v="18"/>
    <x v="2"/>
    <s v="Percent of GDP"/>
    <s v="Units"/>
    <x v="2"/>
    <n v="34.228999999999999"/>
  </r>
  <r>
    <n v="123"/>
    <x v="9"/>
    <x v="18"/>
    <x v="2"/>
    <s v="Percent of GDP"/>
    <s v="Units"/>
    <x v="3"/>
    <n v="33.140999999999998"/>
  </r>
  <r>
    <n v="123"/>
    <x v="9"/>
    <x v="18"/>
    <x v="2"/>
    <s v="Percent of GDP"/>
    <s v="Units"/>
    <x v="4"/>
    <n v="32.536000000000001"/>
  </r>
  <r>
    <n v="123"/>
    <x v="9"/>
    <x v="18"/>
    <x v="2"/>
    <s v="Percent of GDP"/>
    <s v="Units"/>
    <x v="5"/>
    <n v="32.536000000000001"/>
  </r>
  <r>
    <n v="123"/>
    <x v="9"/>
    <x v="18"/>
    <x v="2"/>
    <s v="Percent of GDP"/>
    <s v="Units"/>
    <x v="6"/>
    <n v="32.372999999999998"/>
  </r>
  <r>
    <n v="200"/>
    <x v="3"/>
    <x v="73"/>
    <x v="3"/>
    <s v="Percent of GDP"/>
    <s v="Units"/>
    <x v="0"/>
    <n v="27.114999999999998"/>
  </r>
  <r>
    <n v="200"/>
    <x v="3"/>
    <x v="73"/>
    <x v="3"/>
    <s v="Percent of GDP"/>
    <s v="Units"/>
    <x v="1"/>
    <n v="28.713999999999999"/>
  </r>
  <r>
    <n v="200"/>
    <x v="3"/>
    <x v="73"/>
    <x v="3"/>
    <s v="Percent of GDP"/>
    <s v="Units"/>
    <x v="2"/>
    <n v="30.484999999999999"/>
  </r>
  <r>
    <n v="200"/>
    <x v="3"/>
    <x v="73"/>
    <x v="3"/>
    <s v="Percent of GDP"/>
    <s v="Units"/>
    <x v="3"/>
    <n v="34.811"/>
  </r>
  <r>
    <n v="200"/>
    <x v="3"/>
    <x v="73"/>
    <x v="3"/>
    <s v="Percent of GDP"/>
    <s v="Units"/>
    <x v="4"/>
    <n v="33.755000000000003"/>
  </r>
  <r>
    <n v="200"/>
    <x v="3"/>
    <x v="73"/>
    <x v="3"/>
    <s v="Percent of GDP"/>
    <s v="Units"/>
    <x v="5"/>
    <n v="32.503"/>
  </r>
  <r>
    <n v="200"/>
    <x v="3"/>
    <x v="73"/>
    <x v="3"/>
    <s v="Percent of GDP"/>
    <s v="Units"/>
    <x v="6"/>
    <n v="31.664999999999999"/>
  </r>
  <r>
    <n v="400"/>
    <x v="11"/>
    <x v="73"/>
    <x v="3"/>
    <s v="Percent of GDP"/>
    <s v="Units"/>
    <x v="0"/>
    <n v="27.114999999999998"/>
  </r>
  <r>
    <n v="400"/>
    <x v="11"/>
    <x v="73"/>
    <x v="3"/>
    <s v="Percent of GDP"/>
    <s v="Units"/>
    <x v="1"/>
    <n v="28.713999999999999"/>
  </r>
  <r>
    <n v="400"/>
    <x v="11"/>
    <x v="73"/>
    <x v="3"/>
    <s v="Percent of GDP"/>
    <s v="Units"/>
    <x v="2"/>
    <n v="30.484999999999999"/>
  </r>
  <r>
    <n v="400"/>
    <x v="11"/>
    <x v="73"/>
    <x v="3"/>
    <s v="Percent of GDP"/>
    <s v="Units"/>
    <x v="3"/>
    <n v="34.811"/>
  </r>
  <r>
    <n v="400"/>
    <x v="11"/>
    <x v="73"/>
    <x v="3"/>
    <s v="Percent of GDP"/>
    <s v="Units"/>
    <x v="4"/>
    <n v="33.755000000000003"/>
  </r>
  <r>
    <n v="400"/>
    <x v="11"/>
    <x v="73"/>
    <x v="3"/>
    <s v="Percent of GDP"/>
    <s v="Units"/>
    <x v="5"/>
    <n v="32.503"/>
  </r>
  <r>
    <n v="400"/>
    <x v="11"/>
    <x v="73"/>
    <x v="3"/>
    <s v="Percent of GDP"/>
    <s v="Units"/>
    <x v="6"/>
    <n v="31.664999999999999"/>
  </r>
  <r>
    <n v="400"/>
    <x v="11"/>
    <x v="59"/>
    <x v="3"/>
    <s v="Percent of GDP"/>
    <s v="Units"/>
    <x v="0"/>
    <n v="27.361999999999998"/>
  </r>
  <r>
    <n v="400"/>
    <x v="11"/>
    <x v="59"/>
    <x v="3"/>
    <s v="Percent of GDP"/>
    <s v="Units"/>
    <x v="1"/>
    <n v="34.145000000000003"/>
  </r>
  <r>
    <n v="400"/>
    <x v="11"/>
    <x v="59"/>
    <x v="3"/>
    <s v="Percent of GDP"/>
    <s v="Units"/>
    <x v="2"/>
    <n v="31.279"/>
  </r>
  <r>
    <n v="400"/>
    <x v="11"/>
    <x v="59"/>
    <x v="3"/>
    <s v="Percent of GDP"/>
    <s v="Units"/>
    <x v="3"/>
    <n v="34.073999999999998"/>
  </r>
  <r>
    <n v="400"/>
    <x v="11"/>
    <x v="59"/>
    <x v="3"/>
    <s v="Percent of GDP"/>
    <s v="Units"/>
    <x v="4"/>
    <n v="32.969000000000001"/>
  </r>
  <r>
    <n v="400"/>
    <x v="11"/>
    <x v="59"/>
    <x v="3"/>
    <s v="Percent of GDP"/>
    <s v="Units"/>
    <x v="5"/>
    <n v="32.485999999999997"/>
  </r>
  <r>
    <n v="400"/>
    <x v="11"/>
    <x v="59"/>
    <x v="3"/>
    <s v="Percent of GDP"/>
    <s v="Units"/>
    <x v="6"/>
    <n v="31.248999999999999"/>
  </r>
  <r>
    <n v="200"/>
    <x v="3"/>
    <x v="59"/>
    <x v="3"/>
    <s v="Percent of GDP"/>
    <s v="Units"/>
    <x v="0"/>
    <n v="27.361999999999998"/>
  </r>
  <r>
    <n v="200"/>
    <x v="3"/>
    <x v="59"/>
    <x v="3"/>
    <s v="Percent of GDP"/>
    <s v="Units"/>
    <x v="1"/>
    <n v="34.145000000000003"/>
  </r>
  <r>
    <n v="200"/>
    <x v="3"/>
    <x v="59"/>
    <x v="3"/>
    <s v="Percent of GDP"/>
    <s v="Units"/>
    <x v="2"/>
    <n v="31.279"/>
  </r>
  <r>
    <n v="200"/>
    <x v="3"/>
    <x v="59"/>
    <x v="3"/>
    <s v="Percent of GDP"/>
    <s v="Units"/>
    <x v="3"/>
    <n v="34.073999999999998"/>
  </r>
  <r>
    <n v="200"/>
    <x v="3"/>
    <x v="59"/>
    <x v="3"/>
    <s v="Percent of GDP"/>
    <s v="Units"/>
    <x v="4"/>
    <n v="32.969000000000001"/>
  </r>
  <r>
    <n v="200"/>
    <x v="3"/>
    <x v="59"/>
    <x v="3"/>
    <s v="Percent of GDP"/>
    <s v="Units"/>
    <x v="5"/>
    <n v="32.485999999999997"/>
  </r>
  <r>
    <n v="200"/>
    <x v="3"/>
    <x v="59"/>
    <x v="3"/>
    <s v="Percent of GDP"/>
    <s v="Units"/>
    <x v="6"/>
    <n v="31.248999999999999"/>
  </r>
  <r>
    <n v="603"/>
    <x v="12"/>
    <x v="146"/>
    <x v="3"/>
    <s v="Percent of GDP"/>
    <s v="Units"/>
    <x v="0"/>
    <n v="36.860999999999997"/>
  </r>
  <r>
    <n v="603"/>
    <x v="12"/>
    <x v="146"/>
    <x v="3"/>
    <s v="Percent of GDP"/>
    <s v="Units"/>
    <x v="1"/>
    <n v="36.536000000000001"/>
  </r>
  <r>
    <n v="603"/>
    <x v="12"/>
    <x v="146"/>
    <x v="3"/>
    <s v="Percent of GDP"/>
    <s v="Units"/>
    <x v="2"/>
    <n v="31.396999999999998"/>
  </r>
  <r>
    <n v="603"/>
    <x v="12"/>
    <x v="146"/>
    <x v="3"/>
    <s v="Percent of GDP"/>
    <s v="Units"/>
    <x v="3"/>
    <n v="28.686"/>
  </r>
  <r>
    <n v="603"/>
    <x v="12"/>
    <x v="146"/>
    <x v="3"/>
    <s v="Percent of GDP"/>
    <s v="Units"/>
    <x v="4"/>
    <n v="29.289000000000001"/>
  </r>
  <r>
    <n v="603"/>
    <x v="12"/>
    <x v="146"/>
    <x v="3"/>
    <s v="Percent of GDP"/>
    <s v="Units"/>
    <x v="5"/>
    <n v="32.348999999999997"/>
  </r>
  <r>
    <n v="603"/>
    <x v="12"/>
    <x v="146"/>
    <x v="3"/>
    <s v="Percent of GDP"/>
    <s v="Units"/>
    <x v="6"/>
    <n v="29.282"/>
  </r>
  <r>
    <n v="200"/>
    <x v="3"/>
    <x v="146"/>
    <x v="3"/>
    <s v="Percent of GDP"/>
    <s v="Units"/>
    <x v="0"/>
    <n v="36.860999999999997"/>
  </r>
  <r>
    <n v="200"/>
    <x v="3"/>
    <x v="146"/>
    <x v="3"/>
    <s v="Percent of GDP"/>
    <s v="Units"/>
    <x v="1"/>
    <n v="36.536000000000001"/>
  </r>
  <r>
    <n v="200"/>
    <x v="3"/>
    <x v="146"/>
    <x v="3"/>
    <s v="Percent of GDP"/>
    <s v="Units"/>
    <x v="2"/>
    <n v="31.396999999999998"/>
  </r>
  <r>
    <n v="200"/>
    <x v="3"/>
    <x v="146"/>
    <x v="3"/>
    <s v="Percent of GDP"/>
    <s v="Units"/>
    <x v="3"/>
    <n v="28.686"/>
  </r>
  <r>
    <n v="200"/>
    <x v="3"/>
    <x v="146"/>
    <x v="3"/>
    <s v="Percent of GDP"/>
    <s v="Units"/>
    <x v="4"/>
    <n v="29.289000000000001"/>
  </r>
  <r>
    <n v="200"/>
    <x v="3"/>
    <x v="146"/>
    <x v="3"/>
    <s v="Percent of GDP"/>
    <s v="Units"/>
    <x v="5"/>
    <n v="32.348999999999997"/>
  </r>
  <r>
    <n v="200"/>
    <x v="3"/>
    <x v="146"/>
    <x v="3"/>
    <s v="Percent of GDP"/>
    <s v="Units"/>
    <x v="6"/>
    <n v="29.282"/>
  </r>
  <r>
    <n v="505"/>
    <x v="4"/>
    <x v="93"/>
    <x v="7"/>
    <s v="Percent of GDP"/>
    <s v="Units"/>
    <x v="0"/>
    <n v="32.284999999999997"/>
  </r>
  <r>
    <n v="505"/>
    <x v="4"/>
    <x v="93"/>
    <x v="7"/>
    <s v="Percent of GDP"/>
    <s v="Units"/>
    <x v="1"/>
    <n v="32.284999999999997"/>
  </r>
  <r>
    <n v="505"/>
    <x v="4"/>
    <x v="93"/>
    <x v="7"/>
    <s v="Percent of GDP"/>
    <s v="Units"/>
    <x v="2"/>
    <n v="32.284999999999997"/>
  </r>
  <r>
    <n v="505"/>
    <x v="4"/>
    <x v="93"/>
    <x v="7"/>
    <s v="Percent of GDP"/>
    <s v="Units"/>
    <x v="3"/>
    <n v="32.284999999999997"/>
  </r>
  <r>
    <n v="505"/>
    <x v="4"/>
    <x v="93"/>
    <x v="7"/>
    <s v="Percent of GDP"/>
    <s v="Units"/>
    <x v="4"/>
    <n v="32.284999999999997"/>
  </r>
  <r>
    <n v="505"/>
    <x v="4"/>
    <x v="93"/>
    <x v="7"/>
    <s v="Percent of GDP"/>
    <s v="Units"/>
    <x v="5"/>
    <n v="32.284999999999997"/>
  </r>
  <r>
    <n v="505"/>
    <x v="4"/>
    <x v="93"/>
    <x v="7"/>
    <s v="Percent of GDP"/>
    <s v="Units"/>
    <x v="6"/>
    <n v="32.284999999999997"/>
  </r>
  <r>
    <n v="200"/>
    <x v="3"/>
    <x v="93"/>
    <x v="7"/>
    <s v="Percent of GDP"/>
    <s v="Units"/>
    <x v="0"/>
    <n v="32.284999999999997"/>
  </r>
  <r>
    <n v="200"/>
    <x v="3"/>
    <x v="93"/>
    <x v="7"/>
    <s v="Percent of GDP"/>
    <s v="Units"/>
    <x v="1"/>
    <n v="32.284999999999997"/>
  </r>
  <r>
    <n v="200"/>
    <x v="3"/>
    <x v="93"/>
    <x v="7"/>
    <s v="Percent of GDP"/>
    <s v="Units"/>
    <x v="2"/>
    <n v="32.284999999999997"/>
  </r>
  <r>
    <n v="200"/>
    <x v="3"/>
    <x v="93"/>
    <x v="7"/>
    <s v="Percent of GDP"/>
    <s v="Units"/>
    <x v="3"/>
    <n v="32.284999999999997"/>
  </r>
  <r>
    <n v="200"/>
    <x v="3"/>
    <x v="93"/>
    <x v="7"/>
    <s v="Percent of GDP"/>
    <s v="Units"/>
    <x v="4"/>
    <n v="32.284999999999997"/>
  </r>
  <r>
    <n v="200"/>
    <x v="3"/>
    <x v="93"/>
    <x v="7"/>
    <s v="Percent of GDP"/>
    <s v="Units"/>
    <x v="5"/>
    <n v="32.284999999999997"/>
  </r>
  <r>
    <n v="200"/>
    <x v="3"/>
    <x v="93"/>
    <x v="7"/>
    <s v="Percent of GDP"/>
    <s v="Units"/>
    <x v="6"/>
    <n v="32.284999999999997"/>
  </r>
  <r>
    <n v="1"/>
    <x v="2"/>
    <x v="93"/>
    <x v="7"/>
    <s v="Percent of GDP"/>
    <s v="Units"/>
    <x v="0"/>
    <n v="32.284999999999997"/>
  </r>
  <r>
    <n v="1"/>
    <x v="2"/>
    <x v="93"/>
    <x v="7"/>
    <s v="Percent of GDP"/>
    <s v="Units"/>
    <x v="1"/>
    <n v="32.284999999999997"/>
  </r>
  <r>
    <n v="1"/>
    <x v="2"/>
    <x v="93"/>
    <x v="7"/>
    <s v="Percent of GDP"/>
    <s v="Units"/>
    <x v="2"/>
    <n v="32.284999999999997"/>
  </r>
  <r>
    <n v="1"/>
    <x v="2"/>
    <x v="93"/>
    <x v="7"/>
    <s v="Percent of GDP"/>
    <s v="Units"/>
    <x v="3"/>
    <n v="32.284999999999997"/>
  </r>
  <r>
    <n v="1"/>
    <x v="2"/>
    <x v="93"/>
    <x v="7"/>
    <s v="Percent of GDP"/>
    <s v="Units"/>
    <x v="4"/>
    <n v="32.284999999999997"/>
  </r>
  <r>
    <n v="1"/>
    <x v="2"/>
    <x v="93"/>
    <x v="7"/>
    <s v="Percent of GDP"/>
    <s v="Units"/>
    <x v="5"/>
    <n v="32.284999999999997"/>
  </r>
  <r>
    <n v="1"/>
    <x v="2"/>
    <x v="93"/>
    <x v="7"/>
    <s v="Percent of GDP"/>
    <s v="Units"/>
    <x v="6"/>
    <n v="32.284999999999997"/>
  </r>
  <r>
    <n v="1"/>
    <x v="2"/>
    <x v="33"/>
    <x v="7"/>
    <s v="Percent of GDP"/>
    <s v="Units"/>
    <x v="0"/>
    <n v="31.98"/>
  </r>
  <r>
    <n v="1"/>
    <x v="2"/>
    <x v="33"/>
    <x v="7"/>
    <s v="Percent of GDP"/>
    <s v="Units"/>
    <x v="1"/>
    <n v="31.916"/>
  </r>
  <r>
    <n v="1"/>
    <x v="2"/>
    <x v="33"/>
    <x v="7"/>
    <s v="Percent of GDP"/>
    <s v="Units"/>
    <x v="2"/>
    <n v="32.896000000000001"/>
  </r>
  <r>
    <n v="1"/>
    <x v="2"/>
    <x v="33"/>
    <x v="7"/>
    <s v="Percent of GDP"/>
    <s v="Units"/>
    <x v="3"/>
    <n v="32.567999999999998"/>
  </r>
  <r>
    <n v="1"/>
    <x v="2"/>
    <x v="33"/>
    <x v="7"/>
    <s v="Percent of GDP"/>
    <s v="Units"/>
    <x v="4"/>
    <n v="31.962"/>
  </r>
  <r>
    <n v="1"/>
    <x v="2"/>
    <x v="33"/>
    <x v="7"/>
    <s v="Percent of GDP"/>
    <s v="Units"/>
    <x v="5"/>
    <n v="32.098999999999997"/>
  </r>
  <r>
    <n v="1"/>
    <x v="2"/>
    <x v="33"/>
    <x v="7"/>
    <s v="Percent of GDP"/>
    <s v="Units"/>
    <x v="6"/>
    <n v="32.314999999999998"/>
  </r>
  <r>
    <n v="200"/>
    <x v="3"/>
    <x v="33"/>
    <x v="7"/>
    <s v="Percent of GDP"/>
    <s v="Units"/>
    <x v="0"/>
    <n v="31.98"/>
  </r>
  <r>
    <n v="200"/>
    <x v="3"/>
    <x v="33"/>
    <x v="7"/>
    <s v="Percent of GDP"/>
    <s v="Units"/>
    <x v="1"/>
    <n v="31.916"/>
  </r>
  <r>
    <n v="200"/>
    <x v="3"/>
    <x v="33"/>
    <x v="7"/>
    <s v="Percent of GDP"/>
    <s v="Units"/>
    <x v="2"/>
    <n v="32.896000000000001"/>
  </r>
  <r>
    <n v="200"/>
    <x v="3"/>
    <x v="33"/>
    <x v="7"/>
    <s v="Percent of GDP"/>
    <s v="Units"/>
    <x v="3"/>
    <n v="32.567999999999998"/>
  </r>
  <r>
    <n v="200"/>
    <x v="3"/>
    <x v="33"/>
    <x v="7"/>
    <s v="Percent of GDP"/>
    <s v="Units"/>
    <x v="4"/>
    <n v="31.962"/>
  </r>
  <r>
    <n v="200"/>
    <x v="3"/>
    <x v="33"/>
    <x v="7"/>
    <s v="Percent of GDP"/>
    <s v="Units"/>
    <x v="5"/>
    <n v="32.098999999999997"/>
  </r>
  <r>
    <n v="200"/>
    <x v="3"/>
    <x v="33"/>
    <x v="7"/>
    <s v="Percent of GDP"/>
    <s v="Units"/>
    <x v="6"/>
    <n v="32.314999999999998"/>
  </r>
  <r>
    <n v="505"/>
    <x v="4"/>
    <x v="33"/>
    <x v="7"/>
    <s v="Percent of GDP"/>
    <s v="Units"/>
    <x v="0"/>
    <n v="31.98"/>
  </r>
  <r>
    <n v="505"/>
    <x v="4"/>
    <x v="33"/>
    <x v="7"/>
    <s v="Percent of GDP"/>
    <s v="Units"/>
    <x v="1"/>
    <n v="31.916"/>
  </r>
  <r>
    <n v="505"/>
    <x v="4"/>
    <x v="33"/>
    <x v="7"/>
    <s v="Percent of GDP"/>
    <s v="Units"/>
    <x v="2"/>
    <n v="32.896000000000001"/>
  </r>
  <r>
    <n v="505"/>
    <x v="4"/>
    <x v="33"/>
    <x v="7"/>
    <s v="Percent of GDP"/>
    <s v="Units"/>
    <x v="3"/>
    <n v="32.567999999999998"/>
  </r>
  <r>
    <n v="505"/>
    <x v="4"/>
    <x v="33"/>
    <x v="7"/>
    <s v="Percent of GDP"/>
    <s v="Units"/>
    <x v="4"/>
    <n v="31.962"/>
  </r>
  <r>
    <n v="505"/>
    <x v="4"/>
    <x v="33"/>
    <x v="7"/>
    <s v="Percent of GDP"/>
    <s v="Units"/>
    <x v="5"/>
    <n v="32.098999999999997"/>
  </r>
  <r>
    <n v="505"/>
    <x v="4"/>
    <x v="33"/>
    <x v="7"/>
    <s v="Percent of GDP"/>
    <s v="Units"/>
    <x v="6"/>
    <n v="32.314999999999998"/>
  </r>
  <r>
    <n v="903"/>
    <x v="8"/>
    <x v="133"/>
    <x v="2"/>
    <s v="Percent of GDP"/>
    <s v="Units"/>
    <x v="0"/>
    <n v="30.52"/>
  </r>
  <r>
    <n v="903"/>
    <x v="8"/>
    <x v="133"/>
    <x v="2"/>
    <s v="Percent of GDP"/>
    <s v="Units"/>
    <x v="1"/>
    <n v="31.369"/>
  </r>
  <r>
    <n v="903"/>
    <x v="8"/>
    <x v="133"/>
    <x v="2"/>
    <s v="Percent of GDP"/>
    <s v="Units"/>
    <x v="2"/>
    <n v="31.963999999999999"/>
  </r>
  <r>
    <n v="903"/>
    <x v="8"/>
    <x v="133"/>
    <x v="2"/>
    <s v="Percent of GDP"/>
    <s v="Units"/>
    <x v="3"/>
    <n v="33.198"/>
  </r>
  <r>
    <n v="903"/>
    <x v="8"/>
    <x v="133"/>
    <x v="2"/>
    <s v="Percent of GDP"/>
    <s v="Units"/>
    <x v="4"/>
    <n v="32.734999999999999"/>
  </r>
  <r>
    <n v="903"/>
    <x v="8"/>
    <x v="133"/>
    <x v="2"/>
    <s v="Percent of GDP"/>
    <s v="Units"/>
    <x v="5"/>
    <n v="32.042000000000002"/>
  </r>
  <r>
    <n v="903"/>
    <x v="8"/>
    <x v="133"/>
    <x v="2"/>
    <s v="Percent of GDP"/>
    <s v="Units"/>
    <x v="6"/>
    <n v="32.597999999999999"/>
  </r>
  <r>
    <n v="200"/>
    <x v="3"/>
    <x v="133"/>
    <x v="2"/>
    <s v="Percent of GDP"/>
    <s v="Units"/>
    <x v="0"/>
    <n v="30.52"/>
  </r>
  <r>
    <n v="200"/>
    <x v="3"/>
    <x v="133"/>
    <x v="2"/>
    <s v="Percent of GDP"/>
    <s v="Units"/>
    <x v="1"/>
    <n v="31.369"/>
  </r>
  <r>
    <n v="200"/>
    <x v="3"/>
    <x v="133"/>
    <x v="2"/>
    <s v="Percent of GDP"/>
    <s v="Units"/>
    <x v="2"/>
    <n v="31.963999999999999"/>
  </r>
  <r>
    <n v="200"/>
    <x v="3"/>
    <x v="133"/>
    <x v="2"/>
    <s v="Percent of GDP"/>
    <s v="Units"/>
    <x v="3"/>
    <n v="33.198"/>
  </r>
  <r>
    <n v="200"/>
    <x v="3"/>
    <x v="133"/>
    <x v="2"/>
    <s v="Percent of GDP"/>
    <s v="Units"/>
    <x v="4"/>
    <n v="32.734999999999999"/>
  </r>
  <r>
    <n v="200"/>
    <x v="3"/>
    <x v="133"/>
    <x v="2"/>
    <s v="Percent of GDP"/>
    <s v="Units"/>
    <x v="5"/>
    <n v="32.042000000000002"/>
  </r>
  <r>
    <n v="200"/>
    <x v="3"/>
    <x v="133"/>
    <x v="2"/>
    <s v="Percent of GDP"/>
    <s v="Units"/>
    <x v="6"/>
    <n v="32.597999999999999"/>
  </r>
  <r>
    <n v="110"/>
    <x v="0"/>
    <x v="18"/>
    <x v="3"/>
    <s v="Percent of GDP"/>
    <s v="Units"/>
    <x v="0"/>
    <n v="31.968"/>
  </r>
  <r>
    <n v="110"/>
    <x v="0"/>
    <x v="18"/>
    <x v="3"/>
    <s v="Percent of GDP"/>
    <s v="Units"/>
    <x v="1"/>
    <n v="37.01"/>
  </r>
  <r>
    <n v="110"/>
    <x v="0"/>
    <x v="18"/>
    <x v="3"/>
    <s v="Percent of GDP"/>
    <s v="Units"/>
    <x v="2"/>
    <n v="34.520000000000003"/>
  </r>
  <r>
    <n v="110"/>
    <x v="0"/>
    <x v="18"/>
    <x v="3"/>
    <s v="Percent of GDP"/>
    <s v="Units"/>
    <x v="3"/>
    <n v="31.934999999999999"/>
  </r>
  <r>
    <n v="110"/>
    <x v="0"/>
    <x v="18"/>
    <x v="3"/>
    <s v="Percent of GDP"/>
    <s v="Units"/>
    <x v="4"/>
    <n v="32.002000000000002"/>
  </r>
  <r>
    <n v="110"/>
    <x v="0"/>
    <x v="18"/>
    <x v="3"/>
    <s v="Percent of GDP"/>
    <s v="Units"/>
    <x v="5"/>
    <n v="32.030999999999999"/>
  </r>
  <r>
    <n v="110"/>
    <x v="0"/>
    <x v="18"/>
    <x v="3"/>
    <s v="Percent of GDP"/>
    <s v="Units"/>
    <x v="6"/>
    <n v="32.143999999999998"/>
  </r>
  <r>
    <n v="123"/>
    <x v="9"/>
    <x v="18"/>
    <x v="3"/>
    <s v="Percent of GDP"/>
    <s v="Units"/>
    <x v="0"/>
    <n v="31.968"/>
  </r>
  <r>
    <n v="123"/>
    <x v="9"/>
    <x v="18"/>
    <x v="3"/>
    <s v="Percent of GDP"/>
    <s v="Units"/>
    <x v="1"/>
    <n v="37.01"/>
  </r>
  <r>
    <n v="123"/>
    <x v="9"/>
    <x v="18"/>
    <x v="3"/>
    <s v="Percent of GDP"/>
    <s v="Units"/>
    <x v="2"/>
    <n v="34.520000000000003"/>
  </r>
  <r>
    <n v="123"/>
    <x v="9"/>
    <x v="18"/>
    <x v="3"/>
    <s v="Percent of GDP"/>
    <s v="Units"/>
    <x v="3"/>
    <n v="31.934999999999999"/>
  </r>
  <r>
    <n v="123"/>
    <x v="9"/>
    <x v="18"/>
    <x v="3"/>
    <s v="Percent of GDP"/>
    <s v="Units"/>
    <x v="4"/>
    <n v="32.002000000000002"/>
  </r>
  <r>
    <n v="123"/>
    <x v="9"/>
    <x v="18"/>
    <x v="3"/>
    <s v="Percent of GDP"/>
    <s v="Units"/>
    <x v="5"/>
    <n v="32.030999999999999"/>
  </r>
  <r>
    <n v="123"/>
    <x v="9"/>
    <x v="18"/>
    <x v="3"/>
    <s v="Percent of GDP"/>
    <s v="Units"/>
    <x v="6"/>
    <n v="32.143999999999998"/>
  </r>
  <r>
    <n v="603"/>
    <x v="12"/>
    <x v="138"/>
    <x v="7"/>
    <s v="Percent of GDP"/>
    <s v="Units"/>
    <x v="0"/>
    <n v="29.891999999999999"/>
  </r>
  <r>
    <n v="603"/>
    <x v="12"/>
    <x v="138"/>
    <x v="7"/>
    <s v="Percent of GDP"/>
    <s v="Units"/>
    <x v="1"/>
    <n v="30.007000000000001"/>
  </r>
  <r>
    <n v="603"/>
    <x v="12"/>
    <x v="138"/>
    <x v="7"/>
    <s v="Percent of GDP"/>
    <s v="Units"/>
    <x v="2"/>
    <n v="33.521999999999998"/>
  </r>
  <r>
    <n v="603"/>
    <x v="12"/>
    <x v="138"/>
    <x v="7"/>
    <s v="Percent of GDP"/>
    <s v="Units"/>
    <x v="3"/>
    <n v="29.960999999999999"/>
  </r>
  <r>
    <n v="603"/>
    <x v="12"/>
    <x v="138"/>
    <x v="7"/>
    <s v="Percent of GDP"/>
    <s v="Units"/>
    <x v="4"/>
    <n v="34.176000000000002"/>
  </r>
  <r>
    <n v="603"/>
    <x v="12"/>
    <x v="138"/>
    <x v="7"/>
    <s v="Percent of GDP"/>
    <s v="Units"/>
    <x v="5"/>
    <n v="32.014000000000003"/>
  </r>
  <r>
    <n v="603"/>
    <x v="12"/>
    <x v="138"/>
    <x v="7"/>
    <s v="Percent of GDP"/>
    <s v="Units"/>
    <x v="6"/>
    <n v="32.914999999999999"/>
  </r>
  <r>
    <n v="200"/>
    <x v="3"/>
    <x v="138"/>
    <x v="7"/>
    <s v="Percent of GDP"/>
    <s v="Units"/>
    <x v="0"/>
    <n v="29.891999999999999"/>
  </r>
  <r>
    <n v="200"/>
    <x v="3"/>
    <x v="138"/>
    <x v="7"/>
    <s v="Percent of GDP"/>
    <s v="Units"/>
    <x v="1"/>
    <n v="30.007000000000001"/>
  </r>
  <r>
    <n v="200"/>
    <x v="3"/>
    <x v="138"/>
    <x v="7"/>
    <s v="Percent of GDP"/>
    <s v="Units"/>
    <x v="2"/>
    <n v="33.521999999999998"/>
  </r>
  <r>
    <n v="200"/>
    <x v="3"/>
    <x v="138"/>
    <x v="7"/>
    <s v="Percent of GDP"/>
    <s v="Units"/>
    <x v="3"/>
    <n v="29.960999999999999"/>
  </r>
  <r>
    <n v="200"/>
    <x v="3"/>
    <x v="138"/>
    <x v="7"/>
    <s v="Percent of GDP"/>
    <s v="Units"/>
    <x v="4"/>
    <n v="34.176000000000002"/>
  </r>
  <r>
    <n v="200"/>
    <x v="3"/>
    <x v="138"/>
    <x v="7"/>
    <s v="Percent of GDP"/>
    <s v="Units"/>
    <x v="5"/>
    <n v="32.014000000000003"/>
  </r>
  <r>
    <n v="200"/>
    <x v="3"/>
    <x v="138"/>
    <x v="7"/>
    <s v="Percent of GDP"/>
    <s v="Units"/>
    <x v="6"/>
    <n v="32.914999999999999"/>
  </r>
  <r>
    <n v="1"/>
    <x v="2"/>
    <x v="138"/>
    <x v="7"/>
    <s v="Percent of GDP"/>
    <s v="Units"/>
    <x v="0"/>
    <n v="29.891999999999999"/>
  </r>
  <r>
    <n v="1"/>
    <x v="2"/>
    <x v="138"/>
    <x v="7"/>
    <s v="Percent of GDP"/>
    <s v="Units"/>
    <x v="1"/>
    <n v="30.007000000000001"/>
  </r>
  <r>
    <n v="1"/>
    <x v="2"/>
    <x v="138"/>
    <x v="7"/>
    <s v="Percent of GDP"/>
    <s v="Units"/>
    <x v="2"/>
    <n v="33.521999999999998"/>
  </r>
  <r>
    <n v="1"/>
    <x v="2"/>
    <x v="138"/>
    <x v="7"/>
    <s v="Percent of GDP"/>
    <s v="Units"/>
    <x v="3"/>
    <n v="29.960999999999999"/>
  </r>
  <r>
    <n v="1"/>
    <x v="2"/>
    <x v="138"/>
    <x v="7"/>
    <s v="Percent of GDP"/>
    <s v="Units"/>
    <x v="4"/>
    <n v="34.176000000000002"/>
  </r>
  <r>
    <n v="1"/>
    <x v="2"/>
    <x v="138"/>
    <x v="7"/>
    <s v="Percent of GDP"/>
    <s v="Units"/>
    <x v="5"/>
    <n v="32.014000000000003"/>
  </r>
  <r>
    <n v="1"/>
    <x v="2"/>
    <x v="138"/>
    <x v="7"/>
    <s v="Percent of GDP"/>
    <s v="Units"/>
    <x v="6"/>
    <n v="32.914999999999999"/>
  </r>
  <r>
    <n v="603"/>
    <x v="12"/>
    <x v="129"/>
    <x v="2"/>
    <s v="Percent of GDP"/>
    <s v="Units"/>
    <x v="0"/>
    <n v="22.376000000000001"/>
  </r>
  <r>
    <n v="603"/>
    <x v="12"/>
    <x v="129"/>
    <x v="2"/>
    <s v="Percent of GDP"/>
    <s v="Units"/>
    <x v="1"/>
    <n v="23.106999999999999"/>
  </r>
  <r>
    <n v="603"/>
    <x v="12"/>
    <x v="129"/>
    <x v="2"/>
    <s v="Percent of GDP"/>
    <s v="Units"/>
    <x v="2"/>
    <n v="25.13"/>
  </r>
  <r>
    <n v="603"/>
    <x v="12"/>
    <x v="129"/>
    <x v="2"/>
    <s v="Percent of GDP"/>
    <s v="Units"/>
    <x v="3"/>
    <n v="22.957000000000001"/>
  </r>
  <r>
    <n v="603"/>
    <x v="12"/>
    <x v="129"/>
    <x v="2"/>
    <s v="Percent of GDP"/>
    <s v="Units"/>
    <x v="4"/>
    <n v="21.125"/>
  </r>
  <r>
    <n v="603"/>
    <x v="12"/>
    <x v="129"/>
    <x v="2"/>
    <s v="Percent of GDP"/>
    <s v="Units"/>
    <x v="5"/>
    <n v="31.946999999999999"/>
  </r>
  <r>
    <n v="603"/>
    <x v="12"/>
    <x v="129"/>
    <x v="2"/>
    <s v="Percent of GDP"/>
    <s v="Units"/>
    <x v="6"/>
    <n v="31.088999999999999"/>
  </r>
  <r>
    <n v="200"/>
    <x v="3"/>
    <x v="129"/>
    <x v="2"/>
    <s v="Percent of GDP"/>
    <s v="Units"/>
    <x v="0"/>
    <n v="22.376000000000001"/>
  </r>
  <r>
    <n v="200"/>
    <x v="3"/>
    <x v="129"/>
    <x v="2"/>
    <s v="Percent of GDP"/>
    <s v="Units"/>
    <x v="1"/>
    <n v="23.106999999999999"/>
  </r>
  <r>
    <n v="200"/>
    <x v="3"/>
    <x v="129"/>
    <x v="2"/>
    <s v="Percent of GDP"/>
    <s v="Units"/>
    <x v="2"/>
    <n v="25.13"/>
  </r>
  <r>
    <n v="200"/>
    <x v="3"/>
    <x v="129"/>
    <x v="2"/>
    <s v="Percent of GDP"/>
    <s v="Units"/>
    <x v="3"/>
    <n v="22.957000000000001"/>
  </r>
  <r>
    <n v="200"/>
    <x v="3"/>
    <x v="129"/>
    <x v="2"/>
    <s v="Percent of GDP"/>
    <s v="Units"/>
    <x v="4"/>
    <n v="21.125"/>
  </r>
  <r>
    <n v="200"/>
    <x v="3"/>
    <x v="129"/>
    <x v="2"/>
    <s v="Percent of GDP"/>
    <s v="Units"/>
    <x v="5"/>
    <n v="31.946999999999999"/>
  </r>
  <r>
    <n v="200"/>
    <x v="3"/>
    <x v="129"/>
    <x v="2"/>
    <s v="Percent of GDP"/>
    <s v="Units"/>
    <x v="6"/>
    <n v="31.088999999999999"/>
  </r>
  <r>
    <n v="1"/>
    <x v="2"/>
    <x v="4"/>
    <x v="5"/>
    <s v="Percent of GDP"/>
    <s v="Units"/>
    <x v="0"/>
    <n v="29.23"/>
  </r>
  <r>
    <n v="1"/>
    <x v="2"/>
    <x v="4"/>
    <x v="5"/>
    <s v="Percent of GDP"/>
    <s v="Units"/>
    <x v="1"/>
    <n v="29.82"/>
  </r>
  <r>
    <n v="1"/>
    <x v="2"/>
    <x v="4"/>
    <x v="5"/>
    <s v="Percent of GDP"/>
    <s v="Units"/>
    <x v="2"/>
    <n v="30.893999999999998"/>
  </r>
  <r>
    <n v="1"/>
    <x v="2"/>
    <x v="4"/>
    <x v="5"/>
    <s v="Percent of GDP"/>
    <s v="Units"/>
    <x v="3"/>
    <n v="31.027000000000001"/>
  </r>
  <r>
    <n v="1"/>
    <x v="2"/>
    <x v="4"/>
    <x v="5"/>
    <s v="Percent of GDP"/>
    <s v="Units"/>
    <x v="4"/>
    <n v="31.780999999999999"/>
  </r>
  <r>
    <n v="1"/>
    <x v="2"/>
    <x v="4"/>
    <x v="5"/>
    <s v="Percent of GDP"/>
    <s v="Units"/>
    <x v="5"/>
    <n v="31.933"/>
  </r>
  <r>
    <n v="1"/>
    <x v="2"/>
    <x v="4"/>
    <x v="5"/>
    <s v="Percent of GDP"/>
    <s v="Units"/>
    <x v="6"/>
    <n v="31.591999999999999"/>
  </r>
  <r>
    <n v="505"/>
    <x v="4"/>
    <x v="4"/>
    <x v="5"/>
    <s v="Percent of GDP"/>
    <s v="Units"/>
    <x v="0"/>
    <n v="29.23"/>
  </r>
  <r>
    <n v="505"/>
    <x v="4"/>
    <x v="4"/>
    <x v="5"/>
    <s v="Percent of GDP"/>
    <s v="Units"/>
    <x v="1"/>
    <n v="29.82"/>
  </r>
  <r>
    <n v="505"/>
    <x v="4"/>
    <x v="4"/>
    <x v="5"/>
    <s v="Percent of GDP"/>
    <s v="Units"/>
    <x v="2"/>
    <n v="30.893999999999998"/>
  </r>
  <r>
    <n v="505"/>
    <x v="4"/>
    <x v="4"/>
    <x v="5"/>
    <s v="Percent of GDP"/>
    <s v="Units"/>
    <x v="3"/>
    <n v="31.027000000000001"/>
  </r>
  <r>
    <n v="505"/>
    <x v="4"/>
    <x v="4"/>
    <x v="5"/>
    <s v="Percent of GDP"/>
    <s v="Units"/>
    <x v="4"/>
    <n v="31.780999999999999"/>
  </r>
  <r>
    <n v="505"/>
    <x v="4"/>
    <x v="4"/>
    <x v="5"/>
    <s v="Percent of GDP"/>
    <s v="Units"/>
    <x v="5"/>
    <n v="31.933"/>
  </r>
  <r>
    <n v="505"/>
    <x v="4"/>
    <x v="4"/>
    <x v="5"/>
    <s v="Percent of GDP"/>
    <s v="Units"/>
    <x v="6"/>
    <n v="31.591999999999999"/>
  </r>
  <r>
    <n v="200"/>
    <x v="3"/>
    <x v="4"/>
    <x v="5"/>
    <s v="Percent of GDP"/>
    <s v="Units"/>
    <x v="0"/>
    <n v="29.23"/>
  </r>
  <r>
    <n v="200"/>
    <x v="3"/>
    <x v="4"/>
    <x v="5"/>
    <s v="Percent of GDP"/>
    <s v="Units"/>
    <x v="1"/>
    <n v="29.82"/>
  </r>
  <r>
    <n v="200"/>
    <x v="3"/>
    <x v="4"/>
    <x v="5"/>
    <s v="Percent of GDP"/>
    <s v="Units"/>
    <x v="2"/>
    <n v="30.893999999999998"/>
  </r>
  <r>
    <n v="200"/>
    <x v="3"/>
    <x v="4"/>
    <x v="5"/>
    <s v="Percent of GDP"/>
    <s v="Units"/>
    <x v="3"/>
    <n v="31.027000000000001"/>
  </r>
  <r>
    <n v="200"/>
    <x v="3"/>
    <x v="4"/>
    <x v="5"/>
    <s v="Percent of GDP"/>
    <s v="Units"/>
    <x v="4"/>
    <n v="31.780999999999999"/>
  </r>
  <r>
    <n v="200"/>
    <x v="3"/>
    <x v="4"/>
    <x v="5"/>
    <s v="Percent of GDP"/>
    <s v="Units"/>
    <x v="5"/>
    <n v="31.933"/>
  </r>
  <r>
    <n v="200"/>
    <x v="3"/>
    <x v="4"/>
    <x v="5"/>
    <s v="Percent of GDP"/>
    <s v="Units"/>
    <x v="6"/>
    <n v="31.591999999999999"/>
  </r>
  <r>
    <n v="200"/>
    <x v="3"/>
    <x v="147"/>
    <x v="3"/>
    <s v="Percent of GDP"/>
    <s v="Units"/>
    <x v="0"/>
    <n v="30.391999999999999"/>
  </r>
  <r>
    <n v="200"/>
    <x v="3"/>
    <x v="147"/>
    <x v="3"/>
    <s v="Percent of GDP"/>
    <s v="Units"/>
    <x v="1"/>
    <n v="31.611999999999998"/>
  </r>
  <r>
    <n v="200"/>
    <x v="3"/>
    <x v="147"/>
    <x v="3"/>
    <s v="Percent of GDP"/>
    <s v="Units"/>
    <x v="2"/>
    <n v="34.345999999999997"/>
  </r>
  <r>
    <n v="200"/>
    <x v="3"/>
    <x v="147"/>
    <x v="3"/>
    <s v="Percent of GDP"/>
    <s v="Units"/>
    <x v="3"/>
    <n v="33.481000000000002"/>
  </r>
  <r>
    <n v="200"/>
    <x v="3"/>
    <x v="147"/>
    <x v="3"/>
    <s v="Percent of GDP"/>
    <s v="Units"/>
    <x v="4"/>
    <n v="30.129000000000001"/>
  </r>
  <r>
    <n v="200"/>
    <x v="3"/>
    <x v="147"/>
    <x v="3"/>
    <s v="Percent of GDP"/>
    <s v="Units"/>
    <x v="5"/>
    <n v="31.782"/>
  </r>
  <r>
    <n v="200"/>
    <x v="3"/>
    <x v="147"/>
    <x v="3"/>
    <s v="Percent of GDP"/>
    <s v="Units"/>
    <x v="6"/>
    <n v="31.805"/>
  </r>
  <r>
    <n v="505"/>
    <x v="4"/>
    <x v="147"/>
    <x v="3"/>
    <s v="Percent of GDP"/>
    <s v="Units"/>
    <x v="0"/>
    <n v="30.391999999999999"/>
  </r>
  <r>
    <n v="505"/>
    <x v="4"/>
    <x v="147"/>
    <x v="3"/>
    <s v="Percent of GDP"/>
    <s v="Units"/>
    <x v="1"/>
    <n v="31.611999999999998"/>
  </r>
  <r>
    <n v="505"/>
    <x v="4"/>
    <x v="147"/>
    <x v="3"/>
    <s v="Percent of GDP"/>
    <s v="Units"/>
    <x v="2"/>
    <n v="34.345999999999997"/>
  </r>
  <r>
    <n v="505"/>
    <x v="4"/>
    <x v="147"/>
    <x v="3"/>
    <s v="Percent of GDP"/>
    <s v="Units"/>
    <x v="3"/>
    <n v="33.481000000000002"/>
  </r>
  <r>
    <n v="505"/>
    <x v="4"/>
    <x v="147"/>
    <x v="3"/>
    <s v="Percent of GDP"/>
    <s v="Units"/>
    <x v="4"/>
    <n v="30.129000000000001"/>
  </r>
  <r>
    <n v="505"/>
    <x v="4"/>
    <x v="147"/>
    <x v="3"/>
    <s v="Percent of GDP"/>
    <s v="Units"/>
    <x v="5"/>
    <n v="31.782"/>
  </r>
  <r>
    <n v="505"/>
    <x v="4"/>
    <x v="147"/>
    <x v="3"/>
    <s v="Percent of GDP"/>
    <s v="Units"/>
    <x v="6"/>
    <n v="31.805"/>
  </r>
  <r>
    <n v="1"/>
    <x v="2"/>
    <x v="148"/>
    <x v="0"/>
    <s v="U.S. dollars"/>
    <s v="Billions"/>
    <x v="0"/>
    <n v="24.751000000000001"/>
  </r>
  <r>
    <n v="1"/>
    <x v="2"/>
    <x v="148"/>
    <x v="0"/>
    <s v="U.S. dollars"/>
    <s v="Billions"/>
    <x v="1"/>
    <n v="23.847999999999999"/>
  </r>
  <r>
    <n v="1"/>
    <x v="2"/>
    <x v="148"/>
    <x v="0"/>
    <s v="U.S. dollars"/>
    <s v="Billions"/>
    <x v="2"/>
    <n v="26.113"/>
  </r>
  <r>
    <n v="1"/>
    <x v="2"/>
    <x v="148"/>
    <x v="0"/>
    <s v="U.S. dollars"/>
    <s v="Billions"/>
    <x v="3"/>
    <n v="31.61"/>
  </r>
  <r>
    <n v="1"/>
    <x v="2"/>
    <x v="148"/>
    <x v="0"/>
    <s v="U.S. dollars"/>
    <s v="Billions"/>
    <x v="4"/>
    <n v="30.998000000000001"/>
  </r>
  <r>
    <n v="1"/>
    <x v="2"/>
    <x v="148"/>
    <x v="0"/>
    <s v="U.S. dollars"/>
    <s v="Billions"/>
    <x v="5"/>
    <n v="31.716000000000001"/>
  </r>
  <r>
    <n v="1"/>
    <x v="2"/>
    <x v="148"/>
    <x v="0"/>
    <s v="U.S. dollars"/>
    <s v="Billions"/>
    <x v="6"/>
    <n v="32.64"/>
  </r>
  <r>
    <n v="200"/>
    <x v="3"/>
    <x v="148"/>
    <x v="0"/>
    <s v="U.S. dollars"/>
    <s v="Billions"/>
    <x v="0"/>
    <n v="24.751000000000001"/>
  </r>
  <r>
    <n v="200"/>
    <x v="3"/>
    <x v="148"/>
    <x v="0"/>
    <s v="U.S. dollars"/>
    <s v="Billions"/>
    <x v="1"/>
    <n v="23.847999999999999"/>
  </r>
  <r>
    <n v="200"/>
    <x v="3"/>
    <x v="148"/>
    <x v="0"/>
    <s v="U.S. dollars"/>
    <s v="Billions"/>
    <x v="2"/>
    <n v="26.113"/>
  </r>
  <r>
    <n v="200"/>
    <x v="3"/>
    <x v="148"/>
    <x v="0"/>
    <s v="U.S. dollars"/>
    <s v="Billions"/>
    <x v="3"/>
    <n v="31.61"/>
  </r>
  <r>
    <n v="200"/>
    <x v="3"/>
    <x v="148"/>
    <x v="0"/>
    <s v="U.S. dollars"/>
    <s v="Billions"/>
    <x v="4"/>
    <n v="30.998000000000001"/>
  </r>
  <r>
    <n v="200"/>
    <x v="3"/>
    <x v="148"/>
    <x v="0"/>
    <s v="U.S. dollars"/>
    <s v="Billions"/>
    <x v="5"/>
    <n v="31.716000000000001"/>
  </r>
  <r>
    <n v="200"/>
    <x v="3"/>
    <x v="148"/>
    <x v="0"/>
    <s v="U.S. dollars"/>
    <s v="Billions"/>
    <x v="6"/>
    <n v="32.64"/>
  </r>
  <r>
    <n v="505"/>
    <x v="4"/>
    <x v="148"/>
    <x v="0"/>
    <s v="U.S. dollars"/>
    <s v="Billions"/>
    <x v="0"/>
    <n v="24.751000000000001"/>
  </r>
  <r>
    <n v="505"/>
    <x v="4"/>
    <x v="148"/>
    <x v="0"/>
    <s v="U.S. dollars"/>
    <s v="Billions"/>
    <x v="1"/>
    <n v="23.847999999999999"/>
  </r>
  <r>
    <n v="505"/>
    <x v="4"/>
    <x v="148"/>
    <x v="0"/>
    <s v="U.S. dollars"/>
    <s v="Billions"/>
    <x v="2"/>
    <n v="26.113"/>
  </r>
  <r>
    <n v="505"/>
    <x v="4"/>
    <x v="148"/>
    <x v="0"/>
    <s v="U.S. dollars"/>
    <s v="Billions"/>
    <x v="3"/>
    <n v="31.61"/>
  </r>
  <r>
    <n v="505"/>
    <x v="4"/>
    <x v="148"/>
    <x v="0"/>
    <s v="U.S. dollars"/>
    <s v="Billions"/>
    <x v="4"/>
    <n v="30.998000000000001"/>
  </r>
  <r>
    <n v="505"/>
    <x v="4"/>
    <x v="148"/>
    <x v="0"/>
    <s v="U.S. dollars"/>
    <s v="Billions"/>
    <x v="5"/>
    <n v="31.716000000000001"/>
  </r>
  <r>
    <n v="505"/>
    <x v="4"/>
    <x v="148"/>
    <x v="0"/>
    <s v="U.S. dollars"/>
    <s v="Billions"/>
    <x v="6"/>
    <n v="32.64"/>
  </r>
  <r>
    <n v="505"/>
    <x v="4"/>
    <x v="149"/>
    <x v="7"/>
    <s v="Percent of GDP"/>
    <s v="Units"/>
    <x v="0"/>
    <n v="38.677999999999997"/>
  </r>
  <r>
    <n v="505"/>
    <x v="4"/>
    <x v="149"/>
    <x v="7"/>
    <s v="Percent of GDP"/>
    <s v="Units"/>
    <x v="1"/>
    <n v="40.588000000000001"/>
  </r>
  <r>
    <n v="505"/>
    <x v="4"/>
    <x v="149"/>
    <x v="7"/>
    <s v="Percent of GDP"/>
    <s v="Units"/>
    <x v="2"/>
    <n v="31.273"/>
  </r>
  <r>
    <n v="505"/>
    <x v="4"/>
    <x v="149"/>
    <x v="7"/>
    <s v="Percent of GDP"/>
    <s v="Units"/>
    <x v="3"/>
    <n v="25.850999999999999"/>
  </r>
  <r>
    <n v="505"/>
    <x v="4"/>
    <x v="149"/>
    <x v="7"/>
    <s v="Percent of GDP"/>
    <s v="Units"/>
    <x v="4"/>
    <n v="29.562999999999999"/>
  </r>
  <r>
    <n v="505"/>
    <x v="4"/>
    <x v="149"/>
    <x v="7"/>
    <s v="Percent of GDP"/>
    <s v="Units"/>
    <x v="5"/>
    <n v="31.582000000000001"/>
  </r>
  <r>
    <n v="505"/>
    <x v="4"/>
    <x v="149"/>
    <x v="7"/>
    <s v="Percent of GDP"/>
    <s v="Units"/>
    <x v="6"/>
    <n v="33.384"/>
  </r>
  <r>
    <n v="200"/>
    <x v="3"/>
    <x v="149"/>
    <x v="7"/>
    <s v="Percent of GDP"/>
    <s v="Units"/>
    <x v="0"/>
    <n v="38.677999999999997"/>
  </r>
  <r>
    <n v="200"/>
    <x v="3"/>
    <x v="149"/>
    <x v="7"/>
    <s v="Percent of GDP"/>
    <s v="Units"/>
    <x v="1"/>
    <n v="40.588000000000001"/>
  </r>
  <r>
    <n v="200"/>
    <x v="3"/>
    <x v="149"/>
    <x v="7"/>
    <s v="Percent of GDP"/>
    <s v="Units"/>
    <x v="2"/>
    <n v="31.273"/>
  </r>
  <r>
    <n v="200"/>
    <x v="3"/>
    <x v="149"/>
    <x v="7"/>
    <s v="Percent of GDP"/>
    <s v="Units"/>
    <x v="3"/>
    <n v="25.850999999999999"/>
  </r>
  <r>
    <n v="200"/>
    <x v="3"/>
    <x v="149"/>
    <x v="7"/>
    <s v="Percent of GDP"/>
    <s v="Units"/>
    <x v="4"/>
    <n v="29.562999999999999"/>
  </r>
  <r>
    <n v="200"/>
    <x v="3"/>
    <x v="149"/>
    <x v="7"/>
    <s v="Percent of GDP"/>
    <s v="Units"/>
    <x v="5"/>
    <n v="31.582000000000001"/>
  </r>
  <r>
    <n v="200"/>
    <x v="3"/>
    <x v="149"/>
    <x v="7"/>
    <s v="Percent of GDP"/>
    <s v="Units"/>
    <x v="6"/>
    <n v="33.384"/>
  </r>
  <r>
    <n v="1"/>
    <x v="2"/>
    <x v="149"/>
    <x v="7"/>
    <s v="Percent of GDP"/>
    <s v="Units"/>
    <x v="0"/>
    <n v="38.677999999999997"/>
  </r>
  <r>
    <n v="1"/>
    <x v="2"/>
    <x v="149"/>
    <x v="7"/>
    <s v="Percent of GDP"/>
    <s v="Units"/>
    <x v="1"/>
    <n v="40.588000000000001"/>
  </r>
  <r>
    <n v="1"/>
    <x v="2"/>
    <x v="149"/>
    <x v="7"/>
    <s v="Percent of GDP"/>
    <s v="Units"/>
    <x v="2"/>
    <n v="31.273"/>
  </r>
  <r>
    <n v="1"/>
    <x v="2"/>
    <x v="149"/>
    <x v="7"/>
    <s v="Percent of GDP"/>
    <s v="Units"/>
    <x v="3"/>
    <n v="25.850999999999999"/>
  </r>
  <r>
    <n v="1"/>
    <x v="2"/>
    <x v="149"/>
    <x v="7"/>
    <s v="Percent of GDP"/>
    <s v="Units"/>
    <x v="4"/>
    <n v="29.562999999999999"/>
  </r>
  <r>
    <n v="1"/>
    <x v="2"/>
    <x v="149"/>
    <x v="7"/>
    <s v="Percent of GDP"/>
    <s v="Units"/>
    <x v="5"/>
    <n v="31.582000000000001"/>
  </r>
  <r>
    <n v="1"/>
    <x v="2"/>
    <x v="149"/>
    <x v="7"/>
    <s v="Percent of GDP"/>
    <s v="Units"/>
    <x v="6"/>
    <n v="33.384"/>
  </r>
  <r>
    <n v="1"/>
    <x v="2"/>
    <x v="139"/>
    <x v="7"/>
    <s v="Percent of GDP"/>
    <s v="Units"/>
    <x v="0"/>
    <n v="39.262"/>
  </r>
  <r>
    <n v="1"/>
    <x v="2"/>
    <x v="139"/>
    <x v="7"/>
    <s v="Percent of GDP"/>
    <s v="Units"/>
    <x v="1"/>
    <n v="32.244999999999997"/>
  </r>
  <r>
    <n v="1"/>
    <x v="2"/>
    <x v="139"/>
    <x v="7"/>
    <s v="Percent of GDP"/>
    <s v="Units"/>
    <x v="2"/>
    <n v="28.451000000000001"/>
  </r>
  <r>
    <n v="1"/>
    <x v="2"/>
    <x v="139"/>
    <x v="7"/>
    <s v="Percent of GDP"/>
    <s v="Units"/>
    <x v="3"/>
    <n v="31.920999999999999"/>
  </r>
  <r>
    <n v="1"/>
    <x v="2"/>
    <x v="139"/>
    <x v="7"/>
    <s v="Percent of GDP"/>
    <s v="Units"/>
    <x v="4"/>
    <n v="31.16"/>
  </r>
  <r>
    <n v="1"/>
    <x v="2"/>
    <x v="139"/>
    <x v="7"/>
    <s v="Percent of GDP"/>
    <s v="Units"/>
    <x v="5"/>
    <n v="31.547000000000001"/>
  </r>
  <r>
    <n v="1"/>
    <x v="2"/>
    <x v="139"/>
    <x v="7"/>
    <s v="Percent of GDP"/>
    <s v="Units"/>
    <x v="6"/>
    <n v="31.812000000000001"/>
  </r>
  <r>
    <n v="603"/>
    <x v="12"/>
    <x v="139"/>
    <x v="7"/>
    <s v="Percent of GDP"/>
    <s v="Units"/>
    <x v="0"/>
    <n v="39.262"/>
  </r>
  <r>
    <n v="603"/>
    <x v="12"/>
    <x v="139"/>
    <x v="7"/>
    <s v="Percent of GDP"/>
    <s v="Units"/>
    <x v="1"/>
    <n v="32.244999999999997"/>
  </r>
  <r>
    <n v="603"/>
    <x v="12"/>
    <x v="139"/>
    <x v="7"/>
    <s v="Percent of GDP"/>
    <s v="Units"/>
    <x v="2"/>
    <n v="28.451000000000001"/>
  </r>
  <r>
    <n v="603"/>
    <x v="12"/>
    <x v="139"/>
    <x v="7"/>
    <s v="Percent of GDP"/>
    <s v="Units"/>
    <x v="3"/>
    <n v="31.920999999999999"/>
  </r>
  <r>
    <n v="603"/>
    <x v="12"/>
    <x v="139"/>
    <x v="7"/>
    <s v="Percent of GDP"/>
    <s v="Units"/>
    <x v="4"/>
    <n v="31.16"/>
  </r>
  <r>
    <n v="603"/>
    <x v="12"/>
    <x v="139"/>
    <x v="7"/>
    <s v="Percent of GDP"/>
    <s v="Units"/>
    <x v="5"/>
    <n v="31.547000000000001"/>
  </r>
  <r>
    <n v="603"/>
    <x v="12"/>
    <x v="139"/>
    <x v="7"/>
    <s v="Percent of GDP"/>
    <s v="Units"/>
    <x v="6"/>
    <n v="31.812000000000001"/>
  </r>
  <r>
    <n v="200"/>
    <x v="3"/>
    <x v="139"/>
    <x v="7"/>
    <s v="Percent of GDP"/>
    <s v="Units"/>
    <x v="0"/>
    <n v="39.262"/>
  </r>
  <r>
    <n v="200"/>
    <x v="3"/>
    <x v="139"/>
    <x v="7"/>
    <s v="Percent of GDP"/>
    <s v="Units"/>
    <x v="1"/>
    <n v="32.244999999999997"/>
  </r>
  <r>
    <n v="200"/>
    <x v="3"/>
    <x v="139"/>
    <x v="7"/>
    <s v="Percent of GDP"/>
    <s v="Units"/>
    <x v="2"/>
    <n v="28.451000000000001"/>
  </r>
  <r>
    <n v="200"/>
    <x v="3"/>
    <x v="139"/>
    <x v="7"/>
    <s v="Percent of GDP"/>
    <s v="Units"/>
    <x v="3"/>
    <n v="31.920999999999999"/>
  </r>
  <r>
    <n v="200"/>
    <x v="3"/>
    <x v="139"/>
    <x v="7"/>
    <s v="Percent of GDP"/>
    <s v="Units"/>
    <x v="4"/>
    <n v="31.16"/>
  </r>
  <r>
    <n v="200"/>
    <x v="3"/>
    <x v="139"/>
    <x v="7"/>
    <s v="Percent of GDP"/>
    <s v="Units"/>
    <x v="5"/>
    <n v="31.547000000000001"/>
  </r>
  <r>
    <n v="200"/>
    <x v="3"/>
    <x v="139"/>
    <x v="7"/>
    <s v="Percent of GDP"/>
    <s v="Units"/>
    <x v="6"/>
    <n v="31.812000000000001"/>
  </r>
  <r>
    <n v="200"/>
    <x v="3"/>
    <x v="86"/>
    <x v="3"/>
    <s v="Percent of GDP"/>
    <s v="Units"/>
    <x v="0"/>
    <n v="32.520000000000003"/>
  </r>
  <r>
    <n v="200"/>
    <x v="3"/>
    <x v="86"/>
    <x v="3"/>
    <s v="Percent of GDP"/>
    <s v="Units"/>
    <x v="1"/>
    <n v="40.156999999999996"/>
  </r>
  <r>
    <n v="200"/>
    <x v="3"/>
    <x v="86"/>
    <x v="3"/>
    <s v="Percent of GDP"/>
    <s v="Units"/>
    <x v="2"/>
    <n v="32.167999999999999"/>
  </r>
  <r>
    <n v="200"/>
    <x v="3"/>
    <x v="86"/>
    <x v="3"/>
    <s v="Percent of GDP"/>
    <s v="Units"/>
    <x v="3"/>
    <n v="26.202000000000002"/>
  </r>
  <r>
    <n v="200"/>
    <x v="3"/>
    <x v="86"/>
    <x v="3"/>
    <s v="Percent of GDP"/>
    <s v="Units"/>
    <x v="4"/>
    <n v="31.512"/>
  </r>
  <r>
    <n v="200"/>
    <x v="3"/>
    <x v="86"/>
    <x v="3"/>
    <s v="Percent of GDP"/>
    <s v="Units"/>
    <x v="5"/>
    <n v="31.460999999999999"/>
  </r>
  <r>
    <n v="200"/>
    <x v="3"/>
    <x v="86"/>
    <x v="3"/>
    <s v="Percent of GDP"/>
    <s v="Units"/>
    <x v="6"/>
    <n v="31.256"/>
  </r>
  <r>
    <n v="400"/>
    <x v="11"/>
    <x v="86"/>
    <x v="3"/>
    <s v="Percent of GDP"/>
    <s v="Units"/>
    <x v="0"/>
    <n v="32.520000000000003"/>
  </r>
  <r>
    <n v="400"/>
    <x v="11"/>
    <x v="86"/>
    <x v="3"/>
    <s v="Percent of GDP"/>
    <s v="Units"/>
    <x v="1"/>
    <n v="40.156999999999996"/>
  </r>
  <r>
    <n v="400"/>
    <x v="11"/>
    <x v="86"/>
    <x v="3"/>
    <s v="Percent of GDP"/>
    <s v="Units"/>
    <x v="2"/>
    <n v="32.167999999999999"/>
  </r>
  <r>
    <n v="400"/>
    <x v="11"/>
    <x v="86"/>
    <x v="3"/>
    <s v="Percent of GDP"/>
    <s v="Units"/>
    <x v="3"/>
    <n v="26.202000000000002"/>
  </r>
  <r>
    <n v="400"/>
    <x v="11"/>
    <x v="86"/>
    <x v="3"/>
    <s v="Percent of GDP"/>
    <s v="Units"/>
    <x v="4"/>
    <n v="31.512"/>
  </r>
  <r>
    <n v="400"/>
    <x v="11"/>
    <x v="86"/>
    <x v="3"/>
    <s v="Percent of GDP"/>
    <s v="Units"/>
    <x v="5"/>
    <n v="31.460999999999999"/>
  </r>
  <r>
    <n v="400"/>
    <x v="11"/>
    <x v="86"/>
    <x v="3"/>
    <s v="Percent of GDP"/>
    <s v="Units"/>
    <x v="6"/>
    <n v="31.256"/>
  </r>
  <r>
    <n v="200"/>
    <x v="3"/>
    <x v="150"/>
    <x v="7"/>
    <s v="Percent of GDP"/>
    <s v="Units"/>
    <x v="0"/>
    <n v="34.558"/>
  </r>
  <r>
    <n v="200"/>
    <x v="3"/>
    <x v="150"/>
    <x v="7"/>
    <s v="Percent of GDP"/>
    <s v="Units"/>
    <x v="1"/>
    <n v="33.405999999999999"/>
  </r>
  <r>
    <n v="200"/>
    <x v="3"/>
    <x v="150"/>
    <x v="7"/>
    <s v="Percent of GDP"/>
    <s v="Units"/>
    <x v="2"/>
    <n v="35.950000000000003"/>
  </r>
  <r>
    <n v="200"/>
    <x v="3"/>
    <x v="150"/>
    <x v="7"/>
    <s v="Percent of GDP"/>
    <s v="Units"/>
    <x v="3"/>
    <n v="35.307000000000002"/>
  </r>
  <r>
    <n v="200"/>
    <x v="3"/>
    <x v="150"/>
    <x v="7"/>
    <s v="Percent of GDP"/>
    <s v="Units"/>
    <x v="4"/>
    <n v="32.220999999999997"/>
  </r>
  <r>
    <n v="200"/>
    <x v="3"/>
    <x v="150"/>
    <x v="7"/>
    <s v="Percent of GDP"/>
    <s v="Units"/>
    <x v="5"/>
    <n v="31.405000000000001"/>
  </r>
  <r>
    <n v="200"/>
    <x v="3"/>
    <x v="150"/>
    <x v="7"/>
    <s v="Percent of GDP"/>
    <s v="Units"/>
    <x v="6"/>
    <n v="31.97"/>
  </r>
  <r>
    <n v="903"/>
    <x v="8"/>
    <x v="150"/>
    <x v="7"/>
    <s v="Percent of GDP"/>
    <s v="Units"/>
    <x v="0"/>
    <n v="34.558"/>
  </r>
  <r>
    <n v="903"/>
    <x v="8"/>
    <x v="150"/>
    <x v="7"/>
    <s v="Percent of GDP"/>
    <s v="Units"/>
    <x v="1"/>
    <n v="33.405999999999999"/>
  </r>
  <r>
    <n v="903"/>
    <x v="8"/>
    <x v="150"/>
    <x v="7"/>
    <s v="Percent of GDP"/>
    <s v="Units"/>
    <x v="2"/>
    <n v="35.950000000000003"/>
  </r>
  <r>
    <n v="903"/>
    <x v="8"/>
    <x v="150"/>
    <x v="7"/>
    <s v="Percent of GDP"/>
    <s v="Units"/>
    <x v="3"/>
    <n v="35.307000000000002"/>
  </r>
  <r>
    <n v="903"/>
    <x v="8"/>
    <x v="150"/>
    <x v="7"/>
    <s v="Percent of GDP"/>
    <s v="Units"/>
    <x v="4"/>
    <n v="32.220999999999997"/>
  </r>
  <r>
    <n v="903"/>
    <x v="8"/>
    <x v="150"/>
    <x v="7"/>
    <s v="Percent of GDP"/>
    <s v="Units"/>
    <x v="5"/>
    <n v="31.405000000000001"/>
  </r>
  <r>
    <n v="903"/>
    <x v="8"/>
    <x v="150"/>
    <x v="7"/>
    <s v="Percent of GDP"/>
    <s v="Units"/>
    <x v="6"/>
    <n v="31.97"/>
  </r>
  <r>
    <n v="1"/>
    <x v="2"/>
    <x v="150"/>
    <x v="7"/>
    <s v="Percent of GDP"/>
    <s v="Units"/>
    <x v="0"/>
    <n v="34.558"/>
  </r>
  <r>
    <n v="1"/>
    <x v="2"/>
    <x v="150"/>
    <x v="7"/>
    <s v="Percent of GDP"/>
    <s v="Units"/>
    <x v="1"/>
    <n v="33.405999999999999"/>
  </r>
  <r>
    <n v="1"/>
    <x v="2"/>
    <x v="150"/>
    <x v="7"/>
    <s v="Percent of GDP"/>
    <s v="Units"/>
    <x v="2"/>
    <n v="35.950000000000003"/>
  </r>
  <r>
    <n v="1"/>
    <x v="2"/>
    <x v="150"/>
    <x v="7"/>
    <s v="Percent of GDP"/>
    <s v="Units"/>
    <x v="3"/>
    <n v="35.307000000000002"/>
  </r>
  <r>
    <n v="1"/>
    <x v="2"/>
    <x v="150"/>
    <x v="7"/>
    <s v="Percent of GDP"/>
    <s v="Units"/>
    <x v="4"/>
    <n v="32.220999999999997"/>
  </r>
  <r>
    <n v="1"/>
    <x v="2"/>
    <x v="150"/>
    <x v="7"/>
    <s v="Percent of GDP"/>
    <s v="Units"/>
    <x v="5"/>
    <n v="31.405000000000001"/>
  </r>
  <r>
    <n v="1"/>
    <x v="2"/>
    <x v="150"/>
    <x v="7"/>
    <s v="Percent of GDP"/>
    <s v="Units"/>
    <x v="6"/>
    <n v="31.97"/>
  </r>
  <r>
    <n v="200"/>
    <x v="3"/>
    <x v="98"/>
    <x v="2"/>
    <s v="Percent of GDP"/>
    <s v="Units"/>
    <x v="0"/>
    <n v="47.968000000000004"/>
  </r>
  <r>
    <n v="200"/>
    <x v="3"/>
    <x v="98"/>
    <x v="2"/>
    <s v="Percent of GDP"/>
    <s v="Units"/>
    <x v="1"/>
    <n v="28.600999999999999"/>
  </r>
  <r>
    <n v="200"/>
    <x v="3"/>
    <x v="98"/>
    <x v="2"/>
    <s v="Percent of GDP"/>
    <s v="Units"/>
    <x v="2"/>
    <n v="34.816000000000003"/>
  </r>
  <r>
    <n v="200"/>
    <x v="3"/>
    <x v="98"/>
    <x v="2"/>
    <s v="Percent of GDP"/>
    <s v="Units"/>
    <x v="3"/>
    <n v="31.75"/>
  </r>
  <r>
    <n v="200"/>
    <x v="3"/>
    <x v="98"/>
    <x v="2"/>
    <s v="Percent of GDP"/>
    <s v="Units"/>
    <x v="4"/>
    <n v="33.747999999999998"/>
  </r>
  <r>
    <n v="200"/>
    <x v="3"/>
    <x v="98"/>
    <x v="2"/>
    <s v="Percent of GDP"/>
    <s v="Units"/>
    <x v="5"/>
    <n v="31.399000000000001"/>
  </r>
  <r>
    <n v="200"/>
    <x v="3"/>
    <x v="98"/>
    <x v="2"/>
    <s v="Percent of GDP"/>
    <s v="Units"/>
    <x v="6"/>
    <n v="31.707000000000001"/>
  </r>
  <r>
    <n v="603"/>
    <x v="12"/>
    <x v="98"/>
    <x v="2"/>
    <s v="Percent of GDP"/>
    <s v="Units"/>
    <x v="0"/>
    <n v="47.968000000000004"/>
  </r>
  <r>
    <n v="603"/>
    <x v="12"/>
    <x v="98"/>
    <x v="2"/>
    <s v="Percent of GDP"/>
    <s v="Units"/>
    <x v="1"/>
    <n v="28.600999999999999"/>
  </r>
  <r>
    <n v="603"/>
    <x v="12"/>
    <x v="98"/>
    <x v="2"/>
    <s v="Percent of GDP"/>
    <s v="Units"/>
    <x v="2"/>
    <n v="34.816000000000003"/>
  </r>
  <r>
    <n v="603"/>
    <x v="12"/>
    <x v="98"/>
    <x v="2"/>
    <s v="Percent of GDP"/>
    <s v="Units"/>
    <x v="3"/>
    <n v="31.75"/>
  </r>
  <r>
    <n v="603"/>
    <x v="12"/>
    <x v="98"/>
    <x v="2"/>
    <s v="Percent of GDP"/>
    <s v="Units"/>
    <x v="4"/>
    <n v="33.747999999999998"/>
  </r>
  <r>
    <n v="603"/>
    <x v="12"/>
    <x v="98"/>
    <x v="2"/>
    <s v="Percent of GDP"/>
    <s v="Units"/>
    <x v="5"/>
    <n v="31.399000000000001"/>
  </r>
  <r>
    <n v="603"/>
    <x v="12"/>
    <x v="98"/>
    <x v="2"/>
    <s v="Percent of GDP"/>
    <s v="Units"/>
    <x v="6"/>
    <n v="31.707000000000001"/>
  </r>
  <r>
    <n v="1"/>
    <x v="2"/>
    <x v="13"/>
    <x v="7"/>
    <s v="Percent of GDP"/>
    <s v="Units"/>
    <x v="0"/>
    <n v="31.495000000000001"/>
  </r>
  <r>
    <n v="1"/>
    <x v="2"/>
    <x v="13"/>
    <x v="7"/>
    <s v="Percent of GDP"/>
    <s v="Units"/>
    <x v="1"/>
    <n v="31.885000000000002"/>
  </r>
  <r>
    <n v="1"/>
    <x v="2"/>
    <x v="13"/>
    <x v="7"/>
    <s v="Percent of GDP"/>
    <s v="Units"/>
    <x v="2"/>
    <n v="32.326999999999998"/>
  </r>
  <r>
    <n v="1"/>
    <x v="2"/>
    <x v="13"/>
    <x v="7"/>
    <s v="Percent of GDP"/>
    <s v="Units"/>
    <x v="3"/>
    <n v="33.180999999999997"/>
  </r>
  <r>
    <n v="1"/>
    <x v="2"/>
    <x v="13"/>
    <x v="7"/>
    <s v="Percent of GDP"/>
    <s v="Units"/>
    <x v="4"/>
    <n v="32.128999999999998"/>
  </r>
  <r>
    <n v="1"/>
    <x v="2"/>
    <x v="13"/>
    <x v="7"/>
    <s v="Percent of GDP"/>
    <s v="Units"/>
    <x v="5"/>
    <n v="31.349"/>
  </r>
  <r>
    <n v="1"/>
    <x v="2"/>
    <x v="13"/>
    <x v="7"/>
    <s v="Percent of GDP"/>
    <s v="Units"/>
    <x v="6"/>
    <n v="31.032"/>
  </r>
  <r>
    <n v="123"/>
    <x v="9"/>
    <x v="13"/>
    <x v="7"/>
    <s v="Percent of GDP"/>
    <s v="Units"/>
    <x v="0"/>
    <n v="31.495000000000001"/>
  </r>
  <r>
    <n v="123"/>
    <x v="9"/>
    <x v="13"/>
    <x v="7"/>
    <s v="Percent of GDP"/>
    <s v="Units"/>
    <x v="1"/>
    <n v="31.885000000000002"/>
  </r>
  <r>
    <n v="123"/>
    <x v="9"/>
    <x v="13"/>
    <x v="7"/>
    <s v="Percent of GDP"/>
    <s v="Units"/>
    <x v="2"/>
    <n v="32.326999999999998"/>
  </r>
  <r>
    <n v="123"/>
    <x v="9"/>
    <x v="13"/>
    <x v="7"/>
    <s v="Percent of GDP"/>
    <s v="Units"/>
    <x v="3"/>
    <n v="33.180999999999997"/>
  </r>
  <r>
    <n v="123"/>
    <x v="9"/>
    <x v="13"/>
    <x v="7"/>
    <s v="Percent of GDP"/>
    <s v="Units"/>
    <x v="4"/>
    <n v="32.128999999999998"/>
  </r>
  <r>
    <n v="123"/>
    <x v="9"/>
    <x v="13"/>
    <x v="7"/>
    <s v="Percent of GDP"/>
    <s v="Units"/>
    <x v="5"/>
    <n v="31.349"/>
  </r>
  <r>
    <n v="123"/>
    <x v="9"/>
    <x v="13"/>
    <x v="7"/>
    <s v="Percent of GDP"/>
    <s v="Units"/>
    <x v="6"/>
    <n v="31.032"/>
  </r>
  <r>
    <n v="110"/>
    <x v="0"/>
    <x v="13"/>
    <x v="7"/>
    <s v="Percent of GDP"/>
    <s v="Units"/>
    <x v="0"/>
    <n v="31.495000000000001"/>
  </r>
  <r>
    <n v="110"/>
    <x v="0"/>
    <x v="13"/>
    <x v="7"/>
    <s v="Percent of GDP"/>
    <s v="Units"/>
    <x v="1"/>
    <n v="31.885000000000002"/>
  </r>
  <r>
    <n v="110"/>
    <x v="0"/>
    <x v="13"/>
    <x v="7"/>
    <s v="Percent of GDP"/>
    <s v="Units"/>
    <x v="2"/>
    <n v="32.326999999999998"/>
  </r>
  <r>
    <n v="110"/>
    <x v="0"/>
    <x v="13"/>
    <x v="7"/>
    <s v="Percent of GDP"/>
    <s v="Units"/>
    <x v="3"/>
    <n v="33.180999999999997"/>
  </r>
  <r>
    <n v="110"/>
    <x v="0"/>
    <x v="13"/>
    <x v="7"/>
    <s v="Percent of GDP"/>
    <s v="Units"/>
    <x v="4"/>
    <n v="32.128999999999998"/>
  </r>
  <r>
    <n v="110"/>
    <x v="0"/>
    <x v="13"/>
    <x v="7"/>
    <s v="Percent of GDP"/>
    <s v="Units"/>
    <x v="5"/>
    <n v="31.349"/>
  </r>
  <r>
    <n v="110"/>
    <x v="0"/>
    <x v="13"/>
    <x v="7"/>
    <s v="Percent of GDP"/>
    <s v="Units"/>
    <x v="6"/>
    <n v="31.032"/>
  </r>
  <r>
    <n v="400"/>
    <x v="11"/>
    <x v="17"/>
    <x v="3"/>
    <s v="Percent of GDP"/>
    <s v="Units"/>
    <x v="0"/>
    <n v="33.677"/>
  </r>
  <r>
    <n v="400"/>
    <x v="11"/>
    <x v="17"/>
    <x v="3"/>
    <s v="Percent of GDP"/>
    <s v="Units"/>
    <x v="1"/>
    <n v="39.067999999999998"/>
  </r>
  <r>
    <n v="400"/>
    <x v="11"/>
    <x v="17"/>
    <x v="3"/>
    <s v="Percent of GDP"/>
    <s v="Units"/>
    <x v="2"/>
    <n v="31.693000000000001"/>
  </r>
  <r>
    <n v="400"/>
    <x v="11"/>
    <x v="17"/>
    <x v="3"/>
    <s v="Percent of GDP"/>
    <s v="Units"/>
    <x v="3"/>
    <n v="28.25"/>
  </r>
  <r>
    <n v="400"/>
    <x v="11"/>
    <x v="17"/>
    <x v="3"/>
    <s v="Percent of GDP"/>
    <s v="Units"/>
    <x v="4"/>
    <n v="32.281999999999996"/>
  </r>
  <r>
    <n v="400"/>
    <x v="11"/>
    <x v="17"/>
    <x v="3"/>
    <s v="Percent of GDP"/>
    <s v="Units"/>
    <x v="5"/>
    <n v="31.256"/>
  </r>
  <r>
    <n v="400"/>
    <x v="11"/>
    <x v="17"/>
    <x v="3"/>
    <s v="Percent of GDP"/>
    <s v="Units"/>
    <x v="6"/>
    <n v="31.298999999999999"/>
  </r>
  <r>
    <n v="200"/>
    <x v="3"/>
    <x v="17"/>
    <x v="3"/>
    <s v="Percent of GDP"/>
    <s v="Units"/>
    <x v="0"/>
    <n v="33.677"/>
  </r>
  <r>
    <n v="200"/>
    <x v="3"/>
    <x v="17"/>
    <x v="3"/>
    <s v="Percent of GDP"/>
    <s v="Units"/>
    <x v="1"/>
    <n v="39.067999999999998"/>
  </r>
  <r>
    <n v="200"/>
    <x v="3"/>
    <x v="17"/>
    <x v="3"/>
    <s v="Percent of GDP"/>
    <s v="Units"/>
    <x v="2"/>
    <n v="31.693000000000001"/>
  </r>
  <r>
    <n v="200"/>
    <x v="3"/>
    <x v="17"/>
    <x v="3"/>
    <s v="Percent of GDP"/>
    <s v="Units"/>
    <x v="3"/>
    <n v="28.25"/>
  </r>
  <r>
    <n v="200"/>
    <x v="3"/>
    <x v="17"/>
    <x v="3"/>
    <s v="Percent of GDP"/>
    <s v="Units"/>
    <x v="4"/>
    <n v="32.281999999999996"/>
  </r>
  <r>
    <n v="200"/>
    <x v="3"/>
    <x v="17"/>
    <x v="3"/>
    <s v="Percent of GDP"/>
    <s v="Units"/>
    <x v="5"/>
    <n v="31.256"/>
  </r>
  <r>
    <n v="200"/>
    <x v="3"/>
    <x v="17"/>
    <x v="3"/>
    <s v="Percent of GDP"/>
    <s v="Units"/>
    <x v="6"/>
    <n v="31.298999999999999"/>
  </r>
  <r>
    <n v="200"/>
    <x v="3"/>
    <x v="151"/>
    <x v="2"/>
    <s v="Percent of GDP"/>
    <s v="Units"/>
    <x v="0"/>
    <n v="30.632999999999999"/>
  </r>
  <r>
    <n v="200"/>
    <x v="3"/>
    <x v="151"/>
    <x v="2"/>
    <s v="Percent of GDP"/>
    <s v="Units"/>
    <x v="1"/>
    <n v="29.524999999999999"/>
  </r>
  <r>
    <n v="200"/>
    <x v="3"/>
    <x v="151"/>
    <x v="2"/>
    <s v="Percent of GDP"/>
    <s v="Units"/>
    <x v="2"/>
    <n v="31.015000000000001"/>
  </r>
  <r>
    <n v="200"/>
    <x v="3"/>
    <x v="151"/>
    <x v="2"/>
    <s v="Percent of GDP"/>
    <s v="Units"/>
    <x v="3"/>
    <n v="30.08"/>
  </r>
  <r>
    <n v="200"/>
    <x v="3"/>
    <x v="151"/>
    <x v="2"/>
    <s v="Percent of GDP"/>
    <s v="Units"/>
    <x v="4"/>
    <n v="31.141999999999999"/>
  </r>
  <r>
    <n v="200"/>
    <x v="3"/>
    <x v="151"/>
    <x v="2"/>
    <s v="Percent of GDP"/>
    <s v="Units"/>
    <x v="5"/>
    <n v="31.245000000000001"/>
  </r>
  <r>
    <n v="200"/>
    <x v="3"/>
    <x v="151"/>
    <x v="2"/>
    <s v="Percent of GDP"/>
    <s v="Units"/>
    <x v="6"/>
    <n v="31.244"/>
  </r>
  <r>
    <n v="205"/>
    <x v="7"/>
    <x v="151"/>
    <x v="2"/>
    <s v="Percent of GDP"/>
    <s v="Units"/>
    <x v="0"/>
    <n v="30.632999999999999"/>
  </r>
  <r>
    <n v="205"/>
    <x v="7"/>
    <x v="151"/>
    <x v="2"/>
    <s v="Percent of GDP"/>
    <s v="Units"/>
    <x v="1"/>
    <n v="29.524999999999999"/>
  </r>
  <r>
    <n v="205"/>
    <x v="7"/>
    <x v="151"/>
    <x v="2"/>
    <s v="Percent of GDP"/>
    <s v="Units"/>
    <x v="2"/>
    <n v="31.015000000000001"/>
  </r>
  <r>
    <n v="205"/>
    <x v="7"/>
    <x v="151"/>
    <x v="2"/>
    <s v="Percent of GDP"/>
    <s v="Units"/>
    <x v="3"/>
    <n v="30.08"/>
  </r>
  <r>
    <n v="205"/>
    <x v="7"/>
    <x v="151"/>
    <x v="2"/>
    <s v="Percent of GDP"/>
    <s v="Units"/>
    <x v="4"/>
    <n v="31.141999999999999"/>
  </r>
  <r>
    <n v="205"/>
    <x v="7"/>
    <x v="151"/>
    <x v="2"/>
    <s v="Percent of GDP"/>
    <s v="Units"/>
    <x v="5"/>
    <n v="31.245000000000001"/>
  </r>
  <r>
    <n v="205"/>
    <x v="7"/>
    <x v="151"/>
    <x v="2"/>
    <s v="Percent of GDP"/>
    <s v="Units"/>
    <x v="6"/>
    <n v="31.244"/>
  </r>
  <r>
    <n v="998"/>
    <x v="6"/>
    <x v="37"/>
    <x v="5"/>
    <s v="Percent of GDP"/>
    <s v="Units"/>
    <x v="0"/>
    <n v="30.321999999999999"/>
  </r>
  <r>
    <n v="998"/>
    <x v="6"/>
    <x v="37"/>
    <x v="5"/>
    <s v="Percent of GDP"/>
    <s v="Units"/>
    <x v="1"/>
    <n v="30.602"/>
  </r>
  <r>
    <n v="998"/>
    <x v="6"/>
    <x v="37"/>
    <x v="5"/>
    <s v="Percent of GDP"/>
    <s v="Units"/>
    <x v="2"/>
    <n v="33.112000000000002"/>
  </r>
  <r>
    <n v="998"/>
    <x v="6"/>
    <x v="37"/>
    <x v="5"/>
    <s v="Percent of GDP"/>
    <s v="Units"/>
    <x v="3"/>
    <n v="37.247999999999998"/>
  </r>
  <r>
    <n v="998"/>
    <x v="6"/>
    <x v="37"/>
    <x v="5"/>
    <s v="Percent of GDP"/>
    <s v="Units"/>
    <x v="4"/>
    <n v="32.805999999999997"/>
  </r>
  <r>
    <n v="998"/>
    <x v="6"/>
    <x v="37"/>
    <x v="5"/>
    <s v="Percent of GDP"/>
    <s v="Units"/>
    <x v="5"/>
    <n v="31.245000000000001"/>
  </r>
  <r>
    <n v="998"/>
    <x v="6"/>
    <x v="37"/>
    <x v="5"/>
    <s v="Percent of GDP"/>
    <s v="Units"/>
    <x v="6"/>
    <n v="31.047999999999998"/>
  </r>
  <r>
    <n v="110"/>
    <x v="0"/>
    <x v="37"/>
    <x v="5"/>
    <s v="Percent of GDP"/>
    <s v="Units"/>
    <x v="0"/>
    <n v="30.321999999999999"/>
  </r>
  <r>
    <n v="110"/>
    <x v="0"/>
    <x v="37"/>
    <x v="5"/>
    <s v="Percent of GDP"/>
    <s v="Units"/>
    <x v="1"/>
    <n v="30.602"/>
  </r>
  <r>
    <n v="110"/>
    <x v="0"/>
    <x v="37"/>
    <x v="5"/>
    <s v="Percent of GDP"/>
    <s v="Units"/>
    <x v="2"/>
    <n v="33.112000000000002"/>
  </r>
  <r>
    <n v="110"/>
    <x v="0"/>
    <x v="37"/>
    <x v="5"/>
    <s v="Percent of GDP"/>
    <s v="Units"/>
    <x v="3"/>
    <n v="37.247999999999998"/>
  </r>
  <r>
    <n v="110"/>
    <x v="0"/>
    <x v="37"/>
    <x v="5"/>
    <s v="Percent of GDP"/>
    <s v="Units"/>
    <x v="4"/>
    <n v="32.805999999999997"/>
  </r>
  <r>
    <n v="110"/>
    <x v="0"/>
    <x v="37"/>
    <x v="5"/>
    <s v="Percent of GDP"/>
    <s v="Units"/>
    <x v="5"/>
    <n v="31.245000000000001"/>
  </r>
  <r>
    <n v="110"/>
    <x v="0"/>
    <x v="37"/>
    <x v="5"/>
    <s v="Percent of GDP"/>
    <s v="Units"/>
    <x v="6"/>
    <n v="31.047999999999998"/>
  </r>
  <r>
    <n v="1"/>
    <x v="2"/>
    <x v="37"/>
    <x v="5"/>
    <s v="Percent of GDP"/>
    <s v="Units"/>
    <x v="0"/>
    <n v="30.321999999999999"/>
  </r>
  <r>
    <n v="1"/>
    <x v="2"/>
    <x v="37"/>
    <x v="5"/>
    <s v="Percent of GDP"/>
    <s v="Units"/>
    <x v="1"/>
    <n v="30.602"/>
  </r>
  <r>
    <n v="1"/>
    <x v="2"/>
    <x v="37"/>
    <x v="5"/>
    <s v="Percent of GDP"/>
    <s v="Units"/>
    <x v="2"/>
    <n v="33.112000000000002"/>
  </r>
  <r>
    <n v="1"/>
    <x v="2"/>
    <x v="37"/>
    <x v="5"/>
    <s v="Percent of GDP"/>
    <s v="Units"/>
    <x v="3"/>
    <n v="37.247999999999998"/>
  </r>
  <r>
    <n v="1"/>
    <x v="2"/>
    <x v="37"/>
    <x v="5"/>
    <s v="Percent of GDP"/>
    <s v="Units"/>
    <x v="4"/>
    <n v="32.805999999999997"/>
  </r>
  <r>
    <n v="1"/>
    <x v="2"/>
    <x v="37"/>
    <x v="5"/>
    <s v="Percent of GDP"/>
    <s v="Units"/>
    <x v="5"/>
    <n v="31.245000000000001"/>
  </r>
  <r>
    <n v="1"/>
    <x v="2"/>
    <x v="37"/>
    <x v="5"/>
    <s v="Percent of GDP"/>
    <s v="Units"/>
    <x v="6"/>
    <n v="31.047999999999998"/>
  </r>
  <r>
    <n v="123"/>
    <x v="9"/>
    <x v="37"/>
    <x v="5"/>
    <s v="Percent of GDP"/>
    <s v="Units"/>
    <x v="0"/>
    <n v="30.321999999999999"/>
  </r>
  <r>
    <n v="123"/>
    <x v="9"/>
    <x v="37"/>
    <x v="5"/>
    <s v="Percent of GDP"/>
    <s v="Units"/>
    <x v="1"/>
    <n v="30.602"/>
  </r>
  <r>
    <n v="123"/>
    <x v="9"/>
    <x v="37"/>
    <x v="5"/>
    <s v="Percent of GDP"/>
    <s v="Units"/>
    <x v="2"/>
    <n v="33.112000000000002"/>
  </r>
  <r>
    <n v="123"/>
    <x v="9"/>
    <x v="37"/>
    <x v="5"/>
    <s v="Percent of GDP"/>
    <s v="Units"/>
    <x v="3"/>
    <n v="37.247999999999998"/>
  </r>
  <r>
    <n v="123"/>
    <x v="9"/>
    <x v="37"/>
    <x v="5"/>
    <s v="Percent of GDP"/>
    <s v="Units"/>
    <x v="4"/>
    <n v="32.805999999999997"/>
  </r>
  <r>
    <n v="123"/>
    <x v="9"/>
    <x v="37"/>
    <x v="5"/>
    <s v="Percent of GDP"/>
    <s v="Units"/>
    <x v="5"/>
    <n v="31.245000000000001"/>
  </r>
  <r>
    <n v="123"/>
    <x v="9"/>
    <x v="37"/>
    <x v="5"/>
    <s v="Percent of GDP"/>
    <s v="Units"/>
    <x v="6"/>
    <n v="31.047999999999998"/>
  </r>
  <r>
    <n v="400"/>
    <x v="11"/>
    <x v="29"/>
    <x v="2"/>
    <s v="Percent of GDP"/>
    <s v="Units"/>
    <x v="0"/>
    <n v="31.039000000000001"/>
  </r>
  <r>
    <n v="400"/>
    <x v="11"/>
    <x v="29"/>
    <x v="2"/>
    <s v="Percent of GDP"/>
    <s v="Units"/>
    <x v="1"/>
    <n v="28.661999999999999"/>
  </r>
  <r>
    <n v="400"/>
    <x v="11"/>
    <x v="29"/>
    <x v="2"/>
    <s v="Percent of GDP"/>
    <s v="Units"/>
    <x v="2"/>
    <n v="30.422999999999998"/>
  </r>
  <r>
    <n v="400"/>
    <x v="11"/>
    <x v="29"/>
    <x v="2"/>
    <s v="Percent of GDP"/>
    <s v="Units"/>
    <x v="3"/>
    <n v="32.823999999999998"/>
  </r>
  <r>
    <n v="400"/>
    <x v="11"/>
    <x v="29"/>
    <x v="2"/>
    <s v="Percent of GDP"/>
    <s v="Units"/>
    <x v="4"/>
    <n v="32.195999999999998"/>
  </r>
  <r>
    <n v="400"/>
    <x v="11"/>
    <x v="29"/>
    <x v="2"/>
    <s v="Percent of GDP"/>
    <s v="Units"/>
    <x v="5"/>
    <n v="31.155999999999999"/>
  </r>
  <r>
    <n v="400"/>
    <x v="11"/>
    <x v="29"/>
    <x v="2"/>
    <s v="Percent of GDP"/>
    <s v="Units"/>
    <x v="6"/>
    <n v="30.724"/>
  </r>
  <r>
    <n v="200"/>
    <x v="3"/>
    <x v="29"/>
    <x v="2"/>
    <s v="Percent of GDP"/>
    <s v="Units"/>
    <x v="0"/>
    <n v="31.039000000000001"/>
  </r>
  <r>
    <n v="200"/>
    <x v="3"/>
    <x v="29"/>
    <x v="2"/>
    <s v="Percent of GDP"/>
    <s v="Units"/>
    <x v="1"/>
    <n v="28.661999999999999"/>
  </r>
  <r>
    <n v="200"/>
    <x v="3"/>
    <x v="29"/>
    <x v="2"/>
    <s v="Percent of GDP"/>
    <s v="Units"/>
    <x v="2"/>
    <n v="30.422999999999998"/>
  </r>
  <r>
    <n v="200"/>
    <x v="3"/>
    <x v="29"/>
    <x v="2"/>
    <s v="Percent of GDP"/>
    <s v="Units"/>
    <x v="3"/>
    <n v="32.823999999999998"/>
  </r>
  <r>
    <n v="200"/>
    <x v="3"/>
    <x v="29"/>
    <x v="2"/>
    <s v="Percent of GDP"/>
    <s v="Units"/>
    <x v="4"/>
    <n v="32.195999999999998"/>
  </r>
  <r>
    <n v="200"/>
    <x v="3"/>
    <x v="29"/>
    <x v="2"/>
    <s v="Percent of GDP"/>
    <s v="Units"/>
    <x v="5"/>
    <n v="31.155999999999999"/>
  </r>
  <r>
    <n v="200"/>
    <x v="3"/>
    <x v="29"/>
    <x v="2"/>
    <s v="Percent of GDP"/>
    <s v="Units"/>
    <x v="6"/>
    <n v="30.724"/>
  </r>
  <r>
    <n v="200"/>
    <x v="3"/>
    <x v="151"/>
    <x v="3"/>
    <s v="Percent of GDP"/>
    <s v="Units"/>
    <x v="0"/>
    <n v="29.718"/>
  </r>
  <r>
    <n v="200"/>
    <x v="3"/>
    <x v="151"/>
    <x v="3"/>
    <s v="Percent of GDP"/>
    <s v="Units"/>
    <x v="1"/>
    <n v="32.630000000000003"/>
  </r>
  <r>
    <n v="200"/>
    <x v="3"/>
    <x v="151"/>
    <x v="3"/>
    <s v="Percent of GDP"/>
    <s v="Units"/>
    <x v="2"/>
    <n v="30.096"/>
  </r>
  <r>
    <n v="200"/>
    <x v="3"/>
    <x v="151"/>
    <x v="3"/>
    <s v="Percent of GDP"/>
    <s v="Units"/>
    <x v="3"/>
    <n v="29.797000000000001"/>
  </r>
  <r>
    <n v="200"/>
    <x v="3"/>
    <x v="151"/>
    <x v="3"/>
    <s v="Percent of GDP"/>
    <s v="Units"/>
    <x v="4"/>
    <n v="30.866"/>
  </r>
  <r>
    <n v="200"/>
    <x v="3"/>
    <x v="151"/>
    <x v="3"/>
    <s v="Percent of GDP"/>
    <s v="Units"/>
    <x v="5"/>
    <n v="30.98"/>
  </r>
  <r>
    <n v="200"/>
    <x v="3"/>
    <x v="151"/>
    <x v="3"/>
    <s v="Percent of GDP"/>
    <s v="Units"/>
    <x v="6"/>
    <n v="30.824000000000002"/>
  </r>
  <r>
    <n v="205"/>
    <x v="7"/>
    <x v="151"/>
    <x v="3"/>
    <s v="Percent of GDP"/>
    <s v="Units"/>
    <x v="0"/>
    <n v="29.718"/>
  </r>
  <r>
    <n v="205"/>
    <x v="7"/>
    <x v="151"/>
    <x v="3"/>
    <s v="Percent of GDP"/>
    <s v="Units"/>
    <x v="1"/>
    <n v="32.630000000000003"/>
  </r>
  <r>
    <n v="205"/>
    <x v="7"/>
    <x v="151"/>
    <x v="3"/>
    <s v="Percent of GDP"/>
    <s v="Units"/>
    <x v="2"/>
    <n v="30.096"/>
  </r>
  <r>
    <n v="205"/>
    <x v="7"/>
    <x v="151"/>
    <x v="3"/>
    <s v="Percent of GDP"/>
    <s v="Units"/>
    <x v="3"/>
    <n v="29.797000000000001"/>
  </r>
  <r>
    <n v="205"/>
    <x v="7"/>
    <x v="151"/>
    <x v="3"/>
    <s v="Percent of GDP"/>
    <s v="Units"/>
    <x v="4"/>
    <n v="30.866"/>
  </r>
  <r>
    <n v="205"/>
    <x v="7"/>
    <x v="151"/>
    <x v="3"/>
    <s v="Percent of GDP"/>
    <s v="Units"/>
    <x v="5"/>
    <n v="30.98"/>
  </r>
  <r>
    <n v="205"/>
    <x v="7"/>
    <x v="151"/>
    <x v="3"/>
    <s v="Percent of GDP"/>
    <s v="Units"/>
    <x v="6"/>
    <n v="30.824000000000002"/>
  </r>
  <r>
    <n v="400"/>
    <x v="11"/>
    <x v="69"/>
    <x v="2"/>
    <s v="Percent of GDP"/>
    <s v="Units"/>
    <x v="0"/>
    <n v="33.948999999999998"/>
  </r>
  <r>
    <n v="400"/>
    <x v="11"/>
    <x v="69"/>
    <x v="2"/>
    <s v="Percent of GDP"/>
    <s v="Units"/>
    <x v="1"/>
    <n v="28.864999999999998"/>
  </r>
  <r>
    <n v="400"/>
    <x v="11"/>
    <x v="69"/>
    <x v="2"/>
    <s v="Percent of GDP"/>
    <s v="Units"/>
    <x v="2"/>
    <n v="32.999000000000002"/>
  </r>
  <r>
    <n v="400"/>
    <x v="11"/>
    <x v="69"/>
    <x v="2"/>
    <s v="Percent of GDP"/>
    <s v="Units"/>
    <x v="3"/>
    <n v="39.698"/>
  </r>
  <r>
    <n v="400"/>
    <x v="11"/>
    <x v="69"/>
    <x v="2"/>
    <s v="Percent of GDP"/>
    <s v="Units"/>
    <x v="4"/>
    <n v="32.113999999999997"/>
  </r>
  <r>
    <n v="400"/>
    <x v="11"/>
    <x v="69"/>
    <x v="2"/>
    <s v="Percent of GDP"/>
    <s v="Units"/>
    <x v="5"/>
    <n v="30.957999999999998"/>
  </r>
  <r>
    <n v="400"/>
    <x v="11"/>
    <x v="69"/>
    <x v="2"/>
    <s v="Percent of GDP"/>
    <s v="Units"/>
    <x v="6"/>
    <n v="30.321999999999999"/>
  </r>
  <r>
    <n v="200"/>
    <x v="3"/>
    <x v="69"/>
    <x v="2"/>
    <s v="Percent of GDP"/>
    <s v="Units"/>
    <x v="0"/>
    <n v="33.948999999999998"/>
  </r>
  <r>
    <n v="200"/>
    <x v="3"/>
    <x v="69"/>
    <x v="2"/>
    <s v="Percent of GDP"/>
    <s v="Units"/>
    <x v="1"/>
    <n v="28.864999999999998"/>
  </r>
  <r>
    <n v="200"/>
    <x v="3"/>
    <x v="69"/>
    <x v="2"/>
    <s v="Percent of GDP"/>
    <s v="Units"/>
    <x v="2"/>
    <n v="32.999000000000002"/>
  </r>
  <r>
    <n v="200"/>
    <x v="3"/>
    <x v="69"/>
    <x v="2"/>
    <s v="Percent of GDP"/>
    <s v="Units"/>
    <x v="3"/>
    <n v="39.698"/>
  </r>
  <r>
    <n v="200"/>
    <x v="3"/>
    <x v="69"/>
    <x v="2"/>
    <s v="Percent of GDP"/>
    <s v="Units"/>
    <x v="4"/>
    <n v="32.113999999999997"/>
  </r>
  <r>
    <n v="200"/>
    <x v="3"/>
    <x v="69"/>
    <x v="2"/>
    <s v="Percent of GDP"/>
    <s v="Units"/>
    <x v="5"/>
    <n v="30.957999999999998"/>
  </r>
  <r>
    <n v="200"/>
    <x v="3"/>
    <x v="69"/>
    <x v="2"/>
    <s v="Percent of GDP"/>
    <s v="Units"/>
    <x v="6"/>
    <n v="30.321999999999999"/>
  </r>
  <r>
    <n v="603"/>
    <x v="12"/>
    <x v="152"/>
    <x v="3"/>
    <s v="Percent of GDP"/>
    <s v="Units"/>
    <x v="0"/>
    <n v="27.501999999999999"/>
  </r>
  <r>
    <n v="603"/>
    <x v="12"/>
    <x v="152"/>
    <x v="3"/>
    <s v="Percent of GDP"/>
    <s v="Units"/>
    <x v="1"/>
    <n v="34.527000000000001"/>
  </r>
  <r>
    <n v="603"/>
    <x v="12"/>
    <x v="152"/>
    <x v="3"/>
    <s v="Percent of GDP"/>
    <s v="Units"/>
    <x v="2"/>
    <n v="31.625"/>
  </r>
  <r>
    <n v="603"/>
    <x v="12"/>
    <x v="152"/>
    <x v="3"/>
    <s v="Percent of GDP"/>
    <s v="Units"/>
    <x v="3"/>
    <n v="26.67"/>
  </r>
  <r>
    <n v="603"/>
    <x v="12"/>
    <x v="152"/>
    <x v="3"/>
    <s v="Percent of GDP"/>
    <s v="Units"/>
    <x v="4"/>
    <n v="25.506"/>
  </r>
  <r>
    <n v="603"/>
    <x v="12"/>
    <x v="152"/>
    <x v="3"/>
    <s v="Percent of GDP"/>
    <s v="Units"/>
    <x v="5"/>
    <n v="30.95"/>
  </r>
  <r>
    <n v="603"/>
    <x v="12"/>
    <x v="152"/>
    <x v="3"/>
    <s v="Percent of GDP"/>
    <s v="Units"/>
    <x v="6"/>
    <n v="28.303000000000001"/>
  </r>
  <r>
    <n v="200"/>
    <x v="3"/>
    <x v="152"/>
    <x v="3"/>
    <s v="Percent of GDP"/>
    <s v="Units"/>
    <x v="0"/>
    <n v="27.501999999999999"/>
  </r>
  <r>
    <n v="200"/>
    <x v="3"/>
    <x v="152"/>
    <x v="3"/>
    <s v="Percent of GDP"/>
    <s v="Units"/>
    <x v="1"/>
    <n v="34.527000000000001"/>
  </r>
  <r>
    <n v="200"/>
    <x v="3"/>
    <x v="152"/>
    <x v="3"/>
    <s v="Percent of GDP"/>
    <s v="Units"/>
    <x v="2"/>
    <n v="31.625"/>
  </r>
  <r>
    <n v="200"/>
    <x v="3"/>
    <x v="152"/>
    <x v="3"/>
    <s v="Percent of GDP"/>
    <s v="Units"/>
    <x v="3"/>
    <n v="26.67"/>
  </r>
  <r>
    <n v="200"/>
    <x v="3"/>
    <x v="152"/>
    <x v="3"/>
    <s v="Percent of GDP"/>
    <s v="Units"/>
    <x v="4"/>
    <n v="25.506"/>
  </r>
  <r>
    <n v="200"/>
    <x v="3"/>
    <x v="152"/>
    <x v="3"/>
    <s v="Percent of GDP"/>
    <s v="Units"/>
    <x v="5"/>
    <n v="30.95"/>
  </r>
  <r>
    <n v="200"/>
    <x v="3"/>
    <x v="152"/>
    <x v="3"/>
    <s v="Percent of GDP"/>
    <s v="Units"/>
    <x v="6"/>
    <n v="28.303000000000001"/>
  </r>
  <r>
    <n v="200"/>
    <x v="3"/>
    <x v="146"/>
    <x v="7"/>
    <s v="Percent of GDP"/>
    <s v="Units"/>
    <x v="0"/>
    <n v="30.876000000000001"/>
  </r>
  <r>
    <n v="200"/>
    <x v="3"/>
    <x v="146"/>
    <x v="7"/>
    <s v="Percent of GDP"/>
    <s v="Units"/>
    <x v="1"/>
    <n v="32.793999999999997"/>
  </r>
  <r>
    <n v="200"/>
    <x v="3"/>
    <x v="146"/>
    <x v="7"/>
    <s v="Percent of GDP"/>
    <s v="Units"/>
    <x v="2"/>
    <n v="27.382999999999999"/>
  </r>
  <r>
    <n v="200"/>
    <x v="3"/>
    <x v="146"/>
    <x v="7"/>
    <s v="Percent of GDP"/>
    <s v="Units"/>
    <x v="3"/>
    <n v="24.954999999999998"/>
  </r>
  <r>
    <n v="200"/>
    <x v="3"/>
    <x v="146"/>
    <x v="7"/>
    <s v="Percent of GDP"/>
    <s v="Units"/>
    <x v="4"/>
    <n v="30.02"/>
  </r>
  <r>
    <n v="200"/>
    <x v="3"/>
    <x v="146"/>
    <x v="7"/>
    <s v="Percent of GDP"/>
    <s v="Units"/>
    <x v="5"/>
    <n v="30.896000000000001"/>
  </r>
  <r>
    <n v="200"/>
    <x v="3"/>
    <x v="146"/>
    <x v="7"/>
    <s v="Percent of GDP"/>
    <s v="Units"/>
    <x v="6"/>
    <n v="29.58"/>
  </r>
  <r>
    <n v="1"/>
    <x v="2"/>
    <x v="146"/>
    <x v="7"/>
    <s v="Percent of GDP"/>
    <s v="Units"/>
    <x v="0"/>
    <n v="30.876000000000001"/>
  </r>
  <r>
    <n v="1"/>
    <x v="2"/>
    <x v="146"/>
    <x v="7"/>
    <s v="Percent of GDP"/>
    <s v="Units"/>
    <x v="1"/>
    <n v="32.793999999999997"/>
  </r>
  <r>
    <n v="1"/>
    <x v="2"/>
    <x v="146"/>
    <x v="7"/>
    <s v="Percent of GDP"/>
    <s v="Units"/>
    <x v="2"/>
    <n v="27.382999999999999"/>
  </r>
  <r>
    <n v="1"/>
    <x v="2"/>
    <x v="146"/>
    <x v="7"/>
    <s v="Percent of GDP"/>
    <s v="Units"/>
    <x v="3"/>
    <n v="24.954999999999998"/>
  </r>
  <r>
    <n v="1"/>
    <x v="2"/>
    <x v="146"/>
    <x v="7"/>
    <s v="Percent of GDP"/>
    <s v="Units"/>
    <x v="4"/>
    <n v="30.02"/>
  </r>
  <r>
    <n v="1"/>
    <x v="2"/>
    <x v="146"/>
    <x v="7"/>
    <s v="Percent of GDP"/>
    <s v="Units"/>
    <x v="5"/>
    <n v="30.896000000000001"/>
  </r>
  <r>
    <n v="1"/>
    <x v="2"/>
    <x v="146"/>
    <x v="7"/>
    <s v="Percent of GDP"/>
    <s v="Units"/>
    <x v="6"/>
    <n v="29.58"/>
  </r>
  <r>
    <n v="603"/>
    <x v="12"/>
    <x v="146"/>
    <x v="7"/>
    <s v="Percent of GDP"/>
    <s v="Units"/>
    <x v="0"/>
    <n v="30.876000000000001"/>
  </r>
  <r>
    <n v="603"/>
    <x v="12"/>
    <x v="146"/>
    <x v="7"/>
    <s v="Percent of GDP"/>
    <s v="Units"/>
    <x v="1"/>
    <n v="32.793999999999997"/>
  </r>
  <r>
    <n v="603"/>
    <x v="12"/>
    <x v="146"/>
    <x v="7"/>
    <s v="Percent of GDP"/>
    <s v="Units"/>
    <x v="2"/>
    <n v="27.382999999999999"/>
  </r>
  <r>
    <n v="603"/>
    <x v="12"/>
    <x v="146"/>
    <x v="7"/>
    <s v="Percent of GDP"/>
    <s v="Units"/>
    <x v="3"/>
    <n v="24.954999999999998"/>
  </r>
  <r>
    <n v="603"/>
    <x v="12"/>
    <x v="146"/>
    <x v="7"/>
    <s v="Percent of GDP"/>
    <s v="Units"/>
    <x v="4"/>
    <n v="30.02"/>
  </r>
  <r>
    <n v="603"/>
    <x v="12"/>
    <x v="146"/>
    <x v="7"/>
    <s v="Percent of GDP"/>
    <s v="Units"/>
    <x v="5"/>
    <n v="30.896000000000001"/>
  </r>
  <r>
    <n v="603"/>
    <x v="12"/>
    <x v="146"/>
    <x v="7"/>
    <s v="Percent of GDP"/>
    <s v="Units"/>
    <x v="6"/>
    <n v="29.58"/>
  </r>
  <r>
    <n v="603"/>
    <x v="12"/>
    <x v="153"/>
    <x v="5"/>
    <s v="Percent of GDP"/>
    <s v="Units"/>
    <x v="0"/>
    <n v="37.475000000000001"/>
  </r>
  <r>
    <n v="603"/>
    <x v="12"/>
    <x v="153"/>
    <x v="5"/>
    <s v="Percent of GDP"/>
    <s v="Units"/>
    <x v="1"/>
    <n v="36.281999999999996"/>
  </r>
  <r>
    <n v="603"/>
    <x v="12"/>
    <x v="153"/>
    <x v="5"/>
    <s v="Percent of GDP"/>
    <s v="Units"/>
    <x v="2"/>
    <n v="34.962000000000003"/>
  </r>
  <r>
    <n v="603"/>
    <x v="12"/>
    <x v="153"/>
    <x v="5"/>
    <s v="Percent of GDP"/>
    <s v="Units"/>
    <x v="3"/>
    <n v="44.945999999999998"/>
  </r>
  <r>
    <n v="603"/>
    <x v="12"/>
    <x v="153"/>
    <x v="5"/>
    <s v="Percent of GDP"/>
    <s v="Units"/>
    <x v="4"/>
    <n v="31.74"/>
  </r>
  <r>
    <n v="603"/>
    <x v="12"/>
    <x v="153"/>
    <x v="5"/>
    <s v="Percent of GDP"/>
    <s v="Units"/>
    <x v="5"/>
    <n v="30.7"/>
  </r>
  <r>
    <n v="603"/>
    <x v="12"/>
    <x v="153"/>
    <x v="5"/>
    <s v="Percent of GDP"/>
    <s v="Units"/>
    <x v="6"/>
    <n v="28.085000000000001"/>
  </r>
  <r>
    <n v="200"/>
    <x v="3"/>
    <x v="153"/>
    <x v="5"/>
    <s v="Percent of GDP"/>
    <s v="Units"/>
    <x v="0"/>
    <n v="37.475000000000001"/>
  </r>
  <r>
    <n v="200"/>
    <x v="3"/>
    <x v="153"/>
    <x v="5"/>
    <s v="Percent of GDP"/>
    <s v="Units"/>
    <x v="1"/>
    <n v="36.281999999999996"/>
  </r>
  <r>
    <n v="200"/>
    <x v="3"/>
    <x v="153"/>
    <x v="5"/>
    <s v="Percent of GDP"/>
    <s v="Units"/>
    <x v="2"/>
    <n v="34.962000000000003"/>
  </r>
  <r>
    <n v="200"/>
    <x v="3"/>
    <x v="153"/>
    <x v="5"/>
    <s v="Percent of GDP"/>
    <s v="Units"/>
    <x v="3"/>
    <n v="44.945999999999998"/>
  </r>
  <r>
    <n v="200"/>
    <x v="3"/>
    <x v="153"/>
    <x v="5"/>
    <s v="Percent of GDP"/>
    <s v="Units"/>
    <x v="4"/>
    <n v="31.74"/>
  </r>
  <r>
    <n v="200"/>
    <x v="3"/>
    <x v="153"/>
    <x v="5"/>
    <s v="Percent of GDP"/>
    <s v="Units"/>
    <x v="5"/>
    <n v="30.7"/>
  </r>
  <r>
    <n v="200"/>
    <x v="3"/>
    <x v="153"/>
    <x v="5"/>
    <s v="Percent of GDP"/>
    <s v="Units"/>
    <x v="6"/>
    <n v="28.085000000000001"/>
  </r>
  <r>
    <n v="1"/>
    <x v="2"/>
    <x v="153"/>
    <x v="5"/>
    <s v="Percent of GDP"/>
    <s v="Units"/>
    <x v="0"/>
    <n v="37.475000000000001"/>
  </r>
  <r>
    <n v="1"/>
    <x v="2"/>
    <x v="153"/>
    <x v="5"/>
    <s v="Percent of GDP"/>
    <s v="Units"/>
    <x v="1"/>
    <n v="36.281999999999996"/>
  </r>
  <r>
    <n v="1"/>
    <x v="2"/>
    <x v="153"/>
    <x v="5"/>
    <s v="Percent of GDP"/>
    <s v="Units"/>
    <x v="2"/>
    <n v="34.962000000000003"/>
  </r>
  <r>
    <n v="1"/>
    <x v="2"/>
    <x v="153"/>
    <x v="5"/>
    <s v="Percent of GDP"/>
    <s v="Units"/>
    <x v="3"/>
    <n v="44.945999999999998"/>
  </r>
  <r>
    <n v="1"/>
    <x v="2"/>
    <x v="153"/>
    <x v="5"/>
    <s v="Percent of GDP"/>
    <s v="Units"/>
    <x v="4"/>
    <n v="31.74"/>
  </r>
  <r>
    <n v="1"/>
    <x v="2"/>
    <x v="153"/>
    <x v="5"/>
    <s v="Percent of GDP"/>
    <s v="Units"/>
    <x v="5"/>
    <n v="30.7"/>
  </r>
  <r>
    <n v="1"/>
    <x v="2"/>
    <x v="153"/>
    <x v="5"/>
    <s v="Percent of GDP"/>
    <s v="Units"/>
    <x v="6"/>
    <n v="28.085000000000001"/>
  </r>
  <r>
    <n v="400"/>
    <x v="11"/>
    <x v="145"/>
    <x v="3"/>
    <s v="Percent of GDP"/>
    <s v="Units"/>
    <x v="0"/>
    <n v="28.670999999999999"/>
  </r>
  <r>
    <n v="400"/>
    <x v="11"/>
    <x v="145"/>
    <x v="3"/>
    <s v="Percent of GDP"/>
    <s v="Units"/>
    <x v="1"/>
    <n v="34.106999999999999"/>
  </r>
  <r>
    <n v="400"/>
    <x v="11"/>
    <x v="145"/>
    <x v="3"/>
    <s v="Percent of GDP"/>
    <s v="Units"/>
    <x v="2"/>
    <n v="31.189"/>
  </r>
  <r>
    <n v="400"/>
    <x v="11"/>
    <x v="145"/>
    <x v="3"/>
    <s v="Percent of GDP"/>
    <s v="Units"/>
    <x v="3"/>
    <n v="29.021999999999998"/>
  </r>
  <r>
    <n v="400"/>
    <x v="11"/>
    <x v="145"/>
    <x v="3"/>
    <s v="Percent of GDP"/>
    <s v="Units"/>
    <x v="4"/>
    <n v="29.911999999999999"/>
  </r>
  <r>
    <n v="400"/>
    <x v="11"/>
    <x v="145"/>
    <x v="3"/>
    <s v="Percent of GDP"/>
    <s v="Units"/>
    <x v="5"/>
    <n v="30.655000000000001"/>
  </r>
  <r>
    <n v="400"/>
    <x v="11"/>
    <x v="145"/>
    <x v="3"/>
    <s v="Percent of GDP"/>
    <s v="Units"/>
    <x v="6"/>
    <n v="29.905999999999999"/>
  </r>
  <r>
    <n v="200"/>
    <x v="3"/>
    <x v="145"/>
    <x v="3"/>
    <s v="Percent of GDP"/>
    <s v="Units"/>
    <x v="0"/>
    <n v="28.670999999999999"/>
  </r>
  <r>
    <n v="200"/>
    <x v="3"/>
    <x v="145"/>
    <x v="3"/>
    <s v="Percent of GDP"/>
    <s v="Units"/>
    <x v="1"/>
    <n v="34.106999999999999"/>
  </r>
  <r>
    <n v="200"/>
    <x v="3"/>
    <x v="145"/>
    <x v="3"/>
    <s v="Percent of GDP"/>
    <s v="Units"/>
    <x v="2"/>
    <n v="31.189"/>
  </r>
  <r>
    <n v="200"/>
    <x v="3"/>
    <x v="145"/>
    <x v="3"/>
    <s v="Percent of GDP"/>
    <s v="Units"/>
    <x v="3"/>
    <n v="29.021999999999998"/>
  </r>
  <r>
    <n v="200"/>
    <x v="3"/>
    <x v="145"/>
    <x v="3"/>
    <s v="Percent of GDP"/>
    <s v="Units"/>
    <x v="4"/>
    <n v="29.911999999999999"/>
  </r>
  <r>
    <n v="200"/>
    <x v="3"/>
    <x v="145"/>
    <x v="3"/>
    <s v="Percent of GDP"/>
    <s v="Units"/>
    <x v="5"/>
    <n v="30.655000000000001"/>
  </r>
  <r>
    <n v="200"/>
    <x v="3"/>
    <x v="145"/>
    <x v="3"/>
    <s v="Percent of GDP"/>
    <s v="Units"/>
    <x v="6"/>
    <n v="29.905999999999999"/>
  </r>
  <r>
    <n v="200"/>
    <x v="3"/>
    <x v="41"/>
    <x v="2"/>
    <s v="Percent of GDP"/>
    <s v="Units"/>
    <x v="0"/>
    <n v="28.754000000000001"/>
  </r>
  <r>
    <n v="200"/>
    <x v="3"/>
    <x v="41"/>
    <x v="2"/>
    <s v="Percent of GDP"/>
    <s v="Units"/>
    <x v="1"/>
    <n v="28.617999999999999"/>
  </r>
  <r>
    <n v="200"/>
    <x v="3"/>
    <x v="41"/>
    <x v="2"/>
    <s v="Percent of GDP"/>
    <s v="Units"/>
    <x v="2"/>
    <n v="30.42"/>
  </r>
  <r>
    <n v="200"/>
    <x v="3"/>
    <x v="41"/>
    <x v="2"/>
    <s v="Percent of GDP"/>
    <s v="Units"/>
    <x v="3"/>
    <n v="31.044"/>
  </r>
  <r>
    <n v="200"/>
    <x v="3"/>
    <x v="41"/>
    <x v="2"/>
    <s v="Percent of GDP"/>
    <s v="Units"/>
    <x v="4"/>
    <n v="31.460999999999999"/>
  </r>
  <r>
    <n v="200"/>
    <x v="3"/>
    <x v="41"/>
    <x v="2"/>
    <s v="Percent of GDP"/>
    <s v="Units"/>
    <x v="5"/>
    <n v="30.638000000000002"/>
  </r>
  <r>
    <n v="200"/>
    <x v="3"/>
    <x v="41"/>
    <x v="2"/>
    <s v="Percent of GDP"/>
    <s v="Units"/>
    <x v="6"/>
    <n v="31.657"/>
  </r>
  <r>
    <n v="998"/>
    <x v="6"/>
    <x v="41"/>
    <x v="2"/>
    <s v="Percent of GDP"/>
    <s v="Units"/>
    <x v="0"/>
    <n v="28.754000000000001"/>
  </r>
  <r>
    <n v="998"/>
    <x v="6"/>
    <x v="41"/>
    <x v="2"/>
    <s v="Percent of GDP"/>
    <s v="Units"/>
    <x v="1"/>
    <n v="28.617999999999999"/>
  </r>
  <r>
    <n v="998"/>
    <x v="6"/>
    <x v="41"/>
    <x v="2"/>
    <s v="Percent of GDP"/>
    <s v="Units"/>
    <x v="2"/>
    <n v="30.42"/>
  </r>
  <r>
    <n v="998"/>
    <x v="6"/>
    <x v="41"/>
    <x v="2"/>
    <s v="Percent of GDP"/>
    <s v="Units"/>
    <x v="3"/>
    <n v="31.044"/>
  </r>
  <r>
    <n v="998"/>
    <x v="6"/>
    <x v="41"/>
    <x v="2"/>
    <s v="Percent of GDP"/>
    <s v="Units"/>
    <x v="4"/>
    <n v="31.460999999999999"/>
  </r>
  <r>
    <n v="998"/>
    <x v="6"/>
    <x v="41"/>
    <x v="2"/>
    <s v="Percent of GDP"/>
    <s v="Units"/>
    <x v="5"/>
    <n v="30.638000000000002"/>
  </r>
  <r>
    <n v="998"/>
    <x v="6"/>
    <x v="41"/>
    <x v="2"/>
    <s v="Percent of GDP"/>
    <s v="Units"/>
    <x v="6"/>
    <n v="31.657"/>
  </r>
  <r>
    <n v="903"/>
    <x v="8"/>
    <x v="41"/>
    <x v="2"/>
    <s v="Percent of GDP"/>
    <s v="Units"/>
    <x v="0"/>
    <n v="28.754000000000001"/>
  </r>
  <r>
    <n v="903"/>
    <x v="8"/>
    <x v="41"/>
    <x v="2"/>
    <s v="Percent of GDP"/>
    <s v="Units"/>
    <x v="1"/>
    <n v="28.617999999999999"/>
  </r>
  <r>
    <n v="903"/>
    <x v="8"/>
    <x v="41"/>
    <x v="2"/>
    <s v="Percent of GDP"/>
    <s v="Units"/>
    <x v="2"/>
    <n v="30.42"/>
  </r>
  <r>
    <n v="903"/>
    <x v="8"/>
    <x v="41"/>
    <x v="2"/>
    <s v="Percent of GDP"/>
    <s v="Units"/>
    <x v="3"/>
    <n v="31.044"/>
  </r>
  <r>
    <n v="903"/>
    <x v="8"/>
    <x v="41"/>
    <x v="2"/>
    <s v="Percent of GDP"/>
    <s v="Units"/>
    <x v="4"/>
    <n v="31.460999999999999"/>
  </r>
  <r>
    <n v="903"/>
    <x v="8"/>
    <x v="41"/>
    <x v="2"/>
    <s v="Percent of GDP"/>
    <s v="Units"/>
    <x v="5"/>
    <n v="30.638000000000002"/>
  </r>
  <r>
    <n v="903"/>
    <x v="8"/>
    <x v="41"/>
    <x v="2"/>
    <s v="Percent of GDP"/>
    <s v="Units"/>
    <x v="6"/>
    <n v="31.657"/>
  </r>
  <r>
    <n v="205"/>
    <x v="7"/>
    <x v="39"/>
    <x v="2"/>
    <s v="Percent of GDP"/>
    <s v="Units"/>
    <x v="0"/>
    <n v="29.396999999999998"/>
  </r>
  <r>
    <n v="205"/>
    <x v="7"/>
    <x v="39"/>
    <x v="2"/>
    <s v="Percent of GDP"/>
    <s v="Units"/>
    <x v="1"/>
    <n v="26.588000000000001"/>
  </r>
  <r>
    <n v="205"/>
    <x v="7"/>
    <x v="39"/>
    <x v="2"/>
    <s v="Percent of GDP"/>
    <s v="Units"/>
    <x v="2"/>
    <n v="27.216999999999999"/>
  </r>
  <r>
    <n v="205"/>
    <x v="7"/>
    <x v="39"/>
    <x v="2"/>
    <s v="Percent of GDP"/>
    <s v="Units"/>
    <x v="3"/>
    <n v="27.763999999999999"/>
  </r>
  <r>
    <n v="205"/>
    <x v="7"/>
    <x v="39"/>
    <x v="2"/>
    <s v="Percent of GDP"/>
    <s v="Units"/>
    <x v="4"/>
    <n v="32.314"/>
  </r>
  <r>
    <n v="205"/>
    <x v="7"/>
    <x v="39"/>
    <x v="2"/>
    <s v="Percent of GDP"/>
    <s v="Units"/>
    <x v="5"/>
    <n v="30.605"/>
  </r>
  <r>
    <n v="205"/>
    <x v="7"/>
    <x v="39"/>
    <x v="2"/>
    <s v="Percent of GDP"/>
    <s v="Units"/>
    <x v="6"/>
    <n v="29.791"/>
  </r>
  <r>
    <n v="200"/>
    <x v="3"/>
    <x v="39"/>
    <x v="2"/>
    <s v="Percent of GDP"/>
    <s v="Units"/>
    <x v="0"/>
    <n v="29.396999999999998"/>
  </r>
  <r>
    <n v="200"/>
    <x v="3"/>
    <x v="39"/>
    <x v="2"/>
    <s v="Percent of GDP"/>
    <s v="Units"/>
    <x v="1"/>
    <n v="26.588000000000001"/>
  </r>
  <r>
    <n v="200"/>
    <x v="3"/>
    <x v="39"/>
    <x v="2"/>
    <s v="Percent of GDP"/>
    <s v="Units"/>
    <x v="2"/>
    <n v="27.216999999999999"/>
  </r>
  <r>
    <n v="200"/>
    <x v="3"/>
    <x v="39"/>
    <x v="2"/>
    <s v="Percent of GDP"/>
    <s v="Units"/>
    <x v="3"/>
    <n v="27.763999999999999"/>
  </r>
  <r>
    <n v="200"/>
    <x v="3"/>
    <x v="39"/>
    <x v="2"/>
    <s v="Percent of GDP"/>
    <s v="Units"/>
    <x v="4"/>
    <n v="32.314"/>
  </r>
  <r>
    <n v="200"/>
    <x v="3"/>
    <x v="39"/>
    <x v="2"/>
    <s v="Percent of GDP"/>
    <s v="Units"/>
    <x v="5"/>
    <n v="30.605"/>
  </r>
  <r>
    <n v="200"/>
    <x v="3"/>
    <x v="39"/>
    <x v="2"/>
    <s v="Percent of GDP"/>
    <s v="Units"/>
    <x v="6"/>
    <n v="29.791"/>
  </r>
  <r>
    <n v="603"/>
    <x v="12"/>
    <x v="125"/>
    <x v="5"/>
    <s v="Percent of GDP"/>
    <s v="Units"/>
    <x v="0"/>
    <n v="24.047000000000001"/>
  </r>
  <r>
    <n v="603"/>
    <x v="12"/>
    <x v="125"/>
    <x v="5"/>
    <s v="Percent of GDP"/>
    <s v="Units"/>
    <x v="1"/>
    <n v="24.291"/>
  </r>
  <r>
    <n v="603"/>
    <x v="12"/>
    <x v="125"/>
    <x v="5"/>
    <s v="Percent of GDP"/>
    <s v="Units"/>
    <x v="2"/>
    <n v="24.582999999999998"/>
  </r>
  <r>
    <n v="603"/>
    <x v="12"/>
    <x v="125"/>
    <x v="5"/>
    <s v="Percent of GDP"/>
    <s v="Units"/>
    <x v="3"/>
    <n v="26.852"/>
  </r>
  <r>
    <n v="603"/>
    <x v="12"/>
    <x v="125"/>
    <x v="5"/>
    <s v="Percent of GDP"/>
    <s v="Units"/>
    <x v="4"/>
    <n v="30.710999999999999"/>
  </r>
  <r>
    <n v="603"/>
    <x v="12"/>
    <x v="125"/>
    <x v="5"/>
    <s v="Percent of GDP"/>
    <s v="Units"/>
    <x v="5"/>
    <n v="30.577000000000002"/>
  </r>
  <r>
    <n v="603"/>
    <x v="12"/>
    <x v="125"/>
    <x v="5"/>
    <s v="Percent of GDP"/>
    <s v="Units"/>
    <x v="6"/>
    <n v="31.605"/>
  </r>
  <r>
    <n v="200"/>
    <x v="3"/>
    <x v="125"/>
    <x v="5"/>
    <s v="Percent of GDP"/>
    <s v="Units"/>
    <x v="0"/>
    <n v="24.047000000000001"/>
  </r>
  <r>
    <n v="200"/>
    <x v="3"/>
    <x v="125"/>
    <x v="5"/>
    <s v="Percent of GDP"/>
    <s v="Units"/>
    <x v="1"/>
    <n v="24.291"/>
  </r>
  <r>
    <n v="200"/>
    <x v="3"/>
    <x v="125"/>
    <x v="5"/>
    <s v="Percent of GDP"/>
    <s v="Units"/>
    <x v="2"/>
    <n v="24.582999999999998"/>
  </r>
  <r>
    <n v="200"/>
    <x v="3"/>
    <x v="125"/>
    <x v="5"/>
    <s v="Percent of GDP"/>
    <s v="Units"/>
    <x v="3"/>
    <n v="26.852"/>
  </r>
  <r>
    <n v="200"/>
    <x v="3"/>
    <x v="125"/>
    <x v="5"/>
    <s v="Percent of GDP"/>
    <s v="Units"/>
    <x v="4"/>
    <n v="30.710999999999999"/>
  </r>
  <r>
    <n v="200"/>
    <x v="3"/>
    <x v="125"/>
    <x v="5"/>
    <s v="Percent of GDP"/>
    <s v="Units"/>
    <x v="5"/>
    <n v="30.577000000000002"/>
  </r>
  <r>
    <n v="200"/>
    <x v="3"/>
    <x v="125"/>
    <x v="5"/>
    <s v="Percent of GDP"/>
    <s v="Units"/>
    <x v="6"/>
    <n v="31.605"/>
  </r>
  <r>
    <n v="1"/>
    <x v="2"/>
    <x v="125"/>
    <x v="5"/>
    <s v="Percent of GDP"/>
    <s v="Units"/>
    <x v="0"/>
    <n v="24.047000000000001"/>
  </r>
  <r>
    <n v="1"/>
    <x v="2"/>
    <x v="125"/>
    <x v="5"/>
    <s v="Percent of GDP"/>
    <s v="Units"/>
    <x v="1"/>
    <n v="24.291"/>
  </r>
  <r>
    <n v="1"/>
    <x v="2"/>
    <x v="125"/>
    <x v="5"/>
    <s v="Percent of GDP"/>
    <s v="Units"/>
    <x v="2"/>
    <n v="24.582999999999998"/>
  </r>
  <r>
    <n v="1"/>
    <x v="2"/>
    <x v="125"/>
    <x v="5"/>
    <s v="Percent of GDP"/>
    <s v="Units"/>
    <x v="3"/>
    <n v="26.852"/>
  </r>
  <r>
    <n v="1"/>
    <x v="2"/>
    <x v="125"/>
    <x v="5"/>
    <s v="Percent of GDP"/>
    <s v="Units"/>
    <x v="4"/>
    <n v="30.710999999999999"/>
  </r>
  <r>
    <n v="1"/>
    <x v="2"/>
    <x v="125"/>
    <x v="5"/>
    <s v="Percent of GDP"/>
    <s v="Units"/>
    <x v="5"/>
    <n v="30.577000000000002"/>
  </r>
  <r>
    <n v="1"/>
    <x v="2"/>
    <x v="125"/>
    <x v="5"/>
    <s v="Percent of GDP"/>
    <s v="Units"/>
    <x v="6"/>
    <n v="31.605"/>
  </r>
  <r>
    <n v="200"/>
    <x v="3"/>
    <x v="81"/>
    <x v="3"/>
    <s v="Percent of GDP"/>
    <s v="Units"/>
    <x v="0"/>
    <n v="30.472999999999999"/>
  </r>
  <r>
    <n v="200"/>
    <x v="3"/>
    <x v="81"/>
    <x v="3"/>
    <s v="Percent of GDP"/>
    <s v="Units"/>
    <x v="1"/>
    <n v="32.726999999999997"/>
  </r>
  <r>
    <n v="200"/>
    <x v="3"/>
    <x v="81"/>
    <x v="3"/>
    <s v="Percent of GDP"/>
    <s v="Units"/>
    <x v="2"/>
    <n v="30.184999999999999"/>
  </r>
  <r>
    <n v="200"/>
    <x v="3"/>
    <x v="81"/>
    <x v="3"/>
    <s v="Percent of GDP"/>
    <s v="Units"/>
    <x v="3"/>
    <n v="30.187999999999999"/>
  </r>
  <r>
    <n v="200"/>
    <x v="3"/>
    <x v="81"/>
    <x v="3"/>
    <s v="Percent of GDP"/>
    <s v="Units"/>
    <x v="4"/>
    <n v="30.762"/>
  </r>
  <r>
    <n v="200"/>
    <x v="3"/>
    <x v="81"/>
    <x v="3"/>
    <s v="Percent of GDP"/>
    <s v="Units"/>
    <x v="5"/>
    <n v="30.542000000000002"/>
  </r>
  <r>
    <n v="200"/>
    <x v="3"/>
    <x v="81"/>
    <x v="3"/>
    <s v="Percent of GDP"/>
    <s v="Units"/>
    <x v="6"/>
    <n v="30.231000000000002"/>
  </r>
  <r>
    <n v="205"/>
    <x v="7"/>
    <x v="81"/>
    <x v="3"/>
    <s v="Percent of GDP"/>
    <s v="Units"/>
    <x v="0"/>
    <n v="30.472999999999999"/>
  </r>
  <r>
    <n v="205"/>
    <x v="7"/>
    <x v="81"/>
    <x v="3"/>
    <s v="Percent of GDP"/>
    <s v="Units"/>
    <x v="1"/>
    <n v="32.726999999999997"/>
  </r>
  <r>
    <n v="205"/>
    <x v="7"/>
    <x v="81"/>
    <x v="3"/>
    <s v="Percent of GDP"/>
    <s v="Units"/>
    <x v="2"/>
    <n v="30.184999999999999"/>
  </r>
  <r>
    <n v="205"/>
    <x v="7"/>
    <x v="81"/>
    <x v="3"/>
    <s v="Percent of GDP"/>
    <s v="Units"/>
    <x v="3"/>
    <n v="30.187999999999999"/>
  </r>
  <r>
    <n v="205"/>
    <x v="7"/>
    <x v="81"/>
    <x v="3"/>
    <s v="Percent of GDP"/>
    <s v="Units"/>
    <x v="4"/>
    <n v="30.762"/>
  </r>
  <r>
    <n v="205"/>
    <x v="7"/>
    <x v="81"/>
    <x v="3"/>
    <s v="Percent of GDP"/>
    <s v="Units"/>
    <x v="5"/>
    <n v="30.542000000000002"/>
  </r>
  <r>
    <n v="205"/>
    <x v="7"/>
    <x v="81"/>
    <x v="3"/>
    <s v="Percent of GDP"/>
    <s v="Units"/>
    <x v="6"/>
    <n v="30.231000000000002"/>
  </r>
  <r>
    <n v="510"/>
    <x v="10"/>
    <x v="15"/>
    <x v="7"/>
    <s v="Percent of GDP"/>
    <s v="Units"/>
    <x v="0"/>
    <n v="33.78"/>
  </r>
  <r>
    <n v="510"/>
    <x v="10"/>
    <x v="15"/>
    <x v="7"/>
    <s v="Percent of GDP"/>
    <s v="Units"/>
    <x v="1"/>
    <n v="32.343000000000004"/>
  </r>
  <r>
    <n v="510"/>
    <x v="10"/>
    <x v="15"/>
    <x v="7"/>
    <s v="Percent of GDP"/>
    <s v="Units"/>
    <x v="2"/>
    <n v="31.449000000000002"/>
  </r>
  <r>
    <n v="510"/>
    <x v="10"/>
    <x v="15"/>
    <x v="7"/>
    <s v="Percent of GDP"/>
    <s v="Units"/>
    <x v="3"/>
    <n v="29.745999999999999"/>
  </r>
  <r>
    <n v="510"/>
    <x v="10"/>
    <x v="15"/>
    <x v="7"/>
    <s v="Percent of GDP"/>
    <s v="Units"/>
    <x v="4"/>
    <n v="30.52"/>
  </r>
  <r>
    <n v="510"/>
    <x v="10"/>
    <x v="15"/>
    <x v="7"/>
    <s v="Percent of GDP"/>
    <s v="Units"/>
    <x v="5"/>
    <n v="30.541"/>
  </r>
  <r>
    <n v="510"/>
    <x v="10"/>
    <x v="15"/>
    <x v="7"/>
    <s v="Percent of GDP"/>
    <s v="Units"/>
    <x v="6"/>
    <n v="30.582999999999998"/>
  </r>
  <r>
    <n v="505"/>
    <x v="4"/>
    <x v="15"/>
    <x v="7"/>
    <s v="Percent of GDP"/>
    <s v="Units"/>
    <x v="0"/>
    <n v="33.78"/>
  </r>
  <r>
    <n v="505"/>
    <x v="4"/>
    <x v="15"/>
    <x v="7"/>
    <s v="Percent of GDP"/>
    <s v="Units"/>
    <x v="1"/>
    <n v="32.343000000000004"/>
  </r>
  <r>
    <n v="505"/>
    <x v="4"/>
    <x v="15"/>
    <x v="7"/>
    <s v="Percent of GDP"/>
    <s v="Units"/>
    <x v="2"/>
    <n v="31.449000000000002"/>
  </r>
  <r>
    <n v="505"/>
    <x v="4"/>
    <x v="15"/>
    <x v="7"/>
    <s v="Percent of GDP"/>
    <s v="Units"/>
    <x v="3"/>
    <n v="29.745999999999999"/>
  </r>
  <r>
    <n v="505"/>
    <x v="4"/>
    <x v="15"/>
    <x v="7"/>
    <s v="Percent of GDP"/>
    <s v="Units"/>
    <x v="4"/>
    <n v="30.52"/>
  </r>
  <r>
    <n v="505"/>
    <x v="4"/>
    <x v="15"/>
    <x v="7"/>
    <s v="Percent of GDP"/>
    <s v="Units"/>
    <x v="5"/>
    <n v="30.541"/>
  </r>
  <r>
    <n v="505"/>
    <x v="4"/>
    <x v="15"/>
    <x v="7"/>
    <s v="Percent of GDP"/>
    <s v="Units"/>
    <x v="6"/>
    <n v="30.582999999999998"/>
  </r>
  <r>
    <n v="200"/>
    <x v="3"/>
    <x v="15"/>
    <x v="7"/>
    <s v="Percent of GDP"/>
    <s v="Units"/>
    <x v="0"/>
    <n v="33.78"/>
  </r>
  <r>
    <n v="200"/>
    <x v="3"/>
    <x v="15"/>
    <x v="7"/>
    <s v="Percent of GDP"/>
    <s v="Units"/>
    <x v="1"/>
    <n v="32.343000000000004"/>
  </r>
  <r>
    <n v="200"/>
    <x v="3"/>
    <x v="15"/>
    <x v="7"/>
    <s v="Percent of GDP"/>
    <s v="Units"/>
    <x v="2"/>
    <n v="31.449000000000002"/>
  </r>
  <r>
    <n v="200"/>
    <x v="3"/>
    <x v="15"/>
    <x v="7"/>
    <s v="Percent of GDP"/>
    <s v="Units"/>
    <x v="3"/>
    <n v="29.745999999999999"/>
  </r>
  <r>
    <n v="200"/>
    <x v="3"/>
    <x v="15"/>
    <x v="7"/>
    <s v="Percent of GDP"/>
    <s v="Units"/>
    <x v="4"/>
    <n v="30.52"/>
  </r>
  <r>
    <n v="200"/>
    <x v="3"/>
    <x v="15"/>
    <x v="7"/>
    <s v="Percent of GDP"/>
    <s v="Units"/>
    <x v="5"/>
    <n v="30.541"/>
  </r>
  <r>
    <n v="200"/>
    <x v="3"/>
    <x v="15"/>
    <x v="7"/>
    <s v="Percent of GDP"/>
    <s v="Units"/>
    <x v="6"/>
    <n v="30.582999999999998"/>
  </r>
  <r>
    <n v="1"/>
    <x v="2"/>
    <x v="15"/>
    <x v="7"/>
    <s v="Percent of GDP"/>
    <s v="Units"/>
    <x v="0"/>
    <n v="33.78"/>
  </r>
  <r>
    <n v="1"/>
    <x v="2"/>
    <x v="15"/>
    <x v="7"/>
    <s v="Percent of GDP"/>
    <s v="Units"/>
    <x v="1"/>
    <n v="32.343000000000004"/>
  </r>
  <r>
    <n v="1"/>
    <x v="2"/>
    <x v="15"/>
    <x v="7"/>
    <s v="Percent of GDP"/>
    <s v="Units"/>
    <x v="2"/>
    <n v="31.449000000000002"/>
  </r>
  <r>
    <n v="1"/>
    <x v="2"/>
    <x v="15"/>
    <x v="7"/>
    <s v="Percent of GDP"/>
    <s v="Units"/>
    <x v="3"/>
    <n v="29.745999999999999"/>
  </r>
  <r>
    <n v="1"/>
    <x v="2"/>
    <x v="15"/>
    <x v="7"/>
    <s v="Percent of GDP"/>
    <s v="Units"/>
    <x v="4"/>
    <n v="30.52"/>
  </r>
  <r>
    <n v="1"/>
    <x v="2"/>
    <x v="15"/>
    <x v="7"/>
    <s v="Percent of GDP"/>
    <s v="Units"/>
    <x v="5"/>
    <n v="30.541"/>
  </r>
  <r>
    <n v="1"/>
    <x v="2"/>
    <x v="15"/>
    <x v="7"/>
    <s v="Percent of GDP"/>
    <s v="Units"/>
    <x v="6"/>
    <n v="30.582999999999998"/>
  </r>
  <r>
    <n v="110"/>
    <x v="0"/>
    <x v="0"/>
    <x v="2"/>
    <s v="Percent of GDP"/>
    <s v="Units"/>
    <x v="0"/>
    <n v="30.036999999999999"/>
  </r>
  <r>
    <n v="110"/>
    <x v="0"/>
    <x v="0"/>
    <x v="2"/>
    <s v="Percent of GDP"/>
    <s v="Units"/>
    <x v="1"/>
    <n v="30.690999999999999"/>
  </r>
  <r>
    <n v="110"/>
    <x v="0"/>
    <x v="0"/>
    <x v="2"/>
    <s v="Percent of GDP"/>
    <s v="Units"/>
    <x v="2"/>
    <n v="31.693000000000001"/>
  </r>
  <r>
    <n v="110"/>
    <x v="0"/>
    <x v="0"/>
    <x v="2"/>
    <s v="Percent of GDP"/>
    <s v="Units"/>
    <x v="3"/>
    <n v="32.715000000000003"/>
  </r>
  <r>
    <n v="110"/>
    <x v="0"/>
    <x v="0"/>
    <x v="2"/>
    <s v="Percent of GDP"/>
    <s v="Units"/>
    <x v="4"/>
    <n v="29.276"/>
  </r>
  <r>
    <n v="110"/>
    <x v="0"/>
    <x v="0"/>
    <x v="2"/>
    <s v="Percent of GDP"/>
    <s v="Units"/>
    <x v="5"/>
    <n v="30.512"/>
  </r>
  <r>
    <n v="110"/>
    <x v="0"/>
    <x v="0"/>
    <x v="2"/>
    <s v="Percent of GDP"/>
    <s v="Units"/>
    <x v="6"/>
    <n v="30.401"/>
  </r>
  <r>
    <n v="119"/>
    <x v="1"/>
    <x v="0"/>
    <x v="2"/>
    <s v="Percent of GDP"/>
    <s v="Units"/>
    <x v="0"/>
    <n v="30.036999999999999"/>
  </r>
  <r>
    <n v="119"/>
    <x v="1"/>
    <x v="0"/>
    <x v="2"/>
    <s v="Percent of GDP"/>
    <s v="Units"/>
    <x v="1"/>
    <n v="30.690999999999999"/>
  </r>
  <r>
    <n v="119"/>
    <x v="1"/>
    <x v="0"/>
    <x v="2"/>
    <s v="Percent of GDP"/>
    <s v="Units"/>
    <x v="2"/>
    <n v="31.693000000000001"/>
  </r>
  <r>
    <n v="119"/>
    <x v="1"/>
    <x v="0"/>
    <x v="2"/>
    <s v="Percent of GDP"/>
    <s v="Units"/>
    <x v="3"/>
    <n v="32.715000000000003"/>
  </r>
  <r>
    <n v="119"/>
    <x v="1"/>
    <x v="0"/>
    <x v="2"/>
    <s v="Percent of GDP"/>
    <s v="Units"/>
    <x v="4"/>
    <n v="29.276"/>
  </r>
  <r>
    <n v="119"/>
    <x v="1"/>
    <x v="0"/>
    <x v="2"/>
    <s v="Percent of GDP"/>
    <s v="Units"/>
    <x v="5"/>
    <n v="30.512"/>
  </r>
  <r>
    <n v="119"/>
    <x v="1"/>
    <x v="0"/>
    <x v="2"/>
    <s v="Percent of GDP"/>
    <s v="Units"/>
    <x v="6"/>
    <n v="30.401"/>
  </r>
  <r>
    <n v="505"/>
    <x v="4"/>
    <x v="35"/>
    <x v="7"/>
    <s v="Percent of GDP"/>
    <s v="Units"/>
    <x v="0"/>
    <n v="32.213999999999999"/>
  </r>
  <r>
    <n v="505"/>
    <x v="4"/>
    <x v="35"/>
    <x v="7"/>
    <s v="Percent of GDP"/>
    <s v="Units"/>
    <x v="1"/>
    <n v="31.308"/>
  </r>
  <r>
    <n v="505"/>
    <x v="4"/>
    <x v="35"/>
    <x v="7"/>
    <s v="Percent of GDP"/>
    <s v="Units"/>
    <x v="2"/>
    <n v="31.018999999999998"/>
  </r>
  <r>
    <n v="505"/>
    <x v="4"/>
    <x v="35"/>
    <x v="7"/>
    <s v="Percent of GDP"/>
    <s v="Units"/>
    <x v="3"/>
    <n v="32.046999999999997"/>
  </r>
  <r>
    <n v="505"/>
    <x v="4"/>
    <x v="35"/>
    <x v="7"/>
    <s v="Percent of GDP"/>
    <s v="Units"/>
    <x v="4"/>
    <n v="31.254000000000001"/>
  </r>
  <r>
    <n v="505"/>
    <x v="4"/>
    <x v="35"/>
    <x v="7"/>
    <s v="Percent of GDP"/>
    <s v="Units"/>
    <x v="5"/>
    <n v="30.422999999999998"/>
  </r>
  <r>
    <n v="505"/>
    <x v="4"/>
    <x v="35"/>
    <x v="7"/>
    <s v="Percent of GDP"/>
    <s v="Units"/>
    <x v="6"/>
    <n v="32.216999999999999"/>
  </r>
  <r>
    <n v="200"/>
    <x v="3"/>
    <x v="35"/>
    <x v="7"/>
    <s v="Percent of GDP"/>
    <s v="Units"/>
    <x v="0"/>
    <n v="32.213999999999999"/>
  </r>
  <r>
    <n v="200"/>
    <x v="3"/>
    <x v="35"/>
    <x v="7"/>
    <s v="Percent of GDP"/>
    <s v="Units"/>
    <x v="1"/>
    <n v="31.308"/>
  </r>
  <r>
    <n v="200"/>
    <x v="3"/>
    <x v="35"/>
    <x v="7"/>
    <s v="Percent of GDP"/>
    <s v="Units"/>
    <x v="2"/>
    <n v="31.018999999999998"/>
  </r>
  <r>
    <n v="200"/>
    <x v="3"/>
    <x v="35"/>
    <x v="7"/>
    <s v="Percent of GDP"/>
    <s v="Units"/>
    <x v="3"/>
    <n v="32.046999999999997"/>
  </r>
  <r>
    <n v="200"/>
    <x v="3"/>
    <x v="35"/>
    <x v="7"/>
    <s v="Percent of GDP"/>
    <s v="Units"/>
    <x v="4"/>
    <n v="31.254000000000001"/>
  </r>
  <r>
    <n v="200"/>
    <x v="3"/>
    <x v="35"/>
    <x v="7"/>
    <s v="Percent of GDP"/>
    <s v="Units"/>
    <x v="5"/>
    <n v="30.422999999999998"/>
  </r>
  <r>
    <n v="200"/>
    <x v="3"/>
    <x v="35"/>
    <x v="7"/>
    <s v="Percent of GDP"/>
    <s v="Units"/>
    <x v="6"/>
    <n v="32.216999999999999"/>
  </r>
  <r>
    <n v="1"/>
    <x v="2"/>
    <x v="35"/>
    <x v="7"/>
    <s v="Percent of GDP"/>
    <s v="Units"/>
    <x v="0"/>
    <n v="32.213999999999999"/>
  </r>
  <r>
    <n v="1"/>
    <x v="2"/>
    <x v="35"/>
    <x v="7"/>
    <s v="Percent of GDP"/>
    <s v="Units"/>
    <x v="1"/>
    <n v="31.308"/>
  </r>
  <r>
    <n v="1"/>
    <x v="2"/>
    <x v="35"/>
    <x v="7"/>
    <s v="Percent of GDP"/>
    <s v="Units"/>
    <x v="2"/>
    <n v="31.018999999999998"/>
  </r>
  <r>
    <n v="1"/>
    <x v="2"/>
    <x v="35"/>
    <x v="7"/>
    <s v="Percent of GDP"/>
    <s v="Units"/>
    <x v="3"/>
    <n v="32.046999999999997"/>
  </r>
  <r>
    <n v="1"/>
    <x v="2"/>
    <x v="35"/>
    <x v="7"/>
    <s v="Percent of GDP"/>
    <s v="Units"/>
    <x v="4"/>
    <n v="31.254000000000001"/>
  </r>
  <r>
    <n v="1"/>
    <x v="2"/>
    <x v="35"/>
    <x v="7"/>
    <s v="Percent of GDP"/>
    <s v="Units"/>
    <x v="5"/>
    <n v="30.422999999999998"/>
  </r>
  <r>
    <n v="1"/>
    <x v="2"/>
    <x v="35"/>
    <x v="7"/>
    <s v="Percent of GDP"/>
    <s v="Units"/>
    <x v="6"/>
    <n v="32.216999999999999"/>
  </r>
  <r>
    <n v="200"/>
    <x v="3"/>
    <x v="86"/>
    <x v="2"/>
    <s v="Percent of GDP"/>
    <s v="Units"/>
    <x v="0"/>
    <n v="41.475000000000001"/>
  </r>
  <r>
    <n v="200"/>
    <x v="3"/>
    <x v="86"/>
    <x v="2"/>
    <s v="Percent of GDP"/>
    <s v="Units"/>
    <x v="1"/>
    <n v="33.716000000000001"/>
  </r>
  <r>
    <n v="200"/>
    <x v="3"/>
    <x v="86"/>
    <x v="2"/>
    <s v="Percent of GDP"/>
    <s v="Units"/>
    <x v="2"/>
    <n v="36.372999999999998"/>
  </r>
  <r>
    <n v="200"/>
    <x v="3"/>
    <x v="86"/>
    <x v="2"/>
    <s v="Percent of GDP"/>
    <s v="Units"/>
    <x v="3"/>
    <n v="32.177999999999997"/>
  </r>
  <r>
    <n v="200"/>
    <x v="3"/>
    <x v="86"/>
    <x v="2"/>
    <s v="Percent of GDP"/>
    <s v="Units"/>
    <x v="4"/>
    <n v="33.161999999999999"/>
  </r>
  <r>
    <n v="200"/>
    <x v="3"/>
    <x v="86"/>
    <x v="2"/>
    <s v="Percent of GDP"/>
    <s v="Units"/>
    <x v="5"/>
    <n v="30.358000000000001"/>
  </r>
  <r>
    <n v="200"/>
    <x v="3"/>
    <x v="86"/>
    <x v="2"/>
    <s v="Percent of GDP"/>
    <s v="Units"/>
    <x v="6"/>
    <n v="29.39"/>
  </r>
  <r>
    <n v="400"/>
    <x v="11"/>
    <x v="86"/>
    <x v="2"/>
    <s v="Percent of GDP"/>
    <s v="Units"/>
    <x v="0"/>
    <n v="41.475000000000001"/>
  </r>
  <r>
    <n v="400"/>
    <x v="11"/>
    <x v="86"/>
    <x v="2"/>
    <s v="Percent of GDP"/>
    <s v="Units"/>
    <x v="1"/>
    <n v="33.716000000000001"/>
  </r>
  <r>
    <n v="400"/>
    <x v="11"/>
    <x v="86"/>
    <x v="2"/>
    <s v="Percent of GDP"/>
    <s v="Units"/>
    <x v="2"/>
    <n v="36.372999999999998"/>
  </r>
  <r>
    <n v="400"/>
    <x v="11"/>
    <x v="86"/>
    <x v="2"/>
    <s v="Percent of GDP"/>
    <s v="Units"/>
    <x v="3"/>
    <n v="32.177999999999997"/>
  </r>
  <r>
    <n v="400"/>
    <x v="11"/>
    <x v="86"/>
    <x v="2"/>
    <s v="Percent of GDP"/>
    <s v="Units"/>
    <x v="4"/>
    <n v="33.161999999999999"/>
  </r>
  <r>
    <n v="400"/>
    <x v="11"/>
    <x v="86"/>
    <x v="2"/>
    <s v="Percent of GDP"/>
    <s v="Units"/>
    <x v="5"/>
    <n v="30.358000000000001"/>
  </r>
  <r>
    <n v="400"/>
    <x v="11"/>
    <x v="86"/>
    <x v="2"/>
    <s v="Percent of GDP"/>
    <s v="Units"/>
    <x v="6"/>
    <n v="29.39"/>
  </r>
  <r>
    <n v="205"/>
    <x v="7"/>
    <x v="11"/>
    <x v="3"/>
    <s v="Percent of GDP"/>
    <s v="Units"/>
    <x v="0"/>
    <n v="25.242000000000001"/>
  </r>
  <r>
    <n v="205"/>
    <x v="7"/>
    <x v="11"/>
    <x v="3"/>
    <s v="Percent of GDP"/>
    <s v="Units"/>
    <x v="1"/>
    <n v="27.789000000000001"/>
  </r>
  <r>
    <n v="205"/>
    <x v="7"/>
    <x v="11"/>
    <x v="3"/>
    <s v="Percent of GDP"/>
    <s v="Units"/>
    <x v="2"/>
    <n v="26.754999999999999"/>
  </r>
  <r>
    <n v="205"/>
    <x v="7"/>
    <x v="11"/>
    <x v="3"/>
    <s v="Percent of GDP"/>
    <s v="Units"/>
    <x v="3"/>
    <n v="28.579000000000001"/>
  </r>
  <r>
    <n v="205"/>
    <x v="7"/>
    <x v="11"/>
    <x v="3"/>
    <s v="Percent of GDP"/>
    <s v="Units"/>
    <x v="4"/>
    <n v="28.657"/>
  </r>
  <r>
    <n v="205"/>
    <x v="7"/>
    <x v="11"/>
    <x v="3"/>
    <s v="Percent of GDP"/>
    <s v="Units"/>
    <x v="5"/>
    <n v="30.256"/>
  </r>
  <r>
    <n v="205"/>
    <x v="7"/>
    <x v="11"/>
    <x v="3"/>
    <s v="Percent of GDP"/>
    <s v="Units"/>
    <x v="6"/>
    <n v="27.055"/>
  </r>
  <r>
    <n v="200"/>
    <x v="3"/>
    <x v="11"/>
    <x v="3"/>
    <s v="Percent of GDP"/>
    <s v="Units"/>
    <x v="0"/>
    <n v="25.242000000000001"/>
  </r>
  <r>
    <n v="200"/>
    <x v="3"/>
    <x v="11"/>
    <x v="3"/>
    <s v="Percent of GDP"/>
    <s v="Units"/>
    <x v="1"/>
    <n v="27.789000000000001"/>
  </r>
  <r>
    <n v="200"/>
    <x v="3"/>
    <x v="11"/>
    <x v="3"/>
    <s v="Percent of GDP"/>
    <s v="Units"/>
    <x v="2"/>
    <n v="26.754999999999999"/>
  </r>
  <r>
    <n v="200"/>
    <x v="3"/>
    <x v="11"/>
    <x v="3"/>
    <s v="Percent of GDP"/>
    <s v="Units"/>
    <x v="3"/>
    <n v="28.579000000000001"/>
  </r>
  <r>
    <n v="200"/>
    <x v="3"/>
    <x v="11"/>
    <x v="3"/>
    <s v="Percent of GDP"/>
    <s v="Units"/>
    <x v="4"/>
    <n v="28.657"/>
  </r>
  <r>
    <n v="200"/>
    <x v="3"/>
    <x v="11"/>
    <x v="3"/>
    <s v="Percent of GDP"/>
    <s v="Units"/>
    <x v="5"/>
    <n v="30.256"/>
  </r>
  <r>
    <n v="200"/>
    <x v="3"/>
    <x v="11"/>
    <x v="3"/>
    <s v="Percent of GDP"/>
    <s v="Units"/>
    <x v="6"/>
    <n v="27.055"/>
  </r>
  <r>
    <n v="200"/>
    <x v="3"/>
    <x v="17"/>
    <x v="5"/>
    <s v="Percent of GDP"/>
    <s v="Units"/>
    <x v="0"/>
    <n v="32.881"/>
  </r>
  <r>
    <n v="200"/>
    <x v="3"/>
    <x v="17"/>
    <x v="5"/>
    <s v="Percent of GDP"/>
    <s v="Units"/>
    <x v="1"/>
    <n v="24.212"/>
  </r>
  <r>
    <n v="200"/>
    <x v="3"/>
    <x v="17"/>
    <x v="5"/>
    <s v="Percent of GDP"/>
    <s v="Units"/>
    <x v="2"/>
    <n v="30.221"/>
  </r>
  <r>
    <n v="200"/>
    <x v="3"/>
    <x v="17"/>
    <x v="5"/>
    <s v="Percent of GDP"/>
    <s v="Units"/>
    <x v="3"/>
    <n v="40.094999999999999"/>
  </r>
  <r>
    <n v="200"/>
    <x v="3"/>
    <x v="17"/>
    <x v="5"/>
    <s v="Percent of GDP"/>
    <s v="Units"/>
    <x v="4"/>
    <n v="33.283000000000001"/>
  </r>
  <r>
    <n v="200"/>
    <x v="3"/>
    <x v="17"/>
    <x v="5"/>
    <s v="Percent of GDP"/>
    <s v="Units"/>
    <x v="5"/>
    <n v="30.08"/>
  </r>
  <r>
    <n v="200"/>
    <x v="3"/>
    <x v="17"/>
    <x v="5"/>
    <s v="Percent of GDP"/>
    <s v="Units"/>
    <x v="6"/>
    <n v="29.466000000000001"/>
  </r>
  <r>
    <n v="1"/>
    <x v="2"/>
    <x v="17"/>
    <x v="5"/>
    <s v="Percent of GDP"/>
    <s v="Units"/>
    <x v="0"/>
    <n v="32.881"/>
  </r>
  <r>
    <n v="1"/>
    <x v="2"/>
    <x v="17"/>
    <x v="5"/>
    <s v="Percent of GDP"/>
    <s v="Units"/>
    <x v="1"/>
    <n v="24.212"/>
  </r>
  <r>
    <n v="1"/>
    <x v="2"/>
    <x v="17"/>
    <x v="5"/>
    <s v="Percent of GDP"/>
    <s v="Units"/>
    <x v="2"/>
    <n v="30.221"/>
  </r>
  <r>
    <n v="1"/>
    <x v="2"/>
    <x v="17"/>
    <x v="5"/>
    <s v="Percent of GDP"/>
    <s v="Units"/>
    <x v="3"/>
    <n v="40.094999999999999"/>
  </r>
  <r>
    <n v="1"/>
    <x v="2"/>
    <x v="17"/>
    <x v="5"/>
    <s v="Percent of GDP"/>
    <s v="Units"/>
    <x v="4"/>
    <n v="33.283000000000001"/>
  </r>
  <r>
    <n v="1"/>
    <x v="2"/>
    <x v="17"/>
    <x v="5"/>
    <s v="Percent of GDP"/>
    <s v="Units"/>
    <x v="5"/>
    <n v="30.08"/>
  </r>
  <r>
    <n v="1"/>
    <x v="2"/>
    <x v="17"/>
    <x v="5"/>
    <s v="Percent of GDP"/>
    <s v="Units"/>
    <x v="6"/>
    <n v="29.466000000000001"/>
  </r>
  <r>
    <n v="400"/>
    <x v="11"/>
    <x v="17"/>
    <x v="5"/>
    <s v="Percent of GDP"/>
    <s v="Units"/>
    <x v="0"/>
    <n v="32.881"/>
  </r>
  <r>
    <n v="400"/>
    <x v="11"/>
    <x v="17"/>
    <x v="5"/>
    <s v="Percent of GDP"/>
    <s v="Units"/>
    <x v="1"/>
    <n v="24.212"/>
  </r>
  <r>
    <n v="400"/>
    <x v="11"/>
    <x v="17"/>
    <x v="5"/>
    <s v="Percent of GDP"/>
    <s v="Units"/>
    <x v="2"/>
    <n v="30.221"/>
  </r>
  <r>
    <n v="400"/>
    <x v="11"/>
    <x v="17"/>
    <x v="5"/>
    <s v="Percent of GDP"/>
    <s v="Units"/>
    <x v="3"/>
    <n v="40.094999999999999"/>
  </r>
  <r>
    <n v="400"/>
    <x v="11"/>
    <x v="17"/>
    <x v="5"/>
    <s v="Percent of GDP"/>
    <s v="Units"/>
    <x v="4"/>
    <n v="33.283000000000001"/>
  </r>
  <r>
    <n v="400"/>
    <x v="11"/>
    <x v="17"/>
    <x v="5"/>
    <s v="Percent of GDP"/>
    <s v="Units"/>
    <x v="5"/>
    <n v="30.08"/>
  </r>
  <r>
    <n v="400"/>
    <x v="11"/>
    <x v="17"/>
    <x v="5"/>
    <s v="Percent of GDP"/>
    <s v="Units"/>
    <x v="6"/>
    <n v="29.466000000000001"/>
  </r>
  <r>
    <n v="200"/>
    <x v="3"/>
    <x v="59"/>
    <x v="7"/>
    <s v="Percent of GDP"/>
    <s v="Units"/>
    <x v="0"/>
    <n v="30.420999999999999"/>
  </r>
  <r>
    <n v="200"/>
    <x v="3"/>
    <x v="59"/>
    <x v="7"/>
    <s v="Percent of GDP"/>
    <s v="Units"/>
    <x v="1"/>
    <n v="28.62"/>
  </r>
  <r>
    <n v="200"/>
    <x v="3"/>
    <x v="59"/>
    <x v="7"/>
    <s v="Percent of GDP"/>
    <s v="Units"/>
    <x v="2"/>
    <n v="30.367999999999999"/>
  </r>
  <r>
    <n v="200"/>
    <x v="3"/>
    <x v="59"/>
    <x v="7"/>
    <s v="Percent of GDP"/>
    <s v="Units"/>
    <x v="3"/>
    <n v="30.114999999999998"/>
  </r>
  <r>
    <n v="200"/>
    <x v="3"/>
    <x v="59"/>
    <x v="7"/>
    <s v="Percent of GDP"/>
    <s v="Units"/>
    <x v="4"/>
    <n v="29.408000000000001"/>
  </r>
  <r>
    <n v="200"/>
    <x v="3"/>
    <x v="59"/>
    <x v="7"/>
    <s v="Percent of GDP"/>
    <s v="Units"/>
    <x v="5"/>
    <n v="30.026"/>
  </r>
  <r>
    <n v="200"/>
    <x v="3"/>
    <x v="59"/>
    <x v="7"/>
    <s v="Percent of GDP"/>
    <s v="Units"/>
    <x v="6"/>
    <n v="30.571999999999999"/>
  </r>
  <r>
    <n v="1"/>
    <x v="2"/>
    <x v="59"/>
    <x v="7"/>
    <s v="Percent of GDP"/>
    <s v="Units"/>
    <x v="0"/>
    <n v="30.420999999999999"/>
  </r>
  <r>
    <n v="1"/>
    <x v="2"/>
    <x v="59"/>
    <x v="7"/>
    <s v="Percent of GDP"/>
    <s v="Units"/>
    <x v="1"/>
    <n v="28.62"/>
  </r>
  <r>
    <n v="1"/>
    <x v="2"/>
    <x v="59"/>
    <x v="7"/>
    <s v="Percent of GDP"/>
    <s v="Units"/>
    <x v="2"/>
    <n v="30.367999999999999"/>
  </r>
  <r>
    <n v="1"/>
    <x v="2"/>
    <x v="59"/>
    <x v="7"/>
    <s v="Percent of GDP"/>
    <s v="Units"/>
    <x v="3"/>
    <n v="30.114999999999998"/>
  </r>
  <r>
    <n v="1"/>
    <x v="2"/>
    <x v="59"/>
    <x v="7"/>
    <s v="Percent of GDP"/>
    <s v="Units"/>
    <x v="4"/>
    <n v="29.408000000000001"/>
  </r>
  <r>
    <n v="1"/>
    <x v="2"/>
    <x v="59"/>
    <x v="7"/>
    <s v="Percent of GDP"/>
    <s v="Units"/>
    <x v="5"/>
    <n v="30.026"/>
  </r>
  <r>
    <n v="1"/>
    <x v="2"/>
    <x v="59"/>
    <x v="7"/>
    <s v="Percent of GDP"/>
    <s v="Units"/>
    <x v="6"/>
    <n v="30.571999999999999"/>
  </r>
  <r>
    <n v="400"/>
    <x v="11"/>
    <x v="59"/>
    <x v="7"/>
    <s v="Percent of GDP"/>
    <s v="Units"/>
    <x v="0"/>
    <n v="30.420999999999999"/>
  </r>
  <r>
    <n v="400"/>
    <x v="11"/>
    <x v="59"/>
    <x v="7"/>
    <s v="Percent of GDP"/>
    <s v="Units"/>
    <x v="1"/>
    <n v="28.62"/>
  </r>
  <r>
    <n v="400"/>
    <x v="11"/>
    <x v="59"/>
    <x v="7"/>
    <s v="Percent of GDP"/>
    <s v="Units"/>
    <x v="2"/>
    <n v="30.367999999999999"/>
  </r>
  <r>
    <n v="400"/>
    <x v="11"/>
    <x v="59"/>
    <x v="7"/>
    <s v="Percent of GDP"/>
    <s v="Units"/>
    <x v="3"/>
    <n v="30.114999999999998"/>
  </r>
  <r>
    <n v="400"/>
    <x v="11"/>
    <x v="59"/>
    <x v="7"/>
    <s v="Percent of GDP"/>
    <s v="Units"/>
    <x v="4"/>
    <n v="29.408000000000001"/>
  </r>
  <r>
    <n v="400"/>
    <x v="11"/>
    <x v="59"/>
    <x v="7"/>
    <s v="Percent of GDP"/>
    <s v="Units"/>
    <x v="5"/>
    <n v="30.026"/>
  </r>
  <r>
    <n v="400"/>
    <x v="11"/>
    <x v="59"/>
    <x v="7"/>
    <s v="Percent of GDP"/>
    <s v="Units"/>
    <x v="6"/>
    <n v="30.571999999999999"/>
  </r>
  <r>
    <n v="200"/>
    <x v="3"/>
    <x v="104"/>
    <x v="3"/>
    <s v="Percent of GDP"/>
    <s v="Units"/>
    <x v="0"/>
    <n v="27.998000000000001"/>
  </r>
  <r>
    <n v="200"/>
    <x v="3"/>
    <x v="104"/>
    <x v="3"/>
    <s v="Percent of GDP"/>
    <s v="Units"/>
    <x v="1"/>
    <n v="32.222000000000001"/>
  </r>
  <r>
    <n v="200"/>
    <x v="3"/>
    <x v="104"/>
    <x v="3"/>
    <s v="Percent of GDP"/>
    <s v="Units"/>
    <x v="2"/>
    <n v="30.765000000000001"/>
  </r>
  <r>
    <n v="200"/>
    <x v="3"/>
    <x v="104"/>
    <x v="3"/>
    <s v="Percent of GDP"/>
    <s v="Units"/>
    <x v="3"/>
    <n v="33.634"/>
  </r>
  <r>
    <n v="200"/>
    <x v="3"/>
    <x v="104"/>
    <x v="3"/>
    <s v="Percent of GDP"/>
    <s v="Units"/>
    <x v="4"/>
    <n v="30.645"/>
  </r>
  <r>
    <n v="200"/>
    <x v="3"/>
    <x v="104"/>
    <x v="3"/>
    <s v="Percent of GDP"/>
    <s v="Units"/>
    <x v="5"/>
    <n v="30.021000000000001"/>
  </r>
  <r>
    <n v="200"/>
    <x v="3"/>
    <x v="104"/>
    <x v="3"/>
    <s v="Percent of GDP"/>
    <s v="Units"/>
    <x v="6"/>
    <n v="28.256"/>
  </r>
  <r>
    <n v="603"/>
    <x v="12"/>
    <x v="104"/>
    <x v="3"/>
    <s v="Percent of GDP"/>
    <s v="Units"/>
    <x v="0"/>
    <n v="27.998000000000001"/>
  </r>
  <r>
    <n v="603"/>
    <x v="12"/>
    <x v="104"/>
    <x v="3"/>
    <s v="Percent of GDP"/>
    <s v="Units"/>
    <x v="1"/>
    <n v="32.222000000000001"/>
  </r>
  <r>
    <n v="603"/>
    <x v="12"/>
    <x v="104"/>
    <x v="3"/>
    <s v="Percent of GDP"/>
    <s v="Units"/>
    <x v="2"/>
    <n v="30.765000000000001"/>
  </r>
  <r>
    <n v="603"/>
    <x v="12"/>
    <x v="104"/>
    <x v="3"/>
    <s v="Percent of GDP"/>
    <s v="Units"/>
    <x v="3"/>
    <n v="33.634"/>
  </r>
  <r>
    <n v="603"/>
    <x v="12"/>
    <x v="104"/>
    <x v="3"/>
    <s v="Percent of GDP"/>
    <s v="Units"/>
    <x v="4"/>
    <n v="30.645"/>
  </r>
  <r>
    <n v="603"/>
    <x v="12"/>
    <x v="104"/>
    <x v="3"/>
    <s v="Percent of GDP"/>
    <s v="Units"/>
    <x v="5"/>
    <n v="30.021000000000001"/>
  </r>
  <r>
    <n v="603"/>
    <x v="12"/>
    <x v="104"/>
    <x v="3"/>
    <s v="Percent of GDP"/>
    <s v="Units"/>
    <x v="6"/>
    <n v="28.256"/>
  </r>
  <r>
    <n v="505"/>
    <x v="4"/>
    <x v="123"/>
    <x v="2"/>
    <s v="Percent of GDP"/>
    <s v="Units"/>
    <x v="0"/>
    <n v="26.925000000000001"/>
  </r>
  <r>
    <n v="505"/>
    <x v="4"/>
    <x v="123"/>
    <x v="2"/>
    <s v="Percent of GDP"/>
    <s v="Units"/>
    <x v="1"/>
    <n v="26.416"/>
  </r>
  <r>
    <n v="505"/>
    <x v="4"/>
    <x v="123"/>
    <x v="2"/>
    <s v="Percent of GDP"/>
    <s v="Units"/>
    <x v="2"/>
    <n v="25.715"/>
  </r>
  <r>
    <n v="505"/>
    <x v="4"/>
    <x v="123"/>
    <x v="2"/>
    <s v="Percent of GDP"/>
    <s v="Units"/>
    <x v="3"/>
    <n v="30.497"/>
  </r>
  <r>
    <n v="505"/>
    <x v="4"/>
    <x v="123"/>
    <x v="2"/>
    <s v="Percent of GDP"/>
    <s v="Units"/>
    <x v="4"/>
    <n v="32.338999999999999"/>
  </r>
  <r>
    <n v="505"/>
    <x v="4"/>
    <x v="123"/>
    <x v="2"/>
    <s v="Percent of GDP"/>
    <s v="Units"/>
    <x v="5"/>
    <n v="29.975000000000001"/>
  </r>
  <r>
    <n v="505"/>
    <x v="4"/>
    <x v="123"/>
    <x v="2"/>
    <s v="Percent of GDP"/>
    <s v="Units"/>
    <x v="6"/>
    <n v="29.29"/>
  </r>
  <r>
    <n v="200"/>
    <x v="3"/>
    <x v="123"/>
    <x v="2"/>
    <s v="Percent of GDP"/>
    <s v="Units"/>
    <x v="0"/>
    <n v="26.925000000000001"/>
  </r>
  <r>
    <n v="200"/>
    <x v="3"/>
    <x v="123"/>
    <x v="2"/>
    <s v="Percent of GDP"/>
    <s v="Units"/>
    <x v="1"/>
    <n v="26.416"/>
  </r>
  <r>
    <n v="200"/>
    <x v="3"/>
    <x v="123"/>
    <x v="2"/>
    <s v="Percent of GDP"/>
    <s v="Units"/>
    <x v="2"/>
    <n v="25.715"/>
  </r>
  <r>
    <n v="200"/>
    <x v="3"/>
    <x v="123"/>
    <x v="2"/>
    <s v="Percent of GDP"/>
    <s v="Units"/>
    <x v="3"/>
    <n v="30.497"/>
  </r>
  <r>
    <n v="200"/>
    <x v="3"/>
    <x v="123"/>
    <x v="2"/>
    <s v="Percent of GDP"/>
    <s v="Units"/>
    <x v="4"/>
    <n v="32.338999999999999"/>
  </r>
  <r>
    <n v="200"/>
    <x v="3"/>
    <x v="123"/>
    <x v="2"/>
    <s v="Percent of GDP"/>
    <s v="Units"/>
    <x v="5"/>
    <n v="29.975000000000001"/>
  </r>
  <r>
    <n v="200"/>
    <x v="3"/>
    <x v="123"/>
    <x v="2"/>
    <s v="Percent of GDP"/>
    <s v="Units"/>
    <x v="6"/>
    <n v="29.29"/>
  </r>
  <r>
    <n v="903"/>
    <x v="8"/>
    <x v="16"/>
    <x v="2"/>
    <s v="Percent of GDP"/>
    <s v="Units"/>
    <x v="0"/>
    <n v="30.065999999999999"/>
  </r>
  <r>
    <n v="903"/>
    <x v="8"/>
    <x v="16"/>
    <x v="2"/>
    <s v="Percent of GDP"/>
    <s v="Units"/>
    <x v="1"/>
    <n v="29.388999999999999"/>
  </r>
  <r>
    <n v="903"/>
    <x v="8"/>
    <x v="16"/>
    <x v="2"/>
    <s v="Percent of GDP"/>
    <s v="Units"/>
    <x v="2"/>
    <n v="27.812999999999999"/>
  </r>
  <r>
    <n v="903"/>
    <x v="8"/>
    <x v="16"/>
    <x v="2"/>
    <s v="Percent of GDP"/>
    <s v="Units"/>
    <x v="3"/>
    <n v="26.58"/>
  </r>
  <r>
    <n v="903"/>
    <x v="8"/>
    <x v="16"/>
    <x v="2"/>
    <s v="Percent of GDP"/>
    <s v="Units"/>
    <x v="4"/>
    <n v="28.358000000000001"/>
  </r>
  <r>
    <n v="903"/>
    <x v="8"/>
    <x v="16"/>
    <x v="2"/>
    <s v="Percent of GDP"/>
    <s v="Units"/>
    <x v="5"/>
    <n v="29.945"/>
  </r>
  <r>
    <n v="903"/>
    <x v="8"/>
    <x v="16"/>
    <x v="2"/>
    <s v="Percent of GDP"/>
    <s v="Units"/>
    <x v="6"/>
    <n v="29.742999999999999"/>
  </r>
  <r>
    <n v="200"/>
    <x v="3"/>
    <x v="16"/>
    <x v="2"/>
    <s v="Percent of GDP"/>
    <s v="Units"/>
    <x v="0"/>
    <n v="30.065999999999999"/>
  </r>
  <r>
    <n v="200"/>
    <x v="3"/>
    <x v="16"/>
    <x v="2"/>
    <s v="Percent of GDP"/>
    <s v="Units"/>
    <x v="1"/>
    <n v="29.388999999999999"/>
  </r>
  <r>
    <n v="200"/>
    <x v="3"/>
    <x v="16"/>
    <x v="2"/>
    <s v="Percent of GDP"/>
    <s v="Units"/>
    <x v="2"/>
    <n v="27.812999999999999"/>
  </r>
  <r>
    <n v="200"/>
    <x v="3"/>
    <x v="16"/>
    <x v="2"/>
    <s v="Percent of GDP"/>
    <s v="Units"/>
    <x v="3"/>
    <n v="26.58"/>
  </r>
  <r>
    <n v="200"/>
    <x v="3"/>
    <x v="16"/>
    <x v="2"/>
    <s v="Percent of GDP"/>
    <s v="Units"/>
    <x v="4"/>
    <n v="28.358000000000001"/>
  </r>
  <r>
    <n v="200"/>
    <x v="3"/>
    <x v="16"/>
    <x v="2"/>
    <s v="Percent of GDP"/>
    <s v="Units"/>
    <x v="5"/>
    <n v="29.945"/>
  </r>
  <r>
    <n v="200"/>
    <x v="3"/>
    <x v="16"/>
    <x v="2"/>
    <s v="Percent of GDP"/>
    <s v="Units"/>
    <x v="6"/>
    <n v="29.742999999999999"/>
  </r>
  <r>
    <n v="200"/>
    <x v="3"/>
    <x v="154"/>
    <x v="3"/>
    <s v="Percent of GDP"/>
    <s v="Units"/>
    <x v="0"/>
    <n v="29.074999999999999"/>
  </r>
  <r>
    <n v="200"/>
    <x v="3"/>
    <x v="154"/>
    <x v="3"/>
    <s v="Percent of GDP"/>
    <s v="Units"/>
    <x v="1"/>
    <n v="32.552"/>
  </r>
  <r>
    <n v="200"/>
    <x v="3"/>
    <x v="154"/>
    <x v="3"/>
    <s v="Percent of GDP"/>
    <s v="Units"/>
    <x v="2"/>
    <n v="32.124000000000002"/>
  </r>
  <r>
    <n v="200"/>
    <x v="3"/>
    <x v="154"/>
    <x v="3"/>
    <s v="Percent of GDP"/>
    <s v="Units"/>
    <x v="3"/>
    <n v="30.445"/>
  </r>
  <r>
    <n v="200"/>
    <x v="3"/>
    <x v="154"/>
    <x v="3"/>
    <s v="Percent of GDP"/>
    <s v="Units"/>
    <x v="4"/>
    <n v="29.059000000000001"/>
  </r>
  <r>
    <n v="200"/>
    <x v="3"/>
    <x v="154"/>
    <x v="3"/>
    <s v="Percent of GDP"/>
    <s v="Units"/>
    <x v="5"/>
    <n v="29.881"/>
  </r>
  <r>
    <n v="200"/>
    <x v="3"/>
    <x v="154"/>
    <x v="3"/>
    <s v="Percent of GDP"/>
    <s v="Units"/>
    <x v="6"/>
    <n v="30.009"/>
  </r>
  <r>
    <n v="903"/>
    <x v="8"/>
    <x v="154"/>
    <x v="3"/>
    <s v="Percent of GDP"/>
    <s v="Units"/>
    <x v="0"/>
    <n v="29.074999999999999"/>
  </r>
  <r>
    <n v="903"/>
    <x v="8"/>
    <x v="154"/>
    <x v="3"/>
    <s v="Percent of GDP"/>
    <s v="Units"/>
    <x v="1"/>
    <n v="32.552"/>
  </r>
  <r>
    <n v="903"/>
    <x v="8"/>
    <x v="154"/>
    <x v="3"/>
    <s v="Percent of GDP"/>
    <s v="Units"/>
    <x v="2"/>
    <n v="32.124000000000002"/>
  </r>
  <r>
    <n v="903"/>
    <x v="8"/>
    <x v="154"/>
    <x v="3"/>
    <s v="Percent of GDP"/>
    <s v="Units"/>
    <x v="3"/>
    <n v="30.445"/>
  </r>
  <r>
    <n v="903"/>
    <x v="8"/>
    <x v="154"/>
    <x v="3"/>
    <s v="Percent of GDP"/>
    <s v="Units"/>
    <x v="4"/>
    <n v="29.059000000000001"/>
  </r>
  <r>
    <n v="903"/>
    <x v="8"/>
    <x v="154"/>
    <x v="3"/>
    <s v="Percent of GDP"/>
    <s v="Units"/>
    <x v="5"/>
    <n v="29.881"/>
  </r>
  <r>
    <n v="903"/>
    <x v="8"/>
    <x v="154"/>
    <x v="3"/>
    <s v="Percent of GDP"/>
    <s v="Units"/>
    <x v="6"/>
    <n v="30.009"/>
  </r>
  <r>
    <n v="603"/>
    <x v="12"/>
    <x v="139"/>
    <x v="0"/>
    <s v="U.S. dollars"/>
    <s v="Billions"/>
    <x v="0"/>
    <n v="23.309000000000001"/>
  </r>
  <r>
    <n v="603"/>
    <x v="12"/>
    <x v="139"/>
    <x v="0"/>
    <s v="U.S. dollars"/>
    <s v="Billions"/>
    <x v="1"/>
    <n v="18.138000000000002"/>
  </r>
  <r>
    <n v="603"/>
    <x v="12"/>
    <x v="139"/>
    <x v="0"/>
    <s v="U.S. dollars"/>
    <s v="Billions"/>
    <x v="2"/>
    <n v="22.096"/>
  </r>
  <r>
    <n v="603"/>
    <x v="12"/>
    <x v="139"/>
    <x v="0"/>
    <s v="U.S. dollars"/>
    <s v="Billions"/>
    <x v="3"/>
    <n v="29.122"/>
  </r>
  <r>
    <n v="603"/>
    <x v="12"/>
    <x v="139"/>
    <x v="0"/>
    <s v="U.S. dollars"/>
    <s v="Billions"/>
    <x v="4"/>
    <n v="28.405999999999999"/>
  </r>
  <r>
    <n v="603"/>
    <x v="12"/>
    <x v="139"/>
    <x v="0"/>
    <s v="U.S. dollars"/>
    <s v="Billions"/>
    <x v="5"/>
    <n v="29.872"/>
  </r>
  <r>
    <n v="603"/>
    <x v="12"/>
    <x v="139"/>
    <x v="0"/>
    <s v="U.S. dollars"/>
    <s v="Billions"/>
    <x v="6"/>
    <n v="32.409999999999997"/>
  </r>
  <r>
    <n v="200"/>
    <x v="3"/>
    <x v="139"/>
    <x v="0"/>
    <s v="U.S. dollars"/>
    <s v="Billions"/>
    <x v="0"/>
    <n v="23.309000000000001"/>
  </r>
  <r>
    <n v="200"/>
    <x v="3"/>
    <x v="139"/>
    <x v="0"/>
    <s v="U.S. dollars"/>
    <s v="Billions"/>
    <x v="1"/>
    <n v="18.138000000000002"/>
  </r>
  <r>
    <n v="200"/>
    <x v="3"/>
    <x v="139"/>
    <x v="0"/>
    <s v="U.S. dollars"/>
    <s v="Billions"/>
    <x v="2"/>
    <n v="22.096"/>
  </r>
  <r>
    <n v="200"/>
    <x v="3"/>
    <x v="139"/>
    <x v="0"/>
    <s v="U.S. dollars"/>
    <s v="Billions"/>
    <x v="3"/>
    <n v="29.122"/>
  </r>
  <r>
    <n v="200"/>
    <x v="3"/>
    <x v="139"/>
    <x v="0"/>
    <s v="U.S. dollars"/>
    <s v="Billions"/>
    <x v="4"/>
    <n v="28.405999999999999"/>
  </r>
  <r>
    <n v="200"/>
    <x v="3"/>
    <x v="139"/>
    <x v="0"/>
    <s v="U.S. dollars"/>
    <s v="Billions"/>
    <x v="5"/>
    <n v="29.872"/>
  </r>
  <r>
    <n v="200"/>
    <x v="3"/>
    <x v="139"/>
    <x v="0"/>
    <s v="U.S. dollars"/>
    <s v="Billions"/>
    <x v="6"/>
    <n v="32.409999999999997"/>
  </r>
  <r>
    <n v="1"/>
    <x v="2"/>
    <x v="139"/>
    <x v="0"/>
    <s v="U.S. dollars"/>
    <s v="Billions"/>
    <x v="0"/>
    <n v="23.309000000000001"/>
  </r>
  <r>
    <n v="1"/>
    <x v="2"/>
    <x v="139"/>
    <x v="0"/>
    <s v="U.S. dollars"/>
    <s v="Billions"/>
    <x v="1"/>
    <n v="18.138000000000002"/>
  </r>
  <r>
    <n v="1"/>
    <x v="2"/>
    <x v="139"/>
    <x v="0"/>
    <s v="U.S. dollars"/>
    <s v="Billions"/>
    <x v="2"/>
    <n v="22.096"/>
  </r>
  <r>
    <n v="1"/>
    <x v="2"/>
    <x v="139"/>
    <x v="0"/>
    <s v="U.S. dollars"/>
    <s v="Billions"/>
    <x v="3"/>
    <n v="29.122"/>
  </r>
  <r>
    <n v="1"/>
    <x v="2"/>
    <x v="139"/>
    <x v="0"/>
    <s v="U.S. dollars"/>
    <s v="Billions"/>
    <x v="4"/>
    <n v="28.405999999999999"/>
  </r>
  <r>
    <n v="1"/>
    <x v="2"/>
    <x v="139"/>
    <x v="0"/>
    <s v="U.S. dollars"/>
    <s v="Billions"/>
    <x v="5"/>
    <n v="29.872"/>
  </r>
  <r>
    <n v="1"/>
    <x v="2"/>
    <x v="139"/>
    <x v="0"/>
    <s v="U.S. dollars"/>
    <s v="Billions"/>
    <x v="6"/>
    <n v="32.409999999999997"/>
  </r>
  <r>
    <n v="200"/>
    <x v="3"/>
    <x v="150"/>
    <x v="3"/>
    <s v="Percent of GDP"/>
    <s v="Units"/>
    <x v="0"/>
    <n v="29.922000000000001"/>
  </r>
  <r>
    <n v="200"/>
    <x v="3"/>
    <x v="150"/>
    <x v="3"/>
    <s v="Percent of GDP"/>
    <s v="Units"/>
    <x v="1"/>
    <n v="33.453000000000003"/>
  </r>
  <r>
    <n v="200"/>
    <x v="3"/>
    <x v="150"/>
    <x v="3"/>
    <s v="Percent of GDP"/>
    <s v="Units"/>
    <x v="2"/>
    <n v="29.035"/>
  </r>
  <r>
    <n v="200"/>
    <x v="3"/>
    <x v="150"/>
    <x v="3"/>
    <s v="Percent of GDP"/>
    <s v="Units"/>
    <x v="3"/>
    <n v="28.888000000000002"/>
  </r>
  <r>
    <n v="200"/>
    <x v="3"/>
    <x v="150"/>
    <x v="3"/>
    <s v="Percent of GDP"/>
    <s v="Units"/>
    <x v="4"/>
    <n v="29.702999999999999"/>
  </r>
  <r>
    <n v="200"/>
    <x v="3"/>
    <x v="150"/>
    <x v="3"/>
    <s v="Percent of GDP"/>
    <s v="Units"/>
    <x v="5"/>
    <n v="29.786000000000001"/>
  </r>
  <r>
    <n v="200"/>
    <x v="3"/>
    <x v="150"/>
    <x v="3"/>
    <s v="Percent of GDP"/>
    <s v="Units"/>
    <x v="6"/>
    <n v="29.56"/>
  </r>
  <r>
    <n v="903"/>
    <x v="8"/>
    <x v="150"/>
    <x v="3"/>
    <s v="Percent of GDP"/>
    <s v="Units"/>
    <x v="0"/>
    <n v="29.922000000000001"/>
  </r>
  <r>
    <n v="903"/>
    <x v="8"/>
    <x v="150"/>
    <x v="3"/>
    <s v="Percent of GDP"/>
    <s v="Units"/>
    <x v="1"/>
    <n v="33.453000000000003"/>
  </r>
  <r>
    <n v="903"/>
    <x v="8"/>
    <x v="150"/>
    <x v="3"/>
    <s v="Percent of GDP"/>
    <s v="Units"/>
    <x v="2"/>
    <n v="29.035"/>
  </r>
  <r>
    <n v="903"/>
    <x v="8"/>
    <x v="150"/>
    <x v="3"/>
    <s v="Percent of GDP"/>
    <s v="Units"/>
    <x v="3"/>
    <n v="28.888000000000002"/>
  </r>
  <r>
    <n v="903"/>
    <x v="8"/>
    <x v="150"/>
    <x v="3"/>
    <s v="Percent of GDP"/>
    <s v="Units"/>
    <x v="4"/>
    <n v="29.702999999999999"/>
  </r>
  <r>
    <n v="903"/>
    <x v="8"/>
    <x v="150"/>
    <x v="3"/>
    <s v="Percent of GDP"/>
    <s v="Units"/>
    <x v="5"/>
    <n v="29.786000000000001"/>
  </r>
  <r>
    <n v="903"/>
    <x v="8"/>
    <x v="150"/>
    <x v="3"/>
    <s v="Percent of GDP"/>
    <s v="Units"/>
    <x v="6"/>
    <n v="29.56"/>
  </r>
  <r>
    <n v="110"/>
    <x v="0"/>
    <x v="3"/>
    <x v="5"/>
    <s v="Percent of GDP"/>
    <s v="Units"/>
    <x v="0"/>
    <n v="29.234999999999999"/>
  </r>
  <r>
    <n v="110"/>
    <x v="0"/>
    <x v="3"/>
    <x v="5"/>
    <s v="Percent of GDP"/>
    <s v="Units"/>
    <x v="1"/>
    <n v="28.212"/>
  </r>
  <r>
    <n v="110"/>
    <x v="0"/>
    <x v="3"/>
    <x v="5"/>
    <s v="Percent of GDP"/>
    <s v="Units"/>
    <x v="2"/>
    <n v="29.62"/>
  </r>
  <r>
    <n v="110"/>
    <x v="0"/>
    <x v="3"/>
    <x v="5"/>
    <s v="Percent of GDP"/>
    <s v="Units"/>
    <x v="3"/>
    <n v="28.573"/>
  </r>
  <r>
    <n v="110"/>
    <x v="0"/>
    <x v="3"/>
    <x v="5"/>
    <s v="Percent of GDP"/>
    <s v="Units"/>
    <x v="4"/>
    <n v="29.596"/>
  </r>
  <r>
    <n v="110"/>
    <x v="0"/>
    <x v="3"/>
    <x v="5"/>
    <s v="Percent of GDP"/>
    <s v="Units"/>
    <x v="5"/>
    <n v="29.774000000000001"/>
  </r>
  <r>
    <n v="110"/>
    <x v="0"/>
    <x v="3"/>
    <x v="5"/>
    <s v="Percent of GDP"/>
    <s v="Units"/>
    <x v="6"/>
    <n v="29.902000000000001"/>
  </r>
  <r>
    <n v="1"/>
    <x v="2"/>
    <x v="3"/>
    <x v="5"/>
    <s v="Percent of GDP"/>
    <s v="Units"/>
    <x v="0"/>
    <n v="29.234999999999999"/>
  </r>
  <r>
    <n v="1"/>
    <x v="2"/>
    <x v="3"/>
    <x v="5"/>
    <s v="Percent of GDP"/>
    <s v="Units"/>
    <x v="1"/>
    <n v="28.212"/>
  </r>
  <r>
    <n v="1"/>
    <x v="2"/>
    <x v="3"/>
    <x v="5"/>
    <s v="Percent of GDP"/>
    <s v="Units"/>
    <x v="2"/>
    <n v="29.62"/>
  </r>
  <r>
    <n v="1"/>
    <x v="2"/>
    <x v="3"/>
    <x v="5"/>
    <s v="Percent of GDP"/>
    <s v="Units"/>
    <x v="3"/>
    <n v="28.573"/>
  </r>
  <r>
    <n v="1"/>
    <x v="2"/>
    <x v="3"/>
    <x v="5"/>
    <s v="Percent of GDP"/>
    <s v="Units"/>
    <x v="4"/>
    <n v="29.596"/>
  </r>
  <r>
    <n v="1"/>
    <x v="2"/>
    <x v="3"/>
    <x v="5"/>
    <s v="Percent of GDP"/>
    <s v="Units"/>
    <x v="5"/>
    <n v="29.774000000000001"/>
  </r>
  <r>
    <n v="1"/>
    <x v="2"/>
    <x v="3"/>
    <x v="5"/>
    <s v="Percent of GDP"/>
    <s v="Units"/>
    <x v="6"/>
    <n v="29.902000000000001"/>
  </r>
  <r>
    <n v="119"/>
    <x v="1"/>
    <x v="3"/>
    <x v="5"/>
    <s v="Percent of GDP"/>
    <s v="Units"/>
    <x v="0"/>
    <n v="29.234999999999999"/>
  </r>
  <r>
    <n v="119"/>
    <x v="1"/>
    <x v="3"/>
    <x v="5"/>
    <s v="Percent of GDP"/>
    <s v="Units"/>
    <x v="1"/>
    <n v="28.212"/>
  </r>
  <r>
    <n v="119"/>
    <x v="1"/>
    <x v="3"/>
    <x v="5"/>
    <s v="Percent of GDP"/>
    <s v="Units"/>
    <x v="2"/>
    <n v="29.62"/>
  </r>
  <r>
    <n v="119"/>
    <x v="1"/>
    <x v="3"/>
    <x v="5"/>
    <s v="Percent of GDP"/>
    <s v="Units"/>
    <x v="3"/>
    <n v="28.573"/>
  </r>
  <r>
    <n v="119"/>
    <x v="1"/>
    <x v="3"/>
    <x v="5"/>
    <s v="Percent of GDP"/>
    <s v="Units"/>
    <x v="4"/>
    <n v="29.596"/>
  </r>
  <r>
    <n v="119"/>
    <x v="1"/>
    <x v="3"/>
    <x v="5"/>
    <s v="Percent of GDP"/>
    <s v="Units"/>
    <x v="5"/>
    <n v="29.774000000000001"/>
  </r>
  <r>
    <n v="119"/>
    <x v="1"/>
    <x v="3"/>
    <x v="5"/>
    <s v="Percent of GDP"/>
    <s v="Units"/>
    <x v="6"/>
    <n v="29.902000000000001"/>
  </r>
  <r>
    <n v="603"/>
    <x v="12"/>
    <x v="146"/>
    <x v="5"/>
    <s v="Percent of GDP"/>
    <s v="Units"/>
    <x v="0"/>
    <n v="23.824999999999999"/>
  </r>
  <r>
    <n v="603"/>
    <x v="12"/>
    <x v="146"/>
    <x v="5"/>
    <s v="Percent of GDP"/>
    <s v="Units"/>
    <x v="1"/>
    <n v="26.497"/>
  </r>
  <r>
    <n v="603"/>
    <x v="12"/>
    <x v="146"/>
    <x v="5"/>
    <s v="Percent of GDP"/>
    <s v="Units"/>
    <x v="2"/>
    <n v="28.167000000000002"/>
  </r>
  <r>
    <n v="603"/>
    <x v="12"/>
    <x v="146"/>
    <x v="5"/>
    <s v="Percent of GDP"/>
    <s v="Units"/>
    <x v="3"/>
    <n v="28.39"/>
  </r>
  <r>
    <n v="603"/>
    <x v="12"/>
    <x v="146"/>
    <x v="5"/>
    <s v="Percent of GDP"/>
    <s v="Units"/>
    <x v="4"/>
    <n v="29.666"/>
  </r>
  <r>
    <n v="603"/>
    <x v="12"/>
    <x v="146"/>
    <x v="5"/>
    <s v="Percent of GDP"/>
    <s v="Units"/>
    <x v="5"/>
    <n v="29.722999999999999"/>
  </r>
  <r>
    <n v="603"/>
    <x v="12"/>
    <x v="146"/>
    <x v="5"/>
    <s v="Percent of GDP"/>
    <s v="Units"/>
    <x v="6"/>
    <n v="32.051000000000002"/>
  </r>
  <r>
    <n v="200"/>
    <x v="3"/>
    <x v="146"/>
    <x v="5"/>
    <s v="Percent of GDP"/>
    <s v="Units"/>
    <x v="0"/>
    <n v="23.824999999999999"/>
  </r>
  <r>
    <n v="200"/>
    <x v="3"/>
    <x v="146"/>
    <x v="5"/>
    <s v="Percent of GDP"/>
    <s v="Units"/>
    <x v="1"/>
    <n v="26.497"/>
  </r>
  <r>
    <n v="200"/>
    <x v="3"/>
    <x v="146"/>
    <x v="5"/>
    <s v="Percent of GDP"/>
    <s v="Units"/>
    <x v="2"/>
    <n v="28.167000000000002"/>
  </r>
  <r>
    <n v="200"/>
    <x v="3"/>
    <x v="146"/>
    <x v="5"/>
    <s v="Percent of GDP"/>
    <s v="Units"/>
    <x v="3"/>
    <n v="28.39"/>
  </r>
  <r>
    <n v="200"/>
    <x v="3"/>
    <x v="146"/>
    <x v="5"/>
    <s v="Percent of GDP"/>
    <s v="Units"/>
    <x v="4"/>
    <n v="29.666"/>
  </r>
  <r>
    <n v="200"/>
    <x v="3"/>
    <x v="146"/>
    <x v="5"/>
    <s v="Percent of GDP"/>
    <s v="Units"/>
    <x v="5"/>
    <n v="29.722999999999999"/>
  </r>
  <r>
    <n v="200"/>
    <x v="3"/>
    <x v="146"/>
    <x v="5"/>
    <s v="Percent of GDP"/>
    <s v="Units"/>
    <x v="6"/>
    <n v="32.051000000000002"/>
  </r>
  <r>
    <n v="1"/>
    <x v="2"/>
    <x v="146"/>
    <x v="5"/>
    <s v="Percent of GDP"/>
    <s v="Units"/>
    <x v="0"/>
    <n v="23.824999999999999"/>
  </r>
  <r>
    <n v="1"/>
    <x v="2"/>
    <x v="146"/>
    <x v="5"/>
    <s v="Percent of GDP"/>
    <s v="Units"/>
    <x v="1"/>
    <n v="26.497"/>
  </r>
  <r>
    <n v="1"/>
    <x v="2"/>
    <x v="146"/>
    <x v="5"/>
    <s v="Percent of GDP"/>
    <s v="Units"/>
    <x v="2"/>
    <n v="28.167000000000002"/>
  </r>
  <r>
    <n v="1"/>
    <x v="2"/>
    <x v="146"/>
    <x v="5"/>
    <s v="Percent of GDP"/>
    <s v="Units"/>
    <x v="3"/>
    <n v="28.39"/>
  </r>
  <r>
    <n v="1"/>
    <x v="2"/>
    <x v="146"/>
    <x v="5"/>
    <s v="Percent of GDP"/>
    <s v="Units"/>
    <x v="4"/>
    <n v="29.666"/>
  </r>
  <r>
    <n v="1"/>
    <x v="2"/>
    <x v="146"/>
    <x v="5"/>
    <s v="Percent of GDP"/>
    <s v="Units"/>
    <x v="5"/>
    <n v="29.722999999999999"/>
  </r>
  <r>
    <n v="1"/>
    <x v="2"/>
    <x v="146"/>
    <x v="5"/>
    <s v="Percent of GDP"/>
    <s v="Units"/>
    <x v="6"/>
    <n v="32.051000000000002"/>
  </r>
  <r>
    <n v="510"/>
    <x v="10"/>
    <x v="15"/>
    <x v="5"/>
    <s v="Percent of GDP"/>
    <s v="Units"/>
    <x v="0"/>
    <n v="31.074000000000002"/>
  </r>
  <r>
    <n v="510"/>
    <x v="10"/>
    <x v="15"/>
    <x v="5"/>
    <s v="Percent of GDP"/>
    <s v="Units"/>
    <x v="1"/>
    <n v="31.925000000000001"/>
  </r>
  <r>
    <n v="510"/>
    <x v="10"/>
    <x v="15"/>
    <x v="5"/>
    <s v="Percent of GDP"/>
    <s v="Units"/>
    <x v="2"/>
    <n v="31.745000000000001"/>
  </r>
  <r>
    <n v="510"/>
    <x v="10"/>
    <x v="15"/>
    <x v="5"/>
    <s v="Percent of GDP"/>
    <s v="Units"/>
    <x v="3"/>
    <n v="30.748000000000001"/>
  </r>
  <r>
    <n v="510"/>
    <x v="10"/>
    <x v="15"/>
    <x v="5"/>
    <s v="Percent of GDP"/>
    <s v="Units"/>
    <x v="4"/>
    <n v="30.405000000000001"/>
  </r>
  <r>
    <n v="510"/>
    <x v="10"/>
    <x v="15"/>
    <x v="5"/>
    <s v="Percent of GDP"/>
    <s v="Units"/>
    <x v="5"/>
    <n v="29.649000000000001"/>
  </r>
  <r>
    <n v="510"/>
    <x v="10"/>
    <x v="15"/>
    <x v="5"/>
    <s v="Percent of GDP"/>
    <s v="Units"/>
    <x v="6"/>
    <n v="29.311"/>
  </r>
  <r>
    <n v="505"/>
    <x v="4"/>
    <x v="15"/>
    <x v="5"/>
    <s v="Percent of GDP"/>
    <s v="Units"/>
    <x v="0"/>
    <n v="31.074000000000002"/>
  </r>
  <r>
    <n v="505"/>
    <x v="4"/>
    <x v="15"/>
    <x v="5"/>
    <s v="Percent of GDP"/>
    <s v="Units"/>
    <x v="1"/>
    <n v="31.925000000000001"/>
  </r>
  <r>
    <n v="505"/>
    <x v="4"/>
    <x v="15"/>
    <x v="5"/>
    <s v="Percent of GDP"/>
    <s v="Units"/>
    <x v="2"/>
    <n v="31.745000000000001"/>
  </r>
  <r>
    <n v="505"/>
    <x v="4"/>
    <x v="15"/>
    <x v="5"/>
    <s v="Percent of GDP"/>
    <s v="Units"/>
    <x v="3"/>
    <n v="30.748000000000001"/>
  </r>
  <r>
    <n v="505"/>
    <x v="4"/>
    <x v="15"/>
    <x v="5"/>
    <s v="Percent of GDP"/>
    <s v="Units"/>
    <x v="4"/>
    <n v="30.405000000000001"/>
  </r>
  <r>
    <n v="505"/>
    <x v="4"/>
    <x v="15"/>
    <x v="5"/>
    <s v="Percent of GDP"/>
    <s v="Units"/>
    <x v="5"/>
    <n v="29.649000000000001"/>
  </r>
  <r>
    <n v="505"/>
    <x v="4"/>
    <x v="15"/>
    <x v="5"/>
    <s v="Percent of GDP"/>
    <s v="Units"/>
    <x v="6"/>
    <n v="29.311"/>
  </r>
  <r>
    <n v="1"/>
    <x v="2"/>
    <x v="15"/>
    <x v="5"/>
    <s v="Percent of GDP"/>
    <s v="Units"/>
    <x v="0"/>
    <n v="31.074000000000002"/>
  </r>
  <r>
    <n v="1"/>
    <x v="2"/>
    <x v="15"/>
    <x v="5"/>
    <s v="Percent of GDP"/>
    <s v="Units"/>
    <x v="1"/>
    <n v="31.925000000000001"/>
  </r>
  <r>
    <n v="1"/>
    <x v="2"/>
    <x v="15"/>
    <x v="5"/>
    <s v="Percent of GDP"/>
    <s v="Units"/>
    <x v="2"/>
    <n v="31.745000000000001"/>
  </r>
  <r>
    <n v="1"/>
    <x v="2"/>
    <x v="15"/>
    <x v="5"/>
    <s v="Percent of GDP"/>
    <s v="Units"/>
    <x v="3"/>
    <n v="30.748000000000001"/>
  </r>
  <r>
    <n v="1"/>
    <x v="2"/>
    <x v="15"/>
    <x v="5"/>
    <s v="Percent of GDP"/>
    <s v="Units"/>
    <x v="4"/>
    <n v="30.405000000000001"/>
  </r>
  <r>
    <n v="1"/>
    <x v="2"/>
    <x v="15"/>
    <x v="5"/>
    <s v="Percent of GDP"/>
    <s v="Units"/>
    <x v="5"/>
    <n v="29.649000000000001"/>
  </r>
  <r>
    <n v="1"/>
    <x v="2"/>
    <x v="15"/>
    <x v="5"/>
    <s v="Percent of GDP"/>
    <s v="Units"/>
    <x v="6"/>
    <n v="29.311"/>
  </r>
  <r>
    <n v="200"/>
    <x v="3"/>
    <x v="15"/>
    <x v="5"/>
    <s v="Percent of GDP"/>
    <s v="Units"/>
    <x v="0"/>
    <n v="31.074000000000002"/>
  </r>
  <r>
    <n v="200"/>
    <x v="3"/>
    <x v="15"/>
    <x v="5"/>
    <s v="Percent of GDP"/>
    <s v="Units"/>
    <x v="1"/>
    <n v="31.925000000000001"/>
  </r>
  <r>
    <n v="200"/>
    <x v="3"/>
    <x v="15"/>
    <x v="5"/>
    <s v="Percent of GDP"/>
    <s v="Units"/>
    <x v="2"/>
    <n v="31.745000000000001"/>
  </r>
  <r>
    <n v="200"/>
    <x v="3"/>
    <x v="15"/>
    <x v="5"/>
    <s v="Percent of GDP"/>
    <s v="Units"/>
    <x v="3"/>
    <n v="30.748000000000001"/>
  </r>
  <r>
    <n v="200"/>
    <x v="3"/>
    <x v="15"/>
    <x v="5"/>
    <s v="Percent of GDP"/>
    <s v="Units"/>
    <x v="4"/>
    <n v="30.405000000000001"/>
  </r>
  <r>
    <n v="200"/>
    <x v="3"/>
    <x v="15"/>
    <x v="5"/>
    <s v="Percent of GDP"/>
    <s v="Units"/>
    <x v="5"/>
    <n v="29.649000000000001"/>
  </r>
  <r>
    <n v="200"/>
    <x v="3"/>
    <x v="15"/>
    <x v="5"/>
    <s v="Percent of GDP"/>
    <s v="Units"/>
    <x v="6"/>
    <n v="29.311"/>
  </r>
  <r>
    <n v="200"/>
    <x v="3"/>
    <x v="140"/>
    <x v="3"/>
    <s v="Percent of GDP"/>
    <s v="Units"/>
    <x v="0"/>
    <n v="27.207999999999998"/>
  </r>
  <r>
    <n v="200"/>
    <x v="3"/>
    <x v="140"/>
    <x v="3"/>
    <s v="Percent of GDP"/>
    <s v="Units"/>
    <x v="1"/>
    <n v="32.700000000000003"/>
  </r>
  <r>
    <n v="200"/>
    <x v="3"/>
    <x v="140"/>
    <x v="3"/>
    <s v="Percent of GDP"/>
    <s v="Units"/>
    <x v="2"/>
    <n v="31.678999999999998"/>
  </r>
  <r>
    <n v="200"/>
    <x v="3"/>
    <x v="140"/>
    <x v="3"/>
    <s v="Percent of GDP"/>
    <s v="Units"/>
    <x v="3"/>
    <n v="28.841000000000001"/>
  </r>
  <r>
    <n v="200"/>
    <x v="3"/>
    <x v="140"/>
    <x v="3"/>
    <s v="Percent of GDP"/>
    <s v="Units"/>
    <x v="4"/>
    <n v="30.95"/>
  </r>
  <r>
    <n v="200"/>
    <x v="3"/>
    <x v="140"/>
    <x v="3"/>
    <s v="Percent of GDP"/>
    <s v="Units"/>
    <x v="5"/>
    <n v="29.646999999999998"/>
  </r>
  <r>
    <n v="200"/>
    <x v="3"/>
    <x v="140"/>
    <x v="3"/>
    <s v="Percent of GDP"/>
    <s v="Units"/>
    <x v="6"/>
    <n v="29.623000000000001"/>
  </r>
  <r>
    <n v="205"/>
    <x v="7"/>
    <x v="140"/>
    <x v="3"/>
    <s v="Percent of GDP"/>
    <s v="Units"/>
    <x v="0"/>
    <n v="27.207999999999998"/>
  </r>
  <r>
    <n v="205"/>
    <x v="7"/>
    <x v="140"/>
    <x v="3"/>
    <s v="Percent of GDP"/>
    <s v="Units"/>
    <x v="1"/>
    <n v="32.700000000000003"/>
  </r>
  <r>
    <n v="205"/>
    <x v="7"/>
    <x v="140"/>
    <x v="3"/>
    <s v="Percent of GDP"/>
    <s v="Units"/>
    <x v="2"/>
    <n v="31.678999999999998"/>
  </r>
  <r>
    <n v="205"/>
    <x v="7"/>
    <x v="140"/>
    <x v="3"/>
    <s v="Percent of GDP"/>
    <s v="Units"/>
    <x v="3"/>
    <n v="28.841000000000001"/>
  </r>
  <r>
    <n v="205"/>
    <x v="7"/>
    <x v="140"/>
    <x v="3"/>
    <s v="Percent of GDP"/>
    <s v="Units"/>
    <x v="4"/>
    <n v="30.95"/>
  </r>
  <r>
    <n v="205"/>
    <x v="7"/>
    <x v="140"/>
    <x v="3"/>
    <s v="Percent of GDP"/>
    <s v="Units"/>
    <x v="5"/>
    <n v="29.646999999999998"/>
  </r>
  <r>
    <n v="205"/>
    <x v="7"/>
    <x v="140"/>
    <x v="3"/>
    <s v="Percent of GDP"/>
    <s v="Units"/>
    <x v="6"/>
    <n v="29.623000000000001"/>
  </r>
  <r>
    <n v="400"/>
    <x v="11"/>
    <x v="155"/>
    <x v="3"/>
    <s v="Percent of GDP"/>
    <s v="Units"/>
    <x v="0"/>
    <n v="28.815999999999999"/>
  </r>
  <r>
    <n v="400"/>
    <x v="11"/>
    <x v="155"/>
    <x v="3"/>
    <s v="Percent of GDP"/>
    <s v="Units"/>
    <x v="1"/>
    <n v="29.164000000000001"/>
  </r>
  <r>
    <n v="400"/>
    <x v="11"/>
    <x v="155"/>
    <x v="3"/>
    <s v="Percent of GDP"/>
    <s v="Units"/>
    <x v="2"/>
    <n v="27.641999999999999"/>
  </r>
  <r>
    <n v="400"/>
    <x v="11"/>
    <x v="155"/>
    <x v="3"/>
    <s v="Percent of GDP"/>
    <s v="Units"/>
    <x v="3"/>
    <n v="27.954000000000001"/>
  </r>
  <r>
    <n v="400"/>
    <x v="11"/>
    <x v="155"/>
    <x v="3"/>
    <s v="Percent of GDP"/>
    <s v="Units"/>
    <x v="4"/>
    <n v="28.754000000000001"/>
  </r>
  <r>
    <n v="400"/>
    <x v="11"/>
    <x v="155"/>
    <x v="3"/>
    <s v="Percent of GDP"/>
    <s v="Units"/>
    <x v="5"/>
    <n v="29.622"/>
  </r>
  <r>
    <n v="400"/>
    <x v="11"/>
    <x v="155"/>
    <x v="3"/>
    <s v="Percent of GDP"/>
    <s v="Units"/>
    <x v="6"/>
    <n v="31.077999999999999"/>
  </r>
  <r>
    <n v="200"/>
    <x v="3"/>
    <x v="155"/>
    <x v="3"/>
    <s v="Percent of GDP"/>
    <s v="Units"/>
    <x v="0"/>
    <n v="28.815999999999999"/>
  </r>
  <r>
    <n v="200"/>
    <x v="3"/>
    <x v="155"/>
    <x v="3"/>
    <s v="Percent of GDP"/>
    <s v="Units"/>
    <x v="1"/>
    <n v="29.164000000000001"/>
  </r>
  <r>
    <n v="200"/>
    <x v="3"/>
    <x v="155"/>
    <x v="3"/>
    <s v="Percent of GDP"/>
    <s v="Units"/>
    <x v="2"/>
    <n v="27.641999999999999"/>
  </r>
  <r>
    <n v="200"/>
    <x v="3"/>
    <x v="155"/>
    <x v="3"/>
    <s v="Percent of GDP"/>
    <s v="Units"/>
    <x v="3"/>
    <n v="27.954000000000001"/>
  </r>
  <r>
    <n v="200"/>
    <x v="3"/>
    <x v="155"/>
    <x v="3"/>
    <s v="Percent of GDP"/>
    <s v="Units"/>
    <x v="4"/>
    <n v="28.754000000000001"/>
  </r>
  <r>
    <n v="200"/>
    <x v="3"/>
    <x v="155"/>
    <x v="3"/>
    <s v="Percent of GDP"/>
    <s v="Units"/>
    <x v="5"/>
    <n v="29.622"/>
  </r>
  <r>
    <n v="200"/>
    <x v="3"/>
    <x v="155"/>
    <x v="3"/>
    <s v="Percent of GDP"/>
    <s v="Units"/>
    <x v="6"/>
    <n v="31.077999999999999"/>
  </r>
  <r>
    <n v="505"/>
    <x v="4"/>
    <x v="35"/>
    <x v="5"/>
    <s v="Percent of GDP"/>
    <s v="Units"/>
    <x v="0"/>
    <n v="31.138000000000002"/>
  </r>
  <r>
    <n v="505"/>
    <x v="4"/>
    <x v="35"/>
    <x v="5"/>
    <s v="Percent of GDP"/>
    <s v="Units"/>
    <x v="1"/>
    <n v="31.417999999999999"/>
  </r>
  <r>
    <n v="505"/>
    <x v="4"/>
    <x v="35"/>
    <x v="5"/>
    <s v="Percent of GDP"/>
    <s v="Units"/>
    <x v="2"/>
    <n v="30.794"/>
  </r>
  <r>
    <n v="505"/>
    <x v="4"/>
    <x v="35"/>
    <x v="5"/>
    <s v="Percent of GDP"/>
    <s v="Units"/>
    <x v="3"/>
    <n v="29.35"/>
  </r>
  <r>
    <n v="505"/>
    <x v="4"/>
    <x v="35"/>
    <x v="5"/>
    <s v="Percent of GDP"/>
    <s v="Units"/>
    <x v="4"/>
    <n v="30.215"/>
  </r>
  <r>
    <n v="505"/>
    <x v="4"/>
    <x v="35"/>
    <x v="5"/>
    <s v="Percent of GDP"/>
    <s v="Units"/>
    <x v="5"/>
    <n v="29.616"/>
  </r>
  <r>
    <n v="505"/>
    <x v="4"/>
    <x v="35"/>
    <x v="5"/>
    <s v="Percent of GDP"/>
    <s v="Units"/>
    <x v="6"/>
    <n v="29.484999999999999"/>
  </r>
  <r>
    <n v="1"/>
    <x v="2"/>
    <x v="35"/>
    <x v="5"/>
    <s v="Percent of GDP"/>
    <s v="Units"/>
    <x v="0"/>
    <n v="31.138000000000002"/>
  </r>
  <r>
    <n v="1"/>
    <x v="2"/>
    <x v="35"/>
    <x v="5"/>
    <s v="Percent of GDP"/>
    <s v="Units"/>
    <x v="1"/>
    <n v="31.417999999999999"/>
  </r>
  <r>
    <n v="1"/>
    <x v="2"/>
    <x v="35"/>
    <x v="5"/>
    <s v="Percent of GDP"/>
    <s v="Units"/>
    <x v="2"/>
    <n v="30.794"/>
  </r>
  <r>
    <n v="1"/>
    <x v="2"/>
    <x v="35"/>
    <x v="5"/>
    <s v="Percent of GDP"/>
    <s v="Units"/>
    <x v="3"/>
    <n v="29.35"/>
  </r>
  <r>
    <n v="1"/>
    <x v="2"/>
    <x v="35"/>
    <x v="5"/>
    <s v="Percent of GDP"/>
    <s v="Units"/>
    <x v="4"/>
    <n v="30.215"/>
  </r>
  <r>
    <n v="1"/>
    <x v="2"/>
    <x v="35"/>
    <x v="5"/>
    <s v="Percent of GDP"/>
    <s v="Units"/>
    <x v="5"/>
    <n v="29.616"/>
  </r>
  <r>
    <n v="1"/>
    <x v="2"/>
    <x v="35"/>
    <x v="5"/>
    <s v="Percent of GDP"/>
    <s v="Units"/>
    <x v="6"/>
    <n v="29.484999999999999"/>
  </r>
  <r>
    <n v="200"/>
    <x v="3"/>
    <x v="35"/>
    <x v="5"/>
    <s v="Percent of GDP"/>
    <s v="Units"/>
    <x v="0"/>
    <n v="31.138000000000002"/>
  </r>
  <r>
    <n v="200"/>
    <x v="3"/>
    <x v="35"/>
    <x v="5"/>
    <s v="Percent of GDP"/>
    <s v="Units"/>
    <x v="1"/>
    <n v="31.417999999999999"/>
  </r>
  <r>
    <n v="200"/>
    <x v="3"/>
    <x v="35"/>
    <x v="5"/>
    <s v="Percent of GDP"/>
    <s v="Units"/>
    <x v="2"/>
    <n v="30.794"/>
  </r>
  <r>
    <n v="200"/>
    <x v="3"/>
    <x v="35"/>
    <x v="5"/>
    <s v="Percent of GDP"/>
    <s v="Units"/>
    <x v="3"/>
    <n v="29.35"/>
  </r>
  <r>
    <n v="200"/>
    <x v="3"/>
    <x v="35"/>
    <x v="5"/>
    <s v="Percent of GDP"/>
    <s v="Units"/>
    <x v="4"/>
    <n v="30.215"/>
  </r>
  <r>
    <n v="200"/>
    <x v="3"/>
    <x v="35"/>
    <x v="5"/>
    <s v="Percent of GDP"/>
    <s v="Units"/>
    <x v="5"/>
    <n v="29.616"/>
  </r>
  <r>
    <n v="200"/>
    <x v="3"/>
    <x v="35"/>
    <x v="5"/>
    <s v="Percent of GDP"/>
    <s v="Units"/>
    <x v="6"/>
    <n v="29.484999999999999"/>
  </r>
  <r>
    <n v="200"/>
    <x v="3"/>
    <x v="17"/>
    <x v="7"/>
    <s v="Percent of GDP"/>
    <s v="Units"/>
    <x v="0"/>
    <n v="28.295999999999999"/>
  </r>
  <r>
    <n v="200"/>
    <x v="3"/>
    <x v="17"/>
    <x v="7"/>
    <s v="Percent of GDP"/>
    <s v="Units"/>
    <x v="1"/>
    <n v="27.690999999999999"/>
  </r>
  <r>
    <n v="200"/>
    <x v="3"/>
    <x v="17"/>
    <x v="7"/>
    <s v="Percent of GDP"/>
    <s v="Units"/>
    <x v="2"/>
    <n v="25.448"/>
  </r>
  <r>
    <n v="200"/>
    <x v="3"/>
    <x v="17"/>
    <x v="7"/>
    <s v="Percent of GDP"/>
    <s v="Units"/>
    <x v="3"/>
    <n v="26.427"/>
  </r>
  <r>
    <n v="200"/>
    <x v="3"/>
    <x v="17"/>
    <x v="7"/>
    <s v="Percent of GDP"/>
    <s v="Units"/>
    <x v="4"/>
    <n v="29.341999999999999"/>
  </r>
  <r>
    <n v="200"/>
    <x v="3"/>
    <x v="17"/>
    <x v="7"/>
    <s v="Percent of GDP"/>
    <s v="Units"/>
    <x v="5"/>
    <n v="29.605"/>
  </r>
  <r>
    <n v="200"/>
    <x v="3"/>
    <x v="17"/>
    <x v="7"/>
    <s v="Percent of GDP"/>
    <s v="Units"/>
    <x v="6"/>
    <n v="30.042999999999999"/>
  </r>
  <r>
    <n v="1"/>
    <x v="2"/>
    <x v="17"/>
    <x v="7"/>
    <s v="Percent of GDP"/>
    <s v="Units"/>
    <x v="0"/>
    <n v="28.295999999999999"/>
  </r>
  <r>
    <n v="1"/>
    <x v="2"/>
    <x v="17"/>
    <x v="7"/>
    <s v="Percent of GDP"/>
    <s v="Units"/>
    <x v="1"/>
    <n v="27.690999999999999"/>
  </r>
  <r>
    <n v="1"/>
    <x v="2"/>
    <x v="17"/>
    <x v="7"/>
    <s v="Percent of GDP"/>
    <s v="Units"/>
    <x v="2"/>
    <n v="25.448"/>
  </r>
  <r>
    <n v="1"/>
    <x v="2"/>
    <x v="17"/>
    <x v="7"/>
    <s v="Percent of GDP"/>
    <s v="Units"/>
    <x v="3"/>
    <n v="26.427"/>
  </r>
  <r>
    <n v="1"/>
    <x v="2"/>
    <x v="17"/>
    <x v="7"/>
    <s v="Percent of GDP"/>
    <s v="Units"/>
    <x v="4"/>
    <n v="29.341999999999999"/>
  </r>
  <r>
    <n v="1"/>
    <x v="2"/>
    <x v="17"/>
    <x v="7"/>
    <s v="Percent of GDP"/>
    <s v="Units"/>
    <x v="5"/>
    <n v="29.605"/>
  </r>
  <r>
    <n v="1"/>
    <x v="2"/>
    <x v="17"/>
    <x v="7"/>
    <s v="Percent of GDP"/>
    <s v="Units"/>
    <x v="6"/>
    <n v="30.042999999999999"/>
  </r>
  <r>
    <n v="400"/>
    <x v="11"/>
    <x v="17"/>
    <x v="7"/>
    <s v="Percent of GDP"/>
    <s v="Units"/>
    <x v="0"/>
    <n v="28.295999999999999"/>
  </r>
  <r>
    <n v="400"/>
    <x v="11"/>
    <x v="17"/>
    <x v="7"/>
    <s v="Percent of GDP"/>
    <s v="Units"/>
    <x v="1"/>
    <n v="27.690999999999999"/>
  </r>
  <r>
    <n v="400"/>
    <x v="11"/>
    <x v="17"/>
    <x v="7"/>
    <s v="Percent of GDP"/>
    <s v="Units"/>
    <x v="2"/>
    <n v="25.448"/>
  </r>
  <r>
    <n v="400"/>
    <x v="11"/>
    <x v="17"/>
    <x v="7"/>
    <s v="Percent of GDP"/>
    <s v="Units"/>
    <x v="3"/>
    <n v="26.427"/>
  </r>
  <r>
    <n v="400"/>
    <x v="11"/>
    <x v="17"/>
    <x v="7"/>
    <s v="Percent of GDP"/>
    <s v="Units"/>
    <x v="4"/>
    <n v="29.341999999999999"/>
  </r>
  <r>
    <n v="400"/>
    <x v="11"/>
    <x v="17"/>
    <x v="7"/>
    <s v="Percent of GDP"/>
    <s v="Units"/>
    <x v="5"/>
    <n v="29.605"/>
  </r>
  <r>
    <n v="400"/>
    <x v="11"/>
    <x v="17"/>
    <x v="7"/>
    <s v="Percent of GDP"/>
    <s v="Units"/>
    <x v="6"/>
    <n v="30.042999999999999"/>
  </r>
  <r>
    <n v="163"/>
    <x v="5"/>
    <x v="2"/>
    <x v="5"/>
    <s v="Percent of GDP"/>
    <s v="Units"/>
    <x v="0"/>
    <n v="30.04"/>
  </r>
  <r>
    <n v="163"/>
    <x v="5"/>
    <x v="2"/>
    <x v="5"/>
    <s v="Percent of GDP"/>
    <s v="Units"/>
    <x v="1"/>
    <n v="29.027000000000001"/>
  </r>
  <r>
    <n v="163"/>
    <x v="5"/>
    <x v="2"/>
    <x v="5"/>
    <s v="Percent of GDP"/>
    <s v="Units"/>
    <x v="2"/>
    <n v="30.920999999999999"/>
  </r>
  <r>
    <n v="163"/>
    <x v="5"/>
    <x v="2"/>
    <x v="5"/>
    <s v="Percent of GDP"/>
    <s v="Units"/>
    <x v="3"/>
    <n v="29.437999999999999"/>
  </r>
  <r>
    <n v="163"/>
    <x v="5"/>
    <x v="2"/>
    <x v="5"/>
    <s v="Percent of GDP"/>
    <s v="Units"/>
    <x v="4"/>
    <n v="30.373000000000001"/>
  </r>
  <r>
    <n v="163"/>
    <x v="5"/>
    <x v="2"/>
    <x v="5"/>
    <s v="Percent of GDP"/>
    <s v="Units"/>
    <x v="5"/>
    <n v="29.591000000000001"/>
  </r>
  <r>
    <n v="163"/>
    <x v="5"/>
    <x v="2"/>
    <x v="5"/>
    <s v="Percent of GDP"/>
    <s v="Units"/>
    <x v="6"/>
    <n v="29.609000000000002"/>
  </r>
  <r>
    <n v="119"/>
    <x v="1"/>
    <x v="2"/>
    <x v="5"/>
    <s v="Percent of GDP"/>
    <s v="Units"/>
    <x v="0"/>
    <n v="30.04"/>
  </r>
  <r>
    <n v="119"/>
    <x v="1"/>
    <x v="2"/>
    <x v="5"/>
    <s v="Percent of GDP"/>
    <s v="Units"/>
    <x v="1"/>
    <n v="29.027000000000001"/>
  </r>
  <r>
    <n v="119"/>
    <x v="1"/>
    <x v="2"/>
    <x v="5"/>
    <s v="Percent of GDP"/>
    <s v="Units"/>
    <x v="2"/>
    <n v="30.920999999999999"/>
  </r>
  <r>
    <n v="119"/>
    <x v="1"/>
    <x v="2"/>
    <x v="5"/>
    <s v="Percent of GDP"/>
    <s v="Units"/>
    <x v="3"/>
    <n v="29.437999999999999"/>
  </r>
  <r>
    <n v="119"/>
    <x v="1"/>
    <x v="2"/>
    <x v="5"/>
    <s v="Percent of GDP"/>
    <s v="Units"/>
    <x v="4"/>
    <n v="30.373000000000001"/>
  </r>
  <r>
    <n v="119"/>
    <x v="1"/>
    <x v="2"/>
    <x v="5"/>
    <s v="Percent of GDP"/>
    <s v="Units"/>
    <x v="5"/>
    <n v="29.591000000000001"/>
  </r>
  <r>
    <n v="119"/>
    <x v="1"/>
    <x v="2"/>
    <x v="5"/>
    <s v="Percent of GDP"/>
    <s v="Units"/>
    <x v="6"/>
    <n v="29.609000000000002"/>
  </r>
  <r>
    <n v="1"/>
    <x v="2"/>
    <x v="2"/>
    <x v="5"/>
    <s v="Percent of GDP"/>
    <s v="Units"/>
    <x v="0"/>
    <n v="30.04"/>
  </r>
  <r>
    <n v="1"/>
    <x v="2"/>
    <x v="2"/>
    <x v="5"/>
    <s v="Percent of GDP"/>
    <s v="Units"/>
    <x v="1"/>
    <n v="29.027000000000001"/>
  </r>
  <r>
    <n v="1"/>
    <x v="2"/>
    <x v="2"/>
    <x v="5"/>
    <s v="Percent of GDP"/>
    <s v="Units"/>
    <x v="2"/>
    <n v="30.920999999999999"/>
  </r>
  <r>
    <n v="1"/>
    <x v="2"/>
    <x v="2"/>
    <x v="5"/>
    <s v="Percent of GDP"/>
    <s v="Units"/>
    <x v="3"/>
    <n v="29.437999999999999"/>
  </r>
  <r>
    <n v="1"/>
    <x v="2"/>
    <x v="2"/>
    <x v="5"/>
    <s v="Percent of GDP"/>
    <s v="Units"/>
    <x v="4"/>
    <n v="30.373000000000001"/>
  </r>
  <r>
    <n v="1"/>
    <x v="2"/>
    <x v="2"/>
    <x v="5"/>
    <s v="Percent of GDP"/>
    <s v="Units"/>
    <x v="5"/>
    <n v="29.591000000000001"/>
  </r>
  <r>
    <n v="1"/>
    <x v="2"/>
    <x v="2"/>
    <x v="5"/>
    <s v="Percent of GDP"/>
    <s v="Units"/>
    <x v="6"/>
    <n v="29.609000000000002"/>
  </r>
  <r>
    <n v="998"/>
    <x v="6"/>
    <x v="2"/>
    <x v="5"/>
    <s v="Percent of GDP"/>
    <s v="Units"/>
    <x v="0"/>
    <n v="30.04"/>
  </r>
  <r>
    <n v="998"/>
    <x v="6"/>
    <x v="2"/>
    <x v="5"/>
    <s v="Percent of GDP"/>
    <s v="Units"/>
    <x v="1"/>
    <n v="29.027000000000001"/>
  </r>
  <r>
    <n v="998"/>
    <x v="6"/>
    <x v="2"/>
    <x v="5"/>
    <s v="Percent of GDP"/>
    <s v="Units"/>
    <x v="2"/>
    <n v="30.920999999999999"/>
  </r>
  <r>
    <n v="998"/>
    <x v="6"/>
    <x v="2"/>
    <x v="5"/>
    <s v="Percent of GDP"/>
    <s v="Units"/>
    <x v="3"/>
    <n v="29.437999999999999"/>
  </r>
  <r>
    <n v="998"/>
    <x v="6"/>
    <x v="2"/>
    <x v="5"/>
    <s v="Percent of GDP"/>
    <s v="Units"/>
    <x v="4"/>
    <n v="30.373000000000001"/>
  </r>
  <r>
    <n v="998"/>
    <x v="6"/>
    <x v="2"/>
    <x v="5"/>
    <s v="Percent of GDP"/>
    <s v="Units"/>
    <x v="5"/>
    <n v="29.591000000000001"/>
  </r>
  <r>
    <n v="998"/>
    <x v="6"/>
    <x v="2"/>
    <x v="5"/>
    <s v="Percent of GDP"/>
    <s v="Units"/>
    <x v="6"/>
    <n v="29.609000000000002"/>
  </r>
  <r>
    <n v="110"/>
    <x v="0"/>
    <x v="2"/>
    <x v="5"/>
    <s v="Percent of GDP"/>
    <s v="Units"/>
    <x v="0"/>
    <n v="30.04"/>
  </r>
  <r>
    <n v="110"/>
    <x v="0"/>
    <x v="2"/>
    <x v="5"/>
    <s v="Percent of GDP"/>
    <s v="Units"/>
    <x v="1"/>
    <n v="29.027000000000001"/>
  </r>
  <r>
    <n v="110"/>
    <x v="0"/>
    <x v="2"/>
    <x v="5"/>
    <s v="Percent of GDP"/>
    <s v="Units"/>
    <x v="2"/>
    <n v="30.920999999999999"/>
  </r>
  <r>
    <n v="110"/>
    <x v="0"/>
    <x v="2"/>
    <x v="5"/>
    <s v="Percent of GDP"/>
    <s v="Units"/>
    <x v="3"/>
    <n v="29.437999999999999"/>
  </r>
  <r>
    <n v="110"/>
    <x v="0"/>
    <x v="2"/>
    <x v="5"/>
    <s v="Percent of GDP"/>
    <s v="Units"/>
    <x v="4"/>
    <n v="30.373000000000001"/>
  </r>
  <r>
    <n v="110"/>
    <x v="0"/>
    <x v="2"/>
    <x v="5"/>
    <s v="Percent of GDP"/>
    <s v="Units"/>
    <x v="5"/>
    <n v="29.591000000000001"/>
  </r>
  <r>
    <n v="110"/>
    <x v="0"/>
    <x v="2"/>
    <x v="5"/>
    <s v="Percent of GDP"/>
    <s v="Units"/>
    <x v="6"/>
    <n v="29.609000000000002"/>
  </r>
  <r>
    <n v="1"/>
    <x v="2"/>
    <x v="63"/>
    <x v="7"/>
    <s v="Percent of GDP"/>
    <s v="Units"/>
    <x v="0"/>
    <n v="26.004999999999999"/>
  </r>
  <r>
    <n v="1"/>
    <x v="2"/>
    <x v="63"/>
    <x v="7"/>
    <s v="Percent of GDP"/>
    <s v="Units"/>
    <x v="1"/>
    <n v="25.382999999999999"/>
  </r>
  <r>
    <n v="1"/>
    <x v="2"/>
    <x v="63"/>
    <x v="7"/>
    <s v="Percent of GDP"/>
    <s v="Units"/>
    <x v="2"/>
    <n v="31.352"/>
  </r>
  <r>
    <n v="1"/>
    <x v="2"/>
    <x v="63"/>
    <x v="7"/>
    <s v="Percent of GDP"/>
    <s v="Units"/>
    <x v="3"/>
    <n v="33.276000000000003"/>
  </r>
  <r>
    <n v="1"/>
    <x v="2"/>
    <x v="63"/>
    <x v="7"/>
    <s v="Percent of GDP"/>
    <s v="Units"/>
    <x v="4"/>
    <n v="29.513999999999999"/>
  </r>
  <r>
    <n v="1"/>
    <x v="2"/>
    <x v="63"/>
    <x v="7"/>
    <s v="Percent of GDP"/>
    <s v="Units"/>
    <x v="5"/>
    <n v="29.577000000000002"/>
  </r>
  <r>
    <n v="1"/>
    <x v="2"/>
    <x v="63"/>
    <x v="7"/>
    <s v="Percent of GDP"/>
    <s v="Units"/>
    <x v="6"/>
    <n v="29.574999999999999"/>
  </r>
  <r>
    <n v="205"/>
    <x v="7"/>
    <x v="63"/>
    <x v="7"/>
    <s v="Percent of GDP"/>
    <s v="Units"/>
    <x v="0"/>
    <n v="26.004999999999999"/>
  </r>
  <r>
    <n v="205"/>
    <x v="7"/>
    <x v="63"/>
    <x v="7"/>
    <s v="Percent of GDP"/>
    <s v="Units"/>
    <x v="1"/>
    <n v="25.382999999999999"/>
  </r>
  <r>
    <n v="205"/>
    <x v="7"/>
    <x v="63"/>
    <x v="7"/>
    <s v="Percent of GDP"/>
    <s v="Units"/>
    <x v="2"/>
    <n v="31.352"/>
  </r>
  <r>
    <n v="205"/>
    <x v="7"/>
    <x v="63"/>
    <x v="7"/>
    <s v="Percent of GDP"/>
    <s v="Units"/>
    <x v="3"/>
    <n v="33.276000000000003"/>
  </r>
  <r>
    <n v="205"/>
    <x v="7"/>
    <x v="63"/>
    <x v="7"/>
    <s v="Percent of GDP"/>
    <s v="Units"/>
    <x v="4"/>
    <n v="29.513999999999999"/>
  </r>
  <r>
    <n v="205"/>
    <x v="7"/>
    <x v="63"/>
    <x v="7"/>
    <s v="Percent of GDP"/>
    <s v="Units"/>
    <x v="5"/>
    <n v="29.577000000000002"/>
  </r>
  <r>
    <n v="205"/>
    <x v="7"/>
    <x v="63"/>
    <x v="7"/>
    <s v="Percent of GDP"/>
    <s v="Units"/>
    <x v="6"/>
    <n v="29.574999999999999"/>
  </r>
  <r>
    <n v="200"/>
    <x v="3"/>
    <x v="63"/>
    <x v="7"/>
    <s v="Percent of GDP"/>
    <s v="Units"/>
    <x v="0"/>
    <n v="26.004999999999999"/>
  </r>
  <r>
    <n v="200"/>
    <x v="3"/>
    <x v="63"/>
    <x v="7"/>
    <s v="Percent of GDP"/>
    <s v="Units"/>
    <x v="1"/>
    <n v="25.382999999999999"/>
  </r>
  <r>
    <n v="200"/>
    <x v="3"/>
    <x v="63"/>
    <x v="7"/>
    <s v="Percent of GDP"/>
    <s v="Units"/>
    <x v="2"/>
    <n v="31.352"/>
  </r>
  <r>
    <n v="200"/>
    <x v="3"/>
    <x v="63"/>
    <x v="7"/>
    <s v="Percent of GDP"/>
    <s v="Units"/>
    <x v="3"/>
    <n v="33.276000000000003"/>
  </r>
  <r>
    <n v="200"/>
    <x v="3"/>
    <x v="63"/>
    <x v="7"/>
    <s v="Percent of GDP"/>
    <s v="Units"/>
    <x v="4"/>
    <n v="29.513999999999999"/>
  </r>
  <r>
    <n v="200"/>
    <x v="3"/>
    <x v="63"/>
    <x v="7"/>
    <s v="Percent of GDP"/>
    <s v="Units"/>
    <x v="5"/>
    <n v="29.577000000000002"/>
  </r>
  <r>
    <n v="200"/>
    <x v="3"/>
    <x v="63"/>
    <x v="7"/>
    <s v="Percent of GDP"/>
    <s v="Units"/>
    <x v="6"/>
    <n v="29.574999999999999"/>
  </r>
  <r>
    <n v="200"/>
    <x v="3"/>
    <x v="156"/>
    <x v="3"/>
    <s v="Percent of GDP"/>
    <s v="Units"/>
    <x v="0"/>
    <n v="33.716000000000001"/>
  </r>
  <r>
    <n v="200"/>
    <x v="3"/>
    <x v="156"/>
    <x v="3"/>
    <s v="Percent of GDP"/>
    <s v="Units"/>
    <x v="1"/>
    <n v="33.429000000000002"/>
  </r>
  <r>
    <n v="200"/>
    <x v="3"/>
    <x v="156"/>
    <x v="3"/>
    <s v="Percent of GDP"/>
    <s v="Units"/>
    <x v="2"/>
    <n v="32.74"/>
  </r>
  <r>
    <n v="200"/>
    <x v="3"/>
    <x v="156"/>
    <x v="3"/>
    <s v="Percent of GDP"/>
    <s v="Units"/>
    <x v="3"/>
    <n v="34.186999999999998"/>
  </r>
  <r>
    <n v="200"/>
    <x v="3"/>
    <x v="156"/>
    <x v="3"/>
    <s v="Percent of GDP"/>
    <s v="Units"/>
    <x v="4"/>
    <n v="31.902999999999999"/>
  </r>
  <r>
    <n v="200"/>
    <x v="3"/>
    <x v="156"/>
    <x v="3"/>
    <s v="Percent of GDP"/>
    <s v="Units"/>
    <x v="5"/>
    <n v="29.571000000000002"/>
  </r>
  <r>
    <n v="200"/>
    <x v="3"/>
    <x v="156"/>
    <x v="3"/>
    <s v="Percent of GDP"/>
    <s v="Units"/>
    <x v="6"/>
    <n v="29.643000000000001"/>
  </r>
  <r>
    <n v="505"/>
    <x v="4"/>
    <x v="156"/>
    <x v="3"/>
    <s v="Percent of GDP"/>
    <s v="Units"/>
    <x v="0"/>
    <n v="33.716000000000001"/>
  </r>
  <r>
    <n v="505"/>
    <x v="4"/>
    <x v="156"/>
    <x v="3"/>
    <s v="Percent of GDP"/>
    <s v="Units"/>
    <x v="1"/>
    <n v="33.429000000000002"/>
  </r>
  <r>
    <n v="505"/>
    <x v="4"/>
    <x v="156"/>
    <x v="3"/>
    <s v="Percent of GDP"/>
    <s v="Units"/>
    <x v="2"/>
    <n v="32.74"/>
  </r>
  <r>
    <n v="505"/>
    <x v="4"/>
    <x v="156"/>
    <x v="3"/>
    <s v="Percent of GDP"/>
    <s v="Units"/>
    <x v="3"/>
    <n v="34.186999999999998"/>
  </r>
  <r>
    <n v="505"/>
    <x v="4"/>
    <x v="156"/>
    <x v="3"/>
    <s v="Percent of GDP"/>
    <s v="Units"/>
    <x v="4"/>
    <n v="31.902999999999999"/>
  </r>
  <r>
    <n v="505"/>
    <x v="4"/>
    <x v="156"/>
    <x v="3"/>
    <s v="Percent of GDP"/>
    <s v="Units"/>
    <x v="5"/>
    <n v="29.571000000000002"/>
  </r>
  <r>
    <n v="505"/>
    <x v="4"/>
    <x v="156"/>
    <x v="3"/>
    <s v="Percent of GDP"/>
    <s v="Units"/>
    <x v="6"/>
    <n v="29.643000000000001"/>
  </r>
  <r>
    <n v="400"/>
    <x v="11"/>
    <x v="157"/>
    <x v="3"/>
    <s v="Percent of GDP"/>
    <s v="Units"/>
    <x v="0"/>
    <n v="24.902000000000001"/>
  </r>
  <r>
    <n v="400"/>
    <x v="11"/>
    <x v="157"/>
    <x v="3"/>
    <s v="Percent of GDP"/>
    <s v="Units"/>
    <x v="1"/>
    <n v="30.648"/>
  </r>
  <r>
    <n v="400"/>
    <x v="11"/>
    <x v="157"/>
    <x v="3"/>
    <s v="Percent of GDP"/>
    <s v="Units"/>
    <x v="2"/>
    <n v="28.667000000000002"/>
  </r>
  <r>
    <n v="400"/>
    <x v="11"/>
    <x v="157"/>
    <x v="3"/>
    <s v="Percent of GDP"/>
    <s v="Units"/>
    <x v="3"/>
    <n v="26.379000000000001"/>
  </r>
  <r>
    <n v="400"/>
    <x v="11"/>
    <x v="157"/>
    <x v="3"/>
    <s v="Percent of GDP"/>
    <s v="Units"/>
    <x v="4"/>
    <n v="26.844999999999999"/>
  </r>
  <r>
    <n v="400"/>
    <x v="11"/>
    <x v="157"/>
    <x v="3"/>
    <s v="Percent of GDP"/>
    <s v="Units"/>
    <x v="5"/>
    <n v="29.488"/>
  </r>
  <r>
    <n v="400"/>
    <x v="11"/>
    <x v="157"/>
    <x v="3"/>
    <s v="Percent of GDP"/>
    <s v="Units"/>
    <x v="6"/>
    <n v="29.61"/>
  </r>
  <r>
    <n v="200"/>
    <x v="3"/>
    <x v="157"/>
    <x v="3"/>
    <s v="Percent of GDP"/>
    <s v="Units"/>
    <x v="0"/>
    <n v="24.902000000000001"/>
  </r>
  <r>
    <n v="200"/>
    <x v="3"/>
    <x v="157"/>
    <x v="3"/>
    <s v="Percent of GDP"/>
    <s v="Units"/>
    <x v="1"/>
    <n v="30.648"/>
  </r>
  <r>
    <n v="200"/>
    <x v="3"/>
    <x v="157"/>
    <x v="3"/>
    <s v="Percent of GDP"/>
    <s v="Units"/>
    <x v="2"/>
    <n v="28.667000000000002"/>
  </r>
  <r>
    <n v="200"/>
    <x v="3"/>
    <x v="157"/>
    <x v="3"/>
    <s v="Percent of GDP"/>
    <s v="Units"/>
    <x v="3"/>
    <n v="26.379000000000001"/>
  </r>
  <r>
    <n v="200"/>
    <x v="3"/>
    <x v="157"/>
    <x v="3"/>
    <s v="Percent of GDP"/>
    <s v="Units"/>
    <x v="4"/>
    <n v="26.844999999999999"/>
  </r>
  <r>
    <n v="200"/>
    <x v="3"/>
    <x v="157"/>
    <x v="3"/>
    <s v="Percent of GDP"/>
    <s v="Units"/>
    <x v="5"/>
    <n v="29.488"/>
  </r>
  <r>
    <n v="200"/>
    <x v="3"/>
    <x v="157"/>
    <x v="3"/>
    <s v="Percent of GDP"/>
    <s v="Units"/>
    <x v="6"/>
    <n v="29.61"/>
  </r>
  <r>
    <n v="1"/>
    <x v="2"/>
    <x v="10"/>
    <x v="5"/>
    <s v="Percent of GDP"/>
    <s v="Units"/>
    <x v="0"/>
    <n v="26.533000000000001"/>
  </r>
  <r>
    <n v="1"/>
    <x v="2"/>
    <x v="10"/>
    <x v="5"/>
    <s v="Percent of GDP"/>
    <s v="Units"/>
    <x v="1"/>
    <n v="25.832999999999998"/>
  </r>
  <r>
    <n v="1"/>
    <x v="2"/>
    <x v="10"/>
    <x v="5"/>
    <s v="Percent of GDP"/>
    <s v="Units"/>
    <x v="2"/>
    <n v="29.332999999999998"/>
  </r>
  <r>
    <n v="1"/>
    <x v="2"/>
    <x v="10"/>
    <x v="5"/>
    <s v="Percent of GDP"/>
    <s v="Units"/>
    <x v="3"/>
    <n v="33.244999999999997"/>
  </r>
  <r>
    <n v="1"/>
    <x v="2"/>
    <x v="10"/>
    <x v="5"/>
    <s v="Percent of GDP"/>
    <s v="Units"/>
    <x v="4"/>
    <n v="29.295999999999999"/>
  </r>
  <r>
    <n v="1"/>
    <x v="2"/>
    <x v="10"/>
    <x v="5"/>
    <s v="Percent of GDP"/>
    <s v="Units"/>
    <x v="5"/>
    <n v="29.454000000000001"/>
  </r>
  <r>
    <n v="1"/>
    <x v="2"/>
    <x v="10"/>
    <x v="5"/>
    <s v="Percent of GDP"/>
    <s v="Units"/>
    <x v="6"/>
    <n v="28.859000000000002"/>
  </r>
  <r>
    <n v="200"/>
    <x v="3"/>
    <x v="10"/>
    <x v="5"/>
    <s v="Percent of GDP"/>
    <s v="Units"/>
    <x v="0"/>
    <n v="26.533000000000001"/>
  </r>
  <r>
    <n v="200"/>
    <x v="3"/>
    <x v="10"/>
    <x v="5"/>
    <s v="Percent of GDP"/>
    <s v="Units"/>
    <x v="1"/>
    <n v="25.832999999999998"/>
  </r>
  <r>
    <n v="200"/>
    <x v="3"/>
    <x v="10"/>
    <x v="5"/>
    <s v="Percent of GDP"/>
    <s v="Units"/>
    <x v="2"/>
    <n v="29.332999999999998"/>
  </r>
  <r>
    <n v="200"/>
    <x v="3"/>
    <x v="10"/>
    <x v="5"/>
    <s v="Percent of GDP"/>
    <s v="Units"/>
    <x v="3"/>
    <n v="33.244999999999997"/>
  </r>
  <r>
    <n v="200"/>
    <x v="3"/>
    <x v="10"/>
    <x v="5"/>
    <s v="Percent of GDP"/>
    <s v="Units"/>
    <x v="4"/>
    <n v="29.295999999999999"/>
  </r>
  <r>
    <n v="200"/>
    <x v="3"/>
    <x v="10"/>
    <x v="5"/>
    <s v="Percent of GDP"/>
    <s v="Units"/>
    <x v="5"/>
    <n v="29.454000000000001"/>
  </r>
  <r>
    <n v="200"/>
    <x v="3"/>
    <x v="10"/>
    <x v="5"/>
    <s v="Percent of GDP"/>
    <s v="Units"/>
    <x v="6"/>
    <n v="28.859000000000002"/>
  </r>
  <r>
    <n v="903"/>
    <x v="8"/>
    <x v="10"/>
    <x v="5"/>
    <s v="Percent of GDP"/>
    <s v="Units"/>
    <x v="0"/>
    <n v="26.533000000000001"/>
  </r>
  <r>
    <n v="903"/>
    <x v="8"/>
    <x v="10"/>
    <x v="5"/>
    <s v="Percent of GDP"/>
    <s v="Units"/>
    <x v="1"/>
    <n v="25.832999999999998"/>
  </r>
  <r>
    <n v="903"/>
    <x v="8"/>
    <x v="10"/>
    <x v="5"/>
    <s v="Percent of GDP"/>
    <s v="Units"/>
    <x v="2"/>
    <n v="29.332999999999998"/>
  </r>
  <r>
    <n v="903"/>
    <x v="8"/>
    <x v="10"/>
    <x v="5"/>
    <s v="Percent of GDP"/>
    <s v="Units"/>
    <x v="3"/>
    <n v="33.244999999999997"/>
  </r>
  <r>
    <n v="903"/>
    <x v="8"/>
    <x v="10"/>
    <x v="5"/>
    <s v="Percent of GDP"/>
    <s v="Units"/>
    <x v="4"/>
    <n v="29.295999999999999"/>
  </r>
  <r>
    <n v="903"/>
    <x v="8"/>
    <x v="10"/>
    <x v="5"/>
    <s v="Percent of GDP"/>
    <s v="Units"/>
    <x v="5"/>
    <n v="29.454000000000001"/>
  </r>
  <r>
    <n v="903"/>
    <x v="8"/>
    <x v="10"/>
    <x v="5"/>
    <s v="Percent of GDP"/>
    <s v="Units"/>
    <x v="6"/>
    <n v="28.859000000000002"/>
  </r>
  <r>
    <n v="200"/>
    <x v="3"/>
    <x v="88"/>
    <x v="7"/>
    <s v="Percent of GDP"/>
    <s v="Units"/>
    <x v="0"/>
    <n v="34.238999999999997"/>
  </r>
  <r>
    <n v="200"/>
    <x v="3"/>
    <x v="88"/>
    <x v="7"/>
    <s v="Percent of GDP"/>
    <s v="Units"/>
    <x v="1"/>
    <n v="41.881"/>
  </r>
  <r>
    <n v="200"/>
    <x v="3"/>
    <x v="88"/>
    <x v="7"/>
    <s v="Percent of GDP"/>
    <s v="Units"/>
    <x v="2"/>
    <n v="37.859000000000002"/>
  </r>
  <r>
    <n v="200"/>
    <x v="3"/>
    <x v="88"/>
    <x v="7"/>
    <s v="Percent of GDP"/>
    <s v="Units"/>
    <x v="3"/>
    <n v="43.408000000000001"/>
  </r>
  <r>
    <n v="200"/>
    <x v="3"/>
    <x v="88"/>
    <x v="7"/>
    <s v="Percent of GDP"/>
    <s v="Units"/>
    <x v="4"/>
    <n v="35.115000000000002"/>
  </r>
  <r>
    <n v="200"/>
    <x v="3"/>
    <x v="88"/>
    <x v="7"/>
    <s v="Percent of GDP"/>
    <s v="Units"/>
    <x v="5"/>
    <n v="29.414000000000001"/>
  </r>
  <r>
    <n v="200"/>
    <x v="3"/>
    <x v="88"/>
    <x v="7"/>
    <s v="Percent of GDP"/>
    <s v="Units"/>
    <x v="6"/>
    <n v="29.221"/>
  </r>
  <r>
    <n v="1"/>
    <x v="2"/>
    <x v="88"/>
    <x v="7"/>
    <s v="Percent of GDP"/>
    <s v="Units"/>
    <x v="0"/>
    <n v="34.238999999999997"/>
  </r>
  <r>
    <n v="1"/>
    <x v="2"/>
    <x v="88"/>
    <x v="7"/>
    <s v="Percent of GDP"/>
    <s v="Units"/>
    <x v="1"/>
    <n v="41.881"/>
  </r>
  <r>
    <n v="1"/>
    <x v="2"/>
    <x v="88"/>
    <x v="7"/>
    <s v="Percent of GDP"/>
    <s v="Units"/>
    <x v="2"/>
    <n v="37.859000000000002"/>
  </r>
  <r>
    <n v="1"/>
    <x v="2"/>
    <x v="88"/>
    <x v="7"/>
    <s v="Percent of GDP"/>
    <s v="Units"/>
    <x v="3"/>
    <n v="43.408000000000001"/>
  </r>
  <r>
    <n v="1"/>
    <x v="2"/>
    <x v="88"/>
    <x v="7"/>
    <s v="Percent of GDP"/>
    <s v="Units"/>
    <x v="4"/>
    <n v="35.115000000000002"/>
  </r>
  <r>
    <n v="1"/>
    <x v="2"/>
    <x v="88"/>
    <x v="7"/>
    <s v="Percent of GDP"/>
    <s v="Units"/>
    <x v="5"/>
    <n v="29.414000000000001"/>
  </r>
  <r>
    <n v="1"/>
    <x v="2"/>
    <x v="88"/>
    <x v="7"/>
    <s v="Percent of GDP"/>
    <s v="Units"/>
    <x v="6"/>
    <n v="29.221"/>
  </r>
  <r>
    <n v="505"/>
    <x v="4"/>
    <x v="88"/>
    <x v="7"/>
    <s v="Percent of GDP"/>
    <s v="Units"/>
    <x v="0"/>
    <n v="34.238999999999997"/>
  </r>
  <r>
    <n v="505"/>
    <x v="4"/>
    <x v="88"/>
    <x v="7"/>
    <s v="Percent of GDP"/>
    <s v="Units"/>
    <x v="1"/>
    <n v="41.881"/>
  </r>
  <r>
    <n v="505"/>
    <x v="4"/>
    <x v="88"/>
    <x v="7"/>
    <s v="Percent of GDP"/>
    <s v="Units"/>
    <x v="2"/>
    <n v="37.859000000000002"/>
  </r>
  <r>
    <n v="505"/>
    <x v="4"/>
    <x v="88"/>
    <x v="7"/>
    <s v="Percent of GDP"/>
    <s v="Units"/>
    <x v="3"/>
    <n v="43.408000000000001"/>
  </r>
  <r>
    <n v="505"/>
    <x v="4"/>
    <x v="88"/>
    <x v="7"/>
    <s v="Percent of GDP"/>
    <s v="Units"/>
    <x v="4"/>
    <n v="35.115000000000002"/>
  </r>
  <r>
    <n v="505"/>
    <x v="4"/>
    <x v="88"/>
    <x v="7"/>
    <s v="Percent of GDP"/>
    <s v="Units"/>
    <x v="5"/>
    <n v="29.414000000000001"/>
  </r>
  <r>
    <n v="505"/>
    <x v="4"/>
    <x v="88"/>
    <x v="7"/>
    <s v="Percent of GDP"/>
    <s v="Units"/>
    <x v="6"/>
    <n v="29.221"/>
  </r>
  <r>
    <n v="200"/>
    <x v="3"/>
    <x v="149"/>
    <x v="3"/>
    <s v="Percent of GDP"/>
    <s v="Units"/>
    <x v="0"/>
    <n v="32.435000000000002"/>
  </r>
  <r>
    <n v="200"/>
    <x v="3"/>
    <x v="149"/>
    <x v="3"/>
    <s v="Percent of GDP"/>
    <s v="Units"/>
    <x v="1"/>
    <n v="33.234999999999999"/>
  </r>
  <r>
    <n v="200"/>
    <x v="3"/>
    <x v="149"/>
    <x v="3"/>
    <s v="Percent of GDP"/>
    <s v="Units"/>
    <x v="2"/>
    <n v="29.283999999999999"/>
  </r>
  <r>
    <n v="200"/>
    <x v="3"/>
    <x v="149"/>
    <x v="3"/>
    <s v="Percent of GDP"/>
    <s v="Units"/>
    <x v="3"/>
    <n v="26.376000000000001"/>
  </r>
  <r>
    <n v="200"/>
    <x v="3"/>
    <x v="149"/>
    <x v="3"/>
    <s v="Percent of GDP"/>
    <s v="Units"/>
    <x v="4"/>
    <n v="28.84"/>
  </r>
  <r>
    <n v="200"/>
    <x v="3"/>
    <x v="149"/>
    <x v="3"/>
    <s v="Percent of GDP"/>
    <s v="Units"/>
    <x v="5"/>
    <n v="29.140999999999998"/>
  </r>
  <r>
    <n v="200"/>
    <x v="3"/>
    <x v="149"/>
    <x v="3"/>
    <s v="Percent of GDP"/>
    <s v="Units"/>
    <x v="6"/>
    <n v="28.31"/>
  </r>
  <r>
    <n v="505"/>
    <x v="4"/>
    <x v="149"/>
    <x v="3"/>
    <s v="Percent of GDP"/>
    <s v="Units"/>
    <x v="0"/>
    <n v="32.435000000000002"/>
  </r>
  <r>
    <n v="505"/>
    <x v="4"/>
    <x v="149"/>
    <x v="3"/>
    <s v="Percent of GDP"/>
    <s v="Units"/>
    <x v="1"/>
    <n v="33.234999999999999"/>
  </r>
  <r>
    <n v="505"/>
    <x v="4"/>
    <x v="149"/>
    <x v="3"/>
    <s v="Percent of GDP"/>
    <s v="Units"/>
    <x v="2"/>
    <n v="29.283999999999999"/>
  </r>
  <r>
    <n v="505"/>
    <x v="4"/>
    <x v="149"/>
    <x v="3"/>
    <s v="Percent of GDP"/>
    <s v="Units"/>
    <x v="3"/>
    <n v="26.376000000000001"/>
  </r>
  <r>
    <n v="505"/>
    <x v="4"/>
    <x v="149"/>
    <x v="3"/>
    <s v="Percent of GDP"/>
    <s v="Units"/>
    <x v="4"/>
    <n v="28.84"/>
  </r>
  <r>
    <n v="505"/>
    <x v="4"/>
    <x v="149"/>
    <x v="3"/>
    <s v="Percent of GDP"/>
    <s v="Units"/>
    <x v="5"/>
    <n v="29.140999999999998"/>
  </r>
  <r>
    <n v="505"/>
    <x v="4"/>
    <x v="149"/>
    <x v="3"/>
    <s v="Percent of GDP"/>
    <s v="Units"/>
    <x v="6"/>
    <n v="28.31"/>
  </r>
  <r>
    <n v="903"/>
    <x v="8"/>
    <x v="121"/>
    <x v="0"/>
    <s v="U.S. dollars"/>
    <s v="Billions"/>
    <x v="0"/>
    <n v="20.483000000000001"/>
  </r>
  <r>
    <n v="903"/>
    <x v="8"/>
    <x v="121"/>
    <x v="0"/>
    <s v="U.S. dollars"/>
    <s v="Billions"/>
    <x v="1"/>
    <n v="20.225999999999999"/>
  </r>
  <r>
    <n v="903"/>
    <x v="8"/>
    <x v="121"/>
    <x v="0"/>
    <s v="U.S. dollars"/>
    <s v="Billions"/>
    <x v="2"/>
    <n v="23.672999999999998"/>
  </r>
  <r>
    <n v="903"/>
    <x v="8"/>
    <x v="121"/>
    <x v="0"/>
    <s v="U.S. dollars"/>
    <s v="Billions"/>
    <x v="3"/>
    <n v="24.535"/>
  </r>
  <r>
    <n v="903"/>
    <x v="8"/>
    <x v="121"/>
    <x v="0"/>
    <s v="U.S. dollars"/>
    <s v="Billions"/>
    <x v="4"/>
    <n v="27.216000000000001"/>
  </r>
  <r>
    <n v="903"/>
    <x v="8"/>
    <x v="121"/>
    <x v="0"/>
    <s v="U.S. dollars"/>
    <s v="Billions"/>
    <x v="5"/>
    <n v="29.077999999999999"/>
  </r>
  <r>
    <n v="903"/>
    <x v="8"/>
    <x v="121"/>
    <x v="0"/>
    <s v="U.S. dollars"/>
    <s v="Billions"/>
    <x v="6"/>
    <n v="30.754000000000001"/>
  </r>
  <r>
    <n v="200"/>
    <x v="3"/>
    <x v="121"/>
    <x v="0"/>
    <s v="U.S. dollars"/>
    <s v="Billions"/>
    <x v="0"/>
    <n v="20.483000000000001"/>
  </r>
  <r>
    <n v="200"/>
    <x v="3"/>
    <x v="121"/>
    <x v="0"/>
    <s v="U.S. dollars"/>
    <s v="Billions"/>
    <x v="1"/>
    <n v="20.225999999999999"/>
  </r>
  <r>
    <n v="200"/>
    <x v="3"/>
    <x v="121"/>
    <x v="0"/>
    <s v="U.S. dollars"/>
    <s v="Billions"/>
    <x v="2"/>
    <n v="23.672999999999998"/>
  </r>
  <r>
    <n v="200"/>
    <x v="3"/>
    <x v="121"/>
    <x v="0"/>
    <s v="U.S. dollars"/>
    <s v="Billions"/>
    <x v="3"/>
    <n v="24.535"/>
  </r>
  <r>
    <n v="200"/>
    <x v="3"/>
    <x v="121"/>
    <x v="0"/>
    <s v="U.S. dollars"/>
    <s v="Billions"/>
    <x v="4"/>
    <n v="27.216000000000001"/>
  </r>
  <r>
    <n v="200"/>
    <x v="3"/>
    <x v="121"/>
    <x v="0"/>
    <s v="U.S. dollars"/>
    <s v="Billions"/>
    <x v="5"/>
    <n v="29.077999999999999"/>
  </r>
  <r>
    <n v="200"/>
    <x v="3"/>
    <x v="121"/>
    <x v="0"/>
    <s v="U.S. dollars"/>
    <s v="Billions"/>
    <x v="6"/>
    <n v="30.754000000000001"/>
  </r>
  <r>
    <n v="1"/>
    <x v="2"/>
    <x v="121"/>
    <x v="0"/>
    <s v="U.S. dollars"/>
    <s v="Billions"/>
    <x v="0"/>
    <n v="20.483000000000001"/>
  </r>
  <r>
    <n v="1"/>
    <x v="2"/>
    <x v="121"/>
    <x v="0"/>
    <s v="U.S. dollars"/>
    <s v="Billions"/>
    <x v="1"/>
    <n v="20.225999999999999"/>
  </r>
  <r>
    <n v="1"/>
    <x v="2"/>
    <x v="121"/>
    <x v="0"/>
    <s v="U.S. dollars"/>
    <s v="Billions"/>
    <x v="2"/>
    <n v="23.672999999999998"/>
  </r>
  <r>
    <n v="1"/>
    <x v="2"/>
    <x v="121"/>
    <x v="0"/>
    <s v="U.S. dollars"/>
    <s v="Billions"/>
    <x v="3"/>
    <n v="24.535"/>
  </r>
  <r>
    <n v="1"/>
    <x v="2"/>
    <x v="121"/>
    <x v="0"/>
    <s v="U.S. dollars"/>
    <s v="Billions"/>
    <x v="4"/>
    <n v="27.216000000000001"/>
  </r>
  <r>
    <n v="1"/>
    <x v="2"/>
    <x v="121"/>
    <x v="0"/>
    <s v="U.S. dollars"/>
    <s v="Billions"/>
    <x v="5"/>
    <n v="29.077999999999999"/>
  </r>
  <r>
    <n v="1"/>
    <x v="2"/>
    <x v="121"/>
    <x v="0"/>
    <s v="U.S. dollars"/>
    <s v="Billions"/>
    <x v="6"/>
    <n v="30.754000000000001"/>
  </r>
  <r>
    <n v="200"/>
    <x v="3"/>
    <x v="54"/>
    <x v="2"/>
    <s v="Percent of GDP"/>
    <s v="Units"/>
    <x v="0"/>
    <n v="33.463000000000001"/>
  </r>
  <r>
    <n v="200"/>
    <x v="3"/>
    <x v="54"/>
    <x v="2"/>
    <s v="Percent of GDP"/>
    <s v="Units"/>
    <x v="1"/>
    <n v="32.566000000000003"/>
  </r>
  <r>
    <n v="200"/>
    <x v="3"/>
    <x v="54"/>
    <x v="2"/>
    <s v="Percent of GDP"/>
    <s v="Units"/>
    <x v="2"/>
    <n v="29.611999999999998"/>
  </r>
  <r>
    <n v="200"/>
    <x v="3"/>
    <x v="54"/>
    <x v="2"/>
    <s v="Percent of GDP"/>
    <s v="Units"/>
    <x v="3"/>
    <n v="34.624000000000002"/>
  </r>
  <r>
    <n v="200"/>
    <x v="3"/>
    <x v="54"/>
    <x v="2"/>
    <s v="Percent of GDP"/>
    <s v="Units"/>
    <x v="4"/>
    <n v="29.818000000000001"/>
  </r>
  <r>
    <n v="200"/>
    <x v="3"/>
    <x v="54"/>
    <x v="2"/>
    <s v="Percent of GDP"/>
    <s v="Units"/>
    <x v="5"/>
    <n v="29.062999999999999"/>
  </r>
  <r>
    <n v="200"/>
    <x v="3"/>
    <x v="54"/>
    <x v="2"/>
    <s v="Percent of GDP"/>
    <s v="Units"/>
    <x v="6"/>
    <n v="28.808"/>
  </r>
  <r>
    <n v="400"/>
    <x v="11"/>
    <x v="54"/>
    <x v="2"/>
    <s v="Percent of GDP"/>
    <s v="Units"/>
    <x v="0"/>
    <n v="33.463000000000001"/>
  </r>
  <r>
    <n v="400"/>
    <x v="11"/>
    <x v="54"/>
    <x v="2"/>
    <s v="Percent of GDP"/>
    <s v="Units"/>
    <x v="1"/>
    <n v="32.566000000000003"/>
  </r>
  <r>
    <n v="400"/>
    <x v="11"/>
    <x v="54"/>
    <x v="2"/>
    <s v="Percent of GDP"/>
    <s v="Units"/>
    <x v="2"/>
    <n v="29.611999999999998"/>
  </r>
  <r>
    <n v="400"/>
    <x v="11"/>
    <x v="54"/>
    <x v="2"/>
    <s v="Percent of GDP"/>
    <s v="Units"/>
    <x v="3"/>
    <n v="34.624000000000002"/>
  </r>
  <r>
    <n v="400"/>
    <x v="11"/>
    <x v="54"/>
    <x v="2"/>
    <s v="Percent of GDP"/>
    <s v="Units"/>
    <x v="4"/>
    <n v="29.818000000000001"/>
  </r>
  <r>
    <n v="400"/>
    <x v="11"/>
    <x v="54"/>
    <x v="2"/>
    <s v="Percent of GDP"/>
    <s v="Units"/>
    <x v="5"/>
    <n v="29.062999999999999"/>
  </r>
  <r>
    <n v="400"/>
    <x v="11"/>
    <x v="54"/>
    <x v="2"/>
    <s v="Percent of GDP"/>
    <s v="Units"/>
    <x v="6"/>
    <n v="28.808"/>
  </r>
  <r>
    <n v="200"/>
    <x v="3"/>
    <x v="98"/>
    <x v="5"/>
    <s v="Percent of GDP"/>
    <s v="Units"/>
    <x v="0"/>
    <n v="21.815000000000001"/>
  </r>
  <r>
    <n v="200"/>
    <x v="3"/>
    <x v="98"/>
    <x v="5"/>
    <s v="Percent of GDP"/>
    <s v="Units"/>
    <x v="1"/>
    <n v="17.126999999999999"/>
  </r>
  <r>
    <n v="200"/>
    <x v="3"/>
    <x v="98"/>
    <x v="5"/>
    <s v="Percent of GDP"/>
    <s v="Units"/>
    <x v="2"/>
    <n v="51.716000000000001"/>
  </r>
  <r>
    <n v="200"/>
    <x v="3"/>
    <x v="98"/>
    <x v="5"/>
    <s v="Percent of GDP"/>
    <s v="Units"/>
    <x v="3"/>
    <n v="53.295000000000002"/>
  </r>
  <r>
    <n v="200"/>
    <x v="3"/>
    <x v="98"/>
    <x v="5"/>
    <s v="Percent of GDP"/>
    <s v="Units"/>
    <x v="4"/>
    <n v="28.702000000000002"/>
  </r>
  <r>
    <n v="200"/>
    <x v="3"/>
    <x v="98"/>
    <x v="5"/>
    <s v="Percent of GDP"/>
    <s v="Units"/>
    <x v="5"/>
    <n v="29.04"/>
  </r>
  <r>
    <n v="200"/>
    <x v="3"/>
    <x v="98"/>
    <x v="5"/>
    <s v="Percent of GDP"/>
    <s v="Units"/>
    <x v="6"/>
    <n v="30.071000000000002"/>
  </r>
  <r>
    <n v="1"/>
    <x v="2"/>
    <x v="98"/>
    <x v="5"/>
    <s v="Percent of GDP"/>
    <s v="Units"/>
    <x v="0"/>
    <n v="21.815000000000001"/>
  </r>
  <r>
    <n v="1"/>
    <x v="2"/>
    <x v="98"/>
    <x v="5"/>
    <s v="Percent of GDP"/>
    <s v="Units"/>
    <x v="1"/>
    <n v="17.126999999999999"/>
  </r>
  <r>
    <n v="1"/>
    <x v="2"/>
    <x v="98"/>
    <x v="5"/>
    <s v="Percent of GDP"/>
    <s v="Units"/>
    <x v="2"/>
    <n v="51.716000000000001"/>
  </r>
  <r>
    <n v="1"/>
    <x v="2"/>
    <x v="98"/>
    <x v="5"/>
    <s v="Percent of GDP"/>
    <s v="Units"/>
    <x v="3"/>
    <n v="53.295000000000002"/>
  </r>
  <r>
    <n v="1"/>
    <x v="2"/>
    <x v="98"/>
    <x v="5"/>
    <s v="Percent of GDP"/>
    <s v="Units"/>
    <x v="4"/>
    <n v="28.702000000000002"/>
  </r>
  <r>
    <n v="1"/>
    <x v="2"/>
    <x v="98"/>
    <x v="5"/>
    <s v="Percent of GDP"/>
    <s v="Units"/>
    <x v="5"/>
    <n v="29.04"/>
  </r>
  <r>
    <n v="1"/>
    <x v="2"/>
    <x v="98"/>
    <x v="5"/>
    <s v="Percent of GDP"/>
    <s v="Units"/>
    <x v="6"/>
    <n v="30.071000000000002"/>
  </r>
  <r>
    <n v="603"/>
    <x v="12"/>
    <x v="98"/>
    <x v="5"/>
    <s v="Percent of GDP"/>
    <s v="Units"/>
    <x v="0"/>
    <n v="21.815000000000001"/>
  </r>
  <r>
    <n v="603"/>
    <x v="12"/>
    <x v="98"/>
    <x v="5"/>
    <s v="Percent of GDP"/>
    <s v="Units"/>
    <x v="1"/>
    <n v="17.126999999999999"/>
  </r>
  <r>
    <n v="603"/>
    <x v="12"/>
    <x v="98"/>
    <x v="5"/>
    <s v="Percent of GDP"/>
    <s v="Units"/>
    <x v="2"/>
    <n v="51.716000000000001"/>
  </r>
  <r>
    <n v="603"/>
    <x v="12"/>
    <x v="98"/>
    <x v="5"/>
    <s v="Percent of GDP"/>
    <s v="Units"/>
    <x v="3"/>
    <n v="53.295000000000002"/>
  </r>
  <r>
    <n v="603"/>
    <x v="12"/>
    <x v="98"/>
    <x v="5"/>
    <s v="Percent of GDP"/>
    <s v="Units"/>
    <x v="4"/>
    <n v="28.702000000000002"/>
  </r>
  <r>
    <n v="603"/>
    <x v="12"/>
    <x v="98"/>
    <x v="5"/>
    <s v="Percent of GDP"/>
    <s v="Units"/>
    <x v="5"/>
    <n v="29.04"/>
  </r>
  <r>
    <n v="603"/>
    <x v="12"/>
    <x v="98"/>
    <x v="5"/>
    <s v="Percent of GDP"/>
    <s v="Units"/>
    <x v="6"/>
    <n v="30.071000000000002"/>
  </r>
  <r>
    <n v="1"/>
    <x v="2"/>
    <x v="158"/>
    <x v="7"/>
    <s v="Percent of GDP"/>
    <s v="Units"/>
    <x v="0"/>
    <n v="23.460999999999999"/>
  </r>
  <r>
    <n v="1"/>
    <x v="2"/>
    <x v="158"/>
    <x v="7"/>
    <s v="Percent of GDP"/>
    <s v="Units"/>
    <x v="1"/>
    <n v="25.114999999999998"/>
  </r>
  <r>
    <n v="1"/>
    <x v="2"/>
    <x v="158"/>
    <x v="7"/>
    <s v="Percent of GDP"/>
    <s v="Units"/>
    <x v="2"/>
    <n v="26.13"/>
  </r>
  <r>
    <n v="1"/>
    <x v="2"/>
    <x v="158"/>
    <x v="7"/>
    <s v="Percent of GDP"/>
    <s v="Units"/>
    <x v="3"/>
    <n v="24.497"/>
  </r>
  <r>
    <n v="1"/>
    <x v="2"/>
    <x v="158"/>
    <x v="7"/>
    <s v="Percent of GDP"/>
    <s v="Units"/>
    <x v="4"/>
    <n v="24.561"/>
  </r>
  <r>
    <n v="1"/>
    <x v="2"/>
    <x v="158"/>
    <x v="7"/>
    <s v="Percent of GDP"/>
    <s v="Units"/>
    <x v="5"/>
    <n v="28.966999999999999"/>
  </r>
  <r>
    <n v="1"/>
    <x v="2"/>
    <x v="158"/>
    <x v="7"/>
    <s v="Percent of GDP"/>
    <s v="Units"/>
    <x v="6"/>
    <n v="29.331"/>
  </r>
  <r>
    <n v="200"/>
    <x v="3"/>
    <x v="159"/>
    <x v="3"/>
    <s v="Percent of GDP"/>
    <s v="Units"/>
    <x v="0"/>
    <n v="25.422000000000001"/>
  </r>
  <r>
    <n v="200"/>
    <x v="3"/>
    <x v="159"/>
    <x v="3"/>
    <s v="Percent of GDP"/>
    <s v="Units"/>
    <x v="1"/>
    <n v="34.951999999999998"/>
  </r>
  <r>
    <n v="200"/>
    <x v="3"/>
    <x v="159"/>
    <x v="3"/>
    <s v="Percent of GDP"/>
    <s v="Units"/>
    <x v="2"/>
    <n v="32.856999999999999"/>
  </r>
  <r>
    <n v="200"/>
    <x v="3"/>
    <x v="159"/>
    <x v="3"/>
    <s v="Percent of GDP"/>
    <s v="Units"/>
    <x v="3"/>
    <n v="30.952999999999999"/>
  </r>
  <r>
    <n v="200"/>
    <x v="3"/>
    <x v="159"/>
    <x v="3"/>
    <s v="Percent of GDP"/>
    <s v="Units"/>
    <x v="4"/>
    <n v="28.625"/>
  </r>
  <r>
    <n v="200"/>
    <x v="3"/>
    <x v="159"/>
    <x v="3"/>
    <s v="Percent of GDP"/>
    <s v="Units"/>
    <x v="5"/>
    <n v="28.966999999999999"/>
  </r>
  <r>
    <n v="200"/>
    <x v="3"/>
    <x v="159"/>
    <x v="3"/>
    <s v="Percent of GDP"/>
    <s v="Units"/>
    <x v="6"/>
    <n v="27.702999999999999"/>
  </r>
  <r>
    <n v="205"/>
    <x v="7"/>
    <x v="159"/>
    <x v="3"/>
    <s v="Percent of GDP"/>
    <s v="Units"/>
    <x v="0"/>
    <n v="25.422000000000001"/>
  </r>
  <r>
    <n v="205"/>
    <x v="7"/>
    <x v="159"/>
    <x v="3"/>
    <s v="Percent of GDP"/>
    <s v="Units"/>
    <x v="1"/>
    <n v="34.951999999999998"/>
  </r>
  <r>
    <n v="205"/>
    <x v="7"/>
    <x v="159"/>
    <x v="3"/>
    <s v="Percent of GDP"/>
    <s v="Units"/>
    <x v="2"/>
    <n v="32.856999999999999"/>
  </r>
  <r>
    <n v="205"/>
    <x v="7"/>
    <x v="159"/>
    <x v="3"/>
    <s v="Percent of GDP"/>
    <s v="Units"/>
    <x v="3"/>
    <n v="30.952999999999999"/>
  </r>
  <r>
    <n v="205"/>
    <x v="7"/>
    <x v="159"/>
    <x v="3"/>
    <s v="Percent of GDP"/>
    <s v="Units"/>
    <x v="4"/>
    <n v="28.625"/>
  </r>
  <r>
    <n v="205"/>
    <x v="7"/>
    <x v="159"/>
    <x v="3"/>
    <s v="Percent of GDP"/>
    <s v="Units"/>
    <x v="5"/>
    <n v="28.966999999999999"/>
  </r>
  <r>
    <n v="205"/>
    <x v="7"/>
    <x v="159"/>
    <x v="3"/>
    <s v="Percent of GDP"/>
    <s v="Units"/>
    <x v="6"/>
    <n v="27.702999999999999"/>
  </r>
  <r>
    <n v="200"/>
    <x v="3"/>
    <x v="158"/>
    <x v="7"/>
    <s v="Percent of GDP"/>
    <s v="Units"/>
    <x v="0"/>
    <n v="23.460999999999999"/>
  </r>
  <r>
    <n v="200"/>
    <x v="3"/>
    <x v="158"/>
    <x v="7"/>
    <s v="Percent of GDP"/>
    <s v="Units"/>
    <x v="1"/>
    <n v="25.114999999999998"/>
  </r>
  <r>
    <n v="200"/>
    <x v="3"/>
    <x v="158"/>
    <x v="7"/>
    <s v="Percent of GDP"/>
    <s v="Units"/>
    <x v="2"/>
    <n v="26.13"/>
  </r>
  <r>
    <n v="200"/>
    <x v="3"/>
    <x v="158"/>
    <x v="7"/>
    <s v="Percent of GDP"/>
    <s v="Units"/>
    <x v="3"/>
    <n v="24.497"/>
  </r>
  <r>
    <n v="200"/>
    <x v="3"/>
    <x v="158"/>
    <x v="7"/>
    <s v="Percent of GDP"/>
    <s v="Units"/>
    <x v="4"/>
    <n v="24.561"/>
  </r>
  <r>
    <n v="200"/>
    <x v="3"/>
    <x v="158"/>
    <x v="7"/>
    <s v="Percent of GDP"/>
    <s v="Units"/>
    <x v="5"/>
    <n v="28.966999999999999"/>
  </r>
  <r>
    <n v="200"/>
    <x v="3"/>
    <x v="158"/>
    <x v="7"/>
    <s v="Percent of GDP"/>
    <s v="Units"/>
    <x v="6"/>
    <n v="29.331"/>
  </r>
  <r>
    <n v="603"/>
    <x v="12"/>
    <x v="158"/>
    <x v="7"/>
    <s v="Percent of GDP"/>
    <s v="Units"/>
    <x v="0"/>
    <n v="23.460999999999999"/>
  </r>
  <r>
    <n v="603"/>
    <x v="12"/>
    <x v="158"/>
    <x v="7"/>
    <s v="Percent of GDP"/>
    <s v="Units"/>
    <x v="1"/>
    <n v="25.114999999999998"/>
  </r>
  <r>
    <n v="603"/>
    <x v="12"/>
    <x v="158"/>
    <x v="7"/>
    <s v="Percent of GDP"/>
    <s v="Units"/>
    <x v="2"/>
    <n v="26.13"/>
  </r>
  <r>
    <n v="603"/>
    <x v="12"/>
    <x v="158"/>
    <x v="7"/>
    <s v="Percent of GDP"/>
    <s v="Units"/>
    <x v="3"/>
    <n v="24.497"/>
  </r>
  <r>
    <n v="603"/>
    <x v="12"/>
    <x v="158"/>
    <x v="7"/>
    <s v="Percent of GDP"/>
    <s v="Units"/>
    <x v="4"/>
    <n v="24.561"/>
  </r>
  <r>
    <n v="603"/>
    <x v="12"/>
    <x v="158"/>
    <x v="7"/>
    <s v="Percent of GDP"/>
    <s v="Units"/>
    <x v="5"/>
    <n v="28.966999999999999"/>
  </r>
  <r>
    <n v="603"/>
    <x v="12"/>
    <x v="158"/>
    <x v="7"/>
    <s v="Percent of GDP"/>
    <s v="Units"/>
    <x v="6"/>
    <n v="29.331"/>
  </r>
  <r>
    <n v="200"/>
    <x v="3"/>
    <x v="160"/>
    <x v="3"/>
    <s v="Percent of GDP"/>
    <s v="Units"/>
    <x v="0"/>
    <n v="30.495000000000001"/>
  </r>
  <r>
    <n v="200"/>
    <x v="3"/>
    <x v="160"/>
    <x v="3"/>
    <s v="Percent of GDP"/>
    <s v="Units"/>
    <x v="1"/>
    <n v="35.084000000000003"/>
  </r>
  <r>
    <n v="200"/>
    <x v="3"/>
    <x v="160"/>
    <x v="3"/>
    <s v="Percent of GDP"/>
    <s v="Units"/>
    <x v="2"/>
    <n v="31.143000000000001"/>
  </r>
  <r>
    <n v="200"/>
    <x v="3"/>
    <x v="160"/>
    <x v="3"/>
    <s v="Percent of GDP"/>
    <s v="Units"/>
    <x v="3"/>
    <n v="27.507000000000001"/>
  </r>
  <r>
    <n v="200"/>
    <x v="3"/>
    <x v="160"/>
    <x v="3"/>
    <s v="Percent of GDP"/>
    <s v="Units"/>
    <x v="4"/>
    <n v="29.780999999999999"/>
  </r>
  <r>
    <n v="200"/>
    <x v="3"/>
    <x v="160"/>
    <x v="3"/>
    <s v="Percent of GDP"/>
    <s v="Units"/>
    <x v="5"/>
    <n v="28.957999999999998"/>
  </r>
  <r>
    <n v="200"/>
    <x v="3"/>
    <x v="160"/>
    <x v="3"/>
    <s v="Percent of GDP"/>
    <s v="Units"/>
    <x v="6"/>
    <n v="29.609000000000002"/>
  </r>
  <r>
    <n v="205"/>
    <x v="7"/>
    <x v="160"/>
    <x v="3"/>
    <s v="Percent of GDP"/>
    <s v="Units"/>
    <x v="0"/>
    <n v="30.495000000000001"/>
  </r>
  <r>
    <n v="205"/>
    <x v="7"/>
    <x v="160"/>
    <x v="3"/>
    <s v="Percent of GDP"/>
    <s v="Units"/>
    <x v="1"/>
    <n v="35.084000000000003"/>
  </r>
  <r>
    <n v="205"/>
    <x v="7"/>
    <x v="160"/>
    <x v="3"/>
    <s v="Percent of GDP"/>
    <s v="Units"/>
    <x v="2"/>
    <n v="31.143000000000001"/>
  </r>
  <r>
    <n v="205"/>
    <x v="7"/>
    <x v="160"/>
    <x v="3"/>
    <s v="Percent of GDP"/>
    <s v="Units"/>
    <x v="3"/>
    <n v="27.507000000000001"/>
  </r>
  <r>
    <n v="205"/>
    <x v="7"/>
    <x v="160"/>
    <x v="3"/>
    <s v="Percent of GDP"/>
    <s v="Units"/>
    <x v="4"/>
    <n v="29.780999999999999"/>
  </r>
  <r>
    <n v="205"/>
    <x v="7"/>
    <x v="160"/>
    <x v="3"/>
    <s v="Percent of GDP"/>
    <s v="Units"/>
    <x v="5"/>
    <n v="28.957999999999998"/>
  </r>
  <r>
    <n v="205"/>
    <x v="7"/>
    <x v="160"/>
    <x v="3"/>
    <s v="Percent of GDP"/>
    <s v="Units"/>
    <x v="6"/>
    <n v="29.609000000000002"/>
  </r>
  <r>
    <n v="603"/>
    <x v="12"/>
    <x v="158"/>
    <x v="3"/>
    <s v="Percent of GDP"/>
    <s v="Units"/>
    <x v="0"/>
    <n v="28.21"/>
  </r>
  <r>
    <n v="603"/>
    <x v="12"/>
    <x v="158"/>
    <x v="3"/>
    <s v="Percent of GDP"/>
    <s v="Units"/>
    <x v="1"/>
    <n v="33.463999999999999"/>
  </r>
  <r>
    <n v="603"/>
    <x v="12"/>
    <x v="158"/>
    <x v="3"/>
    <s v="Percent of GDP"/>
    <s v="Units"/>
    <x v="2"/>
    <n v="31.6"/>
  </r>
  <r>
    <n v="603"/>
    <x v="12"/>
    <x v="158"/>
    <x v="3"/>
    <s v="Percent of GDP"/>
    <s v="Units"/>
    <x v="3"/>
    <n v="29.663"/>
  </r>
  <r>
    <n v="603"/>
    <x v="12"/>
    <x v="158"/>
    <x v="3"/>
    <s v="Percent of GDP"/>
    <s v="Units"/>
    <x v="4"/>
    <n v="28.096"/>
  </r>
  <r>
    <n v="603"/>
    <x v="12"/>
    <x v="158"/>
    <x v="3"/>
    <s v="Percent of GDP"/>
    <s v="Units"/>
    <x v="5"/>
    <n v="28.94"/>
  </r>
  <r>
    <n v="603"/>
    <x v="12"/>
    <x v="158"/>
    <x v="3"/>
    <s v="Percent of GDP"/>
    <s v="Units"/>
    <x v="6"/>
    <n v="27.388000000000002"/>
  </r>
  <r>
    <n v="200"/>
    <x v="3"/>
    <x v="158"/>
    <x v="3"/>
    <s v="Percent of GDP"/>
    <s v="Units"/>
    <x v="0"/>
    <n v="28.21"/>
  </r>
  <r>
    <n v="200"/>
    <x v="3"/>
    <x v="158"/>
    <x v="3"/>
    <s v="Percent of GDP"/>
    <s v="Units"/>
    <x v="1"/>
    <n v="33.463999999999999"/>
  </r>
  <r>
    <n v="200"/>
    <x v="3"/>
    <x v="158"/>
    <x v="3"/>
    <s v="Percent of GDP"/>
    <s v="Units"/>
    <x v="2"/>
    <n v="31.6"/>
  </r>
  <r>
    <n v="200"/>
    <x v="3"/>
    <x v="158"/>
    <x v="3"/>
    <s v="Percent of GDP"/>
    <s v="Units"/>
    <x v="3"/>
    <n v="29.663"/>
  </r>
  <r>
    <n v="200"/>
    <x v="3"/>
    <x v="158"/>
    <x v="3"/>
    <s v="Percent of GDP"/>
    <s v="Units"/>
    <x v="4"/>
    <n v="28.096"/>
  </r>
  <r>
    <n v="200"/>
    <x v="3"/>
    <x v="158"/>
    <x v="3"/>
    <s v="Percent of GDP"/>
    <s v="Units"/>
    <x v="5"/>
    <n v="28.94"/>
  </r>
  <r>
    <n v="200"/>
    <x v="3"/>
    <x v="158"/>
    <x v="3"/>
    <s v="Percent of GDP"/>
    <s v="Units"/>
    <x v="6"/>
    <n v="27.388000000000002"/>
  </r>
  <r>
    <n v="205"/>
    <x v="7"/>
    <x v="137"/>
    <x v="2"/>
    <s v="Percent of GDP"/>
    <s v="Units"/>
    <x v="0"/>
    <n v="26.917999999999999"/>
  </r>
  <r>
    <n v="205"/>
    <x v="7"/>
    <x v="137"/>
    <x v="2"/>
    <s v="Percent of GDP"/>
    <s v="Units"/>
    <x v="1"/>
    <n v="27.917000000000002"/>
  </r>
  <r>
    <n v="205"/>
    <x v="7"/>
    <x v="137"/>
    <x v="2"/>
    <s v="Percent of GDP"/>
    <s v="Units"/>
    <x v="2"/>
    <n v="30.533000000000001"/>
  </r>
  <r>
    <n v="205"/>
    <x v="7"/>
    <x v="137"/>
    <x v="2"/>
    <s v="Percent of GDP"/>
    <s v="Units"/>
    <x v="3"/>
    <n v="27.92"/>
  </r>
  <r>
    <n v="205"/>
    <x v="7"/>
    <x v="137"/>
    <x v="2"/>
    <s v="Percent of GDP"/>
    <s v="Units"/>
    <x v="4"/>
    <n v="27.393999999999998"/>
  </r>
  <r>
    <n v="205"/>
    <x v="7"/>
    <x v="137"/>
    <x v="2"/>
    <s v="Percent of GDP"/>
    <s v="Units"/>
    <x v="5"/>
    <n v="28.798999999999999"/>
  </r>
  <r>
    <n v="205"/>
    <x v="7"/>
    <x v="137"/>
    <x v="2"/>
    <s v="Percent of GDP"/>
    <s v="Units"/>
    <x v="6"/>
    <n v="28.86"/>
  </r>
  <r>
    <n v="200"/>
    <x v="3"/>
    <x v="137"/>
    <x v="2"/>
    <s v="Percent of GDP"/>
    <s v="Units"/>
    <x v="0"/>
    <n v="26.917999999999999"/>
  </r>
  <r>
    <n v="200"/>
    <x v="3"/>
    <x v="137"/>
    <x v="2"/>
    <s v="Percent of GDP"/>
    <s v="Units"/>
    <x v="1"/>
    <n v="27.917000000000002"/>
  </r>
  <r>
    <n v="200"/>
    <x v="3"/>
    <x v="137"/>
    <x v="2"/>
    <s v="Percent of GDP"/>
    <s v="Units"/>
    <x v="2"/>
    <n v="30.533000000000001"/>
  </r>
  <r>
    <n v="200"/>
    <x v="3"/>
    <x v="137"/>
    <x v="2"/>
    <s v="Percent of GDP"/>
    <s v="Units"/>
    <x v="3"/>
    <n v="27.92"/>
  </r>
  <r>
    <n v="200"/>
    <x v="3"/>
    <x v="137"/>
    <x v="2"/>
    <s v="Percent of GDP"/>
    <s v="Units"/>
    <x v="4"/>
    <n v="27.393999999999998"/>
  </r>
  <r>
    <n v="200"/>
    <x v="3"/>
    <x v="137"/>
    <x v="2"/>
    <s v="Percent of GDP"/>
    <s v="Units"/>
    <x v="5"/>
    <n v="28.798999999999999"/>
  </r>
  <r>
    <n v="200"/>
    <x v="3"/>
    <x v="137"/>
    <x v="2"/>
    <s v="Percent of GDP"/>
    <s v="Units"/>
    <x v="6"/>
    <n v="28.86"/>
  </r>
  <r>
    <n v="200"/>
    <x v="3"/>
    <x v="73"/>
    <x v="2"/>
    <s v="Percent of GDP"/>
    <s v="Units"/>
    <x v="0"/>
    <n v="26.777000000000001"/>
  </r>
  <r>
    <n v="200"/>
    <x v="3"/>
    <x v="73"/>
    <x v="2"/>
    <s v="Percent of GDP"/>
    <s v="Units"/>
    <x v="1"/>
    <n v="25.46"/>
  </r>
  <r>
    <n v="200"/>
    <x v="3"/>
    <x v="73"/>
    <x v="2"/>
    <s v="Percent of GDP"/>
    <s v="Units"/>
    <x v="2"/>
    <n v="25.931999999999999"/>
  </r>
  <r>
    <n v="200"/>
    <x v="3"/>
    <x v="73"/>
    <x v="2"/>
    <s v="Percent of GDP"/>
    <s v="Units"/>
    <x v="3"/>
    <n v="30.515999999999998"/>
  </r>
  <r>
    <n v="200"/>
    <x v="3"/>
    <x v="73"/>
    <x v="2"/>
    <s v="Percent of GDP"/>
    <s v="Units"/>
    <x v="4"/>
    <n v="28.844000000000001"/>
  </r>
  <r>
    <n v="200"/>
    <x v="3"/>
    <x v="73"/>
    <x v="2"/>
    <s v="Percent of GDP"/>
    <s v="Units"/>
    <x v="5"/>
    <n v="28.765999999999998"/>
  </r>
  <r>
    <n v="200"/>
    <x v="3"/>
    <x v="73"/>
    <x v="2"/>
    <s v="Percent of GDP"/>
    <s v="Units"/>
    <x v="6"/>
    <n v="29.035"/>
  </r>
  <r>
    <n v="400"/>
    <x v="11"/>
    <x v="73"/>
    <x v="2"/>
    <s v="Percent of GDP"/>
    <s v="Units"/>
    <x v="0"/>
    <n v="26.777000000000001"/>
  </r>
  <r>
    <n v="400"/>
    <x v="11"/>
    <x v="73"/>
    <x v="2"/>
    <s v="Percent of GDP"/>
    <s v="Units"/>
    <x v="1"/>
    <n v="25.46"/>
  </r>
  <r>
    <n v="400"/>
    <x v="11"/>
    <x v="73"/>
    <x v="2"/>
    <s v="Percent of GDP"/>
    <s v="Units"/>
    <x v="2"/>
    <n v="25.931999999999999"/>
  </r>
  <r>
    <n v="400"/>
    <x v="11"/>
    <x v="73"/>
    <x v="2"/>
    <s v="Percent of GDP"/>
    <s v="Units"/>
    <x v="3"/>
    <n v="30.515999999999998"/>
  </r>
  <r>
    <n v="400"/>
    <x v="11"/>
    <x v="73"/>
    <x v="2"/>
    <s v="Percent of GDP"/>
    <s v="Units"/>
    <x v="4"/>
    <n v="28.844000000000001"/>
  </r>
  <r>
    <n v="400"/>
    <x v="11"/>
    <x v="73"/>
    <x v="2"/>
    <s v="Percent of GDP"/>
    <s v="Units"/>
    <x v="5"/>
    <n v="28.765999999999998"/>
  </r>
  <r>
    <n v="400"/>
    <x v="11"/>
    <x v="73"/>
    <x v="2"/>
    <s v="Percent of GDP"/>
    <s v="Units"/>
    <x v="6"/>
    <n v="29.035"/>
  </r>
  <r>
    <n v="400"/>
    <x v="11"/>
    <x v="108"/>
    <x v="7"/>
    <s v="Percent of GDP"/>
    <s v="Units"/>
    <x v="0"/>
    <n v="32.637999999999998"/>
  </r>
  <r>
    <n v="400"/>
    <x v="11"/>
    <x v="108"/>
    <x v="7"/>
    <s v="Percent of GDP"/>
    <s v="Units"/>
    <x v="1"/>
    <n v="35.094999999999999"/>
  </r>
  <r>
    <n v="400"/>
    <x v="11"/>
    <x v="108"/>
    <x v="7"/>
    <s v="Percent of GDP"/>
    <s v="Units"/>
    <x v="2"/>
    <n v="25.585000000000001"/>
  </r>
  <r>
    <n v="400"/>
    <x v="11"/>
    <x v="108"/>
    <x v="7"/>
    <s v="Percent of GDP"/>
    <s v="Units"/>
    <x v="3"/>
    <n v="26.698"/>
  </r>
  <r>
    <n v="400"/>
    <x v="11"/>
    <x v="108"/>
    <x v="7"/>
    <s v="Percent of GDP"/>
    <s v="Units"/>
    <x v="4"/>
    <n v="28.49"/>
  </r>
  <r>
    <n v="400"/>
    <x v="11"/>
    <x v="108"/>
    <x v="7"/>
    <s v="Percent of GDP"/>
    <s v="Units"/>
    <x v="5"/>
    <n v="28.763000000000002"/>
  </r>
  <r>
    <n v="400"/>
    <x v="11"/>
    <x v="108"/>
    <x v="7"/>
    <s v="Percent of GDP"/>
    <s v="Units"/>
    <x v="6"/>
    <n v="29.591000000000001"/>
  </r>
  <r>
    <n v="1"/>
    <x v="2"/>
    <x v="108"/>
    <x v="7"/>
    <s v="Percent of GDP"/>
    <s v="Units"/>
    <x v="0"/>
    <n v="32.637999999999998"/>
  </r>
  <r>
    <n v="1"/>
    <x v="2"/>
    <x v="108"/>
    <x v="7"/>
    <s v="Percent of GDP"/>
    <s v="Units"/>
    <x v="1"/>
    <n v="35.094999999999999"/>
  </r>
  <r>
    <n v="1"/>
    <x v="2"/>
    <x v="108"/>
    <x v="7"/>
    <s v="Percent of GDP"/>
    <s v="Units"/>
    <x v="2"/>
    <n v="25.585000000000001"/>
  </r>
  <r>
    <n v="1"/>
    <x v="2"/>
    <x v="108"/>
    <x v="7"/>
    <s v="Percent of GDP"/>
    <s v="Units"/>
    <x v="3"/>
    <n v="26.698"/>
  </r>
  <r>
    <n v="1"/>
    <x v="2"/>
    <x v="108"/>
    <x v="7"/>
    <s v="Percent of GDP"/>
    <s v="Units"/>
    <x v="4"/>
    <n v="28.49"/>
  </r>
  <r>
    <n v="1"/>
    <x v="2"/>
    <x v="108"/>
    <x v="7"/>
    <s v="Percent of GDP"/>
    <s v="Units"/>
    <x v="5"/>
    <n v="28.763000000000002"/>
  </r>
  <r>
    <n v="1"/>
    <x v="2"/>
    <x v="108"/>
    <x v="7"/>
    <s v="Percent of GDP"/>
    <s v="Units"/>
    <x v="6"/>
    <n v="29.591000000000001"/>
  </r>
  <r>
    <n v="200"/>
    <x v="3"/>
    <x v="108"/>
    <x v="7"/>
    <s v="Percent of GDP"/>
    <s v="Units"/>
    <x v="0"/>
    <n v="32.637999999999998"/>
  </r>
  <r>
    <n v="200"/>
    <x v="3"/>
    <x v="108"/>
    <x v="7"/>
    <s v="Percent of GDP"/>
    <s v="Units"/>
    <x v="1"/>
    <n v="35.094999999999999"/>
  </r>
  <r>
    <n v="200"/>
    <x v="3"/>
    <x v="108"/>
    <x v="7"/>
    <s v="Percent of GDP"/>
    <s v="Units"/>
    <x v="2"/>
    <n v="25.585000000000001"/>
  </r>
  <r>
    <n v="200"/>
    <x v="3"/>
    <x v="108"/>
    <x v="7"/>
    <s v="Percent of GDP"/>
    <s v="Units"/>
    <x v="3"/>
    <n v="26.698"/>
  </r>
  <r>
    <n v="200"/>
    <x v="3"/>
    <x v="108"/>
    <x v="7"/>
    <s v="Percent of GDP"/>
    <s v="Units"/>
    <x v="4"/>
    <n v="28.49"/>
  </r>
  <r>
    <n v="200"/>
    <x v="3"/>
    <x v="108"/>
    <x v="7"/>
    <s v="Percent of GDP"/>
    <s v="Units"/>
    <x v="5"/>
    <n v="28.763000000000002"/>
  </r>
  <r>
    <n v="200"/>
    <x v="3"/>
    <x v="108"/>
    <x v="7"/>
    <s v="Percent of GDP"/>
    <s v="Units"/>
    <x v="6"/>
    <n v="29.591000000000001"/>
  </r>
  <r>
    <n v="200"/>
    <x v="3"/>
    <x v="146"/>
    <x v="2"/>
    <s v="Percent of GDP"/>
    <s v="Units"/>
    <x v="0"/>
    <n v="28.327999999999999"/>
  </r>
  <r>
    <n v="200"/>
    <x v="3"/>
    <x v="146"/>
    <x v="2"/>
    <s v="Percent of GDP"/>
    <s v="Units"/>
    <x v="1"/>
    <n v="25.670999999999999"/>
  </r>
  <r>
    <n v="200"/>
    <x v="3"/>
    <x v="146"/>
    <x v="2"/>
    <s v="Percent of GDP"/>
    <s v="Units"/>
    <x v="2"/>
    <n v="29.030999999999999"/>
  </r>
  <r>
    <n v="200"/>
    <x v="3"/>
    <x v="146"/>
    <x v="2"/>
    <s v="Percent of GDP"/>
    <s v="Units"/>
    <x v="3"/>
    <n v="28.725000000000001"/>
  </r>
  <r>
    <n v="200"/>
    <x v="3"/>
    <x v="146"/>
    <x v="2"/>
    <s v="Percent of GDP"/>
    <s v="Units"/>
    <x v="4"/>
    <n v="28.684000000000001"/>
  </r>
  <r>
    <n v="200"/>
    <x v="3"/>
    <x v="146"/>
    <x v="2"/>
    <s v="Percent of GDP"/>
    <s v="Units"/>
    <x v="5"/>
    <n v="28.724"/>
  </r>
  <r>
    <n v="200"/>
    <x v="3"/>
    <x v="146"/>
    <x v="2"/>
    <s v="Percent of GDP"/>
    <s v="Units"/>
    <x v="6"/>
    <n v="28.573"/>
  </r>
  <r>
    <n v="603"/>
    <x v="12"/>
    <x v="146"/>
    <x v="2"/>
    <s v="Percent of GDP"/>
    <s v="Units"/>
    <x v="0"/>
    <n v="28.327999999999999"/>
  </r>
  <r>
    <n v="603"/>
    <x v="12"/>
    <x v="146"/>
    <x v="2"/>
    <s v="Percent of GDP"/>
    <s v="Units"/>
    <x v="1"/>
    <n v="25.670999999999999"/>
  </r>
  <r>
    <n v="603"/>
    <x v="12"/>
    <x v="146"/>
    <x v="2"/>
    <s v="Percent of GDP"/>
    <s v="Units"/>
    <x v="2"/>
    <n v="29.030999999999999"/>
  </r>
  <r>
    <n v="603"/>
    <x v="12"/>
    <x v="146"/>
    <x v="2"/>
    <s v="Percent of GDP"/>
    <s v="Units"/>
    <x v="3"/>
    <n v="28.725000000000001"/>
  </r>
  <r>
    <n v="603"/>
    <x v="12"/>
    <x v="146"/>
    <x v="2"/>
    <s v="Percent of GDP"/>
    <s v="Units"/>
    <x v="4"/>
    <n v="28.684000000000001"/>
  </r>
  <r>
    <n v="603"/>
    <x v="12"/>
    <x v="146"/>
    <x v="2"/>
    <s v="Percent of GDP"/>
    <s v="Units"/>
    <x v="5"/>
    <n v="28.724"/>
  </r>
  <r>
    <n v="603"/>
    <x v="12"/>
    <x v="146"/>
    <x v="2"/>
    <s v="Percent of GDP"/>
    <s v="Units"/>
    <x v="6"/>
    <n v="28.573"/>
  </r>
  <r>
    <n v="200"/>
    <x v="3"/>
    <x v="150"/>
    <x v="2"/>
    <s v="Percent of GDP"/>
    <s v="Units"/>
    <x v="0"/>
    <n v="26.995000000000001"/>
  </r>
  <r>
    <n v="200"/>
    <x v="3"/>
    <x v="150"/>
    <x v="2"/>
    <s v="Percent of GDP"/>
    <s v="Units"/>
    <x v="1"/>
    <n v="25.640999999999998"/>
  </r>
  <r>
    <n v="200"/>
    <x v="3"/>
    <x v="150"/>
    <x v="2"/>
    <s v="Percent of GDP"/>
    <s v="Units"/>
    <x v="2"/>
    <n v="27.792000000000002"/>
  </r>
  <r>
    <n v="200"/>
    <x v="3"/>
    <x v="150"/>
    <x v="2"/>
    <s v="Percent of GDP"/>
    <s v="Units"/>
    <x v="3"/>
    <n v="28.152000000000001"/>
  </r>
  <r>
    <n v="200"/>
    <x v="3"/>
    <x v="150"/>
    <x v="2"/>
    <s v="Percent of GDP"/>
    <s v="Units"/>
    <x v="4"/>
    <n v="29.497"/>
  </r>
  <r>
    <n v="200"/>
    <x v="3"/>
    <x v="150"/>
    <x v="2"/>
    <s v="Percent of GDP"/>
    <s v="Units"/>
    <x v="5"/>
    <n v="28.716000000000001"/>
  </r>
  <r>
    <n v="200"/>
    <x v="3"/>
    <x v="150"/>
    <x v="2"/>
    <s v="Percent of GDP"/>
    <s v="Units"/>
    <x v="6"/>
    <n v="28.393999999999998"/>
  </r>
  <r>
    <n v="903"/>
    <x v="8"/>
    <x v="150"/>
    <x v="2"/>
    <s v="Percent of GDP"/>
    <s v="Units"/>
    <x v="0"/>
    <n v="26.995000000000001"/>
  </r>
  <r>
    <n v="903"/>
    <x v="8"/>
    <x v="150"/>
    <x v="2"/>
    <s v="Percent of GDP"/>
    <s v="Units"/>
    <x v="1"/>
    <n v="25.640999999999998"/>
  </r>
  <r>
    <n v="903"/>
    <x v="8"/>
    <x v="150"/>
    <x v="2"/>
    <s v="Percent of GDP"/>
    <s v="Units"/>
    <x v="2"/>
    <n v="27.792000000000002"/>
  </r>
  <r>
    <n v="903"/>
    <x v="8"/>
    <x v="150"/>
    <x v="2"/>
    <s v="Percent of GDP"/>
    <s v="Units"/>
    <x v="3"/>
    <n v="28.152000000000001"/>
  </r>
  <r>
    <n v="903"/>
    <x v="8"/>
    <x v="150"/>
    <x v="2"/>
    <s v="Percent of GDP"/>
    <s v="Units"/>
    <x v="4"/>
    <n v="29.497"/>
  </r>
  <r>
    <n v="903"/>
    <x v="8"/>
    <x v="150"/>
    <x v="2"/>
    <s v="Percent of GDP"/>
    <s v="Units"/>
    <x v="5"/>
    <n v="28.716000000000001"/>
  </r>
  <r>
    <n v="903"/>
    <x v="8"/>
    <x v="150"/>
    <x v="2"/>
    <s v="Percent of GDP"/>
    <s v="Units"/>
    <x v="6"/>
    <n v="28.393999999999998"/>
  </r>
  <r>
    <n v="505"/>
    <x v="4"/>
    <x v="130"/>
    <x v="3"/>
    <s v="Percent of GDP"/>
    <s v="Units"/>
    <x v="0"/>
    <n v="24.248000000000001"/>
  </r>
  <r>
    <n v="505"/>
    <x v="4"/>
    <x v="130"/>
    <x v="3"/>
    <s v="Percent of GDP"/>
    <s v="Units"/>
    <x v="1"/>
    <n v="30.948"/>
  </r>
  <r>
    <n v="505"/>
    <x v="4"/>
    <x v="130"/>
    <x v="3"/>
    <s v="Percent of GDP"/>
    <s v="Units"/>
    <x v="2"/>
    <n v="36.628999999999998"/>
  </r>
  <r>
    <n v="505"/>
    <x v="4"/>
    <x v="130"/>
    <x v="3"/>
    <s v="Percent of GDP"/>
    <s v="Units"/>
    <x v="3"/>
    <n v="32.088000000000001"/>
  </r>
  <r>
    <n v="505"/>
    <x v="4"/>
    <x v="130"/>
    <x v="3"/>
    <s v="Percent of GDP"/>
    <s v="Units"/>
    <x v="4"/>
    <n v="29.103999999999999"/>
  </r>
  <r>
    <n v="505"/>
    <x v="4"/>
    <x v="130"/>
    <x v="3"/>
    <s v="Percent of GDP"/>
    <s v="Units"/>
    <x v="5"/>
    <n v="28.646000000000001"/>
  </r>
  <r>
    <n v="505"/>
    <x v="4"/>
    <x v="130"/>
    <x v="3"/>
    <s v="Percent of GDP"/>
    <s v="Units"/>
    <x v="6"/>
    <n v="29.574999999999999"/>
  </r>
  <r>
    <n v="200"/>
    <x v="3"/>
    <x v="130"/>
    <x v="3"/>
    <s v="Percent of GDP"/>
    <s v="Units"/>
    <x v="0"/>
    <n v="24.248000000000001"/>
  </r>
  <r>
    <n v="200"/>
    <x v="3"/>
    <x v="130"/>
    <x v="3"/>
    <s v="Percent of GDP"/>
    <s v="Units"/>
    <x v="1"/>
    <n v="30.948"/>
  </r>
  <r>
    <n v="200"/>
    <x v="3"/>
    <x v="130"/>
    <x v="3"/>
    <s v="Percent of GDP"/>
    <s v="Units"/>
    <x v="2"/>
    <n v="36.628999999999998"/>
  </r>
  <r>
    <n v="200"/>
    <x v="3"/>
    <x v="130"/>
    <x v="3"/>
    <s v="Percent of GDP"/>
    <s v="Units"/>
    <x v="3"/>
    <n v="32.088000000000001"/>
  </r>
  <r>
    <n v="200"/>
    <x v="3"/>
    <x v="130"/>
    <x v="3"/>
    <s v="Percent of GDP"/>
    <s v="Units"/>
    <x v="4"/>
    <n v="29.103999999999999"/>
  </r>
  <r>
    <n v="200"/>
    <x v="3"/>
    <x v="130"/>
    <x v="3"/>
    <s v="Percent of GDP"/>
    <s v="Units"/>
    <x v="5"/>
    <n v="28.646000000000001"/>
  </r>
  <r>
    <n v="200"/>
    <x v="3"/>
    <x v="130"/>
    <x v="3"/>
    <s v="Percent of GDP"/>
    <s v="Units"/>
    <x v="6"/>
    <n v="29.574999999999999"/>
  </r>
  <r>
    <n v="603"/>
    <x v="12"/>
    <x v="97"/>
    <x v="7"/>
    <s v="Percent of GDP"/>
    <s v="Units"/>
    <x v="0"/>
    <n v="26.344999999999999"/>
  </r>
  <r>
    <n v="603"/>
    <x v="12"/>
    <x v="97"/>
    <x v="7"/>
    <s v="Percent of GDP"/>
    <s v="Units"/>
    <x v="1"/>
    <n v="27.352"/>
  </r>
  <r>
    <n v="603"/>
    <x v="12"/>
    <x v="97"/>
    <x v="7"/>
    <s v="Percent of GDP"/>
    <s v="Units"/>
    <x v="2"/>
    <n v="26.751999999999999"/>
  </r>
  <r>
    <n v="603"/>
    <x v="12"/>
    <x v="97"/>
    <x v="7"/>
    <s v="Percent of GDP"/>
    <s v="Units"/>
    <x v="3"/>
    <n v="27.13"/>
  </r>
  <r>
    <n v="603"/>
    <x v="12"/>
    <x v="97"/>
    <x v="7"/>
    <s v="Percent of GDP"/>
    <s v="Units"/>
    <x v="4"/>
    <n v="28.135000000000002"/>
  </r>
  <r>
    <n v="603"/>
    <x v="12"/>
    <x v="97"/>
    <x v="7"/>
    <s v="Percent of GDP"/>
    <s v="Units"/>
    <x v="5"/>
    <n v="28.562000000000001"/>
  </r>
  <r>
    <n v="603"/>
    <x v="12"/>
    <x v="97"/>
    <x v="7"/>
    <s v="Percent of GDP"/>
    <s v="Units"/>
    <x v="6"/>
    <n v="29.59"/>
  </r>
  <r>
    <n v="1"/>
    <x v="2"/>
    <x v="97"/>
    <x v="7"/>
    <s v="Percent of GDP"/>
    <s v="Units"/>
    <x v="0"/>
    <n v="26.344999999999999"/>
  </r>
  <r>
    <n v="1"/>
    <x v="2"/>
    <x v="97"/>
    <x v="7"/>
    <s v="Percent of GDP"/>
    <s v="Units"/>
    <x v="1"/>
    <n v="27.352"/>
  </r>
  <r>
    <n v="1"/>
    <x v="2"/>
    <x v="97"/>
    <x v="7"/>
    <s v="Percent of GDP"/>
    <s v="Units"/>
    <x v="2"/>
    <n v="26.751999999999999"/>
  </r>
  <r>
    <n v="1"/>
    <x v="2"/>
    <x v="97"/>
    <x v="7"/>
    <s v="Percent of GDP"/>
    <s v="Units"/>
    <x v="3"/>
    <n v="27.13"/>
  </r>
  <r>
    <n v="1"/>
    <x v="2"/>
    <x v="97"/>
    <x v="7"/>
    <s v="Percent of GDP"/>
    <s v="Units"/>
    <x v="4"/>
    <n v="28.135000000000002"/>
  </r>
  <r>
    <n v="1"/>
    <x v="2"/>
    <x v="97"/>
    <x v="7"/>
    <s v="Percent of GDP"/>
    <s v="Units"/>
    <x v="5"/>
    <n v="28.562000000000001"/>
  </r>
  <r>
    <n v="1"/>
    <x v="2"/>
    <x v="97"/>
    <x v="7"/>
    <s v="Percent of GDP"/>
    <s v="Units"/>
    <x v="6"/>
    <n v="29.59"/>
  </r>
  <r>
    <n v="200"/>
    <x v="3"/>
    <x v="97"/>
    <x v="7"/>
    <s v="Percent of GDP"/>
    <s v="Units"/>
    <x v="0"/>
    <n v="26.344999999999999"/>
  </r>
  <r>
    <n v="200"/>
    <x v="3"/>
    <x v="97"/>
    <x v="7"/>
    <s v="Percent of GDP"/>
    <s v="Units"/>
    <x v="1"/>
    <n v="27.352"/>
  </r>
  <r>
    <n v="200"/>
    <x v="3"/>
    <x v="97"/>
    <x v="7"/>
    <s v="Percent of GDP"/>
    <s v="Units"/>
    <x v="2"/>
    <n v="26.751999999999999"/>
  </r>
  <r>
    <n v="200"/>
    <x v="3"/>
    <x v="97"/>
    <x v="7"/>
    <s v="Percent of GDP"/>
    <s v="Units"/>
    <x v="3"/>
    <n v="27.13"/>
  </r>
  <r>
    <n v="200"/>
    <x v="3"/>
    <x v="97"/>
    <x v="7"/>
    <s v="Percent of GDP"/>
    <s v="Units"/>
    <x v="4"/>
    <n v="28.135000000000002"/>
  </r>
  <r>
    <n v="200"/>
    <x v="3"/>
    <x v="97"/>
    <x v="7"/>
    <s v="Percent of GDP"/>
    <s v="Units"/>
    <x v="5"/>
    <n v="28.562000000000001"/>
  </r>
  <r>
    <n v="200"/>
    <x v="3"/>
    <x v="97"/>
    <x v="7"/>
    <s v="Percent of GDP"/>
    <s v="Units"/>
    <x v="6"/>
    <n v="29.59"/>
  </r>
  <r>
    <n v="400"/>
    <x v="11"/>
    <x v="17"/>
    <x v="2"/>
    <s v="Percent of GDP"/>
    <s v="Units"/>
    <x v="0"/>
    <n v="29.474"/>
  </r>
  <r>
    <n v="400"/>
    <x v="11"/>
    <x v="17"/>
    <x v="2"/>
    <s v="Percent of GDP"/>
    <s v="Units"/>
    <x v="1"/>
    <n v="28.388000000000002"/>
  </r>
  <r>
    <n v="400"/>
    <x v="11"/>
    <x v="17"/>
    <x v="2"/>
    <s v="Percent of GDP"/>
    <s v="Units"/>
    <x v="2"/>
    <n v="29.452999999999999"/>
  </r>
  <r>
    <n v="400"/>
    <x v="11"/>
    <x v="17"/>
    <x v="2"/>
    <s v="Percent of GDP"/>
    <s v="Units"/>
    <x v="3"/>
    <n v="30.742000000000001"/>
  </r>
  <r>
    <n v="400"/>
    <x v="11"/>
    <x v="17"/>
    <x v="2"/>
    <s v="Percent of GDP"/>
    <s v="Units"/>
    <x v="4"/>
    <n v="30.282"/>
  </r>
  <r>
    <n v="400"/>
    <x v="11"/>
    <x v="17"/>
    <x v="2"/>
    <s v="Percent of GDP"/>
    <s v="Units"/>
    <x v="5"/>
    <n v="28.498999999999999"/>
  </r>
  <r>
    <n v="400"/>
    <x v="11"/>
    <x v="17"/>
    <x v="2"/>
    <s v="Percent of GDP"/>
    <s v="Units"/>
    <x v="6"/>
    <n v="29.672999999999998"/>
  </r>
  <r>
    <n v="200"/>
    <x v="3"/>
    <x v="17"/>
    <x v="2"/>
    <s v="Percent of GDP"/>
    <s v="Units"/>
    <x v="0"/>
    <n v="29.474"/>
  </r>
  <r>
    <n v="200"/>
    <x v="3"/>
    <x v="17"/>
    <x v="2"/>
    <s v="Percent of GDP"/>
    <s v="Units"/>
    <x v="1"/>
    <n v="28.388000000000002"/>
  </r>
  <r>
    <n v="200"/>
    <x v="3"/>
    <x v="17"/>
    <x v="2"/>
    <s v="Percent of GDP"/>
    <s v="Units"/>
    <x v="2"/>
    <n v="29.452999999999999"/>
  </r>
  <r>
    <n v="200"/>
    <x v="3"/>
    <x v="17"/>
    <x v="2"/>
    <s v="Percent of GDP"/>
    <s v="Units"/>
    <x v="3"/>
    <n v="30.742000000000001"/>
  </r>
  <r>
    <n v="200"/>
    <x v="3"/>
    <x v="17"/>
    <x v="2"/>
    <s v="Percent of GDP"/>
    <s v="Units"/>
    <x v="4"/>
    <n v="30.282"/>
  </r>
  <r>
    <n v="200"/>
    <x v="3"/>
    <x v="17"/>
    <x v="2"/>
    <s v="Percent of GDP"/>
    <s v="Units"/>
    <x v="5"/>
    <n v="28.498999999999999"/>
  </r>
  <r>
    <n v="200"/>
    <x v="3"/>
    <x v="17"/>
    <x v="2"/>
    <s v="Percent of GDP"/>
    <s v="Units"/>
    <x v="6"/>
    <n v="29.672999999999998"/>
  </r>
  <r>
    <n v="400"/>
    <x v="11"/>
    <x v="42"/>
    <x v="3"/>
    <s v="Percent of GDP"/>
    <s v="Units"/>
    <x v="0"/>
    <n v="26.898"/>
  </r>
  <r>
    <n v="400"/>
    <x v="11"/>
    <x v="42"/>
    <x v="3"/>
    <s v="Percent of GDP"/>
    <s v="Units"/>
    <x v="1"/>
    <n v="25.695"/>
  </r>
  <r>
    <n v="400"/>
    <x v="11"/>
    <x v="42"/>
    <x v="3"/>
    <s v="Percent of GDP"/>
    <s v="Units"/>
    <x v="2"/>
    <n v="25.542999999999999"/>
  </r>
  <r>
    <n v="400"/>
    <x v="11"/>
    <x v="42"/>
    <x v="3"/>
    <s v="Percent of GDP"/>
    <s v="Units"/>
    <x v="3"/>
    <n v="24.701000000000001"/>
  </r>
  <r>
    <n v="400"/>
    <x v="11"/>
    <x v="42"/>
    <x v="3"/>
    <s v="Percent of GDP"/>
    <s v="Units"/>
    <x v="4"/>
    <n v="22.736999999999998"/>
  </r>
  <r>
    <n v="400"/>
    <x v="11"/>
    <x v="42"/>
    <x v="3"/>
    <s v="Percent of GDP"/>
    <s v="Units"/>
    <x v="5"/>
    <n v="28.474"/>
  </r>
  <r>
    <n v="400"/>
    <x v="11"/>
    <x v="42"/>
    <x v="3"/>
    <s v="Percent of GDP"/>
    <s v="Units"/>
    <x v="6"/>
    <n v="27.695"/>
  </r>
  <r>
    <n v="200"/>
    <x v="3"/>
    <x v="42"/>
    <x v="3"/>
    <s v="Percent of GDP"/>
    <s v="Units"/>
    <x v="0"/>
    <n v="26.898"/>
  </r>
  <r>
    <n v="200"/>
    <x v="3"/>
    <x v="42"/>
    <x v="3"/>
    <s v="Percent of GDP"/>
    <s v="Units"/>
    <x v="1"/>
    <n v="25.695"/>
  </r>
  <r>
    <n v="200"/>
    <x v="3"/>
    <x v="42"/>
    <x v="3"/>
    <s v="Percent of GDP"/>
    <s v="Units"/>
    <x v="2"/>
    <n v="25.542999999999999"/>
  </r>
  <r>
    <n v="200"/>
    <x v="3"/>
    <x v="42"/>
    <x v="3"/>
    <s v="Percent of GDP"/>
    <s v="Units"/>
    <x v="3"/>
    <n v="24.701000000000001"/>
  </r>
  <r>
    <n v="200"/>
    <x v="3"/>
    <x v="42"/>
    <x v="3"/>
    <s v="Percent of GDP"/>
    <s v="Units"/>
    <x v="4"/>
    <n v="22.736999999999998"/>
  </r>
  <r>
    <n v="200"/>
    <x v="3"/>
    <x v="42"/>
    <x v="3"/>
    <s v="Percent of GDP"/>
    <s v="Units"/>
    <x v="5"/>
    <n v="28.474"/>
  </r>
  <r>
    <n v="200"/>
    <x v="3"/>
    <x v="42"/>
    <x v="3"/>
    <s v="Percent of GDP"/>
    <s v="Units"/>
    <x v="6"/>
    <n v="27.695"/>
  </r>
  <r>
    <n v="200"/>
    <x v="3"/>
    <x v="111"/>
    <x v="5"/>
    <s v="Percent of GDP"/>
    <s v="Units"/>
    <x v="0"/>
    <n v="14.56"/>
  </r>
  <r>
    <n v="200"/>
    <x v="3"/>
    <x v="111"/>
    <x v="5"/>
    <s v="Percent of GDP"/>
    <s v="Units"/>
    <x v="1"/>
    <n v="16.291"/>
  </r>
  <r>
    <n v="200"/>
    <x v="3"/>
    <x v="111"/>
    <x v="5"/>
    <s v="Percent of GDP"/>
    <s v="Units"/>
    <x v="2"/>
    <n v="15.65"/>
  </r>
  <r>
    <n v="200"/>
    <x v="3"/>
    <x v="111"/>
    <x v="5"/>
    <s v="Percent of GDP"/>
    <s v="Units"/>
    <x v="3"/>
    <n v="18.059999999999999"/>
  </r>
  <r>
    <n v="200"/>
    <x v="3"/>
    <x v="111"/>
    <x v="5"/>
    <s v="Percent of GDP"/>
    <s v="Units"/>
    <x v="4"/>
    <n v="29.442"/>
  </r>
  <r>
    <n v="200"/>
    <x v="3"/>
    <x v="111"/>
    <x v="5"/>
    <s v="Percent of GDP"/>
    <s v="Units"/>
    <x v="5"/>
    <n v="28.431000000000001"/>
  </r>
  <r>
    <n v="200"/>
    <x v="3"/>
    <x v="111"/>
    <x v="5"/>
    <s v="Percent of GDP"/>
    <s v="Units"/>
    <x v="6"/>
    <n v="13.817"/>
  </r>
  <r>
    <n v="1"/>
    <x v="2"/>
    <x v="111"/>
    <x v="5"/>
    <s v="Percent of GDP"/>
    <s v="Units"/>
    <x v="0"/>
    <n v="14.56"/>
  </r>
  <r>
    <n v="1"/>
    <x v="2"/>
    <x v="111"/>
    <x v="5"/>
    <s v="Percent of GDP"/>
    <s v="Units"/>
    <x v="1"/>
    <n v="16.291"/>
  </r>
  <r>
    <n v="1"/>
    <x v="2"/>
    <x v="111"/>
    <x v="5"/>
    <s v="Percent of GDP"/>
    <s v="Units"/>
    <x v="2"/>
    <n v="15.65"/>
  </r>
  <r>
    <n v="1"/>
    <x v="2"/>
    <x v="111"/>
    <x v="5"/>
    <s v="Percent of GDP"/>
    <s v="Units"/>
    <x v="3"/>
    <n v="18.059999999999999"/>
  </r>
  <r>
    <n v="1"/>
    <x v="2"/>
    <x v="111"/>
    <x v="5"/>
    <s v="Percent of GDP"/>
    <s v="Units"/>
    <x v="4"/>
    <n v="29.442"/>
  </r>
  <r>
    <n v="1"/>
    <x v="2"/>
    <x v="111"/>
    <x v="5"/>
    <s v="Percent of GDP"/>
    <s v="Units"/>
    <x v="5"/>
    <n v="28.431000000000001"/>
  </r>
  <r>
    <n v="1"/>
    <x v="2"/>
    <x v="111"/>
    <x v="5"/>
    <s v="Percent of GDP"/>
    <s v="Units"/>
    <x v="6"/>
    <n v="13.817"/>
  </r>
  <r>
    <n v="205"/>
    <x v="7"/>
    <x v="111"/>
    <x v="5"/>
    <s v="Percent of GDP"/>
    <s v="Units"/>
    <x v="0"/>
    <n v="14.56"/>
  </r>
  <r>
    <n v="205"/>
    <x v="7"/>
    <x v="111"/>
    <x v="5"/>
    <s v="Percent of GDP"/>
    <s v="Units"/>
    <x v="1"/>
    <n v="16.291"/>
  </r>
  <r>
    <n v="205"/>
    <x v="7"/>
    <x v="111"/>
    <x v="5"/>
    <s v="Percent of GDP"/>
    <s v="Units"/>
    <x v="2"/>
    <n v="15.65"/>
  </r>
  <r>
    <n v="205"/>
    <x v="7"/>
    <x v="111"/>
    <x v="5"/>
    <s v="Percent of GDP"/>
    <s v="Units"/>
    <x v="3"/>
    <n v="18.059999999999999"/>
  </r>
  <r>
    <n v="205"/>
    <x v="7"/>
    <x v="111"/>
    <x v="5"/>
    <s v="Percent of GDP"/>
    <s v="Units"/>
    <x v="4"/>
    <n v="29.442"/>
  </r>
  <r>
    <n v="205"/>
    <x v="7"/>
    <x v="111"/>
    <x v="5"/>
    <s v="Percent of GDP"/>
    <s v="Units"/>
    <x v="5"/>
    <n v="28.431000000000001"/>
  </r>
  <r>
    <n v="205"/>
    <x v="7"/>
    <x v="111"/>
    <x v="5"/>
    <s v="Percent of GDP"/>
    <s v="Units"/>
    <x v="6"/>
    <n v="13.817"/>
  </r>
  <r>
    <n v="200"/>
    <x v="3"/>
    <x v="144"/>
    <x v="5"/>
    <s v="Percent of GDP"/>
    <s v="Units"/>
    <x v="0"/>
    <n v="21.63"/>
  </r>
  <r>
    <n v="200"/>
    <x v="3"/>
    <x v="144"/>
    <x v="5"/>
    <s v="Percent of GDP"/>
    <s v="Units"/>
    <x v="1"/>
    <n v="23.887"/>
  </r>
  <r>
    <n v="200"/>
    <x v="3"/>
    <x v="144"/>
    <x v="5"/>
    <s v="Percent of GDP"/>
    <s v="Units"/>
    <x v="2"/>
    <n v="24.696999999999999"/>
  </r>
  <r>
    <n v="200"/>
    <x v="3"/>
    <x v="144"/>
    <x v="5"/>
    <s v="Percent of GDP"/>
    <s v="Units"/>
    <x v="3"/>
    <n v="30.486999999999998"/>
  </r>
  <r>
    <n v="200"/>
    <x v="3"/>
    <x v="144"/>
    <x v="5"/>
    <s v="Percent of GDP"/>
    <s v="Units"/>
    <x v="4"/>
    <n v="26.591999999999999"/>
  </r>
  <r>
    <n v="200"/>
    <x v="3"/>
    <x v="144"/>
    <x v="5"/>
    <s v="Percent of GDP"/>
    <s v="Units"/>
    <x v="5"/>
    <n v="28.420999999999999"/>
  </r>
  <r>
    <n v="200"/>
    <x v="3"/>
    <x v="144"/>
    <x v="5"/>
    <s v="Percent of GDP"/>
    <s v="Units"/>
    <x v="6"/>
    <n v="27.620999999999999"/>
  </r>
  <r>
    <n v="603"/>
    <x v="12"/>
    <x v="144"/>
    <x v="5"/>
    <s v="Percent of GDP"/>
    <s v="Units"/>
    <x v="0"/>
    <n v="21.63"/>
  </r>
  <r>
    <n v="603"/>
    <x v="12"/>
    <x v="144"/>
    <x v="5"/>
    <s v="Percent of GDP"/>
    <s v="Units"/>
    <x v="1"/>
    <n v="23.887"/>
  </r>
  <r>
    <n v="603"/>
    <x v="12"/>
    <x v="144"/>
    <x v="5"/>
    <s v="Percent of GDP"/>
    <s v="Units"/>
    <x v="2"/>
    <n v="24.696999999999999"/>
  </r>
  <r>
    <n v="603"/>
    <x v="12"/>
    <x v="144"/>
    <x v="5"/>
    <s v="Percent of GDP"/>
    <s v="Units"/>
    <x v="3"/>
    <n v="30.486999999999998"/>
  </r>
  <r>
    <n v="603"/>
    <x v="12"/>
    <x v="144"/>
    <x v="5"/>
    <s v="Percent of GDP"/>
    <s v="Units"/>
    <x v="4"/>
    <n v="26.591999999999999"/>
  </r>
  <r>
    <n v="603"/>
    <x v="12"/>
    <x v="144"/>
    <x v="5"/>
    <s v="Percent of GDP"/>
    <s v="Units"/>
    <x v="5"/>
    <n v="28.420999999999999"/>
  </r>
  <r>
    <n v="603"/>
    <x v="12"/>
    <x v="144"/>
    <x v="5"/>
    <s v="Percent of GDP"/>
    <s v="Units"/>
    <x v="6"/>
    <n v="27.620999999999999"/>
  </r>
  <r>
    <n v="1"/>
    <x v="2"/>
    <x v="144"/>
    <x v="5"/>
    <s v="Percent of GDP"/>
    <s v="Units"/>
    <x v="0"/>
    <n v="21.63"/>
  </r>
  <r>
    <n v="1"/>
    <x v="2"/>
    <x v="144"/>
    <x v="5"/>
    <s v="Percent of GDP"/>
    <s v="Units"/>
    <x v="1"/>
    <n v="23.887"/>
  </r>
  <r>
    <n v="1"/>
    <x v="2"/>
    <x v="144"/>
    <x v="5"/>
    <s v="Percent of GDP"/>
    <s v="Units"/>
    <x v="2"/>
    <n v="24.696999999999999"/>
  </r>
  <r>
    <n v="1"/>
    <x v="2"/>
    <x v="144"/>
    <x v="5"/>
    <s v="Percent of GDP"/>
    <s v="Units"/>
    <x v="3"/>
    <n v="30.486999999999998"/>
  </r>
  <r>
    <n v="1"/>
    <x v="2"/>
    <x v="144"/>
    <x v="5"/>
    <s v="Percent of GDP"/>
    <s v="Units"/>
    <x v="4"/>
    <n v="26.591999999999999"/>
  </r>
  <r>
    <n v="1"/>
    <x v="2"/>
    <x v="144"/>
    <x v="5"/>
    <s v="Percent of GDP"/>
    <s v="Units"/>
    <x v="5"/>
    <n v="28.420999999999999"/>
  </r>
  <r>
    <n v="1"/>
    <x v="2"/>
    <x v="144"/>
    <x v="5"/>
    <s v="Percent of GDP"/>
    <s v="Units"/>
    <x v="6"/>
    <n v="27.620999999999999"/>
  </r>
  <r>
    <n v="123"/>
    <x v="9"/>
    <x v="28"/>
    <x v="5"/>
    <s v="Percent of GDP"/>
    <s v="Units"/>
    <x v="0"/>
    <n v="26.907"/>
  </r>
  <r>
    <n v="123"/>
    <x v="9"/>
    <x v="28"/>
    <x v="5"/>
    <s v="Percent of GDP"/>
    <s v="Units"/>
    <x v="1"/>
    <n v="29.018999999999998"/>
  </r>
  <r>
    <n v="123"/>
    <x v="9"/>
    <x v="28"/>
    <x v="5"/>
    <s v="Percent of GDP"/>
    <s v="Units"/>
    <x v="2"/>
    <n v="29.166"/>
  </r>
  <r>
    <n v="123"/>
    <x v="9"/>
    <x v="28"/>
    <x v="5"/>
    <s v="Percent of GDP"/>
    <s v="Units"/>
    <x v="3"/>
    <n v="30.826000000000001"/>
  </r>
  <r>
    <n v="123"/>
    <x v="9"/>
    <x v="28"/>
    <x v="5"/>
    <s v="Percent of GDP"/>
    <s v="Units"/>
    <x v="4"/>
    <n v="30.37"/>
  </r>
  <r>
    <n v="123"/>
    <x v="9"/>
    <x v="28"/>
    <x v="5"/>
    <s v="Percent of GDP"/>
    <s v="Units"/>
    <x v="5"/>
    <n v="28.379000000000001"/>
  </r>
  <r>
    <n v="123"/>
    <x v="9"/>
    <x v="28"/>
    <x v="5"/>
    <s v="Percent of GDP"/>
    <s v="Units"/>
    <x v="6"/>
    <n v="29.675000000000001"/>
  </r>
  <r>
    <n v="1"/>
    <x v="2"/>
    <x v="28"/>
    <x v="5"/>
    <s v="Percent of GDP"/>
    <s v="Units"/>
    <x v="0"/>
    <n v="26.907"/>
  </r>
  <r>
    <n v="1"/>
    <x v="2"/>
    <x v="28"/>
    <x v="5"/>
    <s v="Percent of GDP"/>
    <s v="Units"/>
    <x v="1"/>
    <n v="29.018999999999998"/>
  </r>
  <r>
    <n v="1"/>
    <x v="2"/>
    <x v="28"/>
    <x v="5"/>
    <s v="Percent of GDP"/>
    <s v="Units"/>
    <x v="2"/>
    <n v="29.166"/>
  </r>
  <r>
    <n v="1"/>
    <x v="2"/>
    <x v="28"/>
    <x v="5"/>
    <s v="Percent of GDP"/>
    <s v="Units"/>
    <x v="3"/>
    <n v="30.826000000000001"/>
  </r>
  <r>
    <n v="1"/>
    <x v="2"/>
    <x v="28"/>
    <x v="5"/>
    <s v="Percent of GDP"/>
    <s v="Units"/>
    <x v="4"/>
    <n v="30.37"/>
  </r>
  <r>
    <n v="1"/>
    <x v="2"/>
    <x v="28"/>
    <x v="5"/>
    <s v="Percent of GDP"/>
    <s v="Units"/>
    <x v="5"/>
    <n v="28.379000000000001"/>
  </r>
  <r>
    <n v="1"/>
    <x v="2"/>
    <x v="28"/>
    <x v="5"/>
    <s v="Percent of GDP"/>
    <s v="Units"/>
    <x v="6"/>
    <n v="29.675000000000001"/>
  </r>
  <r>
    <n v="110"/>
    <x v="0"/>
    <x v="28"/>
    <x v="5"/>
    <s v="Percent of GDP"/>
    <s v="Units"/>
    <x v="0"/>
    <n v="26.907"/>
  </r>
  <r>
    <n v="110"/>
    <x v="0"/>
    <x v="28"/>
    <x v="5"/>
    <s v="Percent of GDP"/>
    <s v="Units"/>
    <x v="1"/>
    <n v="29.018999999999998"/>
  </r>
  <r>
    <n v="110"/>
    <x v="0"/>
    <x v="28"/>
    <x v="5"/>
    <s v="Percent of GDP"/>
    <s v="Units"/>
    <x v="2"/>
    <n v="29.166"/>
  </r>
  <r>
    <n v="110"/>
    <x v="0"/>
    <x v="28"/>
    <x v="5"/>
    <s v="Percent of GDP"/>
    <s v="Units"/>
    <x v="3"/>
    <n v="30.826000000000001"/>
  </r>
  <r>
    <n v="110"/>
    <x v="0"/>
    <x v="28"/>
    <x v="5"/>
    <s v="Percent of GDP"/>
    <s v="Units"/>
    <x v="4"/>
    <n v="30.37"/>
  </r>
  <r>
    <n v="110"/>
    <x v="0"/>
    <x v="28"/>
    <x v="5"/>
    <s v="Percent of GDP"/>
    <s v="Units"/>
    <x v="5"/>
    <n v="28.379000000000001"/>
  </r>
  <r>
    <n v="110"/>
    <x v="0"/>
    <x v="28"/>
    <x v="5"/>
    <s v="Percent of GDP"/>
    <s v="Units"/>
    <x v="6"/>
    <n v="29.675000000000001"/>
  </r>
  <r>
    <n v="205"/>
    <x v="7"/>
    <x v="160"/>
    <x v="0"/>
    <s v="U.S. dollars"/>
    <s v="Billions"/>
    <x v="0"/>
    <n v="23.776"/>
  </r>
  <r>
    <n v="205"/>
    <x v="7"/>
    <x v="160"/>
    <x v="0"/>
    <s v="U.S. dollars"/>
    <s v="Billions"/>
    <x v="1"/>
    <n v="20.808"/>
  </r>
  <r>
    <n v="205"/>
    <x v="7"/>
    <x v="160"/>
    <x v="0"/>
    <s v="U.S. dollars"/>
    <s v="Billions"/>
    <x v="2"/>
    <n v="24.495999999999999"/>
  </r>
  <r>
    <n v="205"/>
    <x v="7"/>
    <x v="160"/>
    <x v="0"/>
    <s v="U.S. dollars"/>
    <s v="Billions"/>
    <x v="3"/>
    <n v="30.053000000000001"/>
  </r>
  <r>
    <n v="205"/>
    <x v="7"/>
    <x v="160"/>
    <x v="0"/>
    <s v="U.S. dollars"/>
    <s v="Billions"/>
    <x v="4"/>
    <n v="28.141999999999999"/>
  </r>
  <r>
    <n v="205"/>
    <x v="7"/>
    <x v="160"/>
    <x v="0"/>
    <s v="U.S. dollars"/>
    <s v="Billions"/>
    <x v="5"/>
    <n v="28.364999999999998"/>
  </r>
  <r>
    <n v="205"/>
    <x v="7"/>
    <x v="160"/>
    <x v="0"/>
    <s v="U.S. dollars"/>
    <s v="Billions"/>
    <x v="6"/>
    <n v="29.504999999999999"/>
  </r>
  <r>
    <n v="1"/>
    <x v="2"/>
    <x v="160"/>
    <x v="0"/>
    <s v="U.S. dollars"/>
    <s v="Billions"/>
    <x v="0"/>
    <n v="23.776"/>
  </r>
  <r>
    <n v="1"/>
    <x v="2"/>
    <x v="160"/>
    <x v="0"/>
    <s v="U.S. dollars"/>
    <s v="Billions"/>
    <x v="1"/>
    <n v="20.808"/>
  </r>
  <r>
    <n v="1"/>
    <x v="2"/>
    <x v="160"/>
    <x v="0"/>
    <s v="U.S. dollars"/>
    <s v="Billions"/>
    <x v="2"/>
    <n v="24.495999999999999"/>
  </r>
  <r>
    <n v="1"/>
    <x v="2"/>
    <x v="160"/>
    <x v="0"/>
    <s v="U.S. dollars"/>
    <s v="Billions"/>
    <x v="3"/>
    <n v="30.053000000000001"/>
  </r>
  <r>
    <n v="1"/>
    <x v="2"/>
    <x v="160"/>
    <x v="0"/>
    <s v="U.S. dollars"/>
    <s v="Billions"/>
    <x v="4"/>
    <n v="28.141999999999999"/>
  </r>
  <r>
    <n v="1"/>
    <x v="2"/>
    <x v="160"/>
    <x v="0"/>
    <s v="U.S. dollars"/>
    <s v="Billions"/>
    <x v="5"/>
    <n v="28.364999999999998"/>
  </r>
  <r>
    <n v="1"/>
    <x v="2"/>
    <x v="160"/>
    <x v="0"/>
    <s v="U.S. dollars"/>
    <s v="Billions"/>
    <x v="6"/>
    <n v="29.504999999999999"/>
  </r>
  <r>
    <n v="200"/>
    <x v="3"/>
    <x v="160"/>
    <x v="0"/>
    <s v="U.S. dollars"/>
    <s v="Billions"/>
    <x v="0"/>
    <n v="23.776"/>
  </r>
  <r>
    <n v="200"/>
    <x v="3"/>
    <x v="160"/>
    <x v="0"/>
    <s v="U.S. dollars"/>
    <s v="Billions"/>
    <x v="1"/>
    <n v="20.808"/>
  </r>
  <r>
    <n v="200"/>
    <x v="3"/>
    <x v="160"/>
    <x v="0"/>
    <s v="U.S. dollars"/>
    <s v="Billions"/>
    <x v="2"/>
    <n v="24.495999999999999"/>
  </r>
  <r>
    <n v="200"/>
    <x v="3"/>
    <x v="160"/>
    <x v="0"/>
    <s v="U.S. dollars"/>
    <s v="Billions"/>
    <x v="3"/>
    <n v="30.053000000000001"/>
  </r>
  <r>
    <n v="200"/>
    <x v="3"/>
    <x v="160"/>
    <x v="0"/>
    <s v="U.S. dollars"/>
    <s v="Billions"/>
    <x v="4"/>
    <n v="28.141999999999999"/>
  </r>
  <r>
    <n v="200"/>
    <x v="3"/>
    <x v="160"/>
    <x v="0"/>
    <s v="U.S. dollars"/>
    <s v="Billions"/>
    <x v="5"/>
    <n v="28.364999999999998"/>
  </r>
  <r>
    <n v="200"/>
    <x v="3"/>
    <x v="160"/>
    <x v="0"/>
    <s v="U.S. dollars"/>
    <s v="Billions"/>
    <x v="6"/>
    <n v="29.504999999999999"/>
  </r>
  <r>
    <n v="603"/>
    <x v="12"/>
    <x v="161"/>
    <x v="3"/>
    <s v="Percent of GDP"/>
    <s v="Units"/>
    <x v="0"/>
    <n v="34.01"/>
  </r>
  <r>
    <n v="603"/>
    <x v="12"/>
    <x v="161"/>
    <x v="3"/>
    <s v="Percent of GDP"/>
    <s v="Units"/>
    <x v="1"/>
    <n v="33.253"/>
  </r>
  <r>
    <n v="603"/>
    <x v="12"/>
    <x v="161"/>
    <x v="3"/>
    <s v="Percent of GDP"/>
    <s v="Units"/>
    <x v="2"/>
    <n v="28.998000000000001"/>
  </r>
  <r>
    <n v="603"/>
    <x v="12"/>
    <x v="161"/>
    <x v="3"/>
    <s v="Percent of GDP"/>
    <s v="Units"/>
    <x v="3"/>
    <n v="27.574000000000002"/>
  </r>
  <r>
    <n v="603"/>
    <x v="12"/>
    <x v="161"/>
    <x v="3"/>
    <s v="Percent of GDP"/>
    <s v="Units"/>
    <x v="4"/>
    <n v="28.78"/>
  </r>
  <r>
    <n v="603"/>
    <x v="12"/>
    <x v="161"/>
    <x v="3"/>
    <s v="Percent of GDP"/>
    <s v="Units"/>
    <x v="5"/>
    <n v="28.337"/>
  </r>
  <r>
    <n v="603"/>
    <x v="12"/>
    <x v="161"/>
    <x v="3"/>
    <s v="Percent of GDP"/>
    <s v="Units"/>
    <x v="6"/>
    <n v="28.303999999999998"/>
  </r>
  <r>
    <n v="200"/>
    <x v="3"/>
    <x v="161"/>
    <x v="3"/>
    <s v="Percent of GDP"/>
    <s v="Units"/>
    <x v="0"/>
    <n v="34.01"/>
  </r>
  <r>
    <n v="200"/>
    <x v="3"/>
    <x v="161"/>
    <x v="3"/>
    <s v="Percent of GDP"/>
    <s v="Units"/>
    <x v="1"/>
    <n v="33.253"/>
  </r>
  <r>
    <n v="200"/>
    <x v="3"/>
    <x v="161"/>
    <x v="3"/>
    <s v="Percent of GDP"/>
    <s v="Units"/>
    <x v="2"/>
    <n v="28.998000000000001"/>
  </r>
  <r>
    <n v="200"/>
    <x v="3"/>
    <x v="161"/>
    <x v="3"/>
    <s v="Percent of GDP"/>
    <s v="Units"/>
    <x v="3"/>
    <n v="27.574000000000002"/>
  </r>
  <r>
    <n v="200"/>
    <x v="3"/>
    <x v="161"/>
    <x v="3"/>
    <s v="Percent of GDP"/>
    <s v="Units"/>
    <x v="4"/>
    <n v="28.78"/>
  </r>
  <r>
    <n v="200"/>
    <x v="3"/>
    <x v="161"/>
    <x v="3"/>
    <s v="Percent of GDP"/>
    <s v="Units"/>
    <x v="5"/>
    <n v="28.337"/>
  </r>
  <r>
    <n v="200"/>
    <x v="3"/>
    <x v="161"/>
    <x v="3"/>
    <s v="Percent of GDP"/>
    <s v="Units"/>
    <x v="6"/>
    <n v="28.303999999999998"/>
  </r>
  <r>
    <n v="200"/>
    <x v="3"/>
    <x v="120"/>
    <x v="6"/>
    <s v="Percent change"/>
    <s v="Units"/>
    <x v="0"/>
    <n v="10.016999999999999"/>
  </r>
  <r>
    <n v="200"/>
    <x v="3"/>
    <x v="120"/>
    <x v="6"/>
    <s v="Percent change"/>
    <s v="Units"/>
    <x v="1"/>
    <n v="26.082999999999998"/>
  </r>
  <r>
    <n v="200"/>
    <x v="3"/>
    <x v="120"/>
    <x v="6"/>
    <s v="Percent change"/>
    <s v="Units"/>
    <x v="2"/>
    <n v="16.193000000000001"/>
  </r>
  <r>
    <n v="200"/>
    <x v="3"/>
    <x v="120"/>
    <x v="6"/>
    <s v="Percent change"/>
    <s v="Units"/>
    <x v="3"/>
    <n v="6.6820000000000004"/>
  </r>
  <r>
    <n v="200"/>
    <x v="3"/>
    <x v="120"/>
    <x v="6"/>
    <s v="Percent change"/>
    <s v="Units"/>
    <x v="4"/>
    <n v="14.694000000000001"/>
  </r>
  <r>
    <n v="200"/>
    <x v="3"/>
    <x v="120"/>
    <x v="6"/>
    <s v="Percent change"/>
    <s v="Units"/>
    <x v="5"/>
    <n v="28.33"/>
  </r>
  <r>
    <n v="200"/>
    <x v="3"/>
    <x v="120"/>
    <x v="6"/>
    <s v="Percent change"/>
    <s v="Units"/>
    <x v="6"/>
    <n v="-1.33"/>
  </r>
  <r>
    <n v="1"/>
    <x v="2"/>
    <x v="120"/>
    <x v="6"/>
    <s v="Percent change"/>
    <s v="Units"/>
    <x v="0"/>
    <n v="10.016999999999999"/>
  </r>
  <r>
    <n v="1"/>
    <x v="2"/>
    <x v="120"/>
    <x v="6"/>
    <s v="Percent change"/>
    <s v="Units"/>
    <x v="1"/>
    <n v="26.082999999999998"/>
  </r>
  <r>
    <n v="1"/>
    <x v="2"/>
    <x v="120"/>
    <x v="6"/>
    <s v="Percent change"/>
    <s v="Units"/>
    <x v="2"/>
    <n v="16.193000000000001"/>
  </r>
  <r>
    <n v="1"/>
    <x v="2"/>
    <x v="120"/>
    <x v="6"/>
    <s v="Percent change"/>
    <s v="Units"/>
    <x v="3"/>
    <n v="6.6820000000000004"/>
  </r>
  <r>
    <n v="1"/>
    <x v="2"/>
    <x v="120"/>
    <x v="6"/>
    <s v="Percent change"/>
    <s v="Units"/>
    <x v="4"/>
    <n v="14.694000000000001"/>
  </r>
  <r>
    <n v="1"/>
    <x v="2"/>
    <x v="120"/>
    <x v="6"/>
    <s v="Percent change"/>
    <s v="Units"/>
    <x v="5"/>
    <n v="28.33"/>
  </r>
  <r>
    <n v="1"/>
    <x v="2"/>
    <x v="120"/>
    <x v="6"/>
    <s v="Percent change"/>
    <s v="Units"/>
    <x v="6"/>
    <n v="-1.33"/>
  </r>
  <r>
    <n v="205"/>
    <x v="7"/>
    <x v="120"/>
    <x v="6"/>
    <s v="Percent change"/>
    <s v="Units"/>
    <x v="0"/>
    <n v="10.016999999999999"/>
  </r>
  <r>
    <n v="205"/>
    <x v="7"/>
    <x v="120"/>
    <x v="6"/>
    <s v="Percent change"/>
    <s v="Units"/>
    <x v="1"/>
    <n v="26.082999999999998"/>
  </r>
  <r>
    <n v="205"/>
    <x v="7"/>
    <x v="120"/>
    <x v="6"/>
    <s v="Percent change"/>
    <s v="Units"/>
    <x v="2"/>
    <n v="16.193000000000001"/>
  </r>
  <r>
    <n v="205"/>
    <x v="7"/>
    <x v="120"/>
    <x v="6"/>
    <s v="Percent change"/>
    <s v="Units"/>
    <x v="3"/>
    <n v="6.6820000000000004"/>
  </r>
  <r>
    <n v="205"/>
    <x v="7"/>
    <x v="120"/>
    <x v="6"/>
    <s v="Percent change"/>
    <s v="Units"/>
    <x v="4"/>
    <n v="14.694000000000001"/>
  </r>
  <r>
    <n v="205"/>
    <x v="7"/>
    <x v="120"/>
    <x v="6"/>
    <s v="Percent change"/>
    <s v="Units"/>
    <x v="5"/>
    <n v="28.33"/>
  </r>
  <r>
    <n v="205"/>
    <x v="7"/>
    <x v="120"/>
    <x v="6"/>
    <s v="Percent change"/>
    <s v="Units"/>
    <x v="6"/>
    <n v="-1.33"/>
  </r>
  <r>
    <n v="200"/>
    <x v="3"/>
    <x v="59"/>
    <x v="2"/>
    <s v="Percent of GDP"/>
    <s v="Units"/>
    <x v="0"/>
    <n v="23.811"/>
  </r>
  <r>
    <n v="200"/>
    <x v="3"/>
    <x v="59"/>
    <x v="2"/>
    <s v="Percent of GDP"/>
    <s v="Units"/>
    <x v="1"/>
    <n v="26.998000000000001"/>
  </r>
  <r>
    <n v="200"/>
    <x v="3"/>
    <x v="59"/>
    <x v="2"/>
    <s v="Percent of GDP"/>
    <s v="Units"/>
    <x v="2"/>
    <n v="25.294"/>
  </r>
  <r>
    <n v="200"/>
    <x v="3"/>
    <x v="59"/>
    <x v="2"/>
    <s v="Percent of GDP"/>
    <s v="Units"/>
    <x v="3"/>
    <n v="28.695"/>
  </r>
  <r>
    <n v="200"/>
    <x v="3"/>
    <x v="59"/>
    <x v="2"/>
    <s v="Percent of GDP"/>
    <s v="Units"/>
    <x v="4"/>
    <n v="28.538"/>
  </r>
  <r>
    <n v="200"/>
    <x v="3"/>
    <x v="59"/>
    <x v="2"/>
    <s v="Percent of GDP"/>
    <s v="Units"/>
    <x v="5"/>
    <n v="28.198"/>
  </r>
  <r>
    <n v="200"/>
    <x v="3"/>
    <x v="59"/>
    <x v="2"/>
    <s v="Percent of GDP"/>
    <s v="Units"/>
    <x v="6"/>
    <n v="27.465"/>
  </r>
  <r>
    <n v="400"/>
    <x v="11"/>
    <x v="59"/>
    <x v="2"/>
    <s v="Percent of GDP"/>
    <s v="Units"/>
    <x v="0"/>
    <n v="23.811"/>
  </r>
  <r>
    <n v="400"/>
    <x v="11"/>
    <x v="59"/>
    <x v="2"/>
    <s v="Percent of GDP"/>
    <s v="Units"/>
    <x v="1"/>
    <n v="26.998000000000001"/>
  </r>
  <r>
    <n v="400"/>
    <x v="11"/>
    <x v="59"/>
    <x v="2"/>
    <s v="Percent of GDP"/>
    <s v="Units"/>
    <x v="2"/>
    <n v="25.294"/>
  </r>
  <r>
    <n v="400"/>
    <x v="11"/>
    <x v="59"/>
    <x v="2"/>
    <s v="Percent of GDP"/>
    <s v="Units"/>
    <x v="3"/>
    <n v="28.695"/>
  </r>
  <r>
    <n v="400"/>
    <x v="11"/>
    <x v="59"/>
    <x v="2"/>
    <s v="Percent of GDP"/>
    <s v="Units"/>
    <x v="4"/>
    <n v="28.538"/>
  </r>
  <r>
    <n v="400"/>
    <x v="11"/>
    <x v="59"/>
    <x v="2"/>
    <s v="Percent of GDP"/>
    <s v="Units"/>
    <x v="5"/>
    <n v="28.198"/>
  </r>
  <r>
    <n v="400"/>
    <x v="11"/>
    <x v="59"/>
    <x v="2"/>
    <s v="Percent of GDP"/>
    <s v="Units"/>
    <x v="6"/>
    <n v="27.465"/>
  </r>
  <r>
    <n v="603"/>
    <x v="12"/>
    <x v="153"/>
    <x v="7"/>
    <s v="Percent of GDP"/>
    <s v="Units"/>
    <x v="0"/>
    <n v="25.9"/>
  </r>
  <r>
    <n v="603"/>
    <x v="12"/>
    <x v="153"/>
    <x v="7"/>
    <s v="Percent of GDP"/>
    <s v="Units"/>
    <x v="1"/>
    <n v="23.731999999999999"/>
  </r>
  <r>
    <n v="603"/>
    <x v="12"/>
    <x v="153"/>
    <x v="7"/>
    <s v="Percent of GDP"/>
    <s v="Units"/>
    <x v="2"/>
    <n v="22.157"/>
  </r>
  <r>
    <n v="603"/>
    <x v="12"/>
    <x v="153"/>
    <x v="7"/>
    <s v="Percent of GDP"/>
    <s v="Units"/>
    <x v="3"/>
    <n v="26.405000000000001"/>
  </r>
  <r>
    <n v="603"/>
    <x v="12"/>
    <x v="153"/>
    <x v="7"/>
    <s v="Percent of GDP"/>
    <s v="Units"/>
    <x v="4"/>
    <n v="28.507999999999999"/>
  </r>
  <r>
    <n v="603"/>
    <x v="12"/>
    <x v="153"/>
    <x v="7"/>
    <s v="Percent of GDP"/>
    <s v="Units"/>
    <x v="5"/>
    <n v="28.16"/>
  </r>
  <r>
    <n v="603"/>
    <x v="12"/>
    <x v="153"/>
    <x v="7"/>
    <s v="Percent of GDP"/>
    <s v="Units"/>
    <x v="6"/>
    <n v="28.138000000000002"/>
  </r>
  <r>
    <n v="1"/>
    <x v="2"/>
    <x v="153"/>
    <x v="7"/>
    <s v="Percent of GDP"/>
    <s v="Units"/>
    <x v="0"/>
    <n v="25.9"/>
  </r>
  <r>
    <n v="1"/>
    <x v="2"/>
    <x v="153"/>
    <x v="7"/>
    <s v="Percent of GDP"/>
    <s v="Units"/>
    <x v="1"/>
    <n v="23.731999999999999"/>
  </r>
  <r>
    <n v="1"/>
    <x v="2"/>
    <x v="153"/>
    <x v="7"/>
    <s v="Percent of GDP"/>
    <s v="Units"/>
    <x v="2"/>
    <n v="22.157"/>
  </r>
  <r>
    <n v="1"/>
    <x v="2"/>
    <x v="153"/>
    <x v="7"/>
    <s v="Percent of GDP"/>
    <s v="Units"/>
    <x v="3"/>
    <n v="26.405000000000001"/>
  </r>
  <r>
    <n v="1"/>
    <x v="2"/>
    <x v="153"/>
    <x v="7"/>
    <s v="Percent of GDP"/>
    <s v="Units"/>
    <x v="4"/>
    <n v="28.507999999999999"/>
  </r>
  <r>
    <n v="1"/>
    <x v="2"/>
    <x v="153"/>
    <x v="7"/>
    <s v="Percent of GDP"/>
    <s v="Units"/>
    <x v="5"/>
    <n v="28.16"/>
  </r>
  <r>
    <n v="1"/>
    <x v="2"/>
    <x v="153"/>
    <x v="7"/>
    <s v="Percent of GDP"/>
    <s v="Units"/>
    <x v="6"/>
    <n v="28.138000000000002"/>
  </r>
  <r>
    <n v="200"/>
    <x v="3"/>
    <x v="153"/>
    <x v="7"/>
    <s v="Percent of GDP"/>
    <s v="Units"/>
    <x v="0"/>
    <n v="25.9"/>
  </r>
  <r>
    <n v="200"/>
    <x v="3"/>
    <x v="153"/>
    <x v="7"/>
    <s v="Percent of GDP"/>
    <s v="Units"/>
    <x v="1"/>
    <n v="23.731999999999999"/>
  </r>
  <r>
    <n v="200"/>
    <x v="3"/>
    <x v="153"/>
    <x v="7"/>
    <s v="Percent of GDP"/>
    <s v="Units"/>
    <x v="2"/>
    <n v="22.157"/>
  </r>
  <r>
    <n v="200"/>
    <x v="3"/>
    <x v="153"/>
    <x v="7"/>
    <s v="Percent of GDP"/>
    <s v="Units"/>
    <x v="3"/>
    <n v="26.405000000000001"/>
  </r>
  <r>
    <n v="200"/>
    <x v="3"/>
    <x v="153"/>
    <x v="7"/>
    <s v="Percent of GDP"/>
    <s v="Units"/>
    <x v="4"/>
    <n v="28.507999999999999"/>
  </r>
  <r>
    <n v="200"/>
    <x v="3"/>
    <x v="153"/>
    <x v="7"/>
    <s v="Percent of GDP"/>
    <s v="Units"/>
    <x v="5"/>
    <n v="28.16"/>
  </r>
  <r>
    <n v="200"/>
    <x v="3"/>
    <x v="153"/>
    <x v="7"/>
    <s v="Percent of GDP"/>
    <s v="Units"/>
    <x v="6"/>
    <n v="28.138000000000002"/>
  </r>
  <r>
    <n v="400"/>
    <x v="11"/>
    <x v="145"/>
    <x v="2"/>
    <s v="Percent of GDP"/>
    <s v="Units"/>
    <x v="0"/>
    <n v="26.846"/>
  </r>
  <r>
    <n v="400"/>
    <x v="11"/>
    <x v="145"/>
    <x v="2"/>
    <s v="Percent of GDP"/>
    <s v="Units"/>
    <x v="1"/>
    <n v="24.949000000000002"/>
  </r>
  <r>
    <n v="400"/>
    <x v="11"/>
    <x v="145"/>
    <x v="2"/>
    <s v="Percent of GDP"/>
    <s v="Units"/>
    <x v="2"/>
    <n v="25.216999999999999"/>
  </r>
  <r>
    <n v="400"/>
    <x v="11"/>
    <x v="145"/>
    <x v="2"/>
    <s v="Percent of GDP"/>
    <s v="Units"/>
    <x v="3"/>
    <n v="26.462"/>
  </r>
  <r>
    <n v="400"/>
    <x v="11"/>
    <x v="145"/>
    <x v="2"/>
    <s v="Percent of GDP"/>
    <s v="Units"/>
    <x v="4"/>
    <n v="27.571000000000002"/>
  </r>
  <r>
    <n v="400"/>
    <x v="11"/>
    <x v="145"/>
    <x v="2"/>
    <s v="Percent of GDP"/>
    <s v="Units"/>
    <x v="5"/>
    <n v="28.148"/>
  </r>
  <r>
    <n v="400"/>
    <x v="11"/>
    <x v="145"/>
    <x v="2"/>
    <s v="Percent of GDP"/>
    <s v="Units"/>
    <x v="6"/>
    <n v="27.74"/>
  </r>
  <r>
    <n v="200"/>
    <x v="3"/>
    <x v="145"/>
    <x v="2"/>
    <s v="Percent of GDP"/>
    <s v="Units"/>
    <x v="0"/>
    <n v="26.846"/>
  </r>
  <r>
    <n v="200"/>
    <x v="3"/>
    <x v="145"/>
    <x v="2"/>
    <s v="Percent of GDP"/>
    <s v="Units"/>
    <x v="1"/>
    <n v="24.949000000000002"/>
  </r>
  <r>
    <n v="200"/>
    <x v="3"/>
    <x v="145"/>
    <x v="2"/>
    <s v="Percent of GDP"/>
    <s v="Units"/>
    <x v="2"/>
    <n v="25.216999999999999"/>
  </r>
  <r>
    <n v="200"/>
    <x v="3"/>
    <x v="145"/>
    <x v="2"/>
    <s v="Percent of GDP"/>
    <s v="Units"/>
    <x v="3"/>
    <n v="26.462"/>
  </r>
  <r>
    <n v="200"/>
    <x v="3"/>
    <x v="145"/>
    <x v="2"/>
    <s v="Percent of GDP"/>
    <s v="Units"/>
    <x v="4"/>
    <n v="27.571000000000002"/>
  </r>
  <r>
    <n v="200"/>
    <x v="3"/>
    <x v="145"/>
    <x v="2"/>
    <s v="Percent of GDP"/>
    <s v="Units"/>
    <x v="5"/>
    <n v="28.148"/>
  </r>
  <r>
    <n v="200"/>
    <x v="3"/>
    <x v="145"/>
    <x v="2"/>
    <s v="Percent of GDP"/>
    <s v="Units"/>
    <x v="6"/>
    <n v="27.74"/>
  </r>
  <r>
    <n v="110"/>
    <x v="0"/>
    <x v="44"/>
    <x v="5"/>
    <s v="Percent of GDP"/>
    <s v="Units"/>
    <x v="0"/>
    <n v="27.937999999999999"/>
  </r>
  <r>
    <n v="110"/>
    <x v="0"/>
    <x v="44"/>
    <x v="5"/>
    <s v="Percent of GDP"/>
    <s v="Units"/>
    <x v="1"/>
    <n v="28.145"/>
  </r>
  <r>
    <n v="110"/>
    <x v="0"/>
    <x v="44"/>
    <x v="5"/>
    <s v="Percent of GDP"/>
    <s v="Units"/>
    <x v="2"/>
    <n v="27.466999999999999"/>
  </r>
  <r>
    <n v="110"/>
    <x v="0"/>
    <x v="44"/>
    <x v="5"/>
    <s v="Percent of GDP"/>
    <s v="Units"/>
    <x v="3"/>
    <n v="26.036000000000001"/>
  </r>
  <r>
    <n v="110"/>
    <x v="0"/>
    <x v="44"/>
    <x v="5"/>
    <s v="Percent of GDP"/>
    <s v="Units"/>
    <x v="4"/>
    <n v="30.251000000000001"/>
  </r>
  <r>
    <n v="110"/>
    <x v="0"/>
    <x v="44"/>
    <x v="5"/>
    <s v="Percent of GDP"/>
    <s v="Units"/>
    <x v="5"/>
    <n v="28.106000000000002"/>
  </r>
  <r>
    <n v="110"/>
    <x v="0"/>
    <x v="44"/>
    <x v="5"/>
    <s v="Percent of GDP"/>
    <s v="Units"/>
    <x v="6"/>
    <n v="27.881"/>
  </r>
  <r>
    <n v="1"/>
    <x v="2"/>
    <x v="44"/>
    <x v="5"/>
    <s v="Percent of GDP"/>
    <s v="Units"/>
    <x v="0"/>
    <n v="27.937999999999999"/>
  </r>
  <r>
    <n v="1"/>
    <x v="2"/>
    <x v="44"/>
    <x v="5"/>
    <s v="Percent of GDP"/>
    <s v="Units"/>
    <x v="1"/>
    <n v="28.145"/>
  </r>
  <r>
    <n v="1"/>
    <x v="2"/>
    <x v="44"/>
    <x v="5"/>
    <s v="Percent of GDP"/>
    <s v="Units"/>
    <x v="2"/>
    <n v="27.466999999999999"/>
  </r>
  <r>
    <n v="1"/>
    <x v="2"/>
    <x v="44"/>
    <x v="5"/>
    <s v="Percent of GDP"/>
    <s v="Units"/>
    <x v="3"/>
    <n v="26.036000000000001"/>
  </r>
  <r>
    <n v="1"/>
    <x v="2"/>
    <x v="44"/>
    <x v="5"/>
    <s v="Percent of GDP"/>
    <s v="Units"/>
    <x v="4"/>
    <n v="30.251000000000001"/>
  </r>
  <r>
    <n v="1"/>
    <x v="2"/>
    <x v="44"/>
    <x v="5"/>
    <s v="Percent of GDP"/>
    <s v="Units"/>
    <x v="5"/>
    <n v="28.106000000000002"/>
  </r>
  <r>
    <n v="1"/>
    <x v="2"/>
    <x v="44"/>
    <x v="5"/>
    <s v="Percent of GDP"/>
    <s v="Units"/>
    <x v="6"/>
    <n v="27.881"/>
  </r>
  <r>
    <n v="123"/>
    <x v="9"/>
    <x v="44"/>
    <x v="5"/>
    <s v="Percent of GDP"/>
    <s v="Units"/>
    <x v="0"/>
    <n v="27.937999999999999"/>
  </r>
  <r>
    <n v="123"/>
    <x v="9"/>
    <x v="44"/>
    <x v="5"/>
    <s v="Percent of GDP"/>
    <s v="Units"/>
    <x v="1"/>
    <n v="28.145"/>
  </r>
  <r>
    <n v="123"/>
    <x v="9"/>
    <x v="44"/>
    <x v="5"/>
    <s v="Percent of GDP"/>
    <s v="Units"/>
    <x v="2"/>
    <n v="27.466999999999999"/>
  </r>
  <r>
    <n v="123"/>
    <x v="9"/>
    <x v="44"/>
    <x v="5"/>
    <s v="Percent of GDP"/>
    <s v="Units"/>
    <x v="3"/>
    <n v="26.036000000000001"/>
  </r>
  <r>
    <n v="123"/>
    <x v="9"/>
    <x v="44"/>
    <x v="5"/>
    <s v="Percent of GDP"/>
    <s v="Units"/>
    <x v="4"/>
    <n v="30.251000000000001"/>
  </r>
  <r>
    <n v="123"/>
    <x v="9"/>
    <x v="44"/>
    <x v="5"/>
    <s v="Percent of GDP"/>
    <s v="Units"/>
    <x v="5"/>
    <n v="28.106000000000002"/>
  </r>
  <r>
    <n v="123"/>
    <x v="9"/>
    <x v="44"/>
    <x v="5"/>
    <s v="Percent of GDP"/>
    <s v="Units"/>
    <x v="6"/>
    <n v="27.881"/>
  </r>
  <r>
    <n v="998"/>
    <x v="6"/>
    <x v="44"/>
    <x v="5"/>
    <s v="Percent of GDP"/>
    <s v="Units"/>
    <x v="0"/>
    <n v="27.937999999999999"/>
  </r>
  <r>
    <n v="998"/>
    <x v="6"/>
    <x v="44"/>
    <x v="5"/>
    <s v="Percent of GDP"/>
    <s v="Units"/>
    <x v="1"/>
    <n v="28.145"/>
  </r>
  <r>
    <n v="998"/>
    <x v="6"/>
    <x v="44"/>
    <x v="5"/>
    <s v="Percent of GDP"/>
    <s v="Units"/>
    <x v="2"/>
    <n v="27.466999999999999"/>
  </r>
  <r>
    <n v="998"/>
    <x v="6"/>
    <x v="44"/>
    <x v="5"/>
    <s v="Percent of GDP"/>
    <s v="Units"/>
    <x v="3"/>
    <n v="26.036000000000001"/>
  </r>
  <r>
    <n v="998"/>
    <x v="6"/>
    <x v="44"/>
    <x v="5"/>
    <s v="Percent of GDP"/>
    <s v="Units"/>
    <x v="4"/>
    <n v="30.251000000000001"/>
  </r>
  <r>
    <n v="998"/>
    <x v="6"/>
    <x v="44"/>
    <x v="5"/>
    <s v="Percent of GDP"/>
    <s v="Units"/>
    <x v="5"/>
    <n v="28.106000000000002"/>
  </r>
  <r>
    <n v="998"/>
    <x v="6"/>
    <x v="44"/>
    <x v="5"/>
    <s v="Percent of GDP"/>
    <s v="Units"/>
    <x v="6"/>
    <n v="27.881"/>
  </r>
  <r>
    <n v="505"/>
    <x v="4"/>
    <x v="4"/>
    <x v="3"/>
    <s v="Percent of GDP"/>
    <s v="Units"/>
    <x v="0"/>
    <n v="26.846"/>
  </r>
  <r>
    <n v="505"/>
    <x v="4"/>
    <x v="4"/>
    <x v="3"/>
    <s v="Percent of GDP"/>
    <s v="Units"/>
    <x v="1"/>
    <n v="31.018999999999998"/>
  </r>
  <r>
    <n v="505"/>
    <x v="4"/>
    <x v="4"/>
    <x v="3"/>
    <s v="Percent of GDP"/>
    <s v="Units"/>
    <x v="2"/>
    <n v="28.998000000000001"/>
  </r>
  <r>
    <n v="505"/>
    <x v="4"/>
    <x v="4"/>
    <x v="3"/>
    <s v="Percent of GDP"/>
    <s v="Units"/>
    <x v="3"/>
    <n v="29.007999999999999"/>
  </r>
  <r>
    <n v="505"/>
    <x v="4"/>
    <x v="4"/>
    <x v="3"/>
    <s v="Percent of GDP"/>
    <s v="Units"/>
    <x v="4"/>
    <n v="28.779"/>
  </r>
  <r>
    <n v="505"/>
    <x v="4"/>
    <x v="4"/>
    <x v="3"/>
    <s v="Percent of GDP"/>
    <s v="Units"/>
    <x v="5"/>
    <n v="27.957999999999998"/>
  </r>
  <r>
    <n v="505"/>
    <x v="4"/>
    <x v="4"/>
    <x v="3"/>
    <s v="Percent of GDP"/>
    <s v="Units"/>
    <x v="6"/>
    <n v="27.832999999999998"/>
  </r>
  <r>
    <n v="200"/>
    <x v="3"/>
    <x v="4"/>
    <x v="3"/>
    <s v="Percent of GDP"/>
    <s v="Units"/>
    <x v="0"/>
    <n v="26.846"/>
  </r>
  <r>
    <n v="200"/>
    <x v="3"/>
    <x v="4"/>
    <x v="3"/>
    <s v="Percent of GDP"/>
    <s v="Units"/>
    <x v="1"/>
    <n v="31.018999999999998"/>
  </r>
  <r>
    <n v="200"/>
    <x v="3"/>
    <x v="4"/>
    <x v="3"/>
    <s v="Percent of GDP"/>
    <s v="Units"/>
    <x v="2"/>
    <n v="28.998000000000001"/>
  </r>
  <r>
    <n v="200"/>
    <x v="3"/>
    <x v="4"/>
    <x v="3"/>
    <s v="Percent of GDP"/>
    <s v="Units"/>
    <x v="3"/>
    <n v="29.007999999999999"/>
  </r>
  <r>
    <n v="200"/>
    <x v="3"/>
    <x v="4"/>
    <x v="3"/>
    <s v="Percent of GDP"/>
    <s v="Units"/>
    <x v="4"/>
    <n v="28.779"/>
  </r>
  <r>
    <n v="200"/>
    <x v="3"/>
    <x v="4"/>
    <x v="3"/>
    <s v="Percent of GDP"/>
    <s v="Units"/>
    <x v="5"/>
    <n v="27.957999999999998"/>
  </r>
  <r>
    <n v="200"/>
    <x v="3"/>
    <x v="4"/>
    <x v="3"/>
    <s v="Percent of GDP"/>
    <s v="Units"/>
    <x v="6"/>
    <n v="27.832999999999998"/>
  </r>
  <r>
    <n v="200"/>
    <x v="3"/>
    <x v="162"/>
    <x v="1"/>
    <s v="Percent change"/>
    <s v="Units"/>
    <x v="0"/>
    <n v="9.3780000000000001"/>
  </r>
  <r>
    <n v="200"/>
    <x v="3"/>
    <x v="162"/>
    <x v="1"/>
    <s v="Percent change"/>
    <s v="Units"/>
    <x v="1"/>
    <n v="8.6389999999999993"/>
  </r>
  <r>
    <n v="200"/>
    <x v="3"/>
    <x v="162"/>
    <x v="1"/>
    <s v="Percent change"/>
    <s v="Units"/>
    <x v="2"/>
    <n v="9.343"/>
  </r>
  <r>
    <n v="200"/>
    <x v="3"/>
    <x v="162"/>
    <x v="1"/>
    <s v="Percent change"/>
    <s v="Units"/>
    <x v="3"/>
    <n v="20.838999999999999"/>
  </r>
  <r>
    <n v="200"/>
    <x v="3"/>
    <x v="162"/>
    <x v="1"/>
    <s v="Percent change"/>
    <s v="Units"/>
    <x v="4"/>
    <n v="30.295000000000002"/>
  </r>
  <r>
    <n v="200"/>
    <x v="3"/>
    <x v="162"/>
    <x v="1"/>
    <s v="Percent change"/>
    <s v="Units"/>
    <x v="5"/>
    <n v="27.891999999999999"/>
  </r>
  <r>
    <n v="200"/>
    <x v="3"/>
    <x v="162"/>
    <x v="1"/>
    <s v="Percent change"/>
    <s v="Units"/>
    <x v="6"/>
    <n v="14.725"/>
  </r>
  <r>
    <n v="1"/>
    <x v="2"/>
    <x v="162"/>
    <x v="1"/>
    <s v="Percent change"/>
    <s v="Units"/>
    <x v="0"/>
    <n v="9.3780000000000001"/>
  </r>
  <r>
    <n v="1"/>
    <x v="2"/>
    <x v="162"/>
    <x v="1"/>
    <s v="Percent change"/>
    <s v="Units"/>
    <x v="1"/>
    <n v="8.6389999999999993"/>
  </r>
  <r>
    <n v="1"/>
    <x v="2"/>
    <x v="162"/>
    <x v="1"/>
    <s v="Percent change"/>
    <s v="Units"/>
    <x v="2"/>
    <n v="9.343"/>
  </r>
  <r>
    <n v="1"/>
    <x v="2"/>
    <x v="162"/>
    <x v="1"/>
    <s v="Percent change"/>
    <s v="Units"/>
    <x v="3"/>
    <n v="20.838999999999999"/>
  </r>
  <r>
    <n v="1"/>
    <x v="2"/>
    <x v="162"/>
    <x v="1"/>
    <s v="Percent change"/>
    <s v="Units"/>
    <x v="4"/>
    <n v="30.295000000000002"/>
  </r>
  <r>
    <n v="1"/>
    <x v="2"/>
    <x v="162"/>
    <x v="1"/>
    <s v="Percent change"/>
    <s v="Units"/>
    <x v="5"/>
    <n v="27.891999999999999"/>
  </r>
  <r>
    <n v="1"/>
    <x v="2"/>
    <x v="162"/>
    <x v="1"/>
    <s v="Percent change"/>
    <s v="Units"/>
    <x v="6"/>
    <n v="14.725"/>
  </r>
  <r>
    <n v="603"/>
    <x v="12"/>
    <x v="162"/>
    <x v="1"/>
    <s v="Percent change"/>
    <s v="Units"/>
    <x v="0"/>
    <n v="9.3780000000000001"/>
  </r>
  <r>
    <n v="603"/>
    <x v="12"/>
    <x v="162"/>
    <x v="1"/>
    <s v="Percent change"/>
    <s v="Units"/>
    <x v="1"/>
    <n v="8.6389999999999993"/>
  </r>
  <r>
    <n v="603"/>
    <x v="12"/>
    <x v="162"/>
    <x v="1"/>
    <s v="Percent change"/>
    <s v="Units"/>
    <x v="2"/>
    <n v="9.343"/>
  </r>
  <r>
    <n v="603"/>
    <x v="12"/>
    <x v="162"/>
    <x v="1"/>
    <s v="Percent change"/>
    <s v="Units"/>
    <x v="3"/>
    <n v="20.838999999999999"/>
  </r>
  <r>
    <n v="603"/>
    <x v="12"/>
    <x v="162"/>
    <x v="1"/>
    <s v="Percent change"/>
    <s v="Units"/>
    <x v="4"/>
    <n v="30.295000000000002"/>
  </r>
  <r>
    <n v="603"/>
    <x v="12"/>
    <x v="162"/>
    <x v="1"/>
    <s v="Percent change"/>
    <s v="Units"/>
    <x v="5"/>
    <n v="27.891999999999999"/>
  </r>
  <r>
    <n v="603"/>
    <x v="12"/>
    <x v="162"/>
    <x v="1"/>
    <s v="Percent change"/>
    <s v="Units"/>
    <x v="6"/>
    <n v="14.725"/>
  </r>
  <r>
    <n v="200"/>
    <x v="3"/>
    <x v="163"/>
    <x v="7"/>
    <s v="Percent of GDP"/>
    <s v="Units"/>
    <x v="0"/>
    <n v="18.602"/>
  </r>
  <r>
    <n v="200"/>
    <x v="3"/>
    <x v="163"/>
    <x v="7"/>
    <s v="Percent of GDP"/>
    <s v="Units"/>
    <x v="1"/>
    <n v="21.355"/>
  </r>
  <r>
    <n v="200"/>
    <x v="3"/>
    <x v="163"/>
    <x v="7"/>
    <s v="Percent of GDP"/>
    <s v="Units"/>
    <x v="2"/>
    <n v="19.890999999999998"/>
  </r>
  <r>
    <n v="200"/>
    <x v="3"/>
    <x v="163"/>
    <x v="7"/>
    <s v="Percent of GDP"/>
    <s v="Units"/>
    <x v="3"/>
    <n v="23.547000000000001"/>
  </r>
  <r>
    <n v="200"/>
    <x v="3"/>
    <x v="163"/>
    <x v="7"/>
    <s v="Percent of GDP"/>
    <s v="Units"/>
    <x v="4"/>
    <n v="28.591999999999999"/>
  </r>
  <r>
    <n v="200"/>
    <x v="3"/>
    <x v="163"/>
    <x v="7"/>
    <s v="Percent of GDP"/>
    <s v="Units"/>
    <x v="5"/>
    <n v="27.82"/>
  </r>
  <r>
    <n v="200"/>
    <x v="3"/>
    <x v="163"/>
    <x v="7"/>
    <s v="Percent of GDP"/>
    <s v="Units"/>
    <x v="6"/>
    <n v="25.209"/>
  </r>
  <r>
    <n v="603"/>
    <x v="12"/>
    <x v="163"/>
    <x v="7"/>
    <s v="Percent of GDP"/>
    <s v="Units"/>
    <x v="0"/>
    <n v="18.602"/>
  </r>
  <r>
    <n v="603"/>
    <x v="12"/>
    <x v="163"/>
    <x v="7"/>
    <s v="Percent of GDP"/>
    <s v="Units"/>
    <x v="1"/>
    <n v="21.355"/>
  </r>
  <r>
    <n v="603"/>
    <x v="12"/>
    <x v="163"/>
    <x v="7"/>
    <s v="Percent of GDP"/>
    <s v="Units"/>
    <x v="2"/>
    <n v="19.890999999999998"/>
  </r>
  <r>
    <n v="603"/>
    <x v="12"/>
    <x v="163"/>
    <x v="7"/>
    <s v="Percent of GDP"/>
    <s v="Units"/>
    <x v="3"/>
    <n v="23.547000000000001"/>
  </r>
  <r>
    <n v="603"/>
    <x v="12"/>
    <x v="163"/>
    <x v="7"/>
    <s v="Percent of GDP"/>
    <s v="Units"/>
    <x v="4"/>
    <n v="28.591999999999999"/>
  </r>
  <r>
    <n v="603"/>
    <x v="12"/>
    <x v="163"/>
    <x v="7"/>
    <s v="Percent of GDP"/>
    <s v="Units"/>
    <x v="5"/>
    <n v="27.82"/>
  </r>
  <r>
    <n v="603"/>
    <x v="12"/>
    <x v="163"/>
    <x v="7"/>
    <s v="Percent of GDP"/>
    <s v="Units"/>
    <x v="6"/>
    <n v="25.209"/>
  </r>
  <r>
    <n v="1"/>
    <x v="2"/>
    <x v="163"/>
    <x v="7"/>
    <s v="Percent of GDP"/>
    <s v="Units"/>
    <x v="0"/>
    <n v="18.602"/>
  </r>
  <r>
    <n v="1"/>
    <x v="2"/>
    <x v="163"/>
    <x v="7"/>
    <s v="Percent of GDP"/>
    <s v="Units"/>
    <x v="1"/>
    <n v="21.355"/>
  </r>
  <r>
    <n v="1"/>
    <x v="2"/>
    <x v="163"/>
    <x v="7"/>
    <s v="Percent of GDP"/>
    <s v="Units"/>
    <x v="2"/>
    <n v="19.890999999999998"/>
  </r>
  <r>
    <n v="1"/>
    <x v="2"/>
    <x v="163"/>
    <x v="7"/>
    <s v="Percent of GDP"/>
    <s v="Units"/>
    <x v="3"/>
    <n v="23.547000000000001"/>
  </r>
  <r>
    <n v="1"/>
    <x v="2"/>
    <x v="163"/>
    <x v="7"/>
    <s v="Percent of GDP"/>
    <s v="Units"/>
    <x v="4"/>
    <n v="28.591999999999999"/>
  </r>
  <r>
    <n v="1"/>
    <x v="2"/>
    <x v="163"/>
    <x v="7"/>
    <s v="Percent of GDP"/>
    <s v="Units"/>
    <x v="5"/>
    <n v="27.82"/>
  </r>
  <r>
    <n v="1"/>
    <x v="2"/>
    <x v="163"/>
    <x v="7"/>
    <s v="Percent of GDP"/>
    <s v="Units"/>
    <x v="6"/>
    <n v="25.209"/>
  </r>
  <r>
    <n v="200"/>
    <x v="3"/>
    <x v="49"/>
    <x v="2"/>
    <s v="Percent of GDP"/>
    <s v="Units"/>
    <x v="0"/>
    <n v="28.591000000000001"/>
  </r>
  <r>
    <n v="200"/>
    <x v="3"/>
    <x v="49"/>
    <x v="2"/>
    <s v="Percent of GDP"/>
    <s v="Units"/>
    <x v="1"/>
    <n v="26.986999999999998"/>
  </r>
  <r>
    <n v="200"/>
    <x v="3"/>
    <x v="49"/>
    <x v="2"/>
    <s v="Percent of GDP"/>
    <s v="Units"/>
    <x v="2"/>
    <n v="26.225000000000001"/>
  </r>
  <r>
    <n v="200"/>
    <x v="3"/>
    <x v="49"/>
    <x v="2"/>
    <s v="Percent of GDP"/>
    <s v="Units"/>
    <x v="3"/>
    <n v="29.559000000000001"/>
  </r>
  <r>
    <n v="200"/>
    <x v="3"/>
    <x v="49"/>
    <x v="2"/>
    <s v="Percent of GDP"/>
    <s v="Units"/>
    <x v="4"/>
    <n v="31.065999999999999"/>
  </r>
  <r>
    <n v="200"/>
    <x v="3"/>
    <x v="49"/>
    <x v="2"/>
    <s v="Percent of GDP"/>
    <s v="Units"/>
    <x v="5"/>
    <n v="27.789000000000001"/>
  </r>
  <r>
    <n v="200"/>
    <x v="3"/>
    <x v="49"/>
    <x v="2"/>
    <s v="Percent of GDP"/>
    <s v="Units"/>
    <x v="6"/>
    <n v="26.831"/>
  </r>
  <r>
    <n v="400"/>
    <x v="11"/>
    <x v="49"/>
    <x v="2"/>
    <s v="Percent of GDP"/>
    <s v="Units"/>
    <x v="0"/>
    <n v="28.591000000000001"/>
  </r>
  <r>
    <n v="400"/>
    <x v="11"/>
    <x v="49"/>
    <x v="2"/>
    <s v="Percent of GDP"/>
    <s v="Units"/>
    <x v="1"/>
    <n v="26.986999999999998"/>
  </r>
  <r>
    <n v="400"/>
    <x v="11"/>
    <x v="49"/>
    <x v="2"/>
    <s v="Percent of GDP"/>
    <s v="Units"/>
    <x v="2"/>
    <n v="26.225000000000001"/>
  </r>
  <r>
    <n v="400"/>
    <x v="11"/>
    <x v="49"/>
    <x v="2"/>
    <s v="Percent of GDP"/>
    <s v="Units"/>
    <x v="3"/>
    <n v="29.559000000000001"/>
  </r>
  <r>
    <n v="400"/>
    <x v="11"/>
    <x v="49"/>
    <x v="2"/>
    <s v="Percent of GDP"/>
    <s v="Units"/>
    <x v="4"/>
    <n v="31.065999999999999"/>
  </r>
  <r>
    <n v="400"/>
    <x v="11"/>
    <x v="49"/>
    <x v="2"/>
    <s v="Percent of GDP"/>
    <s v="Units"/>
    <x v="5"/>
    <n v="27.789000000000001"/>
  </r>
  <r>
    <n v="400"/>
    <x v="11"/>
    <x v="49"/>
    <x v="2"/>
    <s v="Percent of GDP"/>
    <s v="Units"/>
    <x v="6"/>
    <n v="26.831"/>
  </r>
  <r>
    <n v="603"/>
    <x v="12"/>
    <x v="129"/>
    <x v="7"/>
    <s v="Percent of GDP"/>
    <s v="Units"/>
    <x v="0"/>
    <n v="19.286000000000001"/>
  </r>
  <r>
    <n v="603"/>
    <x v="12"/>
    <x v="129"/>
    <x v="7"/>
    <s v="Percent of GDP"/>
    <s v="Units"/>
    <x v="1"/>
    <n v="19.931000000000001"/>
  </r>
  <r>
    <n v="603"/>
    <x v="12"/>
    <x v="129"/>
    <x v="7"/>
    <s v="Percent of GDP"/>
    <s v="Units"/>
    <x v="2"/>
    <n v="21.771999999999998"/>
  </r>
  <r>
    <n v="603"/>
    <x v="12"/>
    <x v="129"/>
    <x v="7"/>
    <s v="Percent of GDP"/>
    <s v="Units"/>
    <x v="3"/>
    <n v="20.946000000000002"/>
  </r>
  <r>
    <n v="603"/>
    <x v="12"/>
    <x v="129"/>
    <x v="7"/>
    <s v="Percent of GDP"/>
    <s v="Units"/>
    <x v="4"/>
    <n v="22.484999999999999"/>
  </r>
  <r>
    <n v="603"/>
    <x v="12"/>
    <x v="129"/>
    <x v="7"/>
    <s v="Percent of GDP"/>
    <s v="Units"/>
    <x v="5"/>
    <n v="27.783999999999999"/>
  </r>
  <r>
    <n v="603"/>
    <x v="12"/>
    <x v="129"/>
    <x v="7"/>
    <s v="Percent of GDP"/>
    <s v="Units"/>
    <x v="6"/>
    <n v="26.210999999999999"/>
  </r>
  <r>
    <n v="1"/>
    <x v="2"/>
    <x v="129"/>
    <x v="7"/>
    <s v="Percent of GDP"/>
    <s v="Units"/>
    <x v="0"/>
    <n v="19.286000000000001"/>
  </r>
  <r>
    <n v="1"/>
    <x v="2"/>
    <x v="129"/>
    <x v="7"/>
    <s v="Percent of GDP"/>
    <s v="Units"/>
    <x v="1"/>
    <n v="19.931000000000001"/>
  </r>
  <r>
    <n v="1"/>
    <x v="2"/>
    <x v="129"/>
    <x v="7"/>
    <s v="Percent of GDP"/>
    <s v="Units"/>
    <x v="2"/>
    <n v="21.771999999999998"/>
  </r>
  <r>
    <n v="1"/>
    <x v="2"/>
    <x v="129"/>
    <x v="7"/>
    <s v="Percent of GDP"/>
    <s v="Units"/>
    <x v="3"/>
    <n v="20.946000000000002"/>
  </r>
  <r>
    <n v="1"/>
    <x v="2"/>
    <x v="129"/>
    <x v="7"/>
    <s v="Percent of GDP"/>
    <s v="Units"/>
    <x v="4"/>
    <n v="22.484999999999999"/>
  </r>
  <r>
    <n v="1"/>
    <x v="2"/>
    <x v="129"/>
    <x v="7"/>
    <s v="Percent of GDP"/>
    <s v="Units"/>
    <x v="5"/>
    <n v="27.783999999999999"/>
  </r>
  <r>
    <n v="1"/>
    <x v="2"/>
    <x v="129"/>
    <x v="7"/>
    <s v="Percent of GDP"/>
    <s v="Units"/>
    <x v="6"/>
    <n v="26.210999999999999"/>
  </r>
  <r>
    <n v="200"/>
    <x v="3"/>
    <x v="129"/>
    <x v="7"/>
    <s v="Percent of GDP"/>
    <s v="Units"/>
    <x v="0"/>
    <n v="19.286000000000001"/>
  </r>
  <r>
    <n v="200"/>
    <x v="3"/>
    <x v="129"/>
    <x v="7"/>
    <s v="Percent of GDP"/>
    <s v="Units"/>
    <x v="1"/>
    <n v="19.931000000000001"/>
  </r>
  <r>
    <n v="200"/>
    <x v="3"/>
    <x v="129"/>
    <x v="7"/>
    <s v="Percent of GDP"/>
    <s v="Units"/>
    <x v="2"/>
    <n v="21.771999999999998"/>
  </r>
  <r>
    <n v="200"/>
    <x v="3"/>
    <x v="129"/>
    <x v="7"/>
    <s v="Percent of GDP"/>
    <s v="Units"/>
    <x v="3"/>
    <n v="20.946000000000002"/>
  </r>
  <r>
    <n v="200"/>
    <x v="3"/>
    <x v="129"/>
    <x v="7"/>
    <s v="Percent of GDP"/>
    <s v="Units"/>
    <x v="4"/>
    <n v="22.484999999999999"/>
  </r>
  <r>
    <n v="200"/>
    <x v="3"/>
    <x v="129"/>
    <x v="7"/>
    <s v="Percent of GDP"/>
    <s v="Units"/>
    <x v="5"/>
    <n v="27.783999999999999"/>
  </r>
  <r>
    <n v="200"/>
    <x v="3"/>
    <x v="129"/>
    <x v="7"/>
    <s v="Percent of GDP"/>
    <s v="Units"/>
    <x v="6"/>
    <n v="26.210999999999999"/>
  </r>
  <r>
    <n v="205"/>
    <x v="7"/>
    <x v="81"/>
    <x v="2"/>
    <s v="Percent of GDP"/>
    <s v="Units"/>
    <x v="0"/>
    <n v="27.861000000000001"/>
  </r>
  <r>
    <n v="205"/>
    <x v="7"/>
    <x v="81"/>
    <x v="2"/>
    <s v="Percent of GDP"/>
    <s v="Units"/>
    <x v="1"/>
    <n v="28.068000000000001"/>
  </r>
  <r>
    <n v="205"/>
    <x v="7"/>
    <x v="81"/>
    <x v="2"/>
    <s v="Percent of GDP"/>
    <s v="Units"/>
    <x v="2"/>
    <n v="27.553000000000001"/>
  </r>
  <r>
    <n v="205"/>
    <x v="7"/>
    <x v="81"/>
    <x v="2"/>
    <s v="Percent of GDP"/>
    <s v="Units"/>
    <x v="3"/>
    <n v="27.640999999999998"/>
  </r>
  <r>
    <n v="205"/>
    <x v="7"/>
    <x v="81"/>
    <x v="2"/>
    <s v="Percent of GDP"/>
    <s v="Units"/>
    <x v="4"/>
    <n v="27.686"/>
  </r>
  <r>
    <n v="205"/>
    <x v="7"/>
    <x v="81"/>
    <x v="2"/>
    <s v="Percent of GDP"/>
    <s v="Units"/>
    <x v="5"/>
    <n v="27.774000000000001"/>
  </r>
  <r>
    <n v="205"/>
    <x v="7"/>
    <x v="81"/>
    <x v="2"/>
    <s v="Percent of GDP"/>
    <s v="Units"/>
    <x v="6"/>
    <n v="27.777000000000001"/>
  </r>
  <r>
    <n v="200"/>
    <x v="3"/>
    <x v="81"/>
    <x v="2"/>
    <s v="Percent of GDP"/>
    <s v="Units"/>
    <x v="0"/>
    <n v="27.861000000000001"/>
  </r>
  <r>
    <n v="200"/>
    <x v="3"/>
    <x v="81"/>
    <x v="2"/>
    <s v="Percent of GDP"/>
    <s v="Units"/>
    <x v="1"/>
    <n v="28.068000000000001"/>
  </r>
  <r>
    <n v="200"/>
    <x v="3"/>
    <x v="81"/>
    <x v="2"/>
    <s v="Percent of GDP"/>
    <s v="Units"/>
    <x v="2"/>
    <n v="27.553000000000001"/>
  </r>
  <r>
    <n v="200"/>
    <x v="3"/>
    <x v="81"/>
    <x v="2"/>
    <s v="Percent of GDP"/>
    <s v="Units"/>
    <x v="3"/>
    <n v="27.640999999999998"/>
  </r>
  <r>
    <n v="200"/>
    <x v="3"/>
    <x v="81"/>
    <x v="2"/>
    <s v="Percent of GDP"/>
    <s v="Units"/>
    <x v="4"/>
    <n v="27.686"/>
  </r>
  <r>
    <n v="200"/>
    <x v="3"/>
    <x v="81"/>
    <x v="2"/>
    <s v="Percent of GDP"/>
    <s v="Units"/>
    <x v="5"/>
    <n v="27.774000000000001"/>
  </r>
  <r>
    <n v="200"/>
    <x v="3"/>
    <x v="81"/>
    <x v="2"/>
    <s v="Percent of GDP"/>
    <s v="Units"/>
    <x v="6"/>
    <n v="27.777000000000001"/>
  </r>
  <r>
    <n v="200"/>
    <x v="3"/>
    <x v="154"/>
    <x v="2"/>
    <s v="Percent of GDP"/>
    <s v="Units"/>
    <x v="0"/>
    <n v="27.209"/>
  </r>
  <r>
    <n v="200"/>
    <x v="3"/>
    <x v="154"/>
    <x v="2"/>
    <s v="Percent of GDP"/>
    <s v="Units"/>
    <x v="1"/>
    <n v="25.853000000000002"/>
  </r>
  <r>
    <n v="200"/>
    <x v="3"/>
    <x v="154"/>
    <x v="2"/>
    <s v="Percent of GDP"/>
    <s v="Units"/>
    <x v="2"/>
    <n v="27.527000000000001"/>
  </r>
  <r>
    <n v="200"/>
    <x v="3"/>
    <x v="154"/>
    <x v="2"/>
    <s v="Percent of GDP"/>
    <s v="Units"/>
    <x v="3"/>
    <n v="26.786999999999999"/>
  </r>
  <r>
    <n v="200"/>
    <x v="3"/>
    <x v="154"/>
    <x v="2"/>
    <s v="Percent of GDP"/>
    <s v="Units"/>
    <x v="4"/>
    <n v="27.919"/>
  </r>
  <r>
    <n v="200"/>
    <x v="3"/>
    <x v="154"/>
    <x v="2"/>
    <s v="Percent of GDP"/>
    <s v="Units"/>
    <x v="5"/>
    <n v="27.716999999999999"/>
  </r>
  <r>
    <n v="200"/>
    <x v="3"/>
    <x v="154"/>
    <x v="2"/>
    <s v="Percent of GDP"/>
    <s v="Units"/>
    <x v="6"/>
    <n v="27.434999999999999"/>
  </r>
  <r>
    <n v="903"/>
    <x v="8"/>
    <x v="154"/>
    <x v="2"/>
    <s v="Percent of GDP"/>
    <s v="Units"/>
    <x v="0"/>
    <n v="27.209"/>
  </r>
  <r>
    <n v="903"/>
    <x v="8"/>
    <x v="154"/>
    <x v="2"/>
    <s v="Percent of GDP"/>
    <s v="Units"/>
    <x v="1"/>
    <n v="25.853000000000002"/>
  </r>
  <r>
    <n v="903"/>
    <x v="8"/>
    <x v="154"/>
    <x v="2"/>
    <s v="Percent of GDP"/>
    <s v="Units"/>
    <x v="2"/>
    <n v="27.527000000000001"/>
  </r>
  <r>
    <n v="903"/>
    <x v="8"/>
    <x v="154"/>
    <x v="2"/>
    <s v="Percent of GDP"/>
    <s v="Units"/>
    <x v="3"/>
    <n v="26.786999999999999"/>
  </r>
  <r>
    <n v="903"/>
    <x v="8"/>
    <x v="154"/>
    <x v="2"/>
    <s v="Percent of GDP"/>
    <s v="Units"/>
    <x v="4"/>
    <n v="27.919"/>
  </r>
  <r>
    <n v="903"/>
    <x v="8"/>
    <x v="154"/>
    <x v="2"/>
    <s v="Percent of GDP"/>
    <s v="Units"/>
    <x v="5"/>
    <n v="27.716999999999999"/>
  </r>
  <r>
    <n v="903"/>
    <x v="8"/>
    <x v="154"/>
    <x v="2"/>
    <s v="Percent of GDP"/>
    <s v="Units"/>
    <x v="6"/>
    <n v="27.434999999999999"/>
  </r>
  <r>
    <n v="603"/>
    <x v="12"/>
    <x v="152"/>
    <x v="2"/>
    <s v="Percent of GDP"/>
    <s v="Units"/>
    <x v="0"/>
    <n v="25.885000000000002"/>
  </r>
  <r>
    <n v="603"/>
    <x v="12"/>
    <x v="152"/>
    <x v="2"/>
    <s v="Percent of GDP"/>
    <s v="Units"/>
    <x v="1"/>
    <n v="25.238"/>
  </r>
  <r>
    <n v="603"/>
    <x v="12"/>
    <x v="152"/>
    <x v="2"/>
    <s v="Percent of GDP"/>
    <s v="Units"/>
    <x v="2"/>
    <n v="23.91"/>
  </r>
  <r>
    <n v="603"/>
    <x v="12"/>
    <x v="152"/>
    <x v="2"/>
    <s v="Percent of GDP"/>
    <s v="Units"/>
    <x v="3"/>
    <n v="22.408000000000001"/>
  </r>
  <r>
    <n v="603"/>
    <x v="12"/>
    <x v="152"/>
    <x v="2"/>
    <s v="Percent of GDP"/>
    <s v="Units"/>
    <x v="4"/>
    <n v="25.23"/>
  </r>
  <r>
    <n v="603"/>
    <x v="12"/>
    <x v="152"/>
    <x v="2"/>
    <s v="Percent of GDP"/>
    <s v="Units"/>
    <x v="5"/>
    <n v="27.707999999999998"/>
  </r>
  <r>
    <n v="603"/>
    <x v="12"/>
    <x v="152"/>
    <x v="2"/>
    <s v="Percent of GDP"/>
    <s v="Units"/>
    <x v="6"/>
    <n v="26.18"/>
  </r>
  <r>
    <n v="200"/>
    <x v="3"/>
    <x v="152"/>
    <x v="2"/>
    <s v="Percent of GDP"/>
    <s v="Units"/>
    <x v="0"/>
    <n v="25.885000000000002"/>
  </r>
  <r>
    <n v="200"/>
    <x v="3"/>
    <x v="152"/>
    <x v="2"/>
    <s v="Percent of GDP"/>
    <s v="Units"/>
    <x v="1"/>
    <n v="25.238"/>
  </r>
  <r>
    <n v="200"/>
    <x v="3"/>
    <x v="152"/>
    <x v="2"/>
    <s v="Percent of GDP"/>
    <s v="Units"/>
    <x v="2"/>
    <n v="23.91"/>
  </r>
  <r>
    <n v="200"/>
    <x v="3"/>
    <x v="152"/>
    <x v="2"/>
    <s v="Percent of GDP"/>
    <s v="Units"/>
    <x v="3"/>
    <n v="22.408000000000001"/>
  </r>
  <r>
    <n v="200"/>
    <x v="3"/>
    <x v="152"/>
    <x v="2"/>
    <s v="Percent of GDP"/>
    <s v="Units"/>
    <x v="4"/>
    <n v="25.23"/>
  </r>
  <r>
    <n v="200"/>
    <x v="3"/>
    <x v="152"/>
    <x v="2"/>
    <s v="Percent of GDP"/>
    <s v="Units"/>
    <x v="5"/>
    <n v="27.707999999999998"/>
  </r>
  <r>
    <n v="200"/>
    <x v="3"/>
    <x v="152"/>
    <x v="2"/>
    <s v="Percent of GDP"/>
    <s v="Units"/>
    <x v="6"/>
    <n v="26.18"/>
  </r>
  <r>
    <n v="1"/>
    <x v="2"/>
    <x v="36"/>
    <x v="5"/>
    <s v="Percent of GDP"/>
    <s v="Units"/>
    <x v="0"/>
    <n v="24.545999999999999"/>
  </r>
  <r>
    <n v="1"/>
    <x v="2"/>
    <x v="36"/>
    <x v="5"/>
    <s v="Percent of GDP"/>
    <s v="Units"/>
    <x v="1"/>
    <n v="23.824000000000002"/>
  </r>
  <r>
    <n v="1"/>
    <x v="2"/>
    <x v="36"/>
    <x v="5"/>
    <s v="Percent of GDP"/>
    <s v="Units"/>
    <x v="2"/>
    <n v="25.992000000000001"/>
  </r>
  <r>
    <n v="1"/>
    <x v="2"/>
    <x v="36"/>
    <x v="5"/>
    <s v="Percent of GDP"/>
    <s v="Units"/>
    <x v="3"/>
    <n v="26.582000000000001"/>
  </r>
  <r>
    <n v="1"/>
    <x v="2"/>
    <x v="36"/>
    <x v="5"/>
    <s v="Percent of GDP"/>
    <s v="Units"/>
    <x v="4"/>
    <n v="27.032"/>
  </r>
  <r>
    <n v="1"/>
    <x v="2"/>
    <x v="36"/>
    <x v="5"/>
    <s v="Percent of GDP"/>
    <s v="Units"/>
    <x v="5"/>
    <n v="27.698"/>
  </r>
  <r>
    <n v="1"/>
    <x v="2"/>
    <x v="36"/>
    <x v="5"/>
    <s v="Percent of GDP"/>
    <s v="Units"/>
    <x v="6"/>
    <n v="28.629000000000001"/>
  </r>
  <r>
    <n v="505"/>
    <x v="4"/>
    <x v="36"/>
    <x v="5"/>
    <s v="Percent of GDP"/>
    <s v="Units"/>
    <x v="0"/>
    <n v="24.545999999999999"/>
  </r>
  <r>
    <n v="505"/>
    <x v="4"/>
    <x v="36"/>
    <x v="5"/>
    <s v="Percent of GDP"/>
    <s v="Units"/>
    <x v="1"/>
    <n v="23.824000000000002"/>
  </r>
  <r>
    <n v="505"/>
    <x v="4"/>
    <x v="36"/>
    <x v="5"/>
    <s v="Percent of GDP"/>
    <s v="Units"/>
    <x v="2"/>
    <n v="25.992000000000001"/>
  </r>
  <r>
    <n v="505"/>
    <x v="4"/>
    <x v="36"/>
    <x v="5"/>
    <s v="Percent of GDP"/>
    <s v="Units"/>
    <x v="3"/>
    <n v="26.582000000000001"/>
  </r>
  <r>
    <n v="505"/>
    <x v="4"/>
    <x v="36"/>
    <x v="5"/>
    <s v="Percent of GDP"/>
    <s v="Units"/>
    <x v="4"/>
    <n v="27.032"/>
  </r>
  <r>
    <n v="505"/>
    <x v="4"/>
    <x v="36"/>
    <x v="5"/>
    <s v="Percent of GDP"/>
    <s v="Units"/>
    <x v="5"/>
    <n v="27.698"/>
  </r>
  <r>
    <n v="505"/>
    <x v="4"/>
    <x v="36"/>
    <x v="5"/>
    <s v="Percent of GDP"/>
    <s v="Units"/>
    <x v="6"/>
    <n v="28.629000000000001"/>
  </r>
  <r>
    <n v="510"/>
    <x v="10"/>
    <x v="36"/>
    <x v="5"/>
    <s v="Percent of GDP"/>
    <s v="Units"/>
    <x v="0"/>
    <n v="24.545999999999999"/>
  </r>
  <r>
    <n v="510"/>
    <x v="10"/>
    <x v="36"/>
    <x v="5"/>
    <s v="Percent of GDP"/>
    <s v="Units"/>
    <x v="1"/>
    <n v="23.824000000000002"/>
  </r>
  <r>
    <n v="510"/>
    <x v="10"/>
    <x v="36"/>
    <x v="5"/>
    <s v="Percent of GDP"/>
    <s v="Units"/>
    <x v="2"/>
    <n v="25.992000000000001"/>
  </r>
  <r>
    <n v="510"/>
    <x v="10"/>
    <x v="36"/>
    <x v="5"/>
    <s v="Percent of GDP"/>
    <s v="Units"/>
    <x v="3"/>
    <n v="26.582000000000001"/>
  </r>
  <r>
    <n v="510"/>
    <x v="10"/>
    <x v="36"/>
    <x v="5"/>
    <s v="Percent of GDP"/>
    <s v="Units"/>
    <x v="4"/>
    <n v="27.032"/>
  </r>
  <r>
    <n v="510"/>
    <x v="10"/>
    <x v="36"/>
    <x v="5"/>
    <s v="Percent of GDP"/>
    <s v="Units"/>
    <x v="5"/>
    <n v="27.698"/>
  </r>
  <r>
    <n v="510"/>
    <x v="10"/>
    <x v="36"/>
    <x v="5"/>
    <s v="Percent of GDP"/>
    <s v="Units"/>
    <x v="6"/>
    <n v="28.629000000000001"/>
  </r>
  <r>
    <n v="200"/>
    <x v="3"/>
    <x v="36"/>
    <x v="5"/>
    <s v="Percent of GDP"/>
    <s v="Units"/>
    <x v="0"/>
    <n v="24.545999999999999"/>
  </r>
  <r>
    <n v="200"/>
    <x v="3"/>
    <x v="36"/>
    <x v="5"/>
    <s v="Percent of GDP"/>
    <s v="Units"/>
    <x v="1"/>
    <n v="23.824000000000002"/>
  </r>
  <r>
    <n v="200"/>
    <x v="3"/>
    <x v="36"/>
    <x v="5"/>
    <s v="Percent of GDP"/>
    <s v="Units"/>
    <x v="2"/>
    <n v="25.992000000000001"/>
  </r>
  <r>
    <n v="200"/>
    <x v="3"/>
    <x v="36"/>
    <x v="5"/>
    <s v="Percent of GDP"/>
    <s v="Units"/>
    <x v="3"/>
    <n v="26.582000000000001"/>
  </r>
  <r>
    <n v="200"/>
    <x v="3"/>
    <x v="36"/>
    <x v="5"/>
    <s v="Percent of GDP"/>
    <s v="Units"/>
    <x v="4"/>
    <n v="27.032"/>
  </r>
  <r>
    <n v="200"/>
    <x v="3"/>
    <x v="36"/>
    <x v="5"/>
    <s v="Percent of GDP"/>
    <s v="Units"/>
    <x v="5"/>
    <n v="27.698"/>
  </r>
  <r>
    <n v="200"/>
    <x v="3"/>
    <x v="36"/>
    <x v="5"/>
    <s v="Percent of GDP"/>
    <s v="Units"/>
    <x v="6"/>
    <n v="28.629000000000001"/>
  </r>
  <r>
    <n v="200"/>
    <x v="3"/>
    <x v="108"/>
    <x v="3"/>
    <s v="Percent of GDP"/>
    <s v="Units"/>
    <x v="0"/>
    <n v="32.680999999999997"/>
  </r>
  <r>
    <n v="200"/>
    <x v="3"/>
    <x v="108"/>
    <x v="3"/>
    <s v="Percent of GDP"/>
    <s v="Units"/>
    <x v="1"/>
    <n v="35.802999999999997"/>
  </r>
  <r>
    <n v="200"/>
    <x v="3"/>
    <x v="108"/>
    <x v="3"/>
    <s v="Percent of GDP"/>
    <s v="Units"/>
    <x v="2"/>
    <n v="31.838000000000001"/>
  </r>
  <r>
    <n v="200"/>
    <x v="3"/>
    <x v="108"/>
    <x v="3"/>
    <s v="Percent of GDP"/>
    <s v="Units"/>
    <x v="3"/>
    <n v="28.817"/>
  </r>
  <r>
    <n v="200"/>
    <x v="3"/>
    <x v="108"/>
    <x v="3"/>
    <s v="Percent of GDP"/>
    <s v="Units"/>
    <x v="4"/>
    <n v="29.155000000000001"/>
  </r>
  <r>
    <n v="200"/>
    <x v="3"/>
    <x v="108"/>
    <x v="3"/>
    <s v="Percent of GDP"/>
    <s v="Units"/>
    <x v="5"/>
    <n v="27.678999999999998"/>
  </r>
  <r>
    <n v="200"/>
    <x v="3"/>
    <x v="108"/>
    <x v="3"/>
    <s v="Percent of GDP"/>
    <s v="Units"/>
    <x v="6"/>
    <n v="26.853000000000002"/>
  </r>
  <r>
    <n v="400"/>
    <x v="11"/>
    <x v="108"/>
    <x v="3"/>
    <s v="Percent of GDP"/>
    <s v="Units"/>
    <x v="0"/>
    <n v="32.680999999999997"/>
  </r>
  <r>
    <n v="400"/>
    <x v="11"/>
    <x v="108"/>
    <x v="3"/>
    <s v="Percent of GDP"/>
    <s v="Units"/>
    <x v="1"/>
    <n v="35.802999999999997"/>
  </r>
  <r>
    <n v="400"/>
    <x v="11"/>
    <x v="108"/>
    <x v="3"/>
    <s v="Percent of GDP"/>
    <s v="Units"/>
    <x v="2"/>
    <n v="31.838000000000001"/>
  </r>
  <r>
    <n v="400"/>
    <x v="11"/>
    <x v="108"/>
    <x v="3"/>
    <s v="Percent of GDP"/>
    <s v="Units"/>
    <x v="3"/>
    <n v="28.817"/>
  </r>
  <r>
    <n v="400"/>
    <x v="11"/>
    <x v="108"/>
    <x v="3"/>
    <s v="Percent of GDP"/>
    <s v="Units"/>
    <x v="4"/>
    <n v="29.155000000000001"/>
  </r>
  <r>
    <n v="400"/>
    <x v="11"/>
    <x v="108"/>
    <x v="3"/>
    <s v="Percent of GDP"/>
    <s v="Units"/>
    <x v="5"/>
    <n v="27.678999999999998"/>
  </r>
  <r>
    <n v="400"/>
    <x v="11"/>
    <x v="108"/>
    <x v="3"/>
    <s v="Percent of GDP"/>
    <s v="Units"/>
    <x v="6"/>
    <n v="26.853000000000002"/>
  </r>
  <r>
    <n v="205"/>
    <x v="7"/>
    <x v="43"/>
    <x v="3"/>
    <s v="Percent of GDP"/>
    <s v="Units"/>
    <x v="0"/>
    <n v="26.497"/>
  </r>
  <r>
    <n v="205"/>
    <x v="7"/>
    <x v="43"/>
    <x v="3"/>
    <s v="Percent of GDP"/>
    <s v="Units"/>
    <x v="1"/>
    <n v="29.088000000000001"/>
  </r>
  <r>
    <n v="205"/>
    <x v="7"/>
    <x v="43"/>
    <x v="3"/>
    <s v="Percent of GDP"/>
    <s v="Units"/>
    <x v="2"/>
    <n v="33.594999999999999"/>
  </r>
  <r>
    <n v="205"/>
    <x v="7"/>
    <x v="43"/>
    <x v="3"/>
    <s v="Percent of GDP"/>
    <s v="Units"/>
    <x v="3"/>
    <n v="26.646000000000001"/>
  </r>
  <r>
    <n v="205"/>
    <x v="7"/>
    <x v="43"/>
    <x v="3"/>
    <s v="Percent of GDP"/>
    <s v="Units"/>
    <x v="4"/>
    <n v="26.858000000000001"/>
  </r>
  <r>
    <n v="205"/>
    <x v="7"/>
    <x v="43"/>
    <x v="3"/>
    <s v="Percent of GDP"/>
    <s v="Units"/>
    <x v="5"/>
    <n v="27.672000000000001"/>
  </r>
  <r>
    <n v="205"/>
    <x v="7"/>
    <x v="43"/>
    <x v="3"/>
    <s v="Percent of GDP"/>
    <s v="Units"/>
    <x v="6"/>
    <n v="27.148"/>
  </r>
  <r>
    <n v="200"/>
    <x v="3"/>
    <x v="43"/>
    <x v="3"/>
    <s v="Percent of GDP"/>
    <s v="Units"/>
    <x v="0"/>
    <n v="26.497"/>
  </r>
  <r>
    <n v="200"/>
    <x v="3"/>
    <x v="43"/>
    <x v="3"/>
    <s v="Percent of GDP"/>
    <s v="Units"/>
    <x v="1"/>
    <n v="29.088000000000001"/>
  </r>
  <r>
    <n v="200"/>
    <x v="3"/>
    <x v="43"/>
    <x v="3"/>
    <s v="Percent of GDP"/>
    <s v="Units"/>
    <x v="2"/>
    <n v="33.594999999999999"/>
  </r>
  <r>
    <n v="200"/>
    <x v="3"/>
    <x v="43"/>
    <x v="3"/>
    <s v="Percent of GDP"/>
    <s v="Units"/>
    <x v="3"/>
    <n v="26.646000000000001"/>
  </r>
  <r>
    <n v="200"/>
    <x v="3"/>
    <x v="43"/>
    <x v="3"/>
    <s v="Percent of GDP"/>
    <s v="Units"/>
    <x v="4"/>
    <n v="26.858000000000001"/>
  </r>
  <r>
    <n v="200"/>
    <x v="3"/>
    <x v="43"/>
    <x v="3"/>
    <s v="Percent of GDP"/>
    <s v="Units"/>
    <x v="5"/>
    <n v="27.672000000000001"/>
  </r>
  <r>
    <n v="200"/>
    <x v="3"/>
    <x v="43"/>
    <x v="3"/>
    <s v="Percent of GDP"/>
    <s v="Units"/>
    <x v="6"/>
    <n v="27.148"/>
  </r>
  <r>
    <n v="200"/>
    <x v="3"/>
    <x v="106"/>
    <x v="2"/>
    <s v="Percent of GDP"/>
    <s v="Units"/>
    <x v="0"/>
    <n v="28.844999999999999"/>
  </r>
  <r>
    <n v="200"/>
    <x v="3"/>
    <x v="106"/>
    <x v="2"/>
    <s v="Percent of GDP"/>
    <s v="Units"/>
    <x v="1"/>
    <n v="25.254000000000001"/>
  </r>
  <r>
    <n v="200"/>
    <x v="3"/>
    <x v="106"/>
    <x v="2"/>
    <s v="Percent of GDP"/>
    <s v="Units"/>
    <x v="2"/>
    <n v="25.07"/>
  </r>
  <r>
    <n v="200"/>
    <x v="3"/>
    <x v="106"/>
    <x v="2"/>
    <s v="Percent of GDP"/>
    <s v="Units"/>
    <x v="3"/>
    <n v="28.873999999999999"/>
  </r>
  <r>
    <n v="200"/>
    <x v="3"/>
    <x v="106"/>
    <x v="2"/>
    <s v="Percent of GDP"/>
    <s v="Units"/>
    <x v="4"/>
    <n v="28.338999999999999"/>
  </r>
  <r>
    <n v="200"/>
    <x v="3"/>
    <x v="106"/>
    <x v="2"/>
    <s v="Percent of GDP"/>
    <s v="Units"/>
    <x v="5"/>
    <n v="27.61"/>
  </r>
  <r>
    <n v="200"/>
    <x v="3"/>
    <x v="106"/>
    <x v="2"/>
    <s v="Percent of GDP"/>
    <s v="Units"/>
    <x v="6"/>
    <n v="27.366"/>
  </r>
  <r>
    <n v="205"/>
    <x v="7"/>
    <x v="106"/>
    <x v="2"/>
    <s v="Percent of GDP"/>
    <s v="Units"/>
    <x v="0"/>
    <n v="28.844999999999999"/>
  </r>
  <r>
    <n v="205"/>
    <x v="7"/>
    <x v="106"/>
    <x v="2"/>
    <s v="Percent of GDP"/>
    <s v="Units"/>
    <x v="1"/>
    <n v="25.254000000000001"/>
  </r>
  <r>
    <n v="205"/>
    <x v="7"/>
    <x v="106"/>
    <x v="2"/>
    <s v="Percent of GDP"/>
    <s v="Units"/>
    <x v="2"/>
    <n v="25.07"/>
  </r>
  <r>
    <n v="205"/>
    <x v="7"/>
    <x v="106"/>
    <x v="2"/>
    <s v="Percent of GDP"/>
    <s v="Units"/>
    <x v="3"/>
    <n v="28.873999999999999"/>
  </r>
  <r>
    <n v="205"/>
    <x v="7"/>
    <x v="106"/>
    <x v="2"/>
    <s v="Percent of GDP"/>
    <s v="Units"/>
    <x v="4"/>
    <n v="28.338999999999999"/>
  </r>
  <r>
    <n v="205"/>
    <x v="7"/>
    <x v="106"/>
    <x v="2"/>
    <s v="Percent of GDP"/>
    <s v="Units"/>
    <x v="5"/>
    <n v="27.61"/>
  </r>
  <r>
    <n v="205"/>
    <x v="7"/>
    <x v="106"/>
    <x v="2"/>
    <s v="Percent of GDP"/>
    <s v="Units"/>
    <x v="6"/>
    <n v="27.366"/>
  </r>
  <r>
    <n v="400"/>
    <x v="11"/>
    <x v="99"/>
    <x v="2"/>
    <s v="Percent of GDP"/>
    <s v="Units"/>
    <x v="0"/>
    <n v="25.928999999999998"/>
  </r>
  <r>
    <n v="400"/>
    <x v="11"/>
    <x v="99"/>
    <x v="2"/>
    <s v="Percent of GDP"/>
    <s v="Units"/>
    <x v="1"/>
    <n v="25.448"/>
  </r>
  <r>
    <n v="400"/>
    <x v="11"/>
    <x v="99"/>
    <x v="2"/>
    <s v="Percent of GDP"/>
    <s v="Units"/>
    <x v="2"/>
    <n v="25.675000000000001"/>
  </r>
  <r>
    <n v="400"/>
    <x v="11"/>
    <x v="99"/>
    <x v="2"/>
    <s v="Percent of GDP"/>
    <s v="Units"/>
    <x v="3"/>
    <n v="28.515999999999998"/>
  </r>
  <r>
    <n v="400"/>
    <x v="11"/>
    <x v="99"/>
    <x v="2"/>
    <s v="Percent of GDP"/>
    <s v="Units"/>
    <x v="4"/>
    <n v="27.492000000000001"/>
  </r>
  <r>
    <n v="400"/>
    <x v="11"/>
    <x v="99"/>
    <x v="2"/>
    <s v="Percent of GDP"/>
    <s v="Units"/>
    <x v="5"/>
    <n v="27.573"/>
  </r>
  <r>
    <n v="400"/>
    <x v="11"/>
    <x v="99"/>
    <x v="2"/>
    <s v="Percent of GDP"/>
    <s v="Units"/>
    <x v="6"/>
    <n v="27.358000000000001"/>
  </r>
  <r>
    <n v="200"/>
    <x v="3"/>
    <x v="99"/>
    <x v="2"/>
    <s v="Percent of GDP"/>
    <s v="Units"/>
    <x v="0"/>
    <n v="25.928999999999998"/>
  </r>
  <r>
    <n v="200"/>
    <x v="3"/>
    <x v="99"/>
    <x v="2"/>
    <s v="Percent of GDP"/>
    <s v="Units"/>
    <x v="1"/>
    <n v="25.448"/>
  </r>
  <r>
    <n v="200"/>
    <x v="3"/>
    <x v="99"/>
    <x v="2"/>
    <s v="Percent of GDP"/>
    <s v="Units"/>
    <x v="2"/>
    <n v="25.675000000000001"/>
  </r>
  <r>
    <n v="200"/>
    <x v="3"/>
    <x v="99"/>
    <x v="2"/>
    <s v="Percent of GDP"/>
    <s v="Units"/>
    <x v="3"/>
    <n v="28.515999999999998"/>
  </r>
  <r>
    <n v="200"/>
    <x v="3"/>
    <x v="99"/>
    <x v="2"/>
    <s v="Percent of GDP"/>
    <s v="Units"/>
    <x v="4"/>
    <n v="27.492000000000001"/>
  </r>
  <r>
    <n v="200"/>
    <x v="3"/>
    <x v="99"/>
    <x v="2"/>
    <s v="Percent of GDP"/>
    <s v="Units"/>
    <x v="5"/>
    <n v="27.573"/>
  </r>
  <r>
    <n v="200"/>
    <x v="3"/>
    <x v="99"/>
    <x v="2"/>
    <s v="Percent of GDP"/>
    <s v="Units"/>
    <x v="6"/>
    <n v="27.358000000000001"/>
  </r>
  <r>
    <n v="1"/>
    <x v="2"/>
    <x v="59"/>
    <x v="5"/>
    <s v="Percent of GDP"/>
    <s v="Units"/>
    <x v="0"/>
    <n v="27"/>
  </r>
  <r>
    <n v="1"/>
    <x v="2"/>
    <x v="59"/>
    <x v="5"/>
    <s v="Percent of GDP"/>
    <s v="Units"/>
    <x v="1"/>
    <n v="27.454000000000001"/>
  </r>
  <r>
    <n v="1"/>
    <x v="2"/>
    <x v="59"/>
    <x v="5"/>
    <s v="Percent of GDP"/>
    <s v="Units"/>
    <x v="2"/>
    <n v="28.02"/>
  </r>
  <r>
    <n v="1"/>
    <x v="2"/>
    <x v="59"/>
    <x v="5"/>
    <s v="Percent of GDP"/>
    <s v="Units"/>
    <x v="3"/>
    <n v="26.584"/>
  </r>
  <r>
    <n v="1"/>
    <x v="2"/>
    <x v="59"/>
    <x v="5"/>
    <s v="Percent of GDP"/>
    <s v="Units"/>
    <x v="4"/>
    <n v="28.050999999999998"/>
  </r>
  <r>
    <n v="1"/>
    <x v="2"/>
    <x v="59"/>
    <x v="5"/>
    <s v="Percent of GDP"/>
    <s v="Units"/>
    <x v="5"/>
    <n v="27.547999999999998"/>
  </r>
  <r>
    <n v="1"/>
    <x v="2"/>
    <x v="59"/>
    <x v="5"/>
    <s v="Percent of GDP"/>
    <s v="Units"/>
    <x v="6"/>
    <n v="27.797999999999998"/>
  </r>
  <r>
    <n v="400"/>
    <x v="11"/>
    <x v="59"/>
    <x v="5"/>
    <s v="Percent of GDP"/>
    <s v="Units"/>
    <x v="0"/>
    <n v="27"/>
  </r>
  <r>
    <n v="400"/>
    <x v="11"/>
    <x v="59"/>
    <x v="5"/>
    <s v="Percent of GDP"/>
    <s v="Units"/>
    <x v="1"/>
    <n v="27.454000000000001"/>
  </r>
  <r>
    <n v="400"/>
    <x v="11"/>
    <x v="59"/>
    <x v="5"/>
    <s v="Percent of GDP"/>
    <s v="Units"/>
    <x v="2"/>
    <n v="28.02"/>
  </r>
  <r>
    <n v="400"/>
    <x v="11"/>
    <x v="59"/>
    <x v="5"/>
    <s v="Percent of GDP"/>
    <s v="Units"/>
    <x v="3"/>
    <n v="26.584"/>
  </r>
  <r>
    <n v="400"/>
    <x v="11"/>
    <x v="59"/>
    <x v="5"/>
    <s v="Percent of GDP"/>
    <s v="Units"/>
    <x v="4"/>
    <n v="28.050999999999998"/>
  </r>
  <r>
    <n v="400"/>
    <x v="11"/>
    <x v="59"/>
    <x v="5"/>
    <s v="Percent of GDP"/>
    <s v="Units"/>
    <x v="5"/>
    <n v="27.547999999999998"/>
  </r>
  <r>
    <n v="400"/>
    <x v="11"/>
    <x v="59"/>
    <x v="5"/>
    <s v="Percent of GDP"/>
    <s v="Units"/>
    <x v="6"/>
    <n v="27.797999999999998"/>
  </r>
  <r>
    <n v="200"/>
    <x v="3"/>
    <x v="59"/>
    <x v="5"/>
    <s v="Percent of GDP"/>
    <s v="Units"/>
    <x v="0"/>
    <n v="27"/>
  </r>
  <r>
    <n v="200"/>
    <x v="3"/>
    <x v="59"/>
    <x v="5"/>
    <s v="Percent of GDP"/>
    <s v="Units"/>
    <x v="1"/>
    <n v="27.454000000000001"/>
  </r>
  <r>
    <n v="200"/>
    <x v="3"/>
    <x v="59"/>
    <x v="5"/>
    <s v="Percent of GDP"/>
    <s v="Units"/>
    <x v="2"/>
    <n v="28.02"/>
  </r>
  <r>
    <n v="200"/>
    <x v="3"/>
    <x v="59"/>
    <x v="5"/>
    <s v="Percent of GDP"/>
    <s v="Units"/>
    <x v="3"/>
    <n v="26.584"/>
  </r>
  <r>
    <n v="200"/>
    <x v="3"/>
    <x v="59"/>
    <x v="5"/>
    <s v="Percent of GDP"/>
    <s v="Units"/>
    <x v="4"/>
    <n v="28.050999999999998"/>
  </r>
  <r>
    <n v="200"/>
    <x v="3"/>
    <x v="59"/>
    <x v="5"/>
    <s v="Percent of GDP"/>
    <s v="Units"/>
    <x v="5"/>
    <n v="27.547999999999998"/>
  </r>
  <r>
    <n v="200"/>
    <x v="3"/>
    <x v="59"/>
    <x v="5"/>
    <s v="Percent of GDP"/>
    <s v="Units"/>
    <x v="6"/>
    <n v="27.797999999999998"/>
  </r>
  <r>
    <n v="123"/>
    <x v="9"/>
    <x v="44"/>
    <x v="7"/>
    <s v="Percent of GDP"/>
    <s v="Units"/>
    <x v="0"/>
    <n v="27.606999999999999"/>
  </r>
  <r>
    <n v="123"/>
    <x v="9"/>
    <x v="44"/>
    <x v="7"/>
    <s v="Percent of GDP"/>
    <s v="Units"/>
    <x v="1"/>
    <n v="26.154"/>
  </r>
  <r>
    <n v="123"/>
    <x v="9"/>
    <x v="44"/>
    <x v="7"/>
    <s v="Percent of GDP"/>
    <s v="Units"/>
    <x v="2"/>
    <n v="30.218"/>
  </r>
  <r>
    <n v="123"/>
    <x v="9"/>
    <x v="44"/>
    <x v="7"/>
    <s v="Percent of GDP"/>
    <s v="Units"/>
    <x v="3"/>
    <n v="32.155000000000001"/>
  </r>
  <r>
    <n v="123"/>
    <x v="9"/>
    <x v="44"/>
    <x v="7"/>
    <s v="Percent of GDP"/>
    <s v="Units"/>
    <x v="4"/>
    <n v="29.030999999999999"/>
  </r>
  <r>
    <n v="123"/>
    <x v="9"/>
    <x v="44"/>
    <x v="7"/>
    <s v="Percent of GDP"/>
    <s v="Units"/>
    <x v="5"/>
    <n v="27.542999999999999"/>
  </r>
  <r>
    <n v="123"/>
    <x v="9"/>
    <x v="44"/>
    <x v="7"/>
    <s v="Percent of GDP"/>
    <s v="Units"/>
    <x v="6"/>
    <n v="26.885999999999999"/>
  </r>
  <r>
    <n v="1"/>
    <x v="2"/>
    <x v="44"/>
    <x v="7"/>
    <s v="Percent of GDP"/>
    <s v="Units"/>
    <x v="0"/>
    <n v="27.606999999999999"/>
  </r>
  <r>
    <n v="1"/>
    <x v="2"/>
    <x v="44"/>
    <x v="7"/>
    <s v="Percent of GDP"/>
    <s v="Units"/>
    <x v="1"/>
    <n v="26.154"/>
  </r>
  <r>
    <n v="1"/>
    <x v="2"/>
    <x v="44"/>
    <x v="7"/>
    <s v="Percent of GDP"/>
    <s v="Units"/>
    <x v="2"/>
    <n v="30.218"/>
  </r>
  <r>
    <n v="1"/>
    <x v="2"/>
    <x v="44"/>
    <x v="7"/>
    <s v="Percent of GDP"/>
    <s v="Units"/>
    <x v="3"/>
    <n v="32.155000000000001"/>
  </r>
  <r>
    <n v="1"/>
    <x v="2"/>
    <x v="44"/>
    <x v="7"/>
    <s v="Percent of GDP"/>
    <s v="Units"/>
    <x v="4"/>
    <n v="29.030999999999999"/>
  </r>
  <r>
    <n v="1"/>
    <x v="2"/>
    <x v="44"/>
    <x v="7"/>
    <s v="Percent of GDP"/>
    <s v="Units"/>
    <x v="5"/>
    <n v="27.542999999999999"/>
  </r>
  <r>
    <n v="1"/>
    <x v="2"/>
    <x v="44"/>
    <x v="7"/>
    <s v="Percent of GDP"/>
    <s v="Units"/>
    <x v="6"/>
    <n v="26.885999999999999"/>
  </r>
  <r>
    <n v="998"/>
    <x v="6"/>
    <x v="44"/>
    <x v="7"/>
    <s v="Percent of GDP"/>
    <s v="Units"/>
    <x v="0"/>
    <n v="27.606999999999999"/>
  </r>
  <r>
    <n v="998"/>
    <x v="6"/>
    <x v="44"/>
    <x v="7"/>
    <s v="Percent of GDP"/>
    <s v="Units"/>
    <x v="1"/>
    <n v="26.154"/>
  </r>
  <r>
    <n v="998"/>
    <x v="6"/>
    <x v="44"/>
    <x v="7"/>
    <s v="Percent of GDP"/>
    <s v="Units"/>
    <x v="2"/>
    <n v="30.218"/>
  </r>
  <r>
    <n v="998"/>
    <x v="6"/>
    <x v="44"/>
    <x v="7"/>
    <s v="Percent of GDP"/>
    <s v="Units"/>
    <x v="3"/>
    <n v="32.155000000000001"/>
  </r>
  <r>
    <n v="998"/>
    <x v="6"/>
    <x v="44"/>
    <x v="7"/>
    <s v="Percent of GDP"/>
    <s v="Units"/>
    <x v="4"/>
    <n v="29.030999999999999"/>
  </r>
  <r>
    <n v="998"/>
    <x v="6"/>
    <x v="44"/>
    <x v="7"/>
    <s v="Percent of GDP"/>
    <s v="Units"/>
    <x v="5"/>
    <n v="27.542999999999999"/>
  </r>
  <r>
    <n v="998"/>
    <x v="6"/>
    <x v="44"/>
    <x v="7"/>
    <s v="Percent of GDP"/>
    <s v="Units"/>
    <x v="6"/>
    <n v="26.885999999999999"/>
  </r>
  <r>
    <n v="110"/>
    <x v="0"/>
    <x v="44"/>
    <x v="7"/>
    <s v="Percent of GDP"/>
    <s v="Units"/>
    <x v="0"/>
    <n v="27.606999999999999"/>
  </r>
  <r>
    <n v="110"/>
    <x v="0"/>
    <x v="44"/>
    <x v="7"/>
    <s v="Percent of GDP"/>
    <s v="Units"/>
    <x v="1"/>
    <n v="26.154"/>
  </r>
  <r>
    <n v="110"/>
    <x v="0"/>
    <x v="44"/>
    <x v="7"/>
    <s v="Percent of GDP"/>
    <s v="Units"/>
    <x v="2"/>
    <n v="30.218"/>
  </r>
  <r>
    <n v="110"/>
    <x v="0"/>
    <x v="44"/>
    <x v="7"/>
    <s v="Percent of GDP"/>
    <s v="Units"/>
    <x v="3"/>
    <n v="32.155000000000001"/>
  </r>
  <r>
    <n v="110"/>
    <x v="0"/>
    <x v="44"/>
    <x v="7"/>
    <s v="Percent of GDP"/>
    <s v="Units"/>
    <x v="4"/>
    <n v="29.030999999999999"/>
  </r>
  <r>
    <n v="110"/>
    <x v="0"/>
    <x v="44"/>
    <x v="7"/>
    <s v="Percent of GDP"/>
    <s v="Units"/>
    <x v="5"/>
    <n v="27.542999999999999"/>
  </r>
  <r>
    <n v="110"/>
    <x v="0"/>
    <x v="44"/>
    <x v="7"/>
    <s v="Percent of GDP"/>
    <s v="Units"/>
    <x v="6"/>
    <n v="26.885999999999999"/>
  </r>
  <r>
    <n v="200"/>
    <x v="3"/>
    <x v="161"/>
    <x v="2"/>
    <s v="Percent of GDP"/>
    <s v="Units"/>
    <x v="0"/>
    <n v="27.323"/>
  </r>
  <r>
    <n v="200"/>
    <x v="3"/>
    <x v="161"/>
    <x v="2"/>
    <s v="Percent of GDP"/>
    <s v="Units"/>
    <x v="1"/>
    <n v="28.739000000000001"/>
  </r>
  <r>
    <n v="200"/>
    <x v="3"/>
    <x v="161"/>
    <x v="2"/>
    <s v="Percent of GDP"/>
    <s v="Units"/>
    <x v="2"/>
    <n v="24.510999999999999"/>
  </r>
  <r>
    <n v="200"/>
    <x v="3"/>
    <x v="161"/>
    <x v="2"/>
    <s v="Percent of GDP"/>
    <s v="Units"/>
    <x v="3"/>
    <n v="23.803000000000001"/>
  </r>
  <r>
    <n v="200"/>
    <x v="3"/>
    <x v="161"/>
    <x v="2"/>
    <s v="Percent of GDP"/>
    <s v="Units"/>
    <x v="4"/>
    <n v="27.643000000000001"/>
  </r>
  <r>
    <n v="200"/>
    <x v="3"/>
    <x v="161"/>
    <x v="2"/>
    <s v="Percent of GDP"/>
    <s v="Units"/>
    <x v="5"/>
    <n v="27.471"/>
  </r>
  <r>
    <n v="200"/>
    <x v="3"/>
    <x v="161"/>
    <x v="2"/>
    <s v="Percent of GDP"/>
    <s v="Units"/>
    <x v="6"/>
    <n v="25.555"/>
  </r>
  <r>
    <n v="603"/>
    <x v="12"/>
    <x v="161"/>
    <x v="2"/>
    <s v="Percent of GDP"/>
    <s v="Units"/>
    <x v="0"/>
    <n v="27.323"/>
  </r>
  <r>
    <n v="603"/>
    <x v="12"/>
    <x v="161"/>
    <x v="2"/>
    <s v="Percent of GDP"/>
    <s v="Units"/>
    <x v="1"/>
    <n v="28.739000000000001"/>
  </r>
  <r>
    <n v="603"/>
    <x v="12"/>
    <x v="161"/>
    <x v="2"/>
    <s v="Percent of GDP"/>
    <s v="Units"/>
    <x v="2"/>
    <n v="24.510999999999999"/>
  </r>
  <r>
    <n v="603"/>
    <x v="12"/>
    <x v="161"/>
    <x v="2"/>
    <s v="Percent of GDP"/>
    <s v="Units"/>
    <x v="3"/>
    <n v="23.803000000000001"/>
  </r>
  <r>
    <n v="603"/>
    <x v="12"/>
    <x v="161"/>
    <x v="2"/>
    <s v="Percent of GDP"/>
    <s v="Units"/>
    <x v="4"/>
    <n v="27.643000000000001"/>
  </r>
  <r>
    <n v="603"/>
    <x v="12"/>
    <x v="161"/>
    <x v="2"/>
    <s v="Percent of GDP"/>
    <s v="Units"/>
    <x v="5"/>
    <n v="27.471"/>
  </r>
  <r>
    <n v="603"/>
    <x v="12"/>
    <x v="161"/>
    <x v="2"/>
    <s v="Percent of GDP"/>
    <s v="Units"/>
    <x v="6"/>
    <n v="25.555"/>
  </r>
  <r>
    <n v="200"/>
    <x v="3"/>
    <x v="164"/>
    <x v="3"/>
    <s v="Percent of GDP"/>
    <s v="Units"/>
    <x v="0"/>
    <n v="23.437000000000001"/>
  </r>
  <r>
    <n v="200"/>
    <x v="3"/>
    <x v="164"/>
    <x v="3"/>
    <s v="Percent of GDP"/>
    <s v="Units"/>
    <x v="1"/>
    <n v="24.542000000000002"/>
  </r>
  <r>
    <n v="200"/>
    <x v="3"/>
    <x v="164"/>
    <x v="3"/>
    <s v="Percent of GDP"/>
    <s v="Units"/>
    <x v="2"/>
    <n v="27.885999999999999"/>
  </r>
  <r>
    <n v="200"/>
    <x v="3"/>
    <x v="164"/>
    <x v="3"/>
    <s v="Percent of GDP"/>
    <s v="Units"/>
    <x v="3"/>
    <n v="32.435000000000002"/>
  </r>
  <r>
    <n v="200"/>
    <x v="3"/>
    <x v="164"/>
    <x v="3"/>
    <s v="Percent of GDP"/>
    <s v="Units"/>
    <x v="4"/>
    <n v="29.042999999999999"/>
  </r>
  <r>
    <n v="200"/>
    <x v="3"/>
    <x v="164"/>
    <x v="3"/>
    <s v="Percent of GDP"/>
    <s v="Units"/>
    <x v="5"/>
    <n v="27.428000000000001"/>
  </r>
  <r>
    <n v="200"/>
    <x v="3"/>
    <x v="164"/>
    <x v="3"/>
    <s v="Percent of GDP"/>
    <s v="Units"/>
    <x v="6"/>
    <n v="27.373999999999999"/>
  </r>
  <r>
    <n v="603"/>
    <x v="12"/>
    <x v="164"/>
    <x v="3"/>
    <s v="Percent of GDP"/>
    <s v="Units"/>
    <x v="0"/>
    <n v="23.437000000000001"/>
  </r>
  <r>
    <n v="603"/>
    <x v="12"/>
    <x v="164"/>
    <x v="3"/>
    <s v="Percent of GDP"/>
    <s v="Units"/>
    <x v="1"/>
    <n v="24.542000000000002"/>
  </r>
  <r>
    <n v="603"/>
    <x v="12"/>
    <x v="164"/>
    <x v="3"/>
    <s v="Percent of GDP"/>
    <s v="Units"/>
    <x v="2"/>
    <n v="27.885999999999999"/>
  </r>
  <r>
    <n v="603"/>
    <x v="12"/>
    <x v="164"/>
    <x v="3"/>
    <s v="Percent of GDP"/>
    <s v="Units"/>
    <x v="3"/>
    <n v="32.435000000000002"/>
  </r>
  <r>
    <n v="603"/>
    <x v="12"/>
    <x v="164"/>
    <x v="3"/>
    <s v="Percent of GDP"/>
    <s v="Units"/>
    <x v="4"/>
    <n v="29.042999999999999"/>
  </r>
  <r>
    <n v="603"/>
    <x v="12"/>
    <x v="164"/>
    <x v="3"/>
    <s v="Percent of GDP"/>
    <s v="Units"/>
    <x v="5"/>
    <n v="27.428000000000001"/>
  </r>
  <r>
    <n v="603"/>
    <x v="12"/>
    <x v="164"/>
    <x v="3"/>
    <s v="Percent of GDP"/>
    <s v="Units"/>
    <x v="6"/>
    <n v="27.373999999999999"/>
  </r>
  <r>
    <n v="603"/>
    <x v="12"/>
    <x v="75"/>
    <x v="5"/>
    <s v="Percent of GDP"/>
    <s v="Units"/>
    <x v="0"/>
    <n v="27.045000000000002"/>
  </r>
  <r>
    <n v="603"/>
    <x v="12"/>
    <x v="75"/>
    <x v="5"/>
    <s v="Percent of GDP"/>
    <s v="Units"/>
    <x v="1"/>
    <n v="26.942"/>
  </r>
  <r>
    <n v="603"/>
    <x v="12"/>
    <x v="75"/>
    <x v="5"/>
    <s v="Percent of GDP"/>
    <s v="Units"/>
    <x v="2"/>
    <n v="36.128"/>
  </r>
  <r>
    <n v="603"/>
    <x v="12"/>
    <x v="75"/>
    <x v="5"/>
    <s v="Percent of GDP"/>
    <s v="Units"/>
    <x v="3"/>
    <n v="33.72"/>
  </r>
  <r>
    <n v="603"/>
    <x v="12"/>
    <x v="75"/>
    <x v="5"/>
    <s v="Percent of GDP"/>
    <s v="Units"/>
    <x v="4"/>
    <n v="26.234000000000002"/>
  </r>
  <r>
    <n v="603"/>
    <x v="12"/>
    <x v="75"/>
    <x v="5"/>
    <s v="Percent of GDP"/>
    <s v="Units"/>
    <x v="5"/>
    <n v="27.398"/>
  </r>
  <r>
    <n v="603"/>
    <x v="12"/>
    <x v="75"/>
    <x v="5"/>
    <s v="Percent of GDP"/>
    <s v="Units"/>
    <x v="6"/>
    <n v="27.33"/>
  </r>
  <r>
    <n v="1"/>
    <x v="2"/>
    <x v="75"/>
    <x v="5"/>
    <s v="Percent of GDP"/>
    <s v="Units"/>
    <x v="0"/>
    <n v="27.045000000000002"/>
  </r>
  <r>
    <n v="1"/>
    <x v="2"/>
    <x v="75"/>
    <x v="5"/>
    <s v="Percent of GDP"/>
    <s v="Units"/>
    <x v="1"/>
    <n v="26.942"/>
  </r>
  <r>
    <n v="1"/>
    <x v="2"/>
    <x v="75"/>
    <x v="5"/>
    <s v="Percent of GDP"/>
    <s v="Units"/>
    <x v="2"/>
    <n v="36.128"/>
  </r>
  <r>
    <n v="1"/>
    <x v="2"/>
    <x v="75"/>
    <x v="5"/>
    <s v="Percent of GDP"/>
    <s v="Units"/>
    <x v="3"/>
    <n v="33.72"/>
  </r>
  <r>
    <n v="1"/>
    <x v="2"/>
    <x v="75"/>
    <x v="5"/>
    <s v="Percent of GDP"/>
    <s v="Units"/>
    <x v="4"/>
    <n v="26.234000000000002"/>
  </r>
  <r>
    <n v="1"/>
    <x v="2"/>
    <x v="75"/>
    <x v="5"/>
    <s v="Percent of GDP"/>
    <s v="Units"/>
    <x v="5"/>
    <n v="27.398"/>
  </r>
  <r>
    <n v="1"/>
    <x v="2"/>
    <x v="75"/>
    <x v="5"/>
    <s v="Percent of GDP"/>
    <s v="Units"/>
    <x v="6"/>
    <n v="27.33"/>
  </r>
  <r>
    <n v="200"/>
    <x v="3"/>
    <x v="75"/>
    <x v="5"/>
    <s v="Percent of GDP"/>
    <s v="Units"/>
    <x v="0"/>
    <n v="27.045000000000002"/>
  </r>
  <r>
    <n v="200"/>
    <x v="3"/>
    <x v="75"/>
    <x v="5"/>
    <s v="Percent of GDP"/>
    <s v="Units"/>
    <x v="1"/>
    <n v="26.942"/>
  </r>
  <r>
    <n v="200"/>
    <x v="3"/>
    <x v="75"/>
    <x v="5"/>
    <s v="Percent of GDP"/>
    <s v="Units"/>
    <x v="2"/>
    <n v="36.128"/>
  </r>
  <r>
    <n v="200"/>
    <x v="3"/>
    <x v="75"/>
    <x v="5"/>
    <s v="Percent of GDP"/>
    <s v="Units"/>
    <x v="3"/>
    <n v="33.72"/>
  </r>
  <r>
    <n v="200"/>
    <x v="3"/>
    <x v="75"/>
    <x v="5"/>
    <s v="Percent of GDP"/>
    <s v="Units"/>
    <x v="4"/>
    <n v="26.234000000000002"/>
  </r>
  <r>
    <n v="200"/>
    <x v="3"/>
    <x v="75"/>
    <x v="5"/>
    <s v="Percent of GDP"/>
    <s v="Units"/>
    <x v="5"/>
    <n v="27.398"/>
  </r>
  <r>
    <n v="200"/>
    <x v="3"/>
    <x v="75"/>
    <x v="5"/>
    <s v="Percent of GDP"/>
    <s v="Units"/>
    <x v="6"/>
    <n v="27.33"/>
  </r>
  <r>
    <n v="505"/>
    <x v="4"/>
    <x v="147"/>
    <x v="2"/>
    <s v="Percent of GDP"/>
    <s v="Units"/>
    <x v="0"/>
    <n v="26.779"/>
  </r>
  <r>
    <n v="505"/>
    <x v="4"/>
    <x v="147"/>
    <x v="2"/>
    <s v="Percent of GDP"/>
    <s v="Units"/>
    <x v="1"/>
    <n v="23.55"/>
  </r>
  <r>
    <n v="505"/>
    <x v="4"/>
    <x v="147"/>
    <x v="2"/>
    <s v="Percent of GDP"/>
    <s v="Units"/>
    <x v="2"/>
    <n v="20.689"/>
  </r>
  <r>
    <n v="505"/>
    <x v="4"/>
    <x v="147"/>
    <x v="2"/>
    <s v="Percent of GDP"/>
    <s v="Units"/>
    <x v="3"/>
    <n v="21.361999999999998"/>
  </r>
  <r>
    <n v="505"/>
    <x v="4"/>
    <x v="147"/>
    <x v="2"/>
    <s v="Percent of GDP"/>
    <s v="Units"/>
    <x v="4"/>
    <n v="23.004000000000001"/>
  </r>
  <r>
    <n v="505"/>
    <x v="4"/>
    <x v="147"/>
    <x v="2"/>
    <s v="Percent of GDP"/>
    <s v="Units"/>
    <x v="5"/>
    <n v="27.390999999999998"/>
  </r>
  <r>
    <n v="505"/>
    <x v="4"/>
    <x v="147"/>
    <x v="2"/>
    <s v="Percent of GDP"/>
    <s v="Units"/>
    <x v="6"/>
    <n v="27.367000000000001"/>
  </r>
  <r>
    <n v="200"/>
    <x v="3"/>
    <x v="147"/>
    <x v="2"/>
    <s v="Percent of GDP"/>
    <s v="Units"/>
    <x v="0"/>
    <n v="26.779"/>
  </r>
  <r>
    <n v="200"/>
    <x v="3"/>
    <x v="147"/>
    <x v="2"/>
    <s v="Percent of GDP"/>
    <s v="Units"/>
    <x v="1"/>
    <n v="23.55"/>
  </r>
  <r>
    <n v="200"/>
    <x v="3"/>
    <x v="147"/>
    <x v="2"/>
    <s v="Percent of GDP"/>
    <s v="Units"/>
    <x v="2"/>
    <n v="20.689"/>
  </r>
  <r>
    <n v="200"/>
    <x v="3"/>
    <x v="147"/>
    <x v="2"/>
    <s v="Percent of GDP"/>
    <s v="Units"/>
    <x v="3"/>
    <n v="21.361999999999998"/>
  </r>
  <r>
    <n v="200"/>
    <x v="3"/>
    <x v="147"/>
    <x v="2"/>
    <s v="Percent of GDP"/>
    <s v="Units"/>
    <x v="4"/>
    <n v="23.004000000000001"/>
  </r>
  <r>
    <n v="200"/>
    <x v="3"/>
    <x v="147"/>
    <x v="2"/>
    <s v="Percent of GDP"/>
    <s v="Units"/>
    <x v="5"/>
    <n v="27.390999999999998"/>
  </r>
  <r>
    <n v="200"/>
    <x v="3"/>
    <x v="147"/>
    <x v="2"/>
    <s v="Percent of GDP"/>
    <s v="Units"/>
    <x v="6"/>
    <n v="27.367000000000001"/>
  </r>
  <r>
    <n v="603"/>
    <x v="12"/>
    <x v="139"/>
    <x v="3"/>
    <s v="Percent of GDP"/>
    <s v="Units"/>
    <x v="0"/>
    <n v="29.82"/>
  </r>
  <r>
    <n v="603"/>
    <x v="12"/>
    <x v="139"/>
    <x v="3"/>
    <s v="Percent of GDP"/>
    <s v="Units"/>
    <x v="1"/>
    <n v="34.030999999999999"/>
  </r>
  <r>
    <n v="603"/>
    <x v="12"/>
    <x v="139"/>
    <x v="3"/>
    <s v="Percent of GDP"/>
    <s v="Units"/>
    <x v="2"/>
    <n v="30.504000000000001"/>
  </r>
  <r>
    <n v="603"/>
    <x v="12"/>
    <x v="139"/>
    <x v="3"/>
    <s v="Percent of GDP"/>
    <s v="Units"/>
    <x v="3"/>
    <n v="28.202999999999999"/>
  </r>
  <r>
    <n v="603"/>
    <x v="12"/>
    <x v="139"/>
    <x v="3"/>
    <s v="Percent of GDP"/>
    <s v="Units"/>
    <x v="4"/>
    <n v="27.74"/>
  </r>
  <r>
    <n v="603"/>
    <x v="12"/>
    <x v="139"/>
    <x v="3"/>
    <s v="Percent of GDP"/>
    <s v="Units"/>
    <x v="5"/>
    <n v="27.366"/>
  </r>
  <r>
    <n v="603"/>
    <x v="12"/>
    <x v="139"/>
    <x v="3"/>
    <s v="Percent of GDP"/>
    <s v="Units"/>
    <x v="6"/>
    <n v="27.254999999999999"/>
  </r>
  <r>
    <n v="200"/>
    <x v="3"/>
    <x v="139"/>
    <x v="3"/>
    <s v="Percent of GDP"/>
    <s v="Units"/>
    <x v="0"/>
    <n v="29.82"/>
  </r>
  <r>
    <n v="200"/>
    <x v="3"/>
    <x v="139"/>
    <x v="3"/>
    <s v="Percent of GDP"/>
    <s v="Units"/>
    <x v="1"/>
    <n v="34.030999999999999"/>
  </r>
  <r>
    <n v="200"/>
    <x v="3"/>
    <x v="139"/>
    <x v="3"/>
    <s v="Percent of GDP"/>
    <s v="Units"/>
    <x v="2"/>
    <n v="30.504000000000001"/>
  </r>
  <r>
    <n v="200"/>
    <x v="3"/>
    <x v="139"/>
    <x v="3"/>
    <s v="Percent of GDP"/>
    <s v="Units"/>
    <x v="3"/>
    <n v="28.202999999999999"/>
  </r>
  <r>
    <n v="200"/>
    <x v="3"/>
    <x v="139"/>
    <x v="3"/>
    <s v="Percent of GDP"/>
    <s v="Units"/>
    <x v="4"/>
    <n v="27.74"/>
  </r>
  <r>
    <n v="200"/>
    <x v="3"/>
    <x v="139"/>
    <x v="3"/>
    <s v="Percent of GDP"/>
    <s v="Units"/>
    <x v="5"/>
    <n v="27.366"/>
  </r>
  <r>
    <n v="200"/>
    <x v="3"/>
    <x v="139"/>
    <x v="3"/>
    <s v="Percent of GDP"/>
    <s v="Units"/>
    <x v="6"/>
    <n v="27.254999999999999"/>
  </r>
  <r>
    <n v="200"/>
    <x v="3"/>
    <x v="159"/>
    <x v="2"/>
    <s v="Percent of GDP"/>
    <s v="Units"/>
    <x v="0"/>
    <n v="28.949000000000002"/>
  </r>
  <r>
    <n v="200"/>
    <x v="3"/>
    <x v="159"/>
    <x v="2"/>
    <s v="Percent of GDP"/>
    <s v="Units"/>
    <x v="1"/>
    <n v="30.157"/>
  </r>
  <r>
    <n v="200"/>
    <x v="3"/>
    <x v="159"/>
    <x v="2"/>
    <s v="Percent of GDP"/>
    <s v="Units"/>
    <x v="2"/>
    <n v="28.157"/>
  </r>
  <r>
    <n v="200"/>
    <x v="3"/>
    <x v="159"/>
    <x v="2"/>
    <s v="Percent of GDP"/>
    <s v="Units"/>
    <x v="3"/>
    <n v="28.951000000000001"/>
  </r>
  <r>
    <n v="200"/>
    <x v="3"/>
    <x v="159"/>
    <x v="2"/>
    <s v="Percent of GDP"/>
    <s v="Units"/>
    <x v="4"/>
    <n v="26.664000000000001"/>
  </r>
  <r>
    <n v="200"/>
    <x v="3"/>
    <x v="159"/>
    <x v="2"/>
    <s v="Percent of GDP"/>
    <s v="Units"/>
    <x v="5"/>
    <n v="27.33"/>
  </r>
  <r>
    <n v="200"/>
    <x v="3"/>
    <x v="159"/>
    <x v="2"/>
    <s v="Percent of GDP"/>
    <s v="Units"/>
    <x v="6"/>
    <n v="27.315000000000001"/>
  </r>
  <r>
    <n v="205"/>
    <x v="7"/>
    <x v="159"/>
    <x v="2"/>
    <s v="Percent of GDP"/>
    <s v="Units"/>
    <x v="0"/>
    <n v="28.949000000000002"/>
  </r>
  <r>
    <n v="205"/>
    <x v="7"/>
    <x v="159"/>
    <x v="2"/>
    <s v="Percent of GDP"/>
    <s v="Units"/>
    <x v="1"/>
    <n v="30.157"/>
  </r>
  <r>
    <n v="205"/>
    <x v="7"/>
    <x v="159"/>
    <x v="2"/>
    <s v="Percent of GDP"/>
    <s v="Units"/>
    <x v="2"/>
    <n v="28.157"/>
  </r>
  <r>
    <n v="205"/>
    <x v="7"/>
    <x v="159"/>
    <x v="2"/>
    <s v="Percent of GDP"/>
    <s v="Units"/>
    <x v="3"/>
    <n v="28.951000000000001"/>
  </r>
  <r>
    <n v="205"/>
    <x v="7"/>
    <x v="159"/>
    <x v="2"/>
    <s v="Percent of GDP"/>
    <s v="Units"/>
    <x v="4"/>
    <n v="26.664000000000001"/>
  </r>
  <r>
    <n v="205"/>
    <x v="7"/>
    <x v="159"/>
    <x v="2"/>
    <s v="Percent of GDP"/>
    <s v="Units"/>
    <x v="5"/>
    <n v="27.33"/>
  </r>
  <r>
    <n v="205"/>
    <x v="7"/>
    <x v="159"/>
    <x v="2"/>
    <s v="Percent of GDP"/>
    <s v="Units"/>
    <x v="6"/>
    <n v="27.315000000000001"/>
  </r>
  <r>
    <n v="603"/>
    <x v="12"/>
    <x v="98"/>
    <x v="3"/>
    <s v="Percent of GDP"/>
    <s v="Units"/>
    <x v="0"/>
    <n v="47.926000000000002"/>
  </r>
  <r>
    <n v="603"/>
    <x v="12"/>
    <x v="98"/>
    <x v="3"/>
    <s v="Percent of GDP"/>
    <s v="Units"/>
    <x v="1"/>
    <n v="34.1"/>
  </r>
  <r>
    <n v="603"/>
    <x v="12"/>
    <x v="98"/>
    <x v="3"/>
    <s v="Percent of GDP"/>
    <s v="Units"/>
    <x v="2"/>
    <n v="44.113999999999997"/>
  </r>
  <r>
    <n v="603"/>
    <x v="12"/>
    <x v="98"/>
    <x v="3"/>
    <s v="Percent of GDP"/>
    <s v="Units"/>
    <x v="3"/>
    <n v="27.555"/>
  </r>
  <r>
    <n v="603"/>
    <x v="12"/>
    <x v="98"/>
    <x v="3"/>
    <s v="Percent of GDP"/>
    <s v="Units"/>
    <x v="4"/>
    <n v="25.768999999999998"/>
  </r>
  <r>
    <n v="603"/>
    <x v="12"/>
    <x v="98"/>
    <x v="3"/>
    <s v="Percent of GDP"/>
    <s v="Units"/>
    <x v="5"/>
    <n v="27.314"/>
  </r>
  <r>
    <n v="603"/>
    <x v="12"/>
    <x v="98"/>
    <x v="3"/>
    <s v="Percent of GDP"/>
    <s v="Units"/>
    <x v="6"/>
    <n v="27.914000000000001"/>
  </r>
  <r>
    <n v="200"/>
    <x v="3"/>
    <x v="98"/>
    <x v="3"/>
    <s v="Percent of GDP"/>
    <s v="Units"/>
    <x v="0"/>
    <n v="47.926000000000002"/>
  </r>
  <r>
    <n v="200"/>
    <x v="3"/>
    <x v="98"/>
    <x v="3"/>
    <s v="Percent of GDP"/>
    <s v="Units"/>
    <x v="1"/>
    <n v="34.1"/>
  </r>
  <r>
    <n v="200"/>
    <x v="3"/>
    <x v="98"/>
    <x v="3"/>
    <s v="Percent of GDP"/>
    <s v="Units"/>
    <x v="2"/>
    <n v="44.113999999999997"/>
  </r>
  <r>
    <n v="200"/>
    <x v="3"/>
    <x v="98"/>
    <x v="3"/>
    <s v="Percent of GDP"/>
    <s v="Units"/>
    <x v="3"/>
    <n v="27.555"/>
  </r>
  <r>
    <n v="200"/>
    <x v="3"/>
    <x v="98"/>
    <x v="3"/>
    <s v="Percent of GDP"/>
    <s v="Units"/>
    <x v="4"/>
    <n v="25.768999999999998"/>
  </r>
  <r>
    <n v="200"/>
    <x v="3"/>
    <x v="98"/>
    <x v="3"/>
    <s v="Percent of GDP"/>
    <s v="Units"/>
    <x v="5"/>
    <n v="27.314"/>
  </r>
  <r>
    <n v="200"/>
    <x v="3"/>
    <x v="98"/>
    <x v="3"/>
    <s v="Percent of GDP"/>
    <s v="Units"/>
    <x v="6"/>
    <n v="27.914000000000001"/>
  </r>
  <r>
    <n v="400"/>
    <x v="11"/>
    <x v="69"/>
    <x v="3"/>
    <s v="Percent of GDP"/>
    <s v="Units"/>
    <x v="0"/>
    <n v="38.779000000000003"/>
  </r>
  <r>
    <n v="400"/>
    <x v="11"/>
    <x v="69"/>
    <x v="3"/>
    <s v="Percent of GDP"/>
    <s v="Units"/>
    <x v="1"/>
    <n v="44.537999999999997"/>
  </r>
  <r>
    <n v="400"/>
    <x v="11"/>
    <x v="69"/>
    <x v="3"/>
    <s v="Percent of GDP"/>
    <s v="Units"/>
    <x v="2"/>
    <n v="36.134"/>
  </r>
  <r>
    <n v="400"/>
    <x v="11"/>
    <x v="69"/>
    <x v="3"/>
    <s v="Percent of GDP"/>
    <s v="Units"/>
    <x v="3"/>
    <n v="29.617999999999999"/>
  </r>
  <r>
    <n v="400"/>
    <x v="11"/>
    <x v="69"/>
    <x v="3"/>
    <s v="Percent of GDP"/>
    <s v="Units"/>
    <x v="4"/>
    <n v="26.22"/>
  </r>
  <r>
    <n v="400"/>
    <x v="11"/>
    <x v="69"/>
    <x v="3"/>
    <s v="Percent of GDP"/>
    <s v="Units"/>
    <x v="5"/>
    <n v="27.298999999999999"/>
  </r>
  <r>
    <n v="400"/>
    <x v="11"/>
    <x v="69"/>
    <x v="3"/>
    <s v="Percent of GDP"/>
    <s v="Units"/>
    <x v="6"/>
    <n v="26.681999999999999"/>
  </r>
  <r>
    <n v="200"/>
    <x v="3"/>
    <x v="69"/>
    <x v="3"/>
    <s v="Percent of GDP"/>
    <s v="Units"/>
    <x v="0"/>
    <n v="38.779000000000003"/>
  </r>
  <r>
    <n v="200"/>
    <x v="3"/>
    <x v="69"/>
    <x v="3"/>
    <s v="Percent of GDP"/>
    <s v="Units"/>
    <x v="1"/>
    <n v="44.537999999999997"/>
  </r>
  <r>
    <n v="200"/>
    <x v="3"/>
    <x v="69"/>
    <x v="3"/>
    <s v="Percent of GDP"/>
    <s v="Units"/>
    <x v="2"/>
    <n v="36.134"/>
  </r>
  <r>
    <n v="200"/>
    <x v="3"/>
    <x v="69"/>
    <x v="3"/>
    <s v="Percent of GDP"/>
    <s v="Units"/>
    <x v="3"/>
    <n v="29.617999999999999"/>
  </r>
  <r>
    <n v="200"/>
    <x v="3"/>
    <x v="69"/>
    <x v="3"/>
    <s v="Percent of GDP"/>
    <s v="Units"/>
    <x v="4"/>
    <n v="26.22"/>
  </r>
  <r>
    <n v="200"/>
    <x v="3"/>
    <x v="69"/>
    <x v="3"/>
    <s v="Percent of GDP"/>
    <s v="Units"/>
    <x v="5"/>
    <n v="27.298999999999999"/>
  </r>
  <r>
    <n v="200"/>
    <x v="3"/>
    <x v="69"/>
    <x v="3"/>
    <s v="Percent of GDP"/>
    <s v="Units"/>
    <x v="6"/>
    <n v="26.681999999999999"/>
  </r>
  <r>
    <n v="603"/>
    <x v="12"/>
    <x v="165"/>
    <x v="7"/>
    <s v="Percent of GDP"/>
    <s v="Units"/>
    <x v="0"/>
    <n v="18.968"/>
  </r>
  <r>
    <n v="603"/>
    <x v="12"/>
    <x v="165"/>
    <x v="7"/>
    <s v="Percent of GDP"/>
    <s v="Units"/>
    <x v="1"/>
    <n v="17.373999999999999"/>
  </r>
  <r>
    <n v="603"/>
    <x v="12"/>
    <x v="165"/>
    <x v="7"/>
    <s v="Percent of GDP"/>
    <s v="Units"/>
    <x v="2"/>
    <n v="25.789000000000001"/>
  </r>
  <r>
    <n v="603"/>
    <x v="12"/>
    <x v="165"/>
    <x v="7"/>
    <s v="Percent of GDP"/>
    <s v="Units"/>
    <x v="3"/>
    <n v="32.869"/>
  </r>
  <r>
    <n v="603"/>
    <x v="12"/>
    <x v="165"/>
    <x v="7"/>
    <s v="Percent of GDP"/>
    <s v="Units"/>
    <x v="4"/>
    <n v="26.312999999999999"/>
  </r>
  <r>
    <n v="603"/>
    <x v="12"/>
    <x v="165"/>
    <x v="7"/>
    <s v="Percent of GDP"/>
    <s v="Units"/>
    <x v="5"/>
    <n v="27.29"/>
  </r>
  <r>
    <n v="603"/>
    <x v="12"/>
    <x v="165"/>
    <x v="7"/>
    <s v="Percent of GDP"/>
    <s v="Units"/>
    <x v="6"/>
    <n v="26.393000000000001"/>
  </r>
  <r>
    <n v="1"/>
    <x v="2"/>
    <x v="165"/>
    <x v="7"/>
    <s v="Percent of GDP"/>
    <s v="Units"/>
    <x v="0"/>
    <n v="18.968"/>
  </r>
  <r>
    <n v="1"/>
    <x v="2"/>
    <x v="165"/>
    <x v="7"/>
    <s v="Percent of GDP"/>
    <s v="Units"/>
    <x v="1"/>
    <n v="17.373999999999999"/>
  </r>
  <r>
    <n v="1"/>
    <x v="2"/>
    <x v="165"/>
    <x v="7"/>
    <s v="Percent of GDP"/>
    <s v="Units"/>
    <x v="2"/>
    <n v="25.789000000000001"/>
  </r>
  <r>
    <n v="1"/>
    <x v="2"/>
    <x v="165"/>
    <x v="7"/>
    <s v="Percent of GDP"/>
    <s v="Units"/>
    <x v="3"/>
    <n v="32.869"/>
  </r>
  <r>
    <n v="1"/>
    <x v="2"/>
    <x v="165"/>
    <x v="7"/>
    <s v="Percent of GDP"/>
    <s v="Units"/>
    <x v="4"/>
    <n v="26.312999999999999"/>
  </r>
  <r>
    <n v="1"/>
    <x v="2"/>
    <x v="165"/>
    <x v="7"/>
    <s v="Percent of GDP"/>
    <s v="Units"/>
    <x v="5"/>
    <n v="27.29"/>
  </r>
  <r>
    <n v="1"/>
    <x v="2"/>
    <x v="165"/>
    <x v="7"/>
    <s v="Percent of GDP"/>
    <s v="Units"/>
    <x v="6"/>
    <n v="26.393000000000001"/>
  </r>
  <r>
    <n v="200"/>
    <x v="3"/>
    <x v="165"/>
    <x v="7"/>
    <s v="Percent of GDP"/>
    <s v="Units"/>
    <x v="0"/>
    <n v="18.968"/>
  </r>
  <r>
    <n v="200"/>
    <x v="3"/>
    <x v="165"/>
    <x v="7"/>
    <s v="Percent of GDP"/>
    <s v="Units"/>
    <x v="1"/>
    <n v="17.373999999999999"/>
  </r>
  <r>
    <n v="200"/>
    <x v="3"/>
    <x v="165"/>
    <x v="7"/>
    <s v="Percent of GDP"/>
    <s v="Units"/>
    <x v="2"/>
    <n v="25.789000000000001"/>
  </r>
  <r>
    <n v="200"/>
    <x v="3"/>
    <x v="165"/>
    <x v="7"/>
    <s v="Percent of GDP"/>
    <s v="Units"/>
    <x v="3"/>
    <n v="32.869"/>
  </r>
  <r>
    <n v="200"/>
    <x v="3"/>
    <x v="165"/>
    <x v="7"/>
    <s v="Percent of GDP"/>
    <s v="Units"/>
    <x v="4"/>
    <n v="26.312999999999999"/>
  </r>
  <r>
    <n v="200"/>
    <x v="3"/>
    <x v="165"/>
    <x v="7"/>
    <s v="Percent of GDP"/>
    <s v="Units"/>
    <x v="5"/>
    <n v="27.29"/>
  </r>
  <r>
    <n v="200"/>
    <x v="3"/>
    <x v="165"/>
    <x v="7"/>
    <s v="Percent of GDP"/>
    <s v="Units"/>
    <x v="6"/>
    <n v="26.393000000000001"/>
  </r>
  <r>
    <n v="200"/>
    <x v="3"/>
    <x v="58"/>
    <x v="9"/>
    <s v="Percent of GDP"/>
    <s v="Units"/>
    <x v="0"/>
    <n v="11.090999999999999"/>
  </r>
  <r>
    <n v="200"/>
    <x v="3"/>
    <x v="58"/>
    <x v="9"/>
    <s v="Percent of GDP"/>
    <s v="Units"/>
    <x v="1"/>
    <n v="-3.9660000000000002"/>
  </r>
  <r>
    <n v="200"/>
    <x v="3"/>
    <x v="58"/>
    <x v="9"/>
    <s v="Percent of GDP"/>
    <s v="Units"/>
    <x v="2"/>
    <n v="8.8699999999999992"/>
  </r>
  <r>
    <n v="200"/>
    <x v="3"/>
    <x v="58"/>
    <x v="9"/>
    <s v="Percent of GDP"/>
    <s v="Units"/>
    <x v="3"/>
    <n v="30.594999999999999"/>
  </r>
  <r>
    <n v="200"/>
    <x v="3"/>
    <x v="58"/>
    <x v="9"/>
    <s v="Percent of GDP"/>
    <s v="Units"/>
    <x v="4"/>
    <n v="29.442"/>
  </r>
  <r>
    <n v="200"/>
    <x v="3"/>
    <x v="58"/>
    <x v="9"/>
    <s v="Percent of GDP"/>
    <s v="Units"/>
    <x v="5"/>
    <n v="27.286000000000001"/>
  </r>
  <r>
    <n v="200"/>
    <x v="3"/>
    <x v="58"/>
    <x v="9"/>
    <s v="Percent of GDP"/>
    <s v="Units"/>
    <x v="6"/>
    <n v="28.087"/>
  </r>
  <r>
    <n v="400"/>
    <x v="11"/>
    <x v="58"/>
    <x v="9"/>
    <s v="Percent of GDP"/>
    <s v="Units"/>
    <x v="0"/>
    <n v="11.090999999999999"/>
  </r>
  <r>
    <n v="400"/>
    <x v="11"/>
    <x v="58"/>
    <x v="9"/>
    <s v="Percent of GDP"/>
    <s v="Units"/>
    <x v="1"/>
    <n v="-3.9660000000000002"/>
  </r>
  <r>
    <n v="400"/>
    <x v="11"/>
    <x v="58"/>
    <x v="9"/>
    <s v="Percent of GDP"/>
    <s v="Units"/>
    <x v="2"/>
    <n v="8.8699999999999992"/>
  </r>
  <r>
    <n v="400"/>
    <x v="11"/>
    <x v="58"/>
    <x v="9"/>
    <s v="Percent of GDP"/>
    <s v="Units"/>
    <x v="3"/>
    <n v="30.594999999999999"/>
  </r>
  <r>
    <n v="400"/>
    <x v="11"/>
    <x v="58"/>
    <x v="9"/>
    <s v="Percent of GDP"/>
    <s v="Units"/>
    <x v="4"/>
    <n v="29.442"/>
  </r>
  <r>
    <n v="400"/>
    <x v="11"/>
    <x v="58"/>
    <x v="9"/>
    <s v="Percent of GDP"/>
    <s v="Units"/>
    <x v="5"/>
    <n v="27.286000000000001"/>
  </r>
  <r>
    <n v="400"/>
    <x v="11"/>
    <x v="58"/>
    <x v="9"/>
    <s v="Percent of GDP"/>
    <s v="Units"/>
    <x v="6"/>
    <n v="28.087"/>
  </r>
  <r>
    <n v="200"/>
    <x v="3"/>
    <x v="69"/>
    <x v="5"/>
    <s v="Percent of GDP"/>
    <s v="Units"/>
    <x v="0"/>
    <n v="22.003"/>
  </r>
  <r>
    <n v="200"/>
    <x v="3"/>
    <x v="69"/>
    <x v="5"/>
    <s v="Percent of GDP"/>
    <s v="Units"/>
    <x v="1"/>
    <n v="10.914"/>
  </r>
  <r>
    <n v="200"/>
    <x v="3"/>
    <x v="69"/>
    <x v="5"/>
    <s v="Percent of GDP"/>
    <s v="Units"/>
    <x v="2"/>
    <n v="17.454999999999998"/>
  </r>
  <r>
    <n v="200"/>
    <x v="3"/>
    <x v="69"/>
    <x v="5"/>
    <s v="Percent of GDP"/>
    <s v="Units"/>
    <x v="3"/>
    <n v="28.129000000000001"/>
  </r>
  <r>
    <n v="200"/>
    <x v="3"/>
    <x v="69"/>
    <x v="5"/>
    <s v="Percent of GDP"/>
    <s v="Units"/>
    <x v="4"/>
    <n v="26.190999999999999"/>
  </r>
  <r>
    <n v="200"/>
    <x v="3"/>
    <x v="69"/>
    <x v="5"/>
    <s v="Percent of GDP"/>
    <s v="Units"/>
    <x v="5"/>
    <n v="27.23"/>
  </r>
  <r>
    <n v="200"/>
    <x v="3"/>
    <x v="69"/>
    <x v="5"/>
    <s v="Percent of GDP"/>
    <s v="Units"/>
    <x v="6"/>
    <n v="27.422000000000001"/>
  </r>
  <r>
    <n v="1"/>
    <x v="2"/>
    <x v="69"/>
    <x v="5"/>
    <s v="Percent of GDP"/>
    <s v="Units"/>
    <x v="0"/>
    <n v="22.003"/>
  </r>
  <r>
    <n v="1"/>
    <x v="2"/>
    <x v="69"/>
    <x v="5"/>
    <s v="Percent of GDP"/>
    <s v="Units"/>
    <x v="1"/>
    <n v="10.914"/>
  </r>
  <r>
    <n v="1"/>
    <x v="2"/>
    <x v="69"/>
    <x v="5"/>
    <s v="Percent of GDP"/>
    <s v="Units"/>
    <x v="2"/>
    <n v="17.454999999999998"/>
  </r>
  <r>
    <n v="1"/>
    <x v="2"/>
    <x v="69"/>
    <x v="5"/>
    <s v="Percent of GDP"/>
    <s v="Units"/>
    <x v="3"/>
    <n v="28.129000000000001"/>
  </r>
  <r>
    <n v="1"/>
    <x v="2"/>
    <x v="69"/>
    <x v="5"/>
    <s v="Percent of GDP"/>
    <s v="Units"/>
    <x v="4"/>
    <n v="26.190999999999999"/>
  </r>
  <r>
    <n v="1"/>
    <x v="2"/>
    <x v="69"/>
    <x v="5"/>
    <s v="Percent of GDP"/>
    <s v="Units"/>
    <x v="5"/>
    <n v="27.23"/>
  </r>
  <r>
    <n v="1"/>
    <x v="2"/>
    <x v="69"/>
    <x v="5"/>
    <s v="Percent of GDP"/>
    <s v="Units"/>
    <x v="6"/>
    <n v="27.422000000000001"/>
  </r>
  <r>
    <n v="400"/>
    <x v="11"/>
    <x v="69"/>
    <x v="5"/>
    <s v="Percent of GDP"/>
    <s v="Units"/>
    <x v="0"/>
    <n v="22.003"/>
  </r>
  <r>
    <n v="400"/>
    <x v="11"/>
    <x v="69"/>
    <x v="5"/>
    <s v="Percent of GDP"/>
    <s v="Units"/>
    <x v="1"/>
    <n v="10.914"/>
  </r>
  <r>
    <n v="400"/>
    <x v="11"/>
    <x v="69"/>
    <x v="5"/>
    <s v="Percent of GDP"/>
    <s v="Units"/>
    <x v="2"/>
    <n v="17.454999999999998"/>
  </r>
  <r>
    <n v="400"/>
    <x v="11"/>
    <x v="69"/>
    <x v="5"/>
    <s v="Percent of GDP"/>
    <s v="Units"/>
    <x v="3"/>
    <n v="28.129000000000001"/>
  </r>
  <r>
    <n v="400"/>
    <x v="11"/>
    <x v="69"/>
    <x v="5"/>
    <s v="Percent of GDP"/>
    <s v="Units"/>
    <x v="4"/>
    <n v="26.190999999999999"/>
  </r>
  <r>
    <n v="400"/>
    <x v="11"/>
    <x v="69"/>
    <x v="5"/>
    <s v="Percent of GDP"/>
    <s v="Units"/>
    <x v="5"/>
    <n v="27.23"/>
  </r>
  <r>
    <n v="400"/>
    <x v="11"/>
    <x v="69"/>
    <x v="5"/>
    <s v="Percent of GDP"/>
    <s v="Units"/>
    <x v="6"/>
    <n v="27.422000000000001"/>
  </r>
  <r>
    <n v="200"/>
    <x v="3"/>
    <x v="155"/>
    <x v="2"/>
    <s v="Percent of GDP"/>
    <s v="Units"/>
    <x v="0"/>
    <n v="26.773"/>
  </r>
  <r>
    <n v="200"/>
    <x v="3"/>
    <x v="155"/>
    <x v="2"/>
    <s v="Percent of GDP"/>
    <s v="Units"/>
    <x v="1"/>
    <n v="24.824000000000002"/>
  </r>
  <r>
    <n v="200"/>
    <x v="3"/>
    <x v="155"/>
    <x v="2"/>
    <s v="Percent of GDP"/>
    <s v="Units"/>
    <x v="2"/>
    <n v="26.975999999999999"/>
  </r>
  <r>
    <n v="200"/>
    <x v="3"/>
    <x v="155"/>
    <x v="2"/>
    <s v="Percent of GDP"/>
    <s v="Units"/>
    <x v="3"/>
    <n v="27.721"/>
  </r>
  <r>
    <n v="200"/>
    <x v="3"/>
    <x v="155"/>
    <x v="2"/>
    <s v="Percent of GDP"/>
    <s v="Units"/>
    <x v="4"/>
    <n v="27.706"/>
  </r>
  <r>
    <n v="200"/>
    <x v="3"/>
    <x v="155"/>
    <x v="2"/>
    <s v="Percent of GDP"/>
    <s v="Units"/>
    <x v="5"/>
    <n v="27.119"/>
  </r>
  <r>
    <n v="200"/>
    <x v="3"/>
    <x v="155"/>
    <x v="2"/>
    <s v="Percent of GDP"/>
    <s v="Units"/>
    <x v="6"/>
    <n v="28.600999999999999"/>
  </r>
  <r>
    <n v="400"/>
    <x v="11"/>
    <x v="155"/>
    <x v="2"/>
    <s v="Percent of GDP"/>
    <s v="Units"/>
    <x v="0"/>
    <n v="26.773"/>
  </r>
  <r>
    <n v="400"/>
    <x v="11"/>
    <x v="155"/>
    <x v="2"/>
    <s v="Percent of GDP"/>
    <s v="Units"/>
    <x v="1"/>
    <n v="24.824000000000002"/>
  </r>
  <r>
    <n v="400"/>
    <x v="11"/>
    <x v="155"/>
    <x v="2"/>
    <s v="Percent of GDP"/>
    <s v="Units"/>
    <x v="2"/>
    <n v="26.975999999999999"/>
  </r>
  <r>
    <n v="400"/>
    <x v="11"/>
    <x v="155"/>
    <x v="2"/>
    <s v="Percent of GDP"/>
    <s v="Units"/>
    <x v="3"/>
    <n v="27.721"/>
  </r>
  <r>
    <n v="400"/>
    <x v="11"/>
    <x v="155"/>
    <x v="2"/>
    <s v="Percent of GDP"/>
    <s v="Units"/>
    <x v="4"/>
    <n v="27.706"/>
  </r>
  <r>
    <n v="400"/>
    <x v="11"/>
    <x v="155"/>
    <x v="2"/>
    <s v="Percent of GDP"/>
    <s v="Units"/>
    <x v="5"/>
    <n v="27.119"/>
  </r>
  <r>
    <n v="400"/>
    <x v="11"/>
    <x v="155"/>
    <x v="2"/>
    <s v="Percent of GDP"/>
    <s v="Units"/>
    <x v="6"/>
    <n v="28.600999999999999"/>
  </r>
  <r>
    <n v="205"/>
    <x v="7"/>
    <x v="23"/>
    <x v="4"/>
    <s v="Percent change"/>
    <s v="Units"/>
    <x v="0"/>
    <n v="12.239000000000001"/>
  </r>
  <r>
    <n v="205"/>
    <x v="7"/>
    <x v="23"/>
    <x v="4"/>
    <s v="Percent change"/>
    <s v="Units"/>
    <x v="1"/>
    <n v="-12.933"/>
  </r>
  <r>
    <n v="205"/>
    <x v="7"/>
    <x v="23"/>
    <x v="4"/>
    <s v="Percent change"/>
    <s v="Units"/>
    <x v="2"/>
    <n v="12.638999999999999"/>
  </r>
  <r>
    <n v="205"/>
    <x v="7"/>
    <x v="23"/>
    <x v="4"/>
    <s v="Percent change"/>
    <s v="Units"/>
    <x v="3"/>
    <n v="-5.29"/>
  </r>
  <r>
    <n v="205"/>
    <x v="7"/>
    <x v="23"/>
    <x v="4"/>
    <s v="Percent change"/>
    <s v="Units"/>
    <x v="4"/>
    <n v="-12.89"/>
  </r>
  <r>
    <n v="205"/>
    <x v="7"/>
    <x v="23"/>
    <x v="4"/>
    <s v="Percent change"/>
    <s v="Units"/>
    <x v="5"/>
    <n v="27.109000000000002"/>
  </r>
  <r>
    <n v="205"/>
    <x v="7"/>
    <x v="23"/>
    <x v="4"/>
    <s v="Percent change"/>
    <s v="Units"/>
    <x v="6"/>
    <n v="5.7249999999999996"/>
  </r>
  <r>
    <n v="1"/>
    <x v="2"/>
    <x v="23"/>
    <x v="4"/>
    <s v="Percent change"/>
    <s v="Units"/>
    <x v="0"/>
    <n v="12.239000000000001"/>
  </r>
  <r>
    <n v="1"/>
    <x v="2"/>
    <x v="23"/>
    <x v="4"/>
    <s v="Percent change"/>
    <s v="Units"/>
    <x v="1"/>
    <n v="-12.933"/>
  </r>
  <r>
    <n v="1"/>
    <x v="2"/>
    <x v="23"/>
    <x v="4"/>
    <s v="Percent change"/>
    <s v="Units"/>
    <x v="2"/>
    <n v="12.638999999999999"/>
  </r>
  <r>
    <n v="1"/>
    <x v="2"/>
    <x v="23"/>
    <x v="4"/>
    <s v="Percent change"/>
    <s v="Units"/>
    <x v="3"/>
    <n v="-5.29"/>
  </r>
  <r>
    <n v="1"/>
    <x v="2"/>
    <x v="23"/>
    <x v="4"/>
    <s v="Percent change"/>
    <s v="Units"/>
    <x v="4"/>
    <n v="-12.89"/>
  </r>
  <r>
    <n v="1"/>
    <x v="2"/>
    <x v="23"/>
    <x v="4"/>
    <s v="Percent change"/>
    <s v="Units"/>
    <x v="5"/>
    <n v="27.109000000000002"/>
  </r>
  <r>
    <n v="1"/>
    <x v="2"/>
    <x v="23"/>
    <x v="4"/>
    <s v="Percent change"/>
    <s v="Units"/>
    <x v="6"/>
    <n v="5.7249999999999996"/>
  </r>
  <r>
    <n v="200"/>
    <x v="3"/>
    <x v="23"/>
    <x v="4"/>
    <s v="Percent change"/>
    <s v="Units"/>
    <x v="0"/>
    <n v="12.239000000000001"/>
  </r>
  <r>
    <n v="200"/>
    <x v="3"/>
    <x v="23"/>
    <x v="4"/>
    <s v="Percent change"/>
    <s v="Units"/>
    <x v="1"/>
    <n v="-12.933"/>
  </r>
  <r>
    <n v="200"/>
    <x v="3"/>
    <x v="23"/>
    <x v="4"/>
    <s v="Percent change"/>
    <s v="Units"/>
    <x v="2"/>
    <n v="12.638999999999999"/>
  </r>
  <r>
    <n v="200"/>
    <x v="3"/>
    <x v="23"/>
    <x v="4"/>
    <s v="Percent change"/>
    <s v="Units"/>
    <x v="3"/>
    <n v="-5.29"/>
  </r>
  <r>
    <n v="200"/>
    <x v="3"/>
    <x v="23"/>
    <x v="4"/>
    <s v="Percent change"/>
    <s v="Units"/>
    <x v="4"/>
    <n v="-12.89"/>
  </r>
  <r>
    <n v="200"/>
    <x v="3"/>
    <x v="23"/>
    <x v="4"/>
    <s v="Percent change"/>
    <s v="Units"/>
    <x v="5"/>
    <n v="27.109000000000002"/>
  </r>
  <r>
    <n v="200"/>
    <x v="3"/>
    <x v="23"/>
    <x v="4"/>
    <s v="Percent change"/>
    <s v="Units"/>
    <x v="6"/>
    <n v="5.7249999999999996"/>
  </r>
  <r>
    <n v="200"/>
    <x v="3"/>
    <x v="40"/>
    <x v="2"/>
    <s v="Percent of GDP"/>
    <s v="Units"/>
    <x v="0"/>
    <n v="26.698"/>
  </r>
  <r>
    <n v="200"/>
    <x v="3"/>
    <x v="40"/>
    <x v="2"/>
    <s v="Percent of GDP"/>
    <s v="Units"/>
    <x v="1"/>
    <n v="24.971"/>
  </r>
  <r>
    <n v="200"/>
    <x v="3"/>
    <x v="40"/>
    <x v="2"/>
    <s v="Percent of GDP"/>
    <s v="Units"/>
    <x v="2"/>
    <n v="27.068000000000001"/>
  </r>
  <r>
    <n v="200"/>
    <x v="3"/>
    <x v="40"/>
    <x v="2"/>
    <s v="Percent of GDP"/>
    <s v="Units"/>
    <x v="3"/>
    <n v="27.736000000000001"/>
  </r>
  <r>
    <n v="200"/>
    <x v="3"/>
    <x v="40"/>
    <x v="2"/>
    <s v="Percent of GDP"/>
    <s v="Units"/>
    <x v="4"/>
    <n v="26.957000000000001"/>
  </r>
  <r>
    <n v="200"/>
    <x v="3"/>
    <x v="40"/>
    <x v="2"/>
    <s v="Percent of GDP"/>
    <s v="Units"/>
    <x v="5"/>
    <n v="27.074000000000002"/>
  </r>
  <r>
    <n v="200"/>
    <x v="3"/>
    <x v="40"/>
    <x v="2"/>
    <s v="Percent of GDP"/>
    <s v="Units"/>
    <x v="6"/>
    <n v="27.114999999999998"/>
  </r>
  <r>
    <n v="603"/>
    <x v="12"/>
    <x v="40"/>
    <x v="2"/>
    <s v="Percent of GDP"/>
    <s v="Units"/>
    <x v="0"/>
    <n v="26.698"/>
  </r>
  <r>
    <n v="603"/>
    <x v="12"/>
    <x v="40"/>
    <x v="2"/>
    <s v="Percent of GDP"/>
    <s v="Units"/>
    <x v="1"/>
    <n v="24.971"/>
  </r>
  <r>
    <n v="603"/>
    <x v="12"/>
    <x v="40"/>
    <x v="2"/>
    <s v="Percent of GDP"/>
    <s v="Units"/>
    <x v="2"/>
    <n v="27.068000000000001"/>
  </r>
  <r>
    <n v="603"/>
    <x v="12"/>
    <x v="40"/>
    <x v="2"/>
    <s v="Percent of GDP"/>
    <s v="Units"/>
    <x v="3"/>
    <n v="27.736000000000001"/>
  </r>
  <r>
    <n v="603"/>
    <x v="12"/>
    <x v="40"/>
    <x v="2"/>
    <s v="Percent of GDP"/>
    <s v="Units"/>
    <x v="4"/>
    <n v="26.957000000000001"/>
  </r>
  <r>
    <n v="603"/>
    <x v="12"/>
    <x v="40"/>
    <x v="2"/>
    <s v="Percent of GDP"/>
    <s v="Units"/>
    <x v="5"/>
    <n v="27.074000000000002"/>
  </r>
  <r>
    <n v="603"/>
    <x v="12"/>
    <x v="40"/>
    <x v="2"/>
    <s v="Percent of GDP"/>
    <s v="Units"/>
    <x v="6"/>
    <n v="27.114999999999998"/>
  </r>
  <r>
    <n v="603"/>
    <x v="12"/>
    <x v="166"/>
    <x v="3"/>
    <s v="Percent of GDP"/>
    <s v="Units"/>
    <x v="0"/>
    <n v="30.248000000000001"/>
  </r>
  <r>
    <n v="603"/>
    <x v="12"/>
    <x v="166"/>
    <x v="3"/>
    <s v="Percent of GDP"/>
    <s v="Units"/>
    <x v="1"/>
    <n v="32.081000000000003"/>
  </r>
  <r>
    <n v="603"/>
    <x v="12"/>
    <x v="166"/>
    <x v="3"/>
    <s v="Percent of GDP"/>
    <s v="Units"/>
    <x v="2"/>
    <n v="28.210999999999999"/>
  </r>
  <r>
    <n v="603"/>
    <x v="12"/>
    <x v="166"/>
    <x v="3"/>
    <s v="Percent of GDP"/>
    <s v="Units"/>
    <x v="3"/>
    <n v="27.407"/>
  </r>
  <r>
    <n v="603"/>
    <x v="12"/>
    <x v="166"/>
    <x v="3"/>
    <s v="Percent of GDP"/>
    <s v="Units"/>
    <x v="4"/>
    <n v="27.523"/>
  </r>
  <r>
    <n v="603"/>
    <x v="12"/>
    <x v="166"/>
    <x v="3"/>
    <s v="Percent of GDP"/>
    <s v="Units"/>
    <x v="5"/>
    <n v="27.021000000000001"/>
  </r>
  <r>
    <n v="603"/>
    <x v="12"/>
    <x v="166"/>
    <x v="3"/>
    <s v="Percent of GDP"/>
    <s v="Units"/>
    <x v="6"/>
    <n v="26.077999999999999"/>
  </r>
  <r>
    <n v="200"/>
    <x v="3"/>
    <x v="166"/>
    <x v="3"/>
    <s v="Percent of GDP"/>
    <s v="Units"/>
    <x v="0"/>
    <n v="30.248000000000001"/>
  </r>
  <r>
    <n v="200"/>
    <x v="3"/>
    <x v="166"/>
    <x v="3"/>
    <s v="Percent of GDP"/>
    <s v="Units"/>
    <x v="1"/>
    <n v="32.081000000000003"/>
  </r>
  <r>
    <n v="200"/>
    <x v="3"/>
    <x v="166"/>
    <x v="3"/>
    <s v="Percent of GDP"/>
    <s v="Units"/>
    <x v="2"/>
    <n v="28.210999999999999"/>
  </r>
  <r>
    <n v="200"/>
    <x v="3"/>
    <x v="166"/>
    <x v="3"/>
    <s v="Percent of GDP"/>
    <s v="Units"/>
    <x v="3"/>
    <n v="27.407"/>
  </r>
  <r>
    <n v="200"/>
    <x v="3"/>
    <x v="166"/>
    <x v="3"/>
    <s v="Percent of GDP"/>
    <s v="Units"/>
    <x v="4"/>
    <n v="27.523"/>
  </r>
  <r>
    <n v="200"/>
    <x v="3"/>
    <x v="166"/>
    <x v="3"/>
    <s v="Percent of GDP"/>
    <s v="Units"/>
    <x v="5"/>
    <n v="27.021000000000001"/>
  </r>
  <r>
    <n v="200"/>
    <x v="3"/>
    <x v="166"/>
    <x v="3"/>
    <s v="Percent of GDP"/>
    <s v="Units"/>
    <x v="6"/>
    <n v="26.077999999999999"/>
  </r>
  <r>
    <n v="205"/>
    <x v="7"/>
    <x v="131"/>
    <x v="3"/>
    <s v="Percent of GDP"/>
    <s v="Units"/>
    <x v="0"/>
    <n v="25.724"/>
  </r>
  <r>
    <n v="205"/>
    <x v="7"/>
    <x v="131"/>
    <x v="3"/>
    <s v="Percent of GDP"/>
    <s v="Units"/>
    <x v="1"/>
    <n v="27.844999999999999"/>
  </r>
  <r>
    <n v="205"/>
    <x v="7"/>
    <x v="131"/>
    <x v="3"/>
    <s v="Percent of GDP"/>
    <s v="Units"/>
    <x v="2"/>
    <n v="28.423999999999999"/>
  </r>
  <r>
    <n v="205"/>
    <x v="7"/>
    <x v="131"/>
    <x v="3"/>
    <s v="Percent of GDP"/>
    <s v="Units"/>
    <x v="3"/>
    <n v="23.82"/>
  </r>
  <r>
    <n v="205"/>
    <x v="7"/>
    <x v="131"/>
    <x v="3"/>
    <s v="Percent of GDP"/>
    <s v="Units"/>
    <x v="4"/>
    <n v="25.954999999999998"/>
  </r>
  <r>
    <n v="205"/>
    <x v="7"/>
    <x v="131"/>
    <x v="3"/>
    <s v="Percent of GDP"/>
    <s v="Units"/>
    <x v="5"/>
    <n v="27.02"/>
  </r>
  <r>
    <n v="205"/>
    <x v="7"/>
    <x v="131"/>
    <x v="3"/>
    <s v="Percent of GDP"/>
    <s v="Units"/>
    <x v="6"/>
    <n v="27.213999999999999"/>
  </r>
  <r>
    <n v="200"/>
    <x v="3"/>
    <x v="131"/>
    <x v="3"/>
    <s v="Percent of GDP"/>
    <s v="Units"/>
    <x v="0"/>
    <n v="25.724"/>
  </r>
  <r>
    <n v="200"/>
    <x v="3"/>
    <x v="131"/>
    <x v="3"/>
    <s v="Percent of GDP"/>
    <s v="Units"/>
    <x v="1"/>
    <n v="27.844999999999999"/>
  </r>
  <r>
    <n v="200"/>
    <x v="3"/>
    <x v="131"/>
    <x v="3"/>
    <s v="Percent of GDP"/>
    <s v="Units"/>
    <x v="2"/>
    <n v="28.423999999999999"/>
  </r>
  <r>
    <n v="200"/>
    <x v="3"/>
    <x v="131"/>
    <x v="3"/>
    <s v="Percent of GDP"/>
    <s v="Units"/>
    <x v="3"/>
    <n v="23.82"/>
  </r>
  <r>
    <n v="200"/>
    <x v="3"/>
    <x v="131"/>
    <x v="3"/>
    <s v="Percent of GDP"/>
    <s v="Units"/>
    <x v="4"/>
    <n v="25.954999999999998"/>
  </r>
  <r>
    <n v="200"/>
    <x v="3"/>
    <x v="131"/>
    <x v="3"/>
    <s v="Percent of GDP"/>
    <s v="Units"/>
    <x v="5"/>
    <n v="27.02"/>
  </r>
  <r>
    <n v="200"/>
    <x v="3"/>
    <x v="131"/>
    <x v="3"/>
    <s v="Percent of GDP"/>
    <s v="Units"/>
    <x v="6"/>
    <n v="27.213999999999999"/>
  </r>
  <r>
    <n v="1"/>
    <x v="2"/>
    <x v="124"/>
    <x v="7"/>
    <s v="Percent of GDP"/>
    <s v="Units"/>
    <x v="0"/>
    <n v="30"/>
  </r>
  <r>
    <n v="1"/>
    <x v="2"/>
    <x v="124"/>
    <x v="7"/>
    <s v="Percent of GDP"/>
    <s v="Units"/>
    <x v="1"/>
    <n v="30"/>
  </r>
  <r>
    <n v="1"/>
    <x v="2"/>
    <x v="124"/>
    <x v="7"/>
    <s v="Percent of GDP"/>
    <s v="Units"/>
    <x v="2"/>
    <n v="30"/>
  </r>
  <r>
    <n v="1"/>
    <x v="2"/>
    <x v="124"/>
    <x v="7"/>
    <s v="Percent of GDP"/>
    <s v="Units"/>
    <x v="3"/>
    <n v="27"/>
  </r>
  <r>
    <n v="1"/>
    <x v="2"/>
    <x v="124"/>
    <x v="7"/>
    <s v="Percent of GDP"/>
    <s v="Units"/>
    <x v="4"/>
    <n v="27"/>
  </r>
  <r>
    <n v="1"/>
    <x v="2"/>
    <x v="124"/>
    <x v="7"/>
    <s v="Percent of GDP"/>
    <s v="Units"/>
    <x v="5"/>
    <n v="27"/>
  </r>
  <r>
    <n v="1"/>
    <x v="2"/>
    <x v="124"/>
    <x v="7"/>
    <s v="Percent of GDP"/>
    <s v="Units"/>
    <x v="6"/>
    <n v="27"/>
  </r>
  <r>
    <n v="200"/>
    <x v="3"/>
    <x v="124"/>
    <x v="7"/>
    <s v="Percent of GDP"/>
    <s v="Units"/>
    <x v="0"/>
    <n v="30"/>
  </r>
  <r>
    <n v="200"/>
    <x v="3"/>
    <x v="124"/>
    <x v="7"/>
    <s v="Percent of GDP"/>
    <s v="Units"/>
    <x v="1"/>
    <n v="30"/>
  </r>
  <r>
    <n v="200"/>
    <x v="3"/>
    <x v="124"/>
    <x v="7"/>
    <s v="Percent of GDP"/>
    <s v="Units"/>
    <x v="2"/>
    <n v="30"/>
  </r>
  <r>
    <n v="200"/>
    <x v="3"/>
    <x v="124"/>
    <x v="7"/>
    <s v="Percent of GDP"/>
    <s v="Units"/>
    <x v="3"/>
    <n v="27"/>
  </r>
  <r>
    <n v="200"/>
    <x v="3"/>
    <x v="124"/>
    <x v="7"/>
    <s v="Percent of GDP"/>
    <s v="Units"/>
    <x v="4"/>
    <n v="27"/>
  </r>
  <r>
    <n v="200"/>
    <x v="3"/>
    <x v="124"/>
    <x v="7"/>
    <s v="Percent of GDP"/>
    <s v="Units"/>
    <x v="5"/>
    <n v="27"/>
  </r>
  <r>
    <n v="200"/>
    <x v="3"/>
    <x v="124"/>
    <x v="7"/>
    <s v="Percent of GDP"/>
    <s v="Units"/>
    <x v="6"/>
    <n v="27"/>
  </r>
  <r>
    <n v="205"/>
    <x v="7"/>
    <x v="124"/>
    <x v="7"/>
    <s v="Percent of GDP"/>
    <s v="Units"/>
    <x v="0"/>
    <n v="30"/>
  </r>
  <r>
    <n v="205"/>
    <x v="7"/>
    <x v="124"/>
    <x v="7"/>
    <s v="Percent of GDP"/>
    <s v="Units"/>
    <x v="1"/>
    <n v="30"/>
  </r>
  <r>
    <n v="205"/>
    <x v="7"/>
    <x v="124"/>
    <x v="7"/>
    <s v="Percent of GDP"/>
    <s v="Units"/>
    <x v="2"/>
    <n v="30"/>
  </r>
  <r>
    <n v="205"/>
    <x v="7"/>
    <x v="124"/>
    <x v="7"/>
    <s v="Percent of GDP"/>
    <s v="Units"/>
    <x v="3"/>
    <n v="27"/>
  </r>
  <r>
    <n v="205"/>
    <x v="7"/>
    <x v="124"/>
    <x v="7"/>
    <s v="Percent of GDP"/>
    <s v="Units"/>
    <x v="4"/>
    <n v="27"/>
  </r>
  <r>
    <n v="205"/>
    <x v="7"/>
    <x v="124"/>
    <x v="7"/>
    <s v="Percent of GDP"/>
    <s v="Units"/>
    <x v="5"/>
    <n v="27"/>
  </r>
  <r>
    <n v="205"/>
    <x v="7"/>
    <x v="124"/>
    <x v="7"/>
    <s v="Percent of GDP"/>
    <s v="Units"/>
    <x v="6"/>
    <n v="27"/>
  </r>
  <r>
    <n v="1"/>
    <x v="2"/>
    <x v="29"/>
    <x v="7"/>
    <s v="Percent of GDP"/>
    <s v="Units"/>
    <x v="0"/>
    <n v="24.068999999999999"/>
  </r>
  <r>
    <n v="1"/>
    <x v="2"/>
    <x v="29"/>
    <x v="7"/>
    <s v="Percent of GDP"/>
    <s v="Units"/>
    <x v="1"/>
    <n v="23.329000000000001"/>
  </r>
  <r>
    <n v="1"/>
    <x v="2"/>
    <x v="29"/>
    <x v="7"/>
    <s v="Percent of GDP"/>
    <s v="Units"/>
    <x v="2"/>
    <n v="25.827000000000002"/>
  </r>
  <r>
    <n v="1"/>
    <x v="2"/>
    <x v="29"/>
    <x v="7"/>
    <s v="Percent of GDP"/>
    <s v="Units"/>
    <x v="3"/>
    <n v="23.84"/>
  </r>
  <r>
    <n v="1"/>
    <x v="2"/>
    <x v="29"/>
    <x v="7"/>
    <s v="Percent of GDP"/>
    <s v="Units"/>
    <x v="4"/>
    <n v="26.088000000000001"/>
  </r>
  <r>
    <n v="1"/>
    <x v="2"/>
    <x v="29"/>
    <x v="7"/>
    <s v="Percent of GDP"/>
    <s v="Units"/>
    <x v="5"/>
    <n v="26.890999999999998"/>
  </r>
  <r>
    <n v="1"/>
    <x v="2"/>
    <x v="29"/>
    <x v="7"/>
    <s v="Percent of GDP"/>
    <s v="Units"/>
    <x v="6"/>
    <n v="27.454999999999998"/>
  </r>
  <r>
    <n v="200"/>
    <x v="3"/>
    <x v="29"/>
    <x v="7"/>
    <s v="Percent of GDP"/>
    <s v="Units"/>
    <x v="0"/>
    <n v="24.068999999999999"/>
  </r>
  <r>
    <n v="200"/>
    <x v="3"/>
    <x v="29"/>
    <x v="7"/>
    <s v="Percent of GDP"/>
    <s v="Units"/>
    <x v="1"/>
    <n v="23.329000000000001"/>
  </r>
  <r>
    <n v="200"/>
    <x v="3"/>
    <x v="29"/>
    <x v="7"/>
    <s v="Percent of GDP"/>
    <s v="Units"/>
    <x v="2"/>
    <n v="25.827000000000002"/>
  </r>
  <r>
    <n v="200"/>
    <x v="3"/>
    <x v="29"/>
    <x v="7"/>
    <s v="Percent of GDP"/>
    <s v="Units"/>
    <x v="3"/>
    <n v="23.84"/>
  </r>
  <r>
    <n v="200"/>
    <x v="3"/>
    <x v="29"/>
    <x v="7"/>
    <s v="Percent of GDP"/>
    <s v="Units"/>
    <x v="4"/>
    <n v="26.088000000000001"/>
  </r>
  <r>
    <n v="200"/>
    <x v="3"/>
    <x v="29"/>
    <x v="7"/>
    <s v="Percent of GDP"/>
    <s v="Units"/>
    <x v="5"/>
    <n v="26.890999999999998"/>
  </r>
  <r>
    <n v="200"/>
    <x v="3"/>
    <x v="29"/>
    <x v="7"/>
    <s v="Percent of GDP"/>
    <s v="Units"/>
    <x v="6"/>
    <n v="27.454999999999998"/>
  </r>
  <r>
    <n v="400"/>
    <x v="11"/>
    <x v="29"/>
    <x v="7"/>
    <s v="Percent of GDP"/>
    <s v="Units"/>
    <x v="0"/>
    <n v="24.068999999999999"/>
  </r>
  <r>
    <n v="400"/>
    <x v="11"/>
    <x v="29"/>
    <x v="7"/>
    <s v="Percent of GDP"/>
    <s v="Units"/>
    <x v="1"/>
    <n v="23.329000000000001"/>
  </r>
  <r>
    <n v="400"/>
    <x v="11"/>
    <x v="29"/>
    <x v="7"/>
    <s v="Percent of GDP"/>
    <s v="Units"/>
    <x v="2"/>
    <n v="25.827000000000002"/>
  </r>
  <r>
    <n v="400"/>
    <x v="11"/>
    <x v="29"/>
    <x v="7"/>
    <s v="Percent of GDP"/>
    <s v="Units"/>
    <x v="3"/>
    <n v="23.84"/>
  </r>
  <r>
    <n v="400"/>
    <x v="11"/>
    <x v="29"/>
    <x v="7"/>
    <s v="Percent of GDP"/>
    <s v="Units"/>
    <x v="4"/>
    <n v="26.088000000000001"/>
  </r>
  <r>
    <n v="400"/>
    <x v="11"/>
    <x v="29"/>
    <x v="7"/>
    <s v="Percent of GDP"/>
    <s v="Units"/>
    <x v="5"/>
    <n v="26.890999999999998"/>
  </r>
  <r>
    <n v="400"/>
    <x v="11"/>
    <x v="29"/>
    <x v="7"/>
    <s v="Percent of GDP"/>
    <s v="Units"/>
    <x v="6"/>
    <n v="27.454999999999998"/>
  </r>
  <r>
    <n v="200"/>
    <x v="3"/>
    <x v="60"/>
    <x v="0"/>
    <s v="U.S. dollars"/>
    <s v="Billions"/>
    <x v="0"/>
    <n v="33.585999999999999"/>
  </r>
  <r>
    <n v="200"/>
    <x v="3"/>
    <x v="60"/>
    <x v="0"/>
    <s v="U.S. dollars"/>
    <s v="Billions"/>
    <x v="1"/>
    <n v="34.47"/>
  </r>
  <r>
    <n v="200"/>
    <x v="3"/>
    <x v="60"/>
    <x v="0"/>
    <s v="U.S. dollars"/>
    <s v="Billions"/>
    <x v="2"/>
    <n v="34.799999999999997"/>
  </r>
  <r>
    <n v="200"/>
    <x v="3"/>
    <x v="60"/>
    <x v="0"/>
    <s v="U.S. dollars"/>
    <s v="Billions"/>
    <x v="3"/>
    <n v="33.762"/>
  </r>
  <r>
    <n v="200"/>
    <x v="3"/>
    <x v="60"/>
    <x v="0"/>
    <s v="U.S. dollars"/>
    <s v="Billions"/>
    <x v="4"/>
    <n v="25.716000000000001"/>
  </r>
  <r>
    <n v="200"/>
    <x v="3"/>
    <x v="60"/>
    <x v="0"/>
    <s v="U.S. dollars"/>
    <s v="Billions"/>
    <x v="5"/>
    <n v="26.864999999999998"/>
  </r>
  <r>
    <n v="200"/>
    <x v="3"/>
    <x v="60"/>
    <x v="0"/>
    <s v="U.S. dollars"/>
    <s v="Billions"/>
    <x v="6"/>
    <n v="27.446999999999999"/>
  </r>
  <r>
    <n v="1"/>
    <x v="2"/>
    <x v="60"/>
    <x v="0"/>
    <s v="U.S. dollars"/>
    <s v="Billions"/>
    <x v="0"/>
    <n v="33.585999999999999"/>
  </r>
  <r>
    <n v="1"/>
    <x v="2"/>
    <x v="60"/>
    <x v="0"/>
    <s v="U.S. dollars"/>
    <s v="Billions"/>
    <x v="1"/>
    <n v="34.47"/>
  </r>
  <r>
    <n v="1"/>
    <x v="2"/>
    <x v="60"/>
    <x v="0"/>
    <s v="U.S. dollars"/>
    <s v="Billions"/>
    <x v="2"/>
    <n v="34.799999999999997"/>
  </r>
  <r>
    <n v="1"/>
    <x v="2"/>
    <x v="60"/>
    <x v="0"/>
    <s v="U.S. dollars"/>
    <s v="Billions"/>
    <x v="3"/>
    <n v="33.762"/>
  </r>
  <r>
    <n v="1"/>
    <x v="2"/>
    <x v="60"/>
    <x v="0"/>
    <s v="U.S. dollars"/>
    <s v="Billions"/>
    <x v="4"/>
    <n v="25.716000000000001"/>
  </r>
  <r>
    <n v="1"/>
    <x v="2"/>
    <x v="60"/>
    <x v="0"/>
    <s v="U.S. dollars"/>
    <s v="Billions"/>
    <x v="5"/>
    <n v="26.864999999999998"/>
  </r>
  <r>
    <n v="1"/>
    <x v="2"/>
    <x v="60"/>
    <x v="0"/>
    <s v="U.S. dollars"/>
    <s v="Billions"/>
    <x v="6"/>
    <n v="27.446999999999999"/>
  </r>
  <r>
    <n v="400"/>
    <x v="11"/>
    <x v="60"/>
    <x v="0"/>
    <s v="U.S. dollars"/>
    <s v="Billions"/>
    <x v="0"/>
    <n v="33.585999999999999"/>
  </r>
  <r>
    <n v="400"/>
    <x v="11"/>
    <x v="60"/>
    <x v="0"/>
    <s v="U.S. dollars"/>
    <s v="Billions"/>
    <x v="1"/>
    <n v="34.47"/>
  </r>
  <r>
    <n v="400"/>
    <x v="11"/>
    <x v="60"/>
    <x v="0"/>
    <s v="U.S. dollars"/>
    <s v="Billions"/>
    <x v="2"/>
    <n v="34.799999999999997"/>
  </r>
  <r>
    <n v="400"/>
    <x v="11"/>
    <x v="60"/>
    <x v="0"/>
    <s v="U.S. dollars"/>
    <s v="Billions"/>
    <x v="3"/>
    <n v="33.762"/>
  </r>
  <r>
    <n v="400"/>
    <x v="11"/>
    <x v="60"/>
    <x v="0"/>
    <s v="U.S. dollars"/>
    <s v="Billions"/>
    <x v="4"/>
    <n v="25.716000000000001"/>
  </r>
  <r>
    <n v="400"/>
    <x v="11"/>
    <x v="60"/>
    <x v="0"/>
    <s v="U.S. dollars"/>
    <s v="Billions"/>
    <x v="5"/>
    <n v="26.864999999999998"/>
  </r>
  <r>
    <n v="400"/>
    <x v="11"/>
    <x v="60"/>
    <x v="0"/>
    <s v="U.S. dollars"/>
    <s v="Billions"/>
    <x v="6"/>
    <n v="27.446999999999999"/>
  </r>
  <r>
    <n v="205"/>
    <x v="7"/>
    <x v="167"/>
    <x v="2"/>
    <s v="Percent of GDP"/>
    <s v="Units"/>
    <x v="0"/>
    <n v="27.378"/>
  </r>
  <r>
    <n v="205"/>
    <x v="7"/>
    <x v="167"/>
    <x v="2"/>
    <s v="Percent of GDP"/>
    <s v="Units"/>
    <x v="1"/>
    <n v="26.742999999999999"/>
  </r>
  <r>
    <n v="205"/>
    <x v="7"/>
    <x v="167"/>
    <x v="2"/>
    <s v="Percent of GDP"/>
    <s v="Units"/>
    <x v="2"/>
    <n v="29.094999999999999"/>
  </r>
  <r>
    <n v="205"/>
    <x v="7"/>
    <x v="167"/>
    <x v="2"/>
    <s v="Percent of GDP"/>
    <s v="Units"/>
    <x v="3"/>
    <n v="29.277999999999999"/>
  </r>
  <r>
    <n v="205"/>
    <x v="7"/>
    <x v="167"/>
    <x v="2"/>
    <s v="Percent of GDP"/>
    <s v="Units"/>
    <x v="4"/>
    <n v="27.161999999999999"/>
  </r>
  <r>
    <n v="205"/>
    <x v="7"/>
    <x v="167"/>
    <x v="2"/>
    <s v="Percent of GDP"/>
    <s v="Units"/>
    <x v="5"/>
    <n v="26.859000000000002"/>
  </r>
  <r>
    <n v="205"/>
    <x v="7"/>
    <x v="167"/>
    <x v="2"/>
    <s v="Percent of GDP"/>
    <s v="Units"/>
    <x v="6"/>
    <n v="27.015999999999998"/>
  </r>
  <r>
    <n v="200"/>
    <x v="3"/>
    <x v="167"/>
    <x v="2"/>
    <s v="Percent of GDP"/>
    <s v="Units"/>
    <x v="0"/>
    <n v="27.378"/>
  </r>
  <r>
    <n v="200"/>
    <x v="3"/>
    <x v="167"/>
    <x v="2"/>
    <s v="Percent of GDP"/>
    <s v="Units"/>
    <x v="1"/>
    <n v="26.742999999999999"/>
  </r>
  <r>
    <n v="200"/>
    <x v="3"/>
    <x v="167"/>
    <x v="2"/>
    <s v="Percent of GDP"/>
    <s v="Units"/>
    <x v="2"/>
    <n v="29.094999999999999"/>
  </r>
  <r>
    <n v="200"/>
    <x v="3"/>
    <x v="167"/>
    <x v="2"/>
    <s v="Percent of GDP"/>
    <s v="Units"/>
    <x v="3"/>
    <n v="29.277999999999999"/>
  </r>
  <r>
    <n v="200"/>
    <x v="3"/>
    <x v="167"/>
    <x v="2"/>
    <s v="Percent of GDP"/>
    <s v="Units"/>
    <x v="4"/>
    <n v="27.161999999999999"/>
  </r>
  <r>
    <n v="200"/>
    <x v="3"/>
    <x v="167"/>
    <x v="2"/>
    <s v="Percent of GDP"/>
    <s v="Units"/>
    <x v="5"/>
    <n v="26.859000000000002"/>
  </r>
  <r>
    <n v="200"/>
    <x v="3"/>
    <x v="167"/>
    <x v="2"/>
    <s v="Percent of GDP"/>
    <s v="Units"/>
    <x v="6"/>
    <n v="27.015999999999998"/>
  </r>
  <r>
    <n v="1"/>
    <x v="2"/>
    <x v="121"/>
    <x v="7"/>
    <s v="Percent of GDP"/>
    <s v="Units"/>
    <x v="0"/>
    <n v="24.332000000000001"/>
  </r>
  <r>
    <n v="1"/>
    <x v="2"/>
    <x v="121"/>
    <x v="7"/>
    <s v="Percent of GDP"/>
    <s v="Units"/>
    <x v="1"/>
    <n v="22.567"/>
  </r>
  <r>
    <n v="1"/>
    <x v="2"/>
    <x v="121"/>
    <x v="7"/>
    <s v="Percent of GDP"/>
    <s v="Units"/>
    <x v="2"/>
    <n v="25.504999999999999"/>
  </r>
  <r>
    <n v="1"/>
    <x v="2"/>
    <x v="121"/>
    <x v="7"/>
    <s v="Percent of GDP"/>
    <s v="Units"/>
    <x v="3"/>
    <n v="27.484000000000002"/>
  </r>
  <r>
    <n v="1"/>
    <x v="2"/>
    <x v="121"/>
    <x v="7"/>
    <s v="Percent of GDP"/>
    <s v="Units"/>
    <x v="4"/>
    <n v="26.535"/>
  </r>
  <r>
    <n v="1"/>
    <x v="2"/>
    <x v="121"/>
    <x v="7"/>
    <s v="Percent of GDP"/>
    <s v="Units"/>
    <x v="5"/>
    <n v="26.829000000000001"/>
  </r>
  <r>
    <n v="1"/>
    <x v="2"/>
    <x v="121"/>
    <x v="7"/>
    <s v="Percent of GDP"/>
    <s v="Units"/>
    <x v="6"/>
    <n v="26.986999999999998"/>
  </r>
  <r>
    <n v="903"/>
    <x v="8"/>
    <x v="121"/>
    <x v="7"/>
    <s v="Percent of GDP"/>
    <s v="Units"/>
    <x v="0"/>
    <n v="24.332000000000001"/>
  </r>
  <r>
    <n v="903"/>
    <x v="8"/>
    <x v="121"/>
    <x v="7"/>
    <s v="Percent of GDP"/>
    <s v="Units"/>
    <x v="1"/>
    <n v="22.567"/>
  </r>
  <r>
    <n v="903"/>
    <x v="8"/>
    <x v="121"/>
    <x v="7"/>
    <s v="Percent of GDP"/>
    <s v="Units"/>
    <x v="2"/>
    <n v="25.504999999999999"/>
  </r>
  <r>
    <n v="903"/>
    <x v="8"/>
    <x v="121"/>
    <x v="7"/>
    <s v="Percent of GDP"/>
    <s v="Units"/>
    <x v="3"/>
    <n v="27.484000000000002"/>
  </r>
  <r>
    <n v="903"/>
    <x v="8"/>
    <x v="121"/>
    <x v="7"/>
    <s v="Percent of GDP"/>
    <s v="Units"/>
    <x v="4"/>
    <n v="26.535"/>
  </r>
  <r>
    <n v="903"/>
    <x v="8"/>
    <x v="121"/>
    <x v="7"/>
    <s v="Percent of GDP"/>
    <s v="Units"/>
    <x v="5"/>
    <n v="26.829000000000001"/>
  </r>
  <r>
    <n v="903"/>
    <x v="8"/>
    <x v="121"/>
    <x v="7"/>
    <s v="Percent of GDP"/>
    <s v="Units"/>
    <x v="6"/>
    <n v="26.986999999999998"/>
  </r>
  <r>
    <n v="200"/>
    <x v="3"/>
    <x v="121"/>
    <x v="7"/>
    <s v="Percent of GDP"/>
    <s v="Units"/>
    <x v="0"/>
    <n v="24.332000000000001"/>
  </r>
  <r>
    <n v="200"/>
    <x v="3"/>
    <x v="121"/>
    <x v="7"/>
    <s v="Percent of GDP"/>
    <s v="Units"/>
    <x v="1"/>
    <n v="22.567"/>
  </r>
  <r>
    <n v="200"/>
    <x v="3"/>
    <x v="121"/>
    <x v="7"/>
    <s v="Percent of GDP"/>
    <s v="Units"/>
    <x v="2"/>
    <n v="25.504999999999999"/>
  </r>
  <r>
    <n v="200"/>
    <x v="3"/>
    <x v="121"/>
    <x v="7"/>
    <s v="Percent of GDP"/>
    <s v="Units"/>
    <x v="3"/>
    <n v="27.484000000000002"/>
  </r>
  <r>
    <n v="200"/>
    <x v="3"/>
    <x v="121"/>
    <x v="7"/>
    <s v="Percent of GDP"/>
    <s v="Units"/>
    <x v="4"/>
    <n v="26.535"/>
  </r>
  <r>
    <n v="200"/>
    <x v="3"/>
    <x v="121"/>
    <x v="7"/>
    <s v="Percent of GDP"/>
    <s v="Units"/>
    <x v="5"/>
    <n v="26.829000000000001"/>
  </r>
  <r>
    <n v="200"/>
    <x v="3"/>
    <x v="121"/>
    <x v="7"/>
    <s v="Percent of GDP"/>
    <s v="Units"/>
    <x v="6"/>
    <n v="26.986999999999998"/>
  </r>
  <r>
    <n v="1"/>
    <x v="2"/>
    <x v="22"/>
    <x v="7"/>
    <s v="Percent of GDP"/>
    <s v="Units"/>
    <x v="0"/>
    <n v="25.123999999999999"/>
  </r>
  <r>
    <n v="1"/>
    <x v="2"/>
    <x v="22"/>
    <x v="7"/>
    <s v="Percent of GDP"/>
    <s v="Units"/>
    <x v="1"/>
    <n v="25.097000000000001"/>
  </r>
  <r>
    <n v="1"/>
    <x v="2"/>
    <x v="22"/>
    <x v="7"/>
    <s v="Percent of GDP"/>
    <s v="Units"/>
    <x v="2"/>
    <n v="25.864999999999998"/>
  </r>
  <r>
    <n v="1"/>
    <x v="2"/>
    <x v="22"/>
    <x v="7"/>
    <s v="Percent of GDP"/>
    <s v="Units"/>
    <x v="3"/>
    <n v="28.484999999999999"/>
  </r>
  <r>
    <n v="1"/>
    <x v="2"/>
    <x v="22"/>
    <x v="7"/>
    <s v="Percent of GDP"/>
    <s v="Units"/>
    <x v="4"/>
    <n v="26.757000000000001"/>
  </r>
  <r>
    <n v="1"/>
    <x v="2"/>
    <x v="22"/>
    <x v="7"/>
    <s v="Percent of GDP"/>
    <s v="Units"/>
    <x v="5"/>
    <n v="26.811"/>
  </r>
  <r>
    <n v="1"/>
    <x v="2"/>
    <x v="22"/>
    <x v="7"/>
    <s v="Percent of GDP"/>
    <s v="Units"/>
    <x v="6"/>
    <n v="27.843"/>
  </r>
  <r>
    <n v="998"/>
    <x v="6"/>
    <x v="22"/>
    <x v="7"/>
    <s v="Percent of GDP"/>
    <s v="Units"/>
    <x v="0"/>
    <n v="25.123999999999999"/>
  </r>
  <r>
    <n v="998"/>
    <x v="6"/>
    <x v="22"/>
    <x v="7"/>
    <s v="Percent of GDP"/>
    <s v="Units"/>
    <x v="1"/>
    <n v="25.097000000000001"/>
  </r>
  <r>
    <n v="998"/>
    <x v="6"/>
    <x v="22"/>
    <x v="7"/>
    <s v="Percent of GDP"/>
    <s v="Units"/>
    <x v="2"/>
    <n v="25.864999999999998"/>
  </r>
  <r>
    <n v="998"/>
    <x v="6"/>
    <x v="22"/>
    <x v="7"/>
    <s v="Percent of GDP"/>
    <s v="Units"/>
    <x v="3"/>
    <n v="28.484999999999999"/>
  </r>
  <r>
    <n v="998"/>
    <x v="6"/>
    <x v="22"/>
    <x v="7"/>
    <s v="Percent of GDP"/>
    <s v="Units"/>
    <x v="4"/>
    <n v="26.757000000000001"/>
  </r>
  <r>
    <n v="998"/>
    <x v="6"/>
    <x v="22"/>
    <x v="7"/>
    <s v="Percent of GDP"/>
    <s v="Units"/>
    <x v="5"/>
    <n v="26.811"/>
  </r>
  <r>
    <n v="998"/>
    <x v="6"/>
    <x v="22"/>
    <x v="7"/>
    <s v="Percent of GDP"/>
    <s v="Units"/>
    <x v="6"/>
    <n v="27.843"/>
  </r>
  <r>
    <n v="123"/>
    <x v="9"/>
    <x v="22"/>
    <x v="7"/>
    <s v="Percent of GDP"/>
    <s v="Units"/>
    <x v="0"/>
    <n v="25.123999999999999"/>
  </r>
  <r>
    <n v="123"/>
    <x v="9"/>
    <x v="22"/>
    <x v="7"/>
    <s v="Percent of GDP"/>
    <s v="Units"/>
    <x v="1"/>
    <n v="25.097000000000001"/>
  </r>
  <r>
    <n v="123"/>
    <x v="9"/>
    <x v="22"/>
    <x v="7"/>
    <s v="Percent of GDP"/>
    <s v="Units"/>
    <x v="2"/>
    <n v="25.864999999999998"/>
  </r>
  <r>
    <n v="123"/>
    <x v="9"/>
    <x v="22"/>
    <x v="7"/>
    <s v="Percent of GDP"/>
    <s v="Units"/>
    <x v="3"/>
    <n v="28.484999999999999"/>
  </r>
  <r>
    <n v="123"/>
    <x v="9"/>
    <x v="22"/>
    <x v="7"/>
    <s v="Percent of GDP"/>
    <s v="Units"/>
    <x v="4"/>
    <n v="26.757000000000001"/>
  </r>
  <r>
    <n v="123"/>
    <x v="9"/>
    <x v="22"/>
    <x v="7"/>
    <s v="Percent of GDP"/>
    <s v="Units"/>
    <x v="5"/>
    <n v="26.811"/>
  </r>
  <r>
    <n v="123"/>
    <x v="9"/>
    <x v="22"/>
    <x v="7"/>
    <s v="Percent of GDP"/>
    <s v="Units"/>
    <x v="6"/>
    <n v="27.843"/>
  </r>
  <r>
    <n v="110"/>
    <x v="0"/>
    <x v="22"/>
    <x v="7"/>
    <s v="Percent of GDP"/>
    <s v="Units"/>
    <x v="0"/>
    <n v="25.123999999999999"/>
  </r>
  <r>
    <n v="110"/>
    <x v="0"/>
    <x v="22"/>
    <x v="7"/>
    <s v="Percent of GDP"/>
    <s v="Units"/>
    <x v="1"/>
    <n v="25.097000000000001"/>
  </r>
  <r>
    <n v="110"/>
    <x v="0"/>
    <x v="22"/>
    <x v="7"/>
    <s v="Percent of GDP"/>
    <s v="Units"/>
    <x v="2"/>
    <n v="25.864999999999998"/>
  </r>
  <r>
    <n v="110"/>
    <x v="0"/>
    <x v="22"/>
    <x v="7"/>
    <s v="Percent of GDP"/>
    <s v="Units"/>
    <x v="3"/>
    <n v="28.484999999999999"/>
  </r>
  <r>
    <n v="110"/>
    <x v="0"/>
    <x v="22"/>
    <x v="7"/>
    <s v="Percent of GDP"/>
    <s v="Units"/>
    <x v="4"/>
    <n v="26.757000000000001"/>
  </r>
  <r>
    <n v="110"/>
    <x v="0"/>
    <x v="22"/>
    <x v="7"/>
    <s v="Percent of GDP"/>
    <s v="Units"/>
    <x v="5"/>
    <n v="26.811"/>
  </r>
  <r>
    <n v="110"/>
    <x v="0"/>
    <x v="22"/>
    <x v="7"/>
    <s v="Percent of GDP"/>
    <s v="Units"/>
    <x v="6"/>
    <n v="27.843"/>
  </r>
  <r>
    <n v="200"/>
    <x v="3"/>
    <x v="10"/>
    <x v="7"/>
    <s v="Percent of GDP"/>
    <s v="Units"/>
    <x v="0"/>
    <n v="22.661999999999999"/>
  </r>
  <r>
    <n v="200"/>
    <x v="3"/>
    <x v="10"/>
    <x v="7"/>
    <s v="Percent of GDP"/>
    <s v="Units"/>
    <x v="1"/>
    <n v="23.456"/>
  </r>
  <r>
    <n v="200"/>
    <x v="3"/>
    <x v="10"/>
    <x v="7"/>
    <s v="Percent of GDP"/>
    <s v="Units"/>
    <x v="2"/>
    <n v="22.707999999999998"/>
  </r>
  <r>
    <n v="200"/>
    <x v="3"/>
    <x v="10"/>
    <x v="7"/>
    <s v="Percent of GDP"/>
    <s v="Units"/>
    <x v="3"/>
    <n v="22.768999999999998"/>
  </r>
  <r>
    <n v="200"/>
    <x v="3"/>
    <x v="10"/>
    <x v="7"/>
    <s v="Percent of GDP"/>
    <s v="Units"/>
    <x v="4"/>
    <n v="26.763999999999999"/>
  </r>
  <r>
    <n v="200"/>
    <x v="3"/>
    <x v="10"/>
    <x v="7"/>
    <s v="Percent of GDP"/>
    <s v="Units"/>
    <x v="5"/>
    <n v="26.74"/>
  </r>
  <r>
    <n v="200"/>
    <x v="3"/>
    <x v="10"/>
    <x v="7"/>
    <s v="Percent of GDP"/>
    <s v="Units"/>
    <x v="6"/>
    <n v="26.125"/>
  </r>
  <r>
    <n v="903"/>
    <x v="8"/>
    <x v="10"/>
    <x v="7"/>
    <s v="Percent of GDP"/>
    <s v="Units"/>
    <x v="0"/>
    <n v="22.661999999999999"/>
  </r>
  <r>
    <n v="903"/>
    <x v="8"/>
    <x v="10"/>
    <x v="7"/>
    <s v="Percent of GDP"/>
    <s v="Units"/>
    <x v="1"/>
    <n v="23.456"/>
  </r>
  <r>
    <n v="903"/>
    <x v="8"/>
    <x v="10"/>
    <x v="7"/>
    <s v="Percent of GDP"/>
    <s v="Units"/>
    <x v="2"/>
    <n v="22.707999999999998"/>
  </r>
  <r>
    <n v="903"/>
    <x v="8"/>
    <x v="10"/>
    <x v="7"/>
    <s v="Percent of GDP"/>
    <s v="Units"/>
    <x v="3"/>
    <n v="22.768999999999998"/>
  </r>
  <r>
    <n v="903"/>
    <x v="8"/>
    <x v="10"/>
    <x v="7"/>
    <s v="Percent of GDP"/>
    <s v="Units"/>
    <x v="4"/>
    <n v="26.763999999999999"/>
  </r>
  <r>
    <n v="903"/>
    <x v="8"/>
    <x v="10"/>
    <x v="7"/>
    <s v="Percent of GDP"/>
    <s v="Units"/>
    <x v="5"/>
    <n v="26.74"/>
  </r>
  <r>
    <n v="903"/>
    <x v="8"/>
    <x v="10"/>
    <x v="7"/>
    <s v="Percent of GDP"/>
    <s v="Units"/>
    <x v="6"/>
    <n v="26.125"/>
  </r>
  <r>
    <n v="1"/>
    <x v="2"/>
    <x v="10"/>
    <x v="7"/>
    <s v="Percent of GDP"/>
    <s v="Units"/>
    <x v="0"/>
    <n v="22.661999999999999"/>
  </r>
  <r>
    <n v="1"/>
    <x v="2"/>
    <x v="10"/>
    <x v="7"/>
    <s v="Percent of GDP"/>
    <s v="Units"/>
    <x v="1"/>
    <n v="23.456"/>
  </r>
  <r>
    <n v="1"/>
    <x v="2"/>
    <x v="10"/>
    <x v="7"/>
    <s v="Percent of GDP"/>
    <s v="Units"/>
    <x v="2"/>
    <n v="22.707999999999998"/>
  </r>
  <r>
    <n v="1"/>
    <x v="2"/>
    <x v="10"/>
    <x v="7"/>
    <s v="Percent of GDP"/>
    <s v="Units"/>
    <x v="3"/>
    <n v="22.768999999999998"/>
  </r>
  <r>
    <n v="1"/>
    <x v="2"/>
    <x v="10"/>
    <x v="7"/>
    <s v="Percent of GDP"/>
    <s v="Units"/>
    <x v="4"/>
    <n v="26.763999999999999"/>
  </r>
  <r>
    <n v="1"/>
    <x v="2"/>
    <x v="10"/>
    <x v="7"/>
    <s v="Percent of GDP"/>
    <s v="Units"/>
    <x v="5"/>
    <n v="26.74"/>
  </r>
  <r>
    <n v="1"/>
    <x v="2"/>
    <x v="10"/>
    <x v="7"/>
    <s v="Percent of GDP"/>
    <s v="Units"/>
    <x v="6"/>
    <n v="26.125"/>
  </r>
  <r>
    <n v="200"/>
    <x v="3"/>
    <x v="101"/>
    <x v="2"/>
    <s v="Percent of GDP"/>
    <s v="Units"/>
    <x v="0"/>
    <n v="24.297000000000001"/>
  </r>
  <r>
    <n v="200"/>
    <x v="3"/>
    <x v="101"/>
    <x v="2"/>
    <s v="Percent of GDP"/>
    <s v="Units"/>
    <x v="1"/>
    <n v="22.652999999999999"/>
  </r>
  <r>
    <n v="200"/>
    <x v="3"/>
    <x v="101"/>
    <x v="2"/>
    <s v="Percent of GDP"/>
    <s v="Units"/>
    <x v="2"/>
    <n v="24.728000000000002"/>
  </r>
  <r>
    <n v="200"/>
    <x v="3"/>
    <x v="101"/>
    <x v="2"/>
    <s v="Percent of GDP"/>
    <s v="Units"/>
    <x v="3"/>
    <n v="25.672999999999998"/>
  </r>
  <r>
    <n v="200"/>
    <x v="3"/>
    <x v="101"/>
    <x v="2"/>
    <s v="Percent of GDP"/>
    <s v="Units"/>
    <x v="4"/>
    <n v="26.052"/>
  </r>
  <r>
    <n v="200"/>
    <x v="3"/>
    <x v="101"/>
    <x v="2"/>
    <s v="Percent of GDP"/>
    <s v="Units"/>
    <x v="5"/>
    <n v="26.707000000000001"/>
  </r>
  <r>
    <n v="200"/>
    <x v="3"/>
    <x v="101"/>
    <x v="2"/>
    <s v="Percent of GDP"/>
    <s v="Units"/>
    <x v="6"/>
    <n v="27.007999999999999"/>
  </r>
  <r>
    <n v="400"/>
    <x v="11"/>
    <x v="101"/>
    <x v="2"/>
    <s v="Percent of GDP"/>
    <s v="Units"/>
    <x v="0"/>
    <n v="24.297000000000001"/>
  </r>
  <r>
    <n v="400"/>
    <x v="11"/>
    <x v="101"/>
    <x v="2"/>
    <s v="Percent of GDP"/>
    <s v="Units"/>
    <x v="1"/>
    <n v="22.652999999999999"/>
  </r>
  <r>
    <n v="400"/>
    <x v="11"/>
    <x v="101"/>
    <x v="2"/>
    <s v="Percent of GDP"/>
    <s v="Units"/>
    <x v="2"/>
    <n v="24.728000000000002"/>
  </r>
  <r>
    <n v="400"/>
    <x v="11"/>
    <x v="101"/>
    <x v="2"/>
    <s v="Percent of GDP"/>
    <s v="Units"/>
    <x v="3"/>
    <n v="25.672999999999998"/>
  </r>
  <r>
    <n v="400"/>
    <x v="11"/>
    <x v="101"/>
    <x v="2"/>
    <s v="Percent of GDP"/>
    <s v="Units"/>
    <x v="4"/>
    <n v="26.052"/>
  </r>
  <r>
    <n v="400"/>
    <x v="11"/>
    <x v="101"/>
    <x v="2"/>
    <s v="Percent of GDP"/>
    <s v="Units"/>
    <x v="5"/>
    <n v="26.707000000000001"/>
  </r>
  <r>
    <n v="400"/>
    <x v="11"/>
    <x v="101"/>
    <x v="2"/>
    <s v="Percent of GDP"/>
    <s v="Units"/>
    <x v="6"/>
    <n v="27.007999999999999"/>
  </r>
  <r>
    <n v="200"/>
    <x v="3"/>
    <x v="104"/>
    <x v="2"/>
    <s v="Percent of GDP"/>
    <s v="Units"/>
    <x v="0"/>
    <n v="29.707999999999998"/>
  </r>
  <r>
    <n v="200"/>
    <x v="3"/>
    <x v="104"/>
    <x v="2"/>
    <s v="Percent of GDP"/>
    <s v="Units"/>
    <x v="1"/>
    <n v="27.666"/>
  </r>
  <r>
    <n v="200"/>
    <x v="3"/>
    <x v="104"/>
    <x v="2"/>
    <s v="Percent of GDP"/>
    <s v="Units"/>
    <x v="2"/>
    <n v="26.89"/>
  </r>
  <r>
    <n v="200"/>
    <x v="3"/>
    <x v="104"/>
    <x v="2"/>
    <s v="Percent of GDP"/>
    <s v="Units"/>
    <x v="3"/>
    <n v="28.396000000000001"/>
  </r>
  <r>
    <n v="200"/>
    <x v="3"/>
    <x v="104"/>
    <x v="2"/>
    <s v="Percent of GDP"/>
    <s v="Units"/>
    <x v="4"/>
    <n v="27.971"/>
  </r>
  <r>
    <n v="200"/>
    <x v="3"/>
    <x v="104"/>
    <x v="2"/>
    <s v="Percent of GDP"/>
    <s v="Units"/>
    <x v="5"/>
    <n v="26.693999999999999"/>
  </r>
  <r>
    <n v="200"/>
    <x v="3"/>
    <x v="104"/>
    <x v="2"/>
    <s v="Percent of GDP"/>
    <s v="Units"/>
    <x v="6"/>
    <n v="27.056000000000001"/>
  </r>
  <r>
    <n v="603"/>
    <x v="12"/>
    <x v="104"/>
    <x v="2"/>
    <s v="Percent of GDP"/>
    <s v="Units"/>
    <x v="0"/>
    <n v="29.707999999999998"/>
  </r>
  <r>
    <n v="603"/>
    <x v="12"/>
    <x v="104"/>
    <x v="2"/>
    <s v="Percent of GDP"/>
    <s v="Units"/>
    <x v="1"/>
    <n v="27.666"/>
  </r>
  <r>
    <n v="603"/>
    <x v="12"/>
    <x v="104"/>
    <x v="2"/>
    <s v="Percent of GDP"/>
    <s v="Units"/>
    <x v="2"/>
    <n v="26.89"/>
  </r>
  <r>
    <n v="603"/>
    <x v="12"/>
    <x v="104"/>
    <x v="2"/>
    <s v="Percent of GDP"/>
    <s v="Units"/>
    <x v="3"/>
    <n v="28.396000000000001"/>
  </r>
  <r>
    <n v="603"/>
    <x v="12"/>
    <x v="104"/>
    <x v="2"/>
    <s v="Percent of GDP"/>
    <s v="Units"/>
    <x v="4"/>
    <n v="27.971"/>
  </r>
  <r>
    <n v="603"/>
    <x v="12"/>
    <x v="104"/>
    <x v="2"/>
    <s v="Percent of GDP"/>
    <s v="Units"/>
    <x v="5"/>
    <n v="26.693999999999999"/>
  </r>
  <r>
    <n v="603"/>
    <x v="12"/>
    <x v="104"/>
    <x v="2"/>
    <s v="Percent of GDP"/>
    <s v="Units"/>
    <x v="6"/>
    <n v="27.056000000000001"/>
  </r>
  <r>
    <n v="200"/>
    <x v="3"/>
    <x v="29"/>
    <x v="3"/>
    <s v="Percent of GDP"/>
    <s v="Units"/>
    <x v="0"/>
    <n v="28.449000000000002"/>
  </r>
  <r>
    <n v="200"/>
    <x v="3"/>
    <x v="29"/>
    <x v="3"/>
    <s v="Percent of GDP"/>
    <s v="Units"/>
    <x v="1"/>
    <n v="31.131"/>
  </r>
  <r>
    <n v="200"/>
    <x v="3"/>
    <x v="29"/>
    <x v="3"/>
    <s v="Percent of GDP"/>
    <s v="Units"/>
    <x v="2"/>
    <n v="26.39"/>
  </r>
  <r>
    <n v="200"/>
    <x v="3"/>
    <x v="29"/>
    <x v="3"/>
    <s v="Percent of GDP"/>
    <s v="Units"/>
    <x v="3"/>
    <n v="22.936"/>
  </r>
  <r>
    <n v="200"/>
    <x v="3"/>
    <x v="29"/>
    <x v="3"/>
    <s v="Percent of GDP"/>
    <s v="Units"/>
    <x v="4"/>
    <n v="25.946000000000002"/>
  </r>
  <r>
    <n v="200"/>
    <x v="3"/>
    <x v="29"/>
    <x v="3"/>
    <s v="Percent of GDP"/>
    <s v="Units"/>
    <x v="5"/>
    <n v="26.629000000000001"/>
  </r>
  <r>
    <n v="200"/>
    <x v="3"/>
    <x v="29"/>
    <x v="3"/>
    <s v="Percent of GDP"/>
    <s v="Units"/>
    <x v="6"/>
    <n v="26.709"/>
  </r>
  <r>
    <n v="400"/>
    <x v="11"/>
    <x v="29"/>
    <x v="3"/>
    <s v="Percent of GDP"/>
    <s v="Units"/>
    <x v="0"/>
    <n v="28.449000000000002"/>
  </r>
  <r>
    <n v="400"/>
    <x v="11"/>
    <x v="29"/>
    <x v="3"/>
    <s v="Percent of GDP"/>
    <s v="Units"/>
    <x v="1"/>
    <n v="31.131"/>
  </r>
  <r>
    <n v="400"/>
    <x v="11"/>
    <x v="29"/>
    <x v="3"/>
    <s v="Percent of GDP"/>
    <s v="Units"/>
    <x v="2"/>
    <n v="26.39"/>
  </r>
  <r>
    <n v="400"/>
    <x v="11"/>
    <x v="29"/>
    <x v="3"/>
    <s v="Percent of GDP"/>
    <s v="Units"/>
    <x v="3"/>
    <n v="22.936"/>
  </r>
  <r>
    <n v="400"/>
    <x v="11"/>
    <x v="29"/>
    <x v="3"/>
    <s v="Percent of GDP"/>
    <s v="Units"/>
    <x v="4"/>
    <n v="25.946000000000002"/>
  </r>
  <r>
    <n v="400"/>
    <x v="11"/>
    <x v="29"/>
    <x v="3"/>
    <s v="Percent of GDP"/>
    <s v="Units"/>
    <x v="5"/>
    <n v="26.629000000000001"/>
  </r>
  <r>
    <n v="400"/>
    <x v="11"/>
    <x v="29"/>
    <x v="3"/>
    <s v="Percent of GDP"/>
    <s v="Units"/>
    <x v="6"/>
    <n v="26.709"/>
  </r>
  <r>
    <n v="603"/>
    <x v="12"/>
    <x v="168"/>
    <x v="4"/>
    <s v="Percent change"/>
    <s v="Units"/>
    <x v="0"/>
    <n v="19.783000000000001"/>
  </r>
  <r>
    <n v="603"/>
    <x v="12"/>
    <x v="168"/>
    <x v="4"/>
    <s v="Percent change"/>
    <s v="Units"/>
    <x v="1"/>
    <n v="-57.052999999999997"/>
  </r>
  <r>
    <n v="603"/>
    <x v="12"/>
    <x v="168"/>
    <x v="4"/>
    <s v="Percent change"/>
    <s v="Units"/>
    <x v="2"/>
    <n v="-8.89"/>
  </r>
  <r>
    <n v="603"/>
    <x v="12"/>
    <x v="168"/>
    <x v="4"/>
    <s v="Percent change"/>
    <s v="Units"/>
    <x v="3"/>
    <n v="89.507000000000005"/>
  </r>
  <r>
    <n v="603"/>
    <x v="12"/>
    <x v="168"/>
    <x v="4"/>
    <s v="Percent change"/>
    <s v="Units"/>
    <x v="4"/>
    <n v="24.207999999999998"/>
  </r>
  <r>
    <n v="603"/>
    <x v="12"/>
    <x v="168"/>
    <x v="4"/>
    <s v="Percent change"/>
    <s v="Units"/>
    <x v="5"/>
    <n v="26.591000000000001"/>
  </r>
  <r>
    <n v="603"/>
    <x v="12"/>
    <x v="168"/>
    <x v="4"/>
    <s v="Percent change"/>
    <s v="Units"/>
    <x v="6"/>
    <n v="11.555"/>
  </r>
  <r>
    <n v="1"/>
    <x v="2"/>
    <x v="168"/>
    <x v="4"/>
    <s v="Percent change"/>
    <s v="Units"/>
    <x v="0"/>
    <n v="19.783000000000001"/>
  </r>
  <r>
    <n v="1"/>
    <x v="2"/>
    <x v="168"/>
    <x v="4"/>
    <s v="Percent change"/>
    <s v="Units"/>
    <x v="1"/>
    <n v="-57.052999999999997"/>
  </r>
  <r>
    <n v="1"/>
    <x v="2"/>
    <x v="168"/>
    <x v="4"/>
    <s v="Percent change"/>
    <s v="Units"/>
    <x v="2"/>
    <n v="-8.89"/>
  </r>
  <r>
    <n v="1"/>
    <x v="2"/>
    <x v="168"/>
    <x v="4"/>
    <s v="Percent change"/>
    <s v="Units"/>
    <x v="3"/>
    <n v="89.507000000000005"/>
  </r>
  <r>
    <n v="1"/>
    <x v="2"/>
    <x v="168"/>
    <x v="4"/>
    <s v="Percent change"/>
    <s v="Units"/>
    <x v="4"/>
    <n v="24.207999999999998"/>
  </r>
  <r>
    <n v="1"/>
    <x v="2"/>
    <x v="168"/>
    <x v="4"/>
    <s v="Percent change"/>
    <s v="Units"/>
    <x v="5"/>
    <n v="26.591000000000001"/>
  </r>
  <r>
    <n v="1"/>
    <x v="2"/>
    <x v="168"/>
    <x v="4"/>
    <s v="Percent change"/>
    <s v="Units"/>
    <x v="6"/>
    <n v="11.555"/>
  </r>
  <r>
    <n v="200"/>
    <x v="3"/>
    <x v="168"/>
    <x v="4"/>
    <s v="Percent change"/>
    <s v="Units"/>
    <x v="0"/>
    <n v="19.783000000000001"/>
  </r>
  <r>
    <n v="200"/>
    <x v="3"/>
    <x v="168"/>
    <x v="4"/>
    <s v="Percent change"/>
    <s v="Units"/>
    <x v="1"/>
    <n v="-57.052999999999997"/>
  </r>
  <r>
    <n v="200"/>
    <x v="3"/>
    <x v="168"/>
    <x v="4"/>
    <s v="Percent change"/>
    <s v="Units"/>
    <x v="2"/>
    <n v="-8.89"/>
  </r>
  <r>
    <n v="200"/>
    <x v="3"/>
    <x v="168"/>
    <x v="4"/>
    <s v="Percent change"/>
    <s v="Units"/>
    <x v="3"/>
    <n v="89.507000000000005"/>
  </r>
  <r>
    <n v="200"/>
    <x v="3"/>
    <x v="168"/>
    <x v="4"/>
    <s v="Percent change"/>
    <s v="Units"/>
    <x v="4"/>
    <n v="24.207999999999998"/>
  </r>
  <r>
    <n v="200"/>
    <x v="3"/>
    <x v="168"/>
    <x v="4"/>
    <s v="Percent change"/>
    <s v="Units"/>
    <x v="5"/>
    <n v="26.591000000000001"/>
  </r>
  <r>
    <n v="200"/>
    <x v="3"/>
    <x v="168"/>
    <x v="4"/>
    <s v="Percent change"/>
    <s v="Units"/>
    <x v="6"/>
    <n v="11.555"/>
  </r>
  <r>
    <n v="998"/>
    <x v="6"/>
    <x v="27"/>
    <x v="5"/>
    <s v="Percent of GDP"/>
    <s v="Units"/>
    <x v="0"/>
    <n v="27.734000000000002"/>
  </r>
  <r>
    <n v="998"/>
    <x v="6"/>
    <x v="27"/>
    <x v="5"/>
    <s v="Percent of GDP"/>
    <s v="Units"/>
    <x v="1"/>
    <n v="29.068999999999999"/>
  </r>
  <r>
    <n v="998"/>
    <x v="6"/>
    <x v="27"/>
    <x v="5"/>
    <s v="Percent of GDP"/>
    <s v="Units"/>
    <x v="2"/>
    <n v="29.306000000000001"/>
  </r>
  <r>
    <n v="998"/>
    <x v="6"/>
    <x v="27"/>
    <x v="5"/>
    <s v="Percent of GDP"/>
    <s v="Units"/>
    <x v="3"/>
    <n v="27.263000000000002"/>
  </r>
  <r>
    <n v="998"/>
    <x v="6"/>
    <x v="27"/>
    <x v="5"/>
    <s v="Percent of GDP"/>
    <s v="Units"/>
    <x v="4"/>
    <n v="27.263000000000002"/>
  </r>
  <r>
    <n v="998"/>
    <x v="6"/>
    <x v="27"/>
    <x v="5"/>
    <s v="Percent of GDP"/>
    <s v="Units"/>
    <x v="5"/>
    <n v="26.57"/>
  </r>
  <r>
    <n v="998"/>
    <x v="6"/>
    <x v="27"/>
    <x v="5"/>
    <s v="Percent of GDP"/>
    <s v="Units"/>
    <x v="6"/>
    <n v="26.353000000000002"/>
  </r>
  <r>
    <n v="163"/>
    <x v="5"/>
    <x v="27"/>
    <x v="5"/>
    <s v="Percent of GDP"/>
    <s v="Units"/>
    <x v="0"/>
    <n v="27.734000000000002"/>
  </r>
  <r>
    <n v="163"/>
    <x v="5"/>
    <x v="27"/>
    <x v="5"/>
    <s v="Percent of GDP"/>
    <s v="Units"/>
    <x v="1"/>
    <n v="29.068999999999999"/>
  </r>
  <r>
    <n v="163"/>
    <x v="5"/>
    <x v="27"/>
    <x v="5"/>
    <s v="Percent of GDP"/>
    <s v="Units"/>
    <x v="2"/>
    <n v="29.306000000000001"/>
  </r>
  <r>
    <n v="163"/>
    <x v="5"/>
    <x v="27"/>
    <x v="5"/>
    <s v="Percent of GDP"/>
    <s v="Units"/>
    <x v="3"/>
    <n v="27.263000000000002"/>
  </r>
  <r>
    <n v="163"/>
    <x v="5"/>
    <x v="27"/>
    <x v="5"/>
    <s v="Percent of GDP"/>
    <s v="Units"/>
    <x v="4"/>
    <n v="27.263000000000002"/>
  </r>
  <r>
    <n v="163"/>
    <x v="5"/>
    <x v="27"/>
    <x v="5"/>
    <s v="Percent of GDP"/>
    <s v="Units"/>
    <x v="5"/>
    <n v="26.57"/>
  </r>
  <r>
    <n v="163"/>
    <x v="5"/>
    <x v="27"/>
    <x v="5"/>
    <s v="Percent of GDP"/>
    <s v="Units"/>
    <x v="6"/>
    <n v="26.353000000000002"/>
  </r>
  <r>
    <n v="110"/>
    <x v="0"/>
    <x v="27"/>
    <x v="5"/>
    <s v="Percent of GDP"/>
    <s v="Units"/>
    <x v="0"/>
    <n v="27.734000000000002"/>
  </r>
  <r>
    <n v="110"/>
    <x v="0"/>
    <x v="27"/>
    <x v="5"/>
    <s v="Percent of GDP"/>
    <s v="Units"/>
    <x v="1"/>
    <n v="29.068999999999999"/>
  </r>
  <r>
    <n v="110"/>
    <x v="0"/>
    <x v="27"/>
    <x v="5"/>
    <s v="Percent of GDP"/>
    <s v="Units"/>
    <x v="2"/>
    <n v="29.306000000000001"/>
  </r>
  <r>
    <n v="110"/>
    <x v="0"/>
    <x v="27"/>
    <x v="5"/>
    <s v="Percent of GDP"/>
    <s v="Units"/>
    <x v="3"/>
    <n v="27.263000000000002"/>
  </r>
  <r>
    <n v="110"/>
    <x v="0"/>
    <x v="27"/>
    <x v="5"/>
    <s v="Percent of GDP"/>
    <s v="Units"/>
    <x v="4"/>
    <n v="27.263000000000002"/>
  </r>
  <r>
    <n v="110"/>
    <x v="0"/>
    <x v="27"/>
    <x v="5"/>
    <s v="Percent of GDP"/>
    <s v="Units"/>
    <x v="5"/>
    <n v="26.57"/>
  </r>
  <r>
    <n v="110"/>
    <x v="0"/>
    <x v="27"/>
    <x v="5"/>
    <s v="Percent of GDP"/>
    <s v="Units"/>
    <x v="6"/>
    <n v="26.353000000000002"/>
  </r>
  <r>
    <n v="1"/>
    <x v="2"/>
    <x v="27"/>
    <x v="5"/>
    <s v="Percent of GDP"/>
    <s v="Units"/>
    <x v="0"/>
    <n v="27.734000000000002"/>
  </r>
  <r>
    <n v="1"/>
    <x v="2"/>
    <x v="27"/>
    <x v="5"/>
    <s v="Percent of GDP"/>
    <s v="Units"/>
    <x v="1"/>
    <n v="29.068999999999999"/>
  </r>
  <r>
    <n v="1"/>
    <x v="2"/>
    <x v="27"/>
    <x v="5"/>
    <s v="Percent of GDP"/>
    <s v="Units"/>
    <x v="2"/>
    <n v="29.306000000000001"/>
  </r>
  <r>
    <n v="1"/>
    <x v="2"/>
    <x v="27"/>
    <x v="5"/>
    <s v="Percent of GDP"/>
    <s v="Units"/>
    <x v="3"/>
    <n v="27.263000000000002"/>
  </r>
  <r>
    <n v="1"/>
    <x v="2"/>
    <x v="27"/>
    <x v="5"/>
    <s v="Percent of GDP"/>
    <s v="Units"/>
    <x v="4"/>
    <n v="27.263000000000002"/>
  </r>
  <r>
    <n v="1"/>
    <x v="2"/>
    <x v="27"/>
    <x v="5"/>
    <s v="Percent of GDP"/>
    <s v="Units"/>
    <x v="5"/>
    <n v="26.57"/>
  </r>
  <r>
    <n v="1"/>
    <x v="2"/>
    <x v="27"/>
    <x v="5"/>
    <s v="Percent of GDP"/>
    <s v="Units"/>
    <x v="6"/>
    <n v="26.353000000000002"/>
  </r>
  <r>
    <n v="603"/>
    <x v="12"/>
    <x v="103"/>
    <x v="7"/>
    <s v="Percent of GDP"/>
    <s v="Units"/>
    <x v="0"/>
    <n v="25.684999999999999"/>
  </r>
  <r>
    <n v="603"/>
    <x v="12"/>
    <x v="103"/>
    <x v="7"/>
    <s v="Percent of GDP"/>
    <s v="Units"/>
    <x v="1"/>
    <n v="27.13"/>
  </r>
  <r>
    <n v="603"/>
    <x v="12"/>
    <x v="103"/>
    <x v="7"/>
    <s v="Percent of GDP"/>
    <s v="Units"/>
    <x v="2"/>
    <n v="19.38"/>
  </r>
  <r>
    <n v="603"/>
    <x v="12"/>
    <x v="103"/>
    <x v="7"/>
    <s v="Percent of GDP"/>
    <s v="Units"/>
    <x v="3"/>
    <n v="21.547000000000001"/>
  </r>
  <r>
    <n v="603"/>
    <x v="12"/>
    <x v="103"/>
    <x v="7"/>
    <s v="Percent of GDP"/>
    <s v="Units"/>
    <x v="4"/>
    <n v="25.12"/>
  </r>
  <r>
    <n v="603"/>
    <x v="12"/>
    <x v="103"/>
    <x v="7"/>
    <s v="Percent of GDP"/>
    <s v="Units"/>
    <x v="5"/>
    <n v="26.561"/>
  </r>
  <r>
    <n v="603"/>
    <x v="12"/>
    <x v="103"/>
    <x v="7"/>
    <s v="Percent of GDP"/>
    <s v="Units"/>
    <x v="6"/>
    <n v="27.77"/>
  </r>
  <r>
    <n v="1"/>
    <x v="2"/>
    <x v="103"/>
    <x v="7"/>
    <s v="Percent of GDP"/>
    <s v="Units"/>
    <x v="0"/>
    <n v="25.684999999999999"/>
  </r>
  <r>
    <n v="1"/>
    <x v="2"/>
    <x v="103"/>
    <x v="7"/>
    <s v="Percent of GDP"/>
    <s v="Units"/>
    <x v="1"/>
    <n v="27.13"/>
  </r>
  <r>
    <n v="1"/>
    <x v="2"/>
    <x v="103"/>
    <x v="7"/>
    <s v="Percent of GDP"/>
    <s v="Units"/>
    <x v="2"/>
    <n v="19.38"/>
  </r>
  <r>
    <n v="1"/>
    <x v="2"/>
    <x v="103"/>
    <x v="7"/>
    <s v="Percent of GDP"/>
    <s v="Units"/>
    <x v="3"/>
    <n v="21.547000000000001"/>
  </r>
  <r>
    <n v="1"/>
    <x v="2"/>
    <x v="103"/>
    <x v="7"/>
    <s v="Percent of GDP"/>
    <s v="Units"/>
    <x v="4"/>
    <n v="25.12"/>
  </r>
  <r>
    <n v="1"/>
    <x v="2"/>
    <x v="103"/>
    <x v="7"/>
    <s v="Percent of GDP"/>
    <s v="Units"/>
    <x v="5"/>
    <n v="26.561"/>
  </r>
  <r>
    <n v="1"/>
    <x v="2"/>
    <x v="103"/>
    <x v="7"/>
    <s v="Percent of GDP"/>
    <s v="Units"/>
    <x v="6"/>
    <n v="27.77"/>
  </r>
  <r>
    <n v="200"/>
    <x v="3"/>
    <x v="103"/>
    <x v="7"/>
    <s v="Percent of GDP"/>
    <s v="Units"/>
    <x v="0"/>
    <n v="25.684999999999999"/>
  </r>
  <r>
    <n v="200"/>
    <x v="3"/>
    <x v="103"/>
    <x v="7"/>
    <s v="Percent of GDP"/>
    <s v="Units"/>
    <x v="1"/>
    <n v="27.13"/>
  </r>
  <r>
    <n v="200"/>
    <x v="3"/>
    <x v="103"/>
    <x v="7"/>
    <s v="Percent of GDP"/>
    <s v="Units"/>
    <x v="2"/>
    <n v="19.38"/>
  </r>
  <r>
    <n v="200"/>
    <x v="3"/>
    <x v="103"/>
    <x v="7"/>
    <s v="Percent of GDP"/>
    <s v="Units"/>
    <x v="3"/>
    <n v="21.547000000000001"/>
  </r>
  <r>
    <n v="200"/>
    <x v="3"/>
    <x v="103"/>
    <x v="7"/>
    <s v="Percent of GDP"/>
    <s v="Units"/>
    <x v="4"/>
    <n v="25.12"/>
  </r>
  <r>
    <n v="200"/>
    <x v="3"/>
    <x v="103"/>
    <x v="7"/>
    <s v="Percent of GDP"/>
    <s v="Units"/>
    <x v="5"/>
    <n v="26.561"/>
  </r>
  <r>
    <n v="200"/>
    <x v="3"/>
    <x v="103"/>
    <x v="7"/>
    <s v="Percent of GDP"/>
    <s v="Units"/>
    <x v="6"/>
    <n v="27.77"/>
  </r>
  <r>
    <n v="200"/>
    <x v="3"/>
    <x v="153"/>
    <x v="2"/>
    <s v="Percent of GDP"/>
    <s v="Units"/>
    <x v="0"/>
    <n v="24.457000000000001"/>
  </r>
  <r>
    <n v="200"/>
    <x v="3"/>
    <x v="153"/>
    <x v="2"/>
    <s v="Percent of GDP"/>
    <s v="Units"/>
    <x v="1"/>
    <n v="20.004000000000001"/>
  </r>
  <r>
    <n v="200"/>
    <x v="3"/>
    <x v="153"/>
    <x v="2"/>
    <s v="Percent of GDP"/>
    <s v="Units"/>
    <x v="2"/>
    <n v="22.565000000000001"/>
  </r>
  <r>
    <n v="200"/>
    <x v="3"/>
    <x v="153"/>
    <x v="2"/>
    <s v="Percent of GDP"/>
    <s v="Units"/>
    <x v="3"/>
    <n v="31.794"/>
  </r>
  <r>
    <n v="200"/>
    <x v="3"/>
    <x v="153"/>
    <x v="2"/>
    <s v="Percent of GDP"/>
    <s v="Units"/>
    <x v="4"/>
    <n v="26.538"/>
  </r>
  <r>
    <n v="200"/>
    <x v="3"/>
    <x v="153"/>
    <x v="2"/>
    <s v="Percent of GDP"/>
    <s v="Units"/>
    <x v="5"/>
    <n v="26.491"/>
  </r>
  <r>
    <n v="200"/>
    <x v="3"/>
    <x v="153"/>
    <x v="2"/>
    <s v="Percent of GDP"/>
    <s v="Units"/>
    <x v="6"/>
    <n v="25.795999999999999"/>
  </r>
  <r>
    <n v="603"/>
    <x v="12"/>
    <x v="153"/>
    <x v="2"/>
    <s v="Percent of GDP"/>
    <s v="Units"/>
    <x v="0"/>
    <n v="24.457000000000001"/>
  </r>
  <r>
    <n v="603"/>
    <x v="12"/>
    <x v="153"/>
    <x v="2"/>
    <s v="Percent of GDP"/>
    <s v="Units"/>
    <x v="1"/>
    <n v="20.004000000000001"/>
  </r>
  <r>
    <n v="603"/>
    <x v="12"/>
    <x v="153"/>
    <x v="2"/>
    <s v="Percent of GDP"/>
    <s v="Units"/>
    <x v="2"/>
    <n v="22.565000000000001"/>
  </r>
  <r>
    <n v="603"/>
    <x v="12"/>
    <x v="153"/>
    <x v="2"/>
    <s v="Percent of GDP"/>
    <s v="Units"/>
    <x v="3"/>
    <n v="31.794"/>
  </r>
  <r>
    <n v="603"/>
    <x v="12"/>
    <x v="153"/>
    <x v="2"/>
    <s v="Percent of GDP"/>
    <s v="Units"/>
    <x v="4"/>
    <n v="26.538"/>
  </r>
  <r>
    <n v="603"/>
    <x v="12"/>
    <x v="153"/>
    <x v="2"/>
    <s v="Percent of GDP"/>
    <s v="Units"/>
    <x v="5"/>
    <n v="26.491"/>
  </r>
  <r>
    <n v="603"/>
    <x v="12"/>
    <x v="153"/>
    <x v="2"/>
    <s v="Percent of GDP"/>
    <s v="Units"/>
    <x v="6"/>
    <n v="25.795999999999999"/>
  </r>
  <r>
    <n v="903"/>
    <x v="8"/>
    <x v="16"/>
    <x v="7"/>
    <s v="Percent of GDP"/>
    <s v="Units"/>
    <x v="0"/>
    <n v="24.878"/>
  </r>
  <r>
    <n v="903"/>
    <x v="8"/>
    <x v="16"/>
    <x v="7"/>
    <s v="Percent of GDP"/>
    <s v="Units"/>
    <x v="1"/>
    <n v="31.341000000000001"/>
  </r>
  <r>
    <n v="903"/>
    <x v="8"/>
    <x v="16"/>
    <x v="7"/>
    <s v="Percent of GDP"/>
    <s v="Units"/>
    <x v="2"/>
    <n v="31.404"/>
  </r>
  <r>
    <n v="903"/>
    <x v="8"/>
    <x v="16"/>
    <x v="7"/>
    <s v="Percent of GDP"/>
    <s v="Units"/>
    <x v="3"/>
    <n v="35.04"/>
  </r>
  <r>
    <n v="903"/>
    <x v="8"/>
    <x v="16"/>
    <x v="7"/>
    <s v="Percent of GDP"/>
    <s v="Units"/>
    <x v="4"/>
    <n v="29.405999999999999"/>
  </r>
  <r>
    <n v="903"/>
    <x v="8"/>
    <x v="16"/>
    <x v="7"/>
    <s v="Percent of GDP"/>
    <s v="Units"/>
    <x v="5"/>
    <n v="26.46"/>
  </r>
  <r>
    <n v="903"/>
    <x v="8"/>
    <x v="16"/>
    <x v="7"/>
    <s v="Percent of GDP"/>
    <s v="Units"/>
    <x v="6"/>
    <n v="25.314"/>
  </r>
  <r>
    <n v="200"/>
    <x v="3"/>
    <x v="16"/>
    <x v="7"/>
    <s v="Percent of GDP"/>
    <s v="Units"/>
    <x v="0"/>
    <n v="24.878"/>
  </r>
  <r>
    <n v="200"/>
    <x v="3"/>
    <x v="16"/>
    <x v="7"/>
    <s v="Percent of GDP"/>
    <s v="Units"/>
    <x v="1"/>
    <n v="31.341000000000001"/>
  </r>
  <r>
    <n v="200"/>
    <x v="3"/>
    <x v="16"/>
    <x v="7"/>
    <s v="Percent of GDP"/>
    <s v="Units"/>
    <x v="2"/>
    <n v="31.404"/>
  </r>
  <r>
    <n v="200"/>
    <x v="3"/>
    <x v="16"/>
    <x v="7"/>
    <s v="Percent of GDP"/>
    <s v="Units"/>
    <x v="3"/>
    <n v="35.04"/>
  </r>
  <r>
    <n v="200"/>
    <x v="3"/>
    <x v="16"/>
    <x v="7"/>
    <s v="Percent of GDP"/>
    <s v="Units"/>
    <x v="4"/>
    <n v="29.405999999999999"/>
  </r>
  <r>
    <n v="200"/>
    <x v="3"/>
    <x v="16"/>
    <x v="7"/>
    <s v="Percent of GDP"/>
    <s v="Units"/>
    <x v="5"/>
    <n v="26.46"/>
  </r>
  <r>
    <n v="200"/>
    <x v="3"/>
    <x v="16"/>
    <x v="7"/>
    <s v="Percent of GDP"/>
    <s v="Units"/>
    <x v="6"/>
    <n v="25.314"/>
  </r>
  <r>
    <n v="1"/>
    <x v="2"/>
    <x v="16"/>
    <x v="7"/>
    <s v="Percent of GDP"/>
    <s v="Units"/>
    <x v="0"/>
    <n v="24.878"/>
  </r>
  <r>
    <n v="1"/>
    <x v="2"/>
    <x v="16"/>
    <x v="7"/>
    <s v="Percent of GDP"/>
    <s v="Units"/>
    <x v="1"/>
    <n v="31.341000000000001"/>
  </r>
  <r>
    <n v="1"/>
    <x v="2"/>
    <x v="16"/>
    <x v="7"/>
    <s v="Percent of GDP"/>
    <s v="Units"/>
    <x v="2"/>
    <n v="31.404"/>
  </r>
  <r>
    <n v="1"/>
    <x v="2"/>
    <x v="16"/>
    <x v="7"/>
    <s v="Percent of GDP"/>
    <s v="Units"/>
    <x v="3"/>
    <n v="35.04"/>
  </r>
  <r>
    <n v="1"/>
    <x v="2"/>
    <x v="16"/>
    <x v="7"/>
    <s v="Percent of GDP"/>
    <s v="Units"/>
    <x v="4"/>
    <n v="29.405999999999999"/>
  </r>
  <r>
    <n v="1"/>
    <x v="2"/>
    <x v="16"/>
    <x v="7"/>
    <s v="Percent of GDP"/>
    <s v="Units"/>
    <x v="5"/>
    <n v="26.46"/>
  </r>
  <r>
    <n v="1"/>
    <x v="2"/>
    <x v="16"/>
    <x v="7"/>
    <s v="Percent of GDP"/>
    <s v="Units"/>
    <x v="6"/>
    <n v="25.314"/>
  </r>
  <r>
    <n v="603"/>
    <x v="12"/>
    <x v="25"/>
    <x v="3"/>
    <s v="Percent of GDP"/>
    <s v="Units"/>
    <x v="0"/>
    <n v="11.707000000000001"/>
  </r>
  <r>
    <n v="603"/>
    <x v="12"/>
    <x v="25"/>
    <x v="3"/>
    <s v="Percent of GDP"/>
    <s v="Units"/>
    <x v="1"/>
    <n v="12.523999999999999"/>
  </r>
  <r>
    <n v="603"/>
    <x v="12"/>
    <x v="25"/>
    <x v="3"/>
    <s v="Percent of GDP"/>
    <s v="Units"/>
    <x v="2"/>
    <n v="17.509"/>
  </r>
  <r>
    <n v="603"/>
    <x v="12"/>
    <x v="25"/>
    <x v="3"/>
    <s v="Percent of GDP"/>
    <s v="Units"/>
    <x v="3"/>
    <n v="22.617999999999999"/>
  </r>
  <r>
    <n v="603"/>
    <x v="12"/>
    <x v="25"/>
    <x v="3"/>
    <s v="Percent of GDP"/>
    <s v="Units"/>
    <x v="4"/>
    <n v="24.297999999999998"/>
  </r>
  <r>
    <n v="603"/>
    <x v="12"/>
    <x v="25"/>
    <x v="3"/>
    <s v="Percent of GDP"/>
    <s v="Units"/>
    <x v="5"/>
    <n v="26.419"/>
  </r>
  <r>
    <n v="603"/>
    <x v="12"/>
    <x v="25"/>
    <x v="3"/>
    <s v="Percent of GDP"/>
    <s v="Units"/>
    <x v="6"/>
    <n v="26.248999999999999"/>
  </r>
  <r>
    <n v="200"/>
    <x v="3"/>
    <x v="25"/>
    <x v="3"/>
    <s v="Percent of GDP"/>
    <s v="Units"/>
    <x v="0"/>
    <n v="11.707000000000001"/>
  </r>
  <r>
    <n v="200"/>
    <x v="3"/>
    <x v="25"/>
    <x v="3"/>
    <s v="Percent of GDP"/>
    <s v="Units"/>
    <x v="1"/>
    <n v="12.523999999999999"/>
  </r>
  <r>
    <n v="200"/>
    <x v="3"/>
    <x v="25"/>
    <x v="3"/>
    <s v="Percent of GDP"/>
    <s v="Units"/>
    <x v="2"/>
    <n v="17.509"/>
  </r>
  <r>
    <n v="200"/>
    <x v="3"/>
    <x v="25"/>
    <x v="3"/>
    <s v="Percent of GDP"/>
    <s v="Units"/>
    <x v="3"/>
    <n v="22.617999999999999"/>
  </r>
  <r>
    <n v="200"/>
    <x v="3"/>
    <x v="25"/>
    <x v="3"/>
    <s v="Percent of GDP"/>
    <s v="Units"/>
    <x v="4"/>
    <n v="24.297999999999998"/>
  </r>
  <r>
    <n v="200"/>
    <x v="3"/>
    <x v="25"/>
    <x v="3"/>
    <s v="Percent of GDP"/>
    <s v="Units"/>
    <x v="5"/>
    <n v="26.419"/>
  </r>
  <r>
    <n v="200"/>
    <x v="3"/>
    <x v="25"/>
    <x v="3"/>
    <s v="Percent of GDP"/>
    <s v="Units"/>
    <x v="6"/>
    <n v="26.248999999999999"/>
  </r>
  <r>
    <n v="123"/>
    <x v="9"/>
    <x v="100"/>
    <x v="2"/>
    <s v="Percent of GDP"/>
    <s v="Units"/>
    <x v="0"/>
    <n v="32.893999999999998"/>
  </r>
  <r>
    <n v="123"/>
    <x v="9"/>
    <x v="100"/>
    <x v="2"/>
    <s v="Percent of GDP"/>
    <s v="Units"/>
    <x v="1"/>
    <n v="27.91"/>
  </r>
  <r>
    <n v="123"/>
    <x v="9"/>
    <x v="100"/>
    <x v="2"/>
    <s v="Percent of GDP"/>
    <s v="Units"/>
    <x v="2"/>
    <n v="24.524000000000001"/>
  </r>
  <r>
    <n v="123"/>
    <x v="9"/>
    <x v="100"/>
    <x v="2"/>
    <s v="Percent of GDP"/>
    <s v="Units"/>
    <x v="3"/>
    <n v="21.175999999999998"/>
  </r>
  <r>
    <n v="123"/>
    <x v="9"/>
    <x v="100"/>
    <x v="2"/>
    <s v="Percent of GDP"/>
    <s v="Units"/>
    <x v="4"/>
    <n v="19.673999999999999"/>
  </r>
  <r>
    <n v="123"/>
    <x v="9"/>
    <x v="100"/>
    <x v="2"/>
    <s v="Percent of GDP"/>
    <s v="Units"/>
    <x v="5"/>
    <n v="26.358000000000001"/>
  </r>
  <r>
    <n v="123"/>
    <x v="9"/>
    <x v="100"/>
    <x v="2"/>
    <s v="Percent of GDP"/>
    <s v="Units"/>
    <x v="6"/>
    <n v="33.061"/>
  </r>
  <r>
    <n v="110"/>
    <x v="0"/>
    <x v="100"/>
    <x v="2"/>
    <s v="Percent of GDP"/>
    <s v="Units"/>
    <x v="0"/>
    <n v="32.893999999999998"/>
  </r>
  <r>
    <n v="110"/>
    <x v="0"/>
    <x v="100"/>
    <x v="2"/>
    <s v="Percent of GDP"/>
    <s v="Units"/>
    <x v="1"/>
    <n v="27.91"/>
  </r>
  <r>
    <n v="110"/>
    <x v="0"/>
    <x v="100"/>
    <x v="2"/>
    <s v="Percent of GDP"/>
    <s v="Units"/>
    <x v="2"/>
    <n v="24.524000000000001"/>
  </r>
  <r>
    <n v="110"/>
    <x v="0"/>
    <x v="100"/>
    <x v="2"/>
    <s v="Percent of GDP"/>
    <s v="Units"/>
    <x v="3"/>
    <n v="21.175999999999998"/>
  </r>
  <r>
    <n v="110"/>
    <x v="0"/>
    <x v="100"/>
    <x v="2"/>
    <s v="Percent of GDP"/>
    <s v="Units"/>
    <x v="4"/>
    <n v="19.673999999999999"/>
  </r>
  <r>
    <n v="110"/>
    <x v="0"/>
    <x v="100"/>
    <x v="2"/>
    <s v="Percent of GDP"/>
    <s v="Units"/>
    <x v="5"/>
    <n v="26.358000000000001"/>
  </r>
  <r>
    <n v="110"/>
    <x v="0"/>
    <x v="100"/>
    <x v="2"/>
    <s v="Percent of GDP"/>
    <s v="Units"/>
    <x v="6"/>
    <n v="33.061"/>
  </r>
  <r>
    <n v="1"/>
    <x v="2"/>
    <x v="86"/>
    <x v="5"/>
    <s v="Percent of GDP"/>
    <s v="Units"/>
    <x v="0"/>
    <n v="27.373000000000001"/>
  </r>
  <r>
    <n v="1"/>
    <x v="2"/>
    <x v="86"/>
    <x v="5"/>
    <s v="Percent of GDP"/>
    <s v="Units"/>
    <x v="1"/>
    <n v="22.024000000000001"/>
  </r>
  <r>
    <n v="1"/>
    <x v="2"/>
    <x v="86"/>
    <x v="5"/>
    <s v="Percent of GDP"/>
    <s v="Units"/>
    <x v="2"/>
    <n v="31.527000000000001"/>
  </r>
  <r>
    <n v="1"/>
    <x v="2"/>
    <x v="86"/>
    <x v="5"/>
    <s v="Percent of GDP"/>
    <s v="Units"/>
    <x v="3"/>
    <n v="38.823"/>
  </r>
  <r>
    <n v="1"/>
    <x v="2"/>
    <x v="86"/>
    <x v="5"/>
    <s v="Percent of GDP"/>
    <s v="Units"/>
    <x v="4"/>
    <n v="27.751999999999999"/>
  </r>
  <r>
    <n v="1"/>
    <x v="2"/>
    <x v="86"/>
    <x v="5"/>
    <s v="Percent of GDP"/>
    <s v="Units"/>
    <x v="5"/>
    <n v="26.315000000000001"/>
  </r>
  <r>
    <n v="1"/>
    <x v="2"/>
    <x v="86"/>
    <x v="5"/>
    <s v="Percent of GDP"/>
    <s v="Units"/>
    <x v="6"/>
    <n v="26.396999999999998"/>
  </r>
  <r>
    <n v="200"/>
    <x v="3"/>
    <x v="86"/>
    <x v="5"/>
    <s v="Percent of GDP"/>
    <s v="Units"/>
    <x v="0"/>
    <n v="27.373000000000001"/>
  </r>
  <r>
    <n v="200"/>
    <x v="3"/>
    <x v="86"/>
    <x v="5"/>
    <s v="Percent of GDP"/>
    <s v="Units"/>
    <x v="1"/>
    <n v="22.024000000000001"/>
  </r>
  <r>
    <n v="200"/>
    <x v="3"/>
    <x v="86"/>
    <x v="5"/>
    <s v="Percent of GDP"/>
    <s v="Units"/>
    <x v="2"/>
    <n v="31.527000000000001"/>
  </r>
  <r>
    <n v="200"/>
    <x v="3"/>
    <x v="86"/>
    <x v="5"/>
    <s v="Percent of GDP"/>
    <s v="Units"/>
    <x v="3"/>
    <n v="38.823"/>
  </r>
  <r>
    <n v="200"/>
    <x v="3"/>
    <x v="86"/>
    <x v="5"/>
    <s v="Percent of GDP"/>
    <s v="Units"/>
    <x v="4"/>
    <n v="27.751999999999999"/>
  </r>
  <r>
    <n v="200"/>
    <x v="3"/>
    <x v="86"/>
    <x v="5"/>
    <s v="Percent of GDP"/>
    <s v="Units"/>
    <x v="5"/>
    <n v="26.315000000000001"/>
  </r>
  <r>
    <n v="200"/>
    <x v="3"/>
    <x v="86"/>
    <x v="5"/>
    <s v="Percent of GDP"/>
    <s v="Units"/>
    <x v="6"/>
    <n v="26.396999999999998"/>
  </r>
  <r>
    <n v="200"/>
    <x v="3"/>
    <x v="52"/>
    <x v="5"/>
    <s v="Percent of GDP"/>
    <s v="Units"/>
    <x v="0"/>
    <n v="22.361999999999998"/>
  </r>
  <r>
    <n v="200"/>
    <x v="3"/>
    <x v="52"/>
    <x v="5"/>
    <s v="Percent of GDP"/>
    <s v="Units"/>
    <x v="1"/>
    <n v="23.774000000000001"/>
  </r>
  <r>
    <n v="200"/>
    <x v="3"/>
    <x v="52"/>
    <x v="5"/>
    <s v="Percent of GDP"/>
    <s v="Units"/>
    <x v="2"/>
    <n v="26.401"/>
  </r>
  <r>
    <n v="200"/>
    <x v="3"/>
    <x v="52"/>
    <x v="5"/>
    <s v="Percent of GDP"/>
    <s v="Units"/>
    <x v="3"/>
    <n v="20.736000000000001"/>
  </r>
  <r>
    <n v="200"/>
    <x v="3"/>
    <x v="52"/>
    <x v="5"/>
    <s v="Percent of GDP"/>
    <s v="Units"/>
    <x v="4"/>
    <n v="24.606000000000002"/>
  </r>
  <r>
    <n v="200"/>
    <x v="3"/>
    <x v="52"/>
    <x v="5"/>
    <s v="Percent of GDP"/>
    <s v="Units"/>
    <x v="5"/>
    <n v="26.315000000000001"/>
  </r>
  <r>
    <n v="200"/>
    <x v="3"/>
    <x v="52"/>
    <x v="5"/>
    <s v="Percent of GDP"/>
    <s v="Units"/>
    <x v="6"/>
    <n v="26.527000000000001"/>
  </r>
  <r>
    <n v="1"/>
    <x v="2"/>
    <x v="52"/>
    <x v="5"/>
    <s v="Percent of GDP"/>
    <s v="Units"/>
    <x v="0"/>
    <n v="22.361999999999998"/>
  </r>
  <r>
    <n v="1"/>
    <x v="2"/>
    <x v="52"/>
    <x v="5"/>
    <s v="Percent of GDP"/>
    <s v="Units"/>
    <x v="1"/>
    <n v="23.774000000000001"/>
  </r>
  <r>
    <n v="1"/>
    <x v="2"/>
    <x v="52"/>
    <x v="5"/>
    <s v="Percent of GDP"/>
    <s v="Units"/>
    <x v="2"/>
    <n v="26.401"/>
  </r>
  <r>
    <n v="1"/>
    <x v="2"/>
    <x v="52"/>
    <x v="5"/>
    <s v="Percent of GDP"/>
    <s v="Units"/>
    <x v="3"/>
    <n v="20.736000000000001"/>
  </r>
  <r>
    <n v="1"/>
    <x v="2"/>
    <x v="52"/>
    <x v="5"/>
    <s v="Percent of GDP"/>
    <s v="Units"/>
    <x v="4"/>
    <n v="24.606000000000002"/>
  </r>
  <r>
    <n v="1"/>
    <x v="2"/>
    <x v="52"/>
    <x v="5"/>
    <s v="Percent of GDP"/>
    <s v="Units"/>
    <x v="5"/>
    <n v="26.315000000000001"/>
  </r>
  <r>
    <n v="1"/>
    <x v="2"/>
    <x v="52"/>
    <x v="5"/>
    <s v="Percent of GDP"/>
    <s v="Units"/>
    <x v="6"/>
    <n v="26.527000000000001"/>
  </r>
  <r>
    <n v="400"/>
    <x v="11"/>
    <x v="86"/>
    <x v="5"/>
    <s v="Percent of GDP"/>
    <s v="Units"/>
    <x v="0"/>
    <n v="27.373000000000001"/>
  </r>
  <r>
    <n v="400"/>
    <x v="11"/>
    <x v="86"/>
    <x v="5"/>
    <s v="Percent of GDP"/>
    <s v="Units"/>
    <x v="1"/>
    <n v="22.024000000000001"/>
  </r>
  <r>
    <n v="400"/>
    <x v="11"/>
    <x v="86"/>
    <x v="5"/>
    <s v="Percent of GDP"/>
    <s v="Units"/>
    <x v="2"/>
    <n v="31.527000000000001"/>
  </r>
  <r>
    <n v="400"/>
    <x v="11"/>
    <x v="86"/>
    <x v="5"/>
    <s v="Percent of GDP"/>
    <s v="Units"/>
    <x v="3"/>
    <n v="38.823"/>
  </r>
  <r>
    <n v="400"/>
    <x v="11"/>
    <x v="86"/>
    <x v="5"/>
    <s v="Percent of GDP"/>
    <s v="Units"/>
    <x v="4"/>
    <n v="27.751999999999999"/>
  </r>
  <r>
    <n v="400"/>
    <x v="11"/>
    <x v="86"/>
    <x v="5"/>
    <s v="Percent of GDP"/>
    <s v="Units"/>
    <x v="5"/>
    <n v="26.315000000000001"/>
  </r>
  <r>
    <n v="400"/>
    <x v="11"/>
    <x v="86"/>
    <x v="5"/>
    <s v="Percent of GDP"/>
    <s v="Units"/>
    <x v="6"/>
    <n v="26.396999999999998"/>
  </r>
  <r>
    <n v="603"/>
    <x v="12"/>
    <x v="52"/>
    <x v="5"/>
    <s v="Percent of GDP"/>
    <s v="Units"/>
    <x v="0"/>
    <n v="22.361999999999998"/>
  </r>
  <r>
    <n v="603"/>
    <x v="12"/>
    <x v="52"/>
    <x v="5"/>
    <s v="Percent of GDP"/>
    <s v="Units"/>
    <x v="1"/>
    <n v="23.774000000000001"/>
  </r>
  <r>
    <n v="603"/>
    <x v="12"/>
    <x v="52"/>
    <x v="5"/>
    <s v="Percent of GDP"/>
    <s v="Units"/>
    <x v="2"/>
    <n v="26.401"/>
  </r>
  <r>
    <n v="603"/>
    <x v="12"/>
    <x v="52"/>
    <x v="5"/>
    <s v="Percent of GDP"/>
    <s v="Units"/>
    <x v="3"/>
    <n v="20.736000000000001"/>
  </r>
  <r>
    <n v="603"/>
    <x v="12"/>
    <x v="52"/>
    <x v="5"/>
    <s v="Percent of GDP"/>
    <s v="Units"/>
    <x v="4"/>
    <n v="24.606000000000002"/>
  </r>
  <r>
    <n v="603"/>
    <x v="12"/>
    <x v="52"/>
    <x v="5"/>
    <s v="Percent of GDP"/>
    <s v="Units"/>
    <x v="5"/>
    <n v="26.315000000000001"/>
  </r>
  <r>
    <n v="603"/>
    <x v="12"/>
    <x v="52"/>
    <x v="5"/>
    <s v="Percent of GDP"/>
    <s v="Units"/>
    <x v="6"/>
    <n v="26.527000000000001"/>
  </r>
  <r>
    <n v="200"/>
    <x v="3"/>
    <x v="52"/>
    <x v="1"/>
    <s v="Percent change"/>
    <s v="Units"/>
    <x v="0"/>
    <n v="11.397"/>
  </r>
  <r>
    <n v="200"/>
    <x v="3"/>
    <x v="52"/>
    <x v="1"/>
    <s v="Percent change"/>
    <s v="Units"/>
    <x v="1"/>
    <n v="13.247"/>
  </r>
  <r>
    <n v="200"/>
    <x v="3"/>
    <x v="52"/>
    <x v="1"/>
    <s v="Percent change"/>
    <s v="Units"/>
    <x v="2"/>
    <n v="16.952999999999999"/>
  </r>
  <r>
    <n v="200"/>
    <x v="3"/>
    <x v="52"/>
    <x v="1"/>
    <s v="Percent change"/>
    <s v="Units"/>
    <x v="3"/>
    <n v="18.847000000000001"/>
  </r>
  <r>
    <n v="200"/>
    <x v="3"/>
    <x v="52"/>
    <x v="1"/>
    <s v="Percent change"/>
    <s v="Units"/>
    <x v="4"/>
    <n v="24.66"/>
  </r>
  <r>
    <n v="200"/>
    <x v="3"/>
    <x v="52"/>
    <x v="1"/>
    <s v="Percent change"/>
    <s v="Units"/>
    <x v="5"/>
    <n v="26.311"/>
  </r>
  <r>
    <n v="200"/>
    <x v="3"/>
    <x v="52"/>
    <x v="1"/>
    <s v="Percent change"/>
    <s v="Units"/>
    <x v="6"/>
    <n v="22.972000000000001"/>
  </r>
  <r>
    <n v="603"/>
    <x v="12"/>
    <x v="52"/>
    <x v="1"/>
    <s v="Percent change"/>
    <s v="Units"/>
    <x v="0"/>
    <n v="11.397"/>
  </r>
  <r>
    <n v="603"/>
    <x v="12"/>
    <x v="52"/>
    <x v="1"/>
    <s v="Percent change"/>
    <s v="Units"/>
    <x v="1"/>
    <n v="13.247"/>
  </r>
  <r>
    <n v="603"/>
    <x v="12"/>
    <x v="52"/>
    <x v="1"/>
    <s v="Percent change"/>
    <s v="Units"/>
    <x v="2"/>
    <n v="16.952999999999999"/>
  </r>
  <r>
    <n v="603"/>
    <x v="12"/>
    <x v="52"/>
    <x v="1"/>
    <s v="Percent change"/>
    <s v="Units"/>
    <x v="3"/>
    <n v="18.847000000000001"/>
  </r>
  <r>
    <n v="603"/>
    <x v="12"/>
    <x v="52"/>
    <x v="1"/>
    <s v="Percent change"/>
    <s v="Units"/>
    <x v="4"/>
    <n v="24.66"/>
  </r>
  <r>
    <n v="603"/>
    <x v="12"/>
    <x v="52"/>
    <x v="1"/>
    <s v="Percent change"/>
    <s v="Units"/>
    <x v="5"/>
    <n v="26.311"/>
  </r>
  <r>
    <n v="603"/>
    <x v="12"/>
    <x v="52"/>
    <x v="1"/>
    <s v="Percent change"/>
    <s v="Units"/>
    <x v="6"/>
    <n v="22.972000000000001"/>
  </r>
  <r>
    <n v="1"/>
    <x v="2"/>
    <x v="52"/>
    <x v="1"/>
    <s v="Percent change"/>
    <s v="Units"/>
    <x v="0"/>
    <n v="11.397"/>
  </r>
  <r>
    <n v="1"/>
    <x v="2"/>
    <x v="52"/>
    <x v="1"/>
    <s v="Percent change"/>
    <s v="Units"/>
    <x v="1"/>
    <n v="13.247"/>
  </r>
  <r>
    <n v="1"/>
    <x v="2"/>
    <x v="52"/>
    <x v="1"/>
    <s v="Percent change"/>
    <s v="Units"/>
    <x v="2"/>
    <n v="16.952999999999999"/>
  </r>
  <r>
    <n v="1"/>
    <x v="2"/>
    <x v="52"/>
    <x v="1"/>
    <s v="Percent change"/>
    <s v="Units"/>
    <x v="3"/>
    <n v="18.847000000000001"/>
  </r>
  <r>
    <n v="1"/>
    <x v="2"/>
    <x v="52"/>
    <x v="1"/>
    <s v="Percent change"/>
    <s v="Units"/>
    <x v="4"/>
    <n v="24.66"/>
  </r>
  <r>
    <n v="1"/>
    <x v="2"/>
    <x v="52"/>
    <x v="1"/>
    <s v="Percent change"/>
    <s v="Units"/>
    <x v="5"/>
    <n v="26.311"/>
  </r>
  <r>
    <n v="1"/>
    <x v="2"/>
    <x v="52"/>
    <x v="1"/>
    <s v="Percent change"/>
    <s v="Units"/>
    <x v="6"/>
    <n v="22.972000000000001"/>
  </r>
  <r>
    <n v="110"/>
    <x v="0"/>
    <x v="3"/>
    <x v="7"/>
    <s v="Percent of GDP"/>
    <s v="Units"/>
    <x v="0"/>
    <n v="25.79"/>
  </r>
  <r>
    <n v="110"/>
    <x v="0"/>
    <x v="3"/>
    <x v="7"/>
    <s v="Percent of GDP"/>
    <s v="Units"/>
    <x v="1"/>
    <n v="25.245999999999999"/>
  </r>
  <r>
    <n v="110"/>
    <x v="0"/>
    <x v="3"/>
    <x v="7"/>
    <s v="Percent of GDP"/>
    <s v="Units"/>
    <x v="2"/>
    <n v="25.719000000000001"/>
  </r>
  <r>
    <n v="110"/>
    <x v="0"/>
    <x v="3"/>
    <x v="7"/>
    <s v="Percent of GDP"/>
    <s v="Units"/>
    <x v="3"/>
    <n v="26.588000000000001"/>
  </r>
  <r>
    <n v="110"/>
    <x v="0"/>
    <x v="3"/>
    <x v="7"/>
    <s v="Percent of GDP"/>
    <s v="Units"/>
    <x v="4"/>
    <n v="26.161000000000001"/>
  </r>
  <r>
    <n v="110"/>
    <x v="0"/>
    <x v="3"/>
    <x v="7"/>
    <s v="Percent of GDP"/>
    <s v="Units"/>
    <x v="5"/>
    <n v="26.305"/>
  </r>
  <r>
    <n v="110"/>
    <x v="0"/>
    <x v="3"/>
    <x v="7"/>
    <s v="Percent of GDP"/>
    <s v="Units"/>
    <x v="6"/>
    <n v="26.428999999999998"/>
  </r>
  <r>
    <n v="119"/>
    <x v="1"/>
    <x v="3"/>
    <x v="7"/>
    <s v="Percent of GDP"/>
    <s v="Units"/>
    <x v="0"/>
    <n v="25.79"/>
  </r>
  <r>
    <n v="119"/>
    <x v="1"/>
    <x v="3"/>
    <x v="7"/>
    <s v="Percent of GDP"/>
    <s v="Units"/>
    <x v="1"/>
    <n v="25.245999999999999"/>
  </r>
  <r>
    <n v="119"/>
    <x v="1"/>
    <x v="3"/>
    <x v="7"/>
    <s v="Percent of GDP"/>
    <s v="Units"/>
    <x v="2"/>
    <n v="25.719000000000001"/>
  </r>
  <r>
    <n v="119"/>
    <x v="1"/>
    <x v="3"/>
    <x v="7"/>
    <s v="Percent of GDP"/>
    <s v="Units"/>
    <x v="3"/>
    <n v="26.588000000000001"/>
  </r>
  <r>
    <n v="119"/>
    <x v="1"/>
    <x v="3"/>
    <x v="7"/>
    <s v="Percent of GDP"/>
    <s v="Units"/>
    <x v="4"/>
    <n v="26.161000000000001"/>
  </r>
  <r>
    <n v="119"/>
    <x v="1"/>
    <x v="3"/>
    <x v="7"/>
    <s v="Percent of GDP"/>
    <s v="Units"/>
    <x v="5"/>
    <n v="26.305"/>
  </r>
  <r>
    <n v="119"/>
    <x v="1"/>
    <x v="3"/>
    <x v="7"/>
    <s v="Percent of GDP"/>
    <s v="Units"/>
    <x v="6"/>
    <n v="26.428999999999998"/>
  </r>
  <r>
    <n v="1"/>
    <x v="2"/>
    <x v="3"/>
    <x v="7"/>
    <s v="Percent of GDP"/>
    <s v="Units"/>
    <x v="0"/>
    <n v="25.79"/>
  </r>
  <r>
    <n v="1"/>
    <x v="2"/>
    <x v="3"/>
    <x v="7"/>
    <s v="Percent of GDP"/>
    <s v="Units"/>
    <x v="1"/>
    <n v="25.245999999999999"/>
  </r>
  <r>
    <n v="1"/>
    <x v="2"/>
    <x v="3"/>
    <x v="7"/>
    <s v="Percent of GDP"/>
    <s v="Units"/>
    <x v="2"/>
    <n v="25.719000000000001"/>
  </r>
  <r>
    <n v="1"/>
    <x v="2"/>
    <x v="3"/>
    <x v="7"/>
    <s v="Percent of GDP"/>
    <s v="Units"/>
    <x v="3"/>
    <n v="26.588000000000001"/>
  </r>
  <r>
    <n v="1"/>
    <x v="2"/>
    <x v="3"/>
    <x v="7"/>
    <s v="Percent of GDP"/>
    <s v="Units"/>
    <x v="4"/>
    <n v="26.161000000000001"/>
  </r>
  <r>
    <n v="1"/>
    <x v="2"/>
    <x v="3"/>
    <x v="7"/>
    <s v="Percent of GDP"/>
    <s v="Units"/>
    <x v="5"/>
    <n v="26.305"/>
  </r>
  <r>
    <n v="1"/>
    <x v="2"/>
    <x v="3"/>
    <x v="7"/>
    <s v="Percent of GDP"/>
    <s v="Units"/>
    <x v="6"/>
    <n v="26.428999999999998"/>
  </r>
  <r>
    <n v="1"/>
    <x v="2"/>
    <x v="116"/>
    <x v="7"/>
    <s v="Percent of GDP"/>
    <s v="Units"/>
    <x v="0"/>
    <n v="31.978000000000002"/>
  </r>
  <r>
    <n v="1"/>
    <x v="2"/>
    <x v="116"/>
    <x v="7"/>
    <s v="Percent of GDP"/>
    <s v="Units"/>
    <x v="1"/>
    <n v="31.186"/>
  </r>
  <r>
    <n v="1"/>
    <x v="2"/>
    <x v="116"/>
    <x v="7"/>
    <s v="Percent of GDP"/>
    <s v="Units"/>
    <x v="2"/>
    <n v="26.655000000000001"/>
  </r>
  <r>
    <n v="1"/>
    <x v="2"/>
    <x v="116"/>
    <x v="7"/>
    <s v="Percent of GDP"/>
    <s v="Units"/>
    <x v="3"/>
    <n v="30.305"/>
  </r>
  <r>
    <n v="1"/>
    <x v="2"/>
    <x v="116"/>
    <x v="7"/>
    <s v="Percent of GDP"/>
    <s v="Units"/>
    <x v="4"/>
    <n v="26.943000000000001"/>
  </r>
  <r>
    <n v="1"/>
    <x v="2"/>
    <x v="116"/>
    <x v="7"/>
    <s v="Percent of GDP"/>
    <s v="Units"/>
    <x v="5"/>
    <n v="26.227"/>
  </r>
  <r>
    <n v="1"/>
    <x v="2"/>
    <x v="116"/>
    <x v="7"/>
    <s v="Percent of GDP"/>
    <s v="Units"/>
    <x v="6"/>
    <n v="25.009"/>
  </r>
  <r>
    <n v="200"/>
    <x v="3"/>
    <x v="116"/>
    <x v="7"/>
    <s v="Percent of GDP"/>
    <s v="Units"/>
    <x v="0"/>
    <n v="31.978000000000002"/>
  </r>
  <r>
    <n v="200"/>
    <x v="3"/>
    <x v="116"/>
    <x v="7"/>
    <s v="Percent of GDP"/>
    <s v="Units"/>
    <x v="1"/>
    <n v="31.186"/>
  </r>
  <r>
    <n v="200"/>
    <x v="3"/>
    <x v="116"/>
    <x v="7"/>
    <s v="Percent of GDP"/>
    <s v="Units"/>
    <x v="2"/>
    <n v="26.655000000000001"/>
  </r>
  <r>
    <n v="200"/>
    <x v="3"/>
    <x v="116"/>
    <x v="7"/>
    <s v="Percent of GDP"/>
    <s v="Units"/>
    <x v="3"/>
    <n v="30.305"/>
  </r>
  <r>
    <n v="200"/>
    <x v="3"/>
    <x v="116"/>
    <x v="7"/>
    <s v="Percent of GDP"/>
    <s v="Units"/>
    <x v="4"/>
    <n v="26.943000000000001"/>
  </r>
  <r>
    <n v="200"/>
    <x v="3"/>
    <x v="116"/>
    <x v="7"/>
    <s v="Percent of GDP"/>
    <s v="Units"/>
    <x v="5"/>
    <n v="26.227"/>
  </r>
  <r>
    <n v="200"/>
    <x v="3"/>
    <x v="116"/>
    <x v="7"/>
    <s v="Percent of GDP"/>
    <s v="Units"/>
    <x v="6"/>
    <n v="25.009"/>
  </r>
  <r>
    <n v="903"/>
    <x v="8"/>
    <x v="116"/>
    <x v="7"/>
    <s v="Percent of GDP"/>
    <s v="Units"/>
    <x v="0"/>
    <n v="31.978000000000002"/>
  </r>
  <r>
    <n v="903"/>
    <x v="8"/>
    <x v="116"/>
    <x v="7"/>
    <s v="Percent of GDP"/>
    <s v="Units"/>
    <x v="1"/>
    <n v="31.186"/>
  </r>
  <r>
    <n v="903"/>
    <x v="8"/>
    <x v="116"/>
    <x v="7"/>
    <s v="Percent of GDP"/>
    <s v="Units"/>
    <x v="2"/>
    <n v="26.655000000000001"/>
  </r>
  <r>
    <n v="903"/>
    <x v="8"/>
    <x v="116"/>
    <x v="7"/>
    <s v="Percent of GDP"/>
    <s v="Units"/>
    <x v="3"/>
    <n v="30.305"/>
  </r>
  <r>
    <n v="903"/>
    <x v="8"/>
    <x v="116"/>
    <x v="7"/>
    <s v="Percent of GDP"/>
    <s v="Units"/>
    <x v="4"/>
    <n v="26.943000000000001"/>
  </r>
  <r>
    <n v="903"/>
    <x v="8"/>
    <x v="116"/>
    <x v="7"/>
    <s v="Percent of GDP"/>
    <s v="Units"/>
    <x v="5"/>
    <n v="26.227"/>
  </r>
  <r>
    <n v="903"/>
    <x v="8"/>
    <x v="116"/>
    <x v="7"/>
    <s v="Percent of GDP"/>
    <s v="Units"/>
    <x v="6"/>
    <n v="25.009"/>
  </r>
  <r>
    <n v="205"/>
    <x v="7"/>
    <x v="160"/>
    <x v="2"/>
    <s v="Percent of GDP"/>
    <s v="Units"/>
    <x v="0"/>
    <n v="26.835999999999999"/>
  </r>
  <r>
    <n v="205"/>
    <x v="7"/>
    <x v="160"/>
    <x v="2"/>
    <s v="Percent of GDP"/>
    <s v="Units"/>
    <x v="1"/>
    <n v="23.26"/>
  </r>
  <r>
    <n v="205"/>
    <x v="7"/>
    <x v="160"/>
    <x v="2"/>
    <s v="Percent of GDP"/>
    <s v="Units"/>
    <x v="2"/>
    <n v="22.829000000000001"/>
  </r>
  <r>
    <n v="205"/>
    <x v="7"/>
    <x v="160"/>
    <x v="2"/>
    <s v="Percent of GDP"/>
    <s v="Units"/>
    <x v="3"/>
    <n v="27.844000000000001"/>
  </r>
  <r>
    <n v="205"/>
    <x v="7"/>
    <x v="160"/>
    <x v="2"/>
    <s v="Percent of GDP"/>
    <s v="Units"/>
    <x v="4"/>
    <n v="28.702000000000002"/>
  </r>
  <r>
    <n v="205"/>
    <x v="7"/>
    <x v="160"/>
    <x v="2"/>
    <s v="Percent of GDP"/>
    <s v="Units"/>
    <x v="5"/>
    <n v="26.225000000000001"/>
  </r>
  <r>
    <n v="205"/>
    <x v="7"/>
    <x v="160"/>
    <x v="2"/>
    <s v="Percent of GDP"/>
    <s v="Units"/>
    <x v="6"/>
    <n v="27.683"/>
  </r>
  <r>
    <n v="200"/>
    <x v="3"/>
    <x v="160"/>
    <x v="2"/>
    <s v="Percent of GDP"/>
    <s v="Units"/>
    <x v="0"/>
    <n v="26.835999999999999"/>
  </r>
  <r>
    <n v="200"/>
    <x v="3"/>
    <x v="160"/>
    <x v="2"/>
    <s v="Percent of GDP"/>
    <s v="Units"/>
    <x v="1"/>
    <n v="23.26"/>
  </r>
  <r>
    <n v="200"/>
    <x v="3"/>
    <x v="160"/>
    <x v="2"/>
    <s v="Percent of GDP"/>
    <s v="Units"/>
    <x v="2"/>
    <n v="22.829000000000001"/>
  </r>
  <r>
    <n v="200"/>
    <x v="3"/>
    <x v="160"/>
    <x v="2"/>
    <s v="Percent of GDP"/>
    <s v="Units"/>
    <x v="3"/>
    <n v="27.844000000000001"/>
  </r>
  <r>
    <n v="200"/>
    <x v="3"/>
    <x v="160"/>
    <x v="2"/>
    <s v="Percent of GDP"/>
    <s v="Units"/>
    <x v="4"/>
    <n v="28.702000000000002"/>
  </r>
  <r>
    <n v="200"/>
    <x v="3"/>
    <x v="160"/>
    <x v="2"/>
    <s v="Percent of GDP"/>
    <s v="Units"/>
    <x v="5"/>
    <n v="26.225000000000001"/>
  </r>
  <r>
    <n v="200"/>
    <x v="3"/>
    <x v="160"/>
    <x v="2"/>
    <s v="Percent of GDP"/>
    <s v="Units"/>
    <x v="6"/>
    <n v="27.683"/>
  </r>
  <r>
    <n v="200"/>
    <x v="3"/>
    <x v="1"/>
    <x v="2"/>
    <s v="Percent of GDP"/>
    <s v="Units"/>
    <x v="0"/>
    <n v="28.050999999999998"/>
  </r>
  <r>
    <n v="200"/>
    <x v="3"/>
    <x v="1"/>
    <x v="2"/>
    <s v="Percent of GDP"/>
    <s v="Units"/>
    <x v="1"/>
    <n v="25.684999999999999"/>
  </r>
  <r>
    <n v="200"/>
    <x v="3"/>
    <x v="1"/>
    <x v="2"/>
    <s v="Percent of GDP"/>
    <s v="Units"/>
    <x v="2"/>
    <n v="26.640999999999998"/>
  </r>
  <r>
    <n v="200"/>
    <x v="3"/>
    <x v="1"/>
    <x v="2"/>
    <s v="Percent of GDP"/>
    <s v="Units"/>
    <x v="3"/>
    <n v="25.974"/>
  </r>
  <r>
    <n v="200"/>
    <x v="3"/>
    <x v="1"/>
    <x v="2"/>
    <s v="Percent of GDP"/>
    <s v="Units"/>
    <x v="4"/>
    <n v="26.783999999999999"/>
  </r>
  <r>
    <n v="200"/>
    <x v="3"/>
    <x v="1"/>
    <x v="2"/>
    <s v="Percent of GDP"/>
    <s v="Units"/>
    <x v="5"/>
    <n v="26.196000000000002"/>
  </r>
  <r>
    <n v="200"/>
    <x v="3"/>
    <x v="1"/>
    <x v="2"/>
    <s v="Percent of GDP"/>
    <s v="Units"/>
    <x v="6"/>
    <n v="26.338000000000001"/>
  </r>
  <r>
    <n v="505"/>
    <x v="4"/>
    <x v="1"/>
    <x v="2"/>
    <s v="Percent of GDP"/>
    <s v="Units"/>
    <x v="0"/>
    <n v="28.050999999999998"/>
  </r>
  <r>
    <n v="505"/>
    <x v="4"/>
    <x v="1"/>
    <x v="2"/>
    <s v="Percent of GDP"/>
    <s v="Units"/>
    <x v="1"/>
    <n v="25.684999999999999"/>
  </r>
  <r>
    <n v="505"/>
    <x v="4"/>
    <x v="1"/>
    <x v="2"/>
    <s v="Percent of GDP"/>
    <s v="Units"/>
    <x v="2"/>
    <n v="26.640999999999998"/>
  </r>
  <r>
    <n v="505"/>
    <x v="4"/>
    <x v="1"/>
    <x v="2"/>
    <s v="Percent of GDP"/>
    <s v="Units"/>
    <x v="3"/>
    <n v="25.974"/>
  </r>
  <r>
    <n v="505"/>
    <x v="4"/>
    <x v="1"/>
    <x v="2"/>
    <s v="Percent of GDP"/>
    <s v="Units"/>
    <x v="4"/>
    <n v="26.783999999999999"/>
  </r>
  <r>
    <n v="505"/>
    <x v="4"/>
    <x v="1"/>
    <x v="2"/>
    <s v="Percent of GDP"/>
    <s v="Units"/>
    <x v="5"/>
    <n v="26.196000000000002"/>
  </r>
  <r>
    <n v="505"/>
    <x v="4"/>
    <x v="1"/>
    <x v="2"/>
    <s v="Percent of GDP"/>
    <s v="Units"/>
    <x v="6"/>
    <n v="26.338000000000001"/>
  </r>
  <r>
    <n v="1"/>
    <x v="2"/>
    <x v="166"/>
    <x v="5"/>
    <s v="Percent of GDP"/>
    <s v="Units"/>
    <x v="0"/>
    <n v="21.492000000000001"/>
  </r>
  <r>
    <n v="1"/>
    <x v="2"/>
    <x v="166"/>
    <x v="5"/>
    <s v="Percent of GDP"/>
    <s v="Units"/>
    <x v="1"/>
    <n v="19.707999999999998"/>
  </r>
  <r>
    <n v="1"/>
    <x v="2"/>
    <x v="166"/>
    <x v="5"/>
    <s v="Percent of GDP"/>
    <s v="Units"/>
    <x v="2"/>
    <n v="21.559000000000001"/>
  </r>
  <r>
    <n v="1"/>
    <x v="2"/>
    <x v="166"/>
    <x v="5"/>
    <s v="Percent of GDP"/>
    <s v="Units"/>
    <x v="3"/>
    <n v="25.931999999999999"/>
  </r>
  <r>
    <n v="1"/>
    <x v="2"/>
    <x v="166"/>
    <x v="5"/>
    <s v="Percent of GDP"/>
    <s v="Units"/>
    <x v="4"/>
    <n v="26.488"/>
  </r>
  <r>
    <n v="1"/>
    <x v="2"/>
    <x v="166"/>
    <x v="5"/>
    <s v="Percent of GDP"/>
    <s v="Units"/>
    <x v="5"/>
    <n v="26.187999999999999"/>
  </r>
  <r>
    <n v="1"/>
    <x v="2"/>
    <x v="166"/>
    <x v="5"/>
    <s v="Percent of GDP"/>
    <s v="Units"/>
    <x v="6"/>
    <n v="24.43"/>
  </r>
  <r>
    <n v="603"/>
    <x v="12"/>
    <x v="166"/>
    <x v="5"/>
    <s v="Percent of GDP"/>
    <s v="Units"/>
    <x v="0"/>
    <n v="21.492000000000001"/>
  </r>
  <r>
    <n v="603"/>
    <x v="12"/>
    <x v="166"/>
    <x v="5"/>
    <s v="Percent of GDP"/>
    <s v="Units"/>
    <x v="1"/>
    <n v="19.707999999999998"/>
  </r>
  <r>
    <n v="603"/>
    <x v="12"/>
    <x v="166"/>
    <x v="5"/>
    <s v="Percent of GDP"/>
    <s v="Units"/>
    <x v="2"/>
    <n v="21.559000000000001"/>
  </r>
  <r>
    <n v="603"/>
    <x v="12"/>
    <x v="166"/>
    <x v="5"/>
    <s v="Percent of GDP"/>
    <s v="Units"/>
    <x v="3"/>
    <n v="25.931999999999999"/>
  </r>
  <r>
    <n v="603"/>
    <x v="12"/>
    <x v="166"/>
    <x v="5"/>
    <s v="Percent of GDP"/>
    <s v="Units"/>
    <x v="4"/>
    <n v="26.488"/>
  </r>
  <r>
    <n v="603"/>
    <x v="12"/>
    <x v="166"/>
    <x v="5"/>
    <s v="Percent of GDP"/>
    <s v="Units"/>
    <x v="5"/>
    <n v="26.187999999999999"/>
  </r>
  <r>
    <n v="603"/>
    <x v="12"/>
    <x v="166"/>
    <x v="5"/>
    <s v="Percent of GDP"/>
    <s v="Units"/>
    <x v="6"/>
    <n v="24.43"/>
  </r>
  <r>
    <n v="200"/>
    <x v="3"/>
    <x v="166"/>
    <x v="5"/>
    <s v="Percent of GDP"/>
    <s v="Units"/>
    <x v="0"/>
    <n v="21.492000000000001"/>
  </r>
  <r>
    <n v="200"/>
    <x v="3"/>
    <x v="166"/>
    <x v="5"/>
    <s v="Percent of GDP"/>
    <s v="Units"/>
    <x v="1"/>
    <n v="19.707999999999998"/>
  </r>
  <r>
    <n v="200"/>
    <x v="3"/>
    <x v="166"/>
    <x v="5"/>
    <s v="Percent of GDP"/>
    <s v="Units"/>
    <x v="2"/>
    <n v="21.559000000000001"/>
  </r>
  <r>
    <n v="200"/>
    <x v="3"/>
    <x v="166"/>
    <x v="5"/>
    <s v="Percent of GDP"/>
    <s v="Units"/>
    <x v="3"/>
    <n v="25.931999999999999"/>
  </r>
  <r>
    <n v="200"/>
    <x v="3"/>
    <x v="166"/>
    <x v="5"/>
    <s v="Percent of GDP"/>
    <s v="Units"/>
    <x v="4"/>
    <n v="26.488"/>
  </r>
  <r>
    <n v="200"/>
    <x v="3"/>
    <x v="166"/>
    <x v="5"/>
    <s v="Percent of GDP"/>
    <s v="Units"/>
    <x v="5"/>
    <n v="26.187999999999999"/>
  </r>
  <r>
    <n v="200"/>
    <x v="3"/>
    <x v="166"/>
    <x v="5"/>
    <s v="Percent of GDP"/>
    <s v="Units"/>
    <x v="6"/>
    <n v="24.43"/>
  </r>
  <r>
    <n v="205"/>
    <x v="7"/>
    <x v="132"/>
    <x v="5"/>
    <s v="Percent of GDP"/>
    <s v="Units"/>
    <x v="0"/>
    <n v="27.937000000000001"/>
  </r>
  <r>
    <n v="205"/>
    <x v="7"/>
    <x v="132"/>
    <x v="5"/>
    <s v="Percent of GDP"/>
    <s v="Units"/>
    <x v="1"/>
    <n v="18.375"/>
  </r>
  <r>
    <n v="205"/>
    <x v="7"/>
    <x v="132"/>
    <x v="5"/>
    <s v="Percent of GDP"/>
    <s v="Units"/>
    <x v="2"/>
    <n v="27.222000000000001"/>
  </r>
  <r>
    <n v="205"/>
    <x v="7"/>
    <x v="132"/>
    <x v="5"/>
    <s v="Percent of GDP"/>
    <s v="Units"/>
    <x v="3"/>
    <n v="22.937999999999999"/>
  </r>
  <r>
    <n v="205"/>
    <x v="7"/>
    <x v="132"/>
    <x v="5"/>
    <s v="Percent of GDP"/>
    <s v="Units"/>
    <x v="4"/>
    <n v="23.145"/>
  </r>
  <r>
    <n v="205"/>
    <x v="7"/>
    <x v="132"/>
    <x v="5"/>
    <s v="Percent of GDP"/>
    <s v="Units"/>
    <x v="5"/>
    <n v="26.169"/>
  </r>
  <r>
    <n v="205"/>
    <x v="7"/>
    <x v="132"/>
    <x v="5"/>
    <s v="Percent of GDP"/>
    <s v="Units"/>
    <x v="6"/>
    <n v="26.129000000000001"/>
  </r>
  <r>
    <n v="1"/>
    <x v="2"/>
    <x v="132"/>
    <x v="5"/>
    <s v="Percent of GDP"/>
    <s v="Units"/>
    <x v="0"/>
    <n v="27.937000000000001"/>
  </r>
  <r>
    <n v="1"/>
    <x v="2"/>
    <x v="132"/>
    <x v="5"/>
    <s v="Percent of GDP"/>
    <s v="Units"/>
    <x v="1"/>
    <n v="18.375"/>
  </r>
  <r>
    <n v="1"/>
    <x v="2"/>
    <x v="132"/>
    <x v="5"/>
    <s v="Percent of GDP"/>
    <s v="Units"/>
    <x v="2"/>
    <n v="27.222000000000001"/>
  </r>
  <r>
    <n v="1"/>
    <x v="2"/>
    <x v="132"/>
    <x v="5"/>
    <s v="Percent of GDP"/>
    <s v="Units"/>
    <x v="3"/>
    <n v="22.937999999999999"/>
  </r>
  <r>
    <n v="1"/>
    <x v="2"/>
    <x v="132"/>
    <x v="5"/>
    <s v="Percent of GDP"/>
    <s v="Units"/>
    <x v="4"/>
    <n v="23.145"/>
  </r>
  <r>
    <n v="1"/>
    <x v="2"/>
    <x v="132"/>
    <x v="5"/>
    <s v="Percent of GDP"/>
    <s v="Units"/>
    <x v="5"/>
    <n v="26.169"/>
  </r>
  <r>
    <n v="1"/>
    <x v="2"/>
    <x v="132"/>
    <x v="5"/>
    <s v="Percent of GDP"/>
    <s v="Units"/>
    <x v="6"/>
    <n v="26.129000000000001"/>
  </r>
  <r>
    <n v="200"/>
    <x v="3"/>
    <x v="132"/>
    <x v="5"/>
    <s v="Percent of GDP"/>
    <s v="Units"/>
    <x v="0"/>
    <n v="27.937000000000001"/>
  </r>
  <r>
    <n v="200"/>
    <x v="3"/>
    <x v="132"/>
    <x v="5"/>
    <s v="Percent of GDP"/>
    <s v="Units"/>
    <x v="1"/>
    <n v="18.375"/>
  </r>
  <r>
    <n v="200"/>
    <x v="3"/>
    <x v="132"/>
    <x v="5"/>
    <s v="Percent of GDP"/>
    <s v="Units"/>
    <x v="2"/>
    <n v="27.222000000000001"/>
  </r>
  <r>
    <n v="200"/>
    <x v="3"/>
    <x v="132"/>
    <x v="5"/>
    <s v="Percent of GDP"/>
    <s v="Units"/>
    <x v="3"/>
    <n v="22.937999999999999"/>
  </r>
  <r>
    <n v="200"/>
    <x v="3"/>
    <x v="132"/>
    <x v="5"/>
    <s v="Percent of GDP"/>
    <s v="Units"/>
    <x v="4"/>
    <n v="23.145"/>
  </r>
  <r>
    <n v="200"/>
    <x v="3"/>
    <x v="132"/>
    <x v="5"/>
    <s v="Percent of GDP"/>
    <s v="Units"/>
    <x v="5"/>
    <n v="26.169"/>
  </r>
  <r>
    <n v="200"/>
    <x v="3"/>
    <x v="132"/>
    <x v="5"/>
    <s v="Percent of GDP"/>
    <s v="Units"/>
    <x v="6"/>
    <n v="26.129000000000001"/>
  </r>
  <r>
    <n v="205"/>
    <x v="7"/>
    <x v="167"/>
    <x v="3"/>
    <s v="Percent of GDP"/>
    <s v="Units"/>
    <x v="0"/>
    <n v="27.638999999999999"/>
  </r>
  <r>
    <n v="205"/>
    <x v="7"/>
    <x v="167"/>
    <x v="3"/>
    <s v="Percent of GDP"/>
    <s v="Units"/>
    <x v="1"/>
    <n v="29.305"/>
  </r>
  <r>
    <n v="205"/>
    <x v="7"/>
    <x v="167"/>
    <x v="3"/>
    <s v="Percent of GDP"/>
    <s v="Units"/>
    <x v="2"/>
    <n v="30.446999999999999"/>
  </r>
  <r>
    <n v="205"/>
    <x v="7"/>
    <x v="167"/>
    <x v="3"/>
    <s v="Percent of GDP"/>
    <s v="Units"/>
    <x v="3"/>
    <n v="28.936"/>
  </r>
  <r>
    <n v="205"/>
    <x v="7"/>
    <x v="167"/>
    <x v="3"/>
    <s v="Percent of GDP"/>
    <s v="Units"/>
    <x v="4"/>
    <n v="26.457000000000001"/>
  </r>
  <r>
    <n v="205"/>
    <x v="7"/>
    <x v="167"/>
    <x v="3"/>
    <s v="Percent of GDP"/>
    <s v="Units"/>
    <x v="5"/>
    <n v="26.065000000000001"/>
  </r>
  <r>
    <n v="205"/>
    <x v="7"/>
    <x v="167"/>
    <x v="3"/>
    <s v="Percent of GDP"/>
    <s v="Units"/>
    <x v="6"/>
    <n v="25.748000000000001"/>
  </r>
  <r>
    <n v="200"/>
    <x v="3"/>
    <x v="167"/>
    <x v="3"/>
    <s v="Percent of GDP"/>
    <s v="Units"/>
    <x v="0"/>
    <n v="27.638999999999999"/>
  </r>
  <r>
    <n v="200"/>
    <x v="3"/>
    <x v="167"/>
    <x v="3"/>
    <s v="Percent of GDP"/>
    <s v="Units"/>
    <x v="1"/>
    <n v="29.305"/>
  </r>
  <r>
    <n v="200"/>
    <x v="3"/>
    <x v="167"/>
    <x v="3"/>
    <s v="Percent of GDP"/>
    <s v="Units"/>
    <x v="2"/>
    <n v="30.446999999999999"/>
  </r>
  <r>
    <n v="200"/>
    <x v="3"/>
    <x v="167"/>
    <x v="3"/>
    <s v="Percent of GDP"/>
    <s v="Units"/>
    <x v="3"/>
    <n v="28.936"/>
  </r>
  <r>
    <n v="200"/>
    <x v="3"/>
    <x v="167"/>
    <x v="3"/>
    <s v="Percent of GDP"/>
    <s v="Units"/>
    <x v="4"/>
    <n v="26.457000000000001"/>
  </r>
  <r>
    <n v="200"/>
    <x v="3"/>
    <x v="167"/>
    <x v="3"/>
    <s v="Percent of GDP"/>
    <s v="Units"/>
    <x v="5"/>
    <n v="26.065000000000001"/>
  </r>
  <r>
    <n v="200"/>
    <x v="3"/>
    <x v="167"/>
    <x v="3"/>
    <s v="Percent of GDP"/>
    <s v="Units"/>
    <x v="6"/>
    <n v="25.748000000000001"/>
  </r>
  <r>
    <n v="200"/>
    <x v="3"/>
    <x v="134"/>
    <x v="3"/>
    <s v="Percent of GDP"/>
    <s v="Units"/>
    <x v="0"/>
    <n v="17.824999999999999"/>
  </r>
  <r>
    <n v="200"/>
    <x v="3"/>
    <x v="134"/>
    <x v="3"/>
    <s v="Percent of GDP"/>
    <s v="Units"/>
    <x v="1"/>
    <n v="18.532"/>
  </r>
  <r>
    <n v="200"/>
    <x v="3"/>
    <x v="134"/>
    <x v="3"/>
    <s v="Percent of GDP"/>
    <s v="Units"/>
    <x v="2"/>
    <n v="20.78"/>
  </r>
  <r>
    <n v="200"/>
    <x v="3"/>
    <x v="134"/>
    <x v="3"/>
    <s v="Percent of GDP"/>
    <s v="Units"/>
    <x v="3"/>
    <n v="28.013000000000002"/>
  </r>
  <r>
    <n v="200"/>
    <x v="3"/>
    <x v="134"/>
    <x v="3"/>
    <s v="Percent of GDP"/>
    <s v="Units"/>
    <x v="4"/>
    <n v="24.84"/>
  </r>
  <r>
    <n v="200"/>
    <x v="3"/>
    <x v="134"/>
    <x v="3"/>
    <s v="Percent of GDP"/>
    <s v="Units"/>
    <x v="5"/>
    <n v="26.053000000000001"/>
  </r>
  <r>
    <n v="200"/>
    <x v="3"/>
    <x v="134"/>
    <x v="3"/>
    <s v="Percent of GDP"/>
    <s v="Units"/>
    <x v="6"/>
    <n v="25.463999999999999"/>
  </r>
  <r>
    <n v="400"/>
    <x v="11"/>
    <x v="134"/>
    <x v="3"/>
    <s v="Percent of GDP"/>
    <s v="Units"/>
    <x v="0"/>
    <n v="17.824999999999999"/>
  </r>
  <r>
    <n v="400"/>
    <x v="11"/>
    <x v="134"/>
    <x v="3"/>
    <s v="Percent of GDP"/>
    <s v="Units"/>
    <x v="1"/>
    <n v="18.532"/>
  </r>
  <r>
    <n v="400"/>
    <x v="11"/>
    <x v="134"/>
    <x v="3"/>
    <s v="Percent of GDP"/>
    <s v="Units"/>
    <x v="2"/>
    <n v="20.78"/>
  </r>
  <r>
    <n v="400"/>
    <x v="11"/>
    <x v="134"/>
    <x v="3"/>
    <s v="Percent of GDP"/>
    <s v="Units"/>
    <x v="3"/>
    <n v="28.013000000000002"/>
  </r>
  <r>
    <n v="400"/>
    <x v="11"/>
    <x v="134"/>
    <x v="3"/>
    <s v="Percent of GDP"/>
    <s v="Units"/>
    <x v="4"/>
    <n v="24.84"/>
  </r>
  <r>
    <n v="400"/>
    <x v="11"/>
    <x v="134"/>
    <x v="3"/>
    <s v="Percent of GDP"/>
    <s v="Units"/>
    <x v="5"/>
    <n v="26.053000000000001"/>
  </r>
  <r>
    <n v="400"/>
    <x v="11"/>
    <x v="134"/>
    <x v="3"/>
    <s v="Percent of GDP"/>
    <s v="Units"/>
    <x v="6"/>
    <n v="25.463999999999999"/>
  </r>
  <r>
    <n v="205"/>
    <x v="7"/>
    <x v="120"/>
    <x v="3"/>
    <s v="Percent of GDP"/>
    <s v="Units"/>
    <x v="0"/>
    <n v="28.126000000000001"/>
  </r>
  <r>
    <n v="205"/>
    <x v="7"/>
    <x v="120"/>
    <x v="3"/>
    <s v="Percent of GDP"/>
    <s v="Units"/>
    <x v="1"/>
    <n v="30.544"/>
  </r>
  <r>
    <n v="205"/>
    <x v="7"/>
    <x v="120"/>
    <x v="3"/>
    <s v="Percent of GDP"/>
    <s v="Units"/>
    <x v="2"/>
    <n v="26.009"/>
  </r>
  <r>
    <n v="205"/>
    <x v="7"/>
    <x v="120"/>
    <x v="3"/>
    <s v="Percent of GDP"/>
    <s v="Units"/>
    <x v="3"/>
    <n v="20.548999999999999"/>
  </r>
  <r>
    <n v="205"/>
    <x v="7"/>
    <x v="120"/>
    <x v="3"/>
    <s v="Percent of GDP"/>
    <s v="Units"/>
    <x v="4"/>
    <n v="23.481000000000002"/>
  </r>
  <r>
    <n v="205"/>
    <x v="7"/>
    <x v="120"/>
    <x v="3"/>
    <s v="Percent of GDP"/>
    <s v="Units"/>
    <x v="5"/>
    <n v="26.013000000000002"/>
  </r>
  <r>
    <n v="205"/>
    <x v="7"/>
    <x v="120"/>
    <x v="3"/>
    <s v="Percent of GDP"/>
    <s v="Units"/>
    <x v="6"/>
    <n v="18.974"/>
  </r>
  <r>
    <n v="200"/>
    <x v="3"/>
    <x v="120"/>
    <x v="3"/>
    <s v="Percent of GDP"/>
    <s v="Units"/>
    <x v="0"/>
    <n v="28.126000000000001"/>
  </r>
  <r>
    <n v="200"/>
    <x v="3"/>
    <x v="120"/>
    <x v="3"/>
    <s v="Percent of GDP"/>
    <s v="Units"/>
    <x v="1"/>
    <n v="30.544"/>
  </r>
  <r>
    <n v="200"/>
    <x v="3"/>
    <x v="120"/>
    <x v="3"/>
    <s v="Percent of GDP"/>
    <s v="Units"/>
    <x v="2"/>
    <n v="26.009"/>
  </r>
  <r>
    <n v="200"/>
    <x v="3"/>
    <x v="120"/>
    <x v="3"/>
    <s v="Percent of GDP"/>
    <s v="Units"/>
    <x v="3"/>
    <n v="20.548999999999999"/>
  </r>
  <r>
    <n v="200"/>
    <x v="3"/>
    <x v="120"/>
    <x v="3"/>
    <s v="Percent of GDP"/>
    <s v="Units"/>
    <x v="4"/>
    <n v="23.481000000000002"/>
  </r>
  <r>
    <n v="200"/>
    <x v="3"/>
    <x v="120"/>
    <x v="3"/>
    <s v="Percent of GDP"/>
    <s v="Units"/>
    <x v="5"/>
    <n v="26.013000000000002"/>
  </r>
  <r>
    <n v="200"/>
    <x v="3"/>
    <x v="120"/>
    <x v="3"/>
    <s v="Percent of GDP"/>
    <s v="Units"/>
    <x v="6"/>
    <n v="18.974"/>
  </r>
  <r>
    <n v="200"/>
    <x v="3"/>
    <x v="165"/>
    <x v="2"/>
    <s v="Percent of GDP"/>
    <s v="Units"/>
    <x v="0"/>
    <n v="22.765999999999998"/>
  </r>
  <r>
    <n v="200"/>
    <x v="3"/>
    <x v="165"/>
    <x v="2"/>
    <s v="Percent of GDP"/>
    <s v="Units"/>
    <x v="1"/>
    <n v="26.120999999999999"/>
  </r>
  <r>
    <n v="200"/>
    <x v="3"/>
    <x v="165"/>
    <x v="2"/>
    <s v="Percent of GDP"/>
    <s v="Units"/>
    <x v="2"/>
    <n v="24.117000000000001"/>
  </r>
  <r>
    <n v="200"/>
    <x v="3"/>
    <x v="165"/>
    <x v="2"/>
    <s v="Percent of GDP"/>
    <s v="Units"/>
    <x v="3"/>
    <n v="25.376999999999999"/>
  </r>
  <r>
    <n v="200"/>
    <x v="3"/>
    <x v="165"/>
    <x v="2"/>
    <s v="Percent of GDP"/>
    <s v="Units"/>
    <x v="4"/>
    <n v="22.588000000000001"/>
  </r>
  <r>
    <n v="200"/>
    <x v="3"/>
    <x v="165"/>
    <x v="2"/>
    <s v="Percent of GDP"/>
    <s v="Units"/>
    <x v="5"/>
    <n v="26.012"/>
  </r>
  <r>
    <n v="200"/>
    <x v="3"/>
    <x v="165"/>
    <x v="2"/>
    <s v="Percent of GDP"/>
    <s v="Units"/>
    <x v="6"/>
    <n v="25.492000000000001"/>
  </r>
  <r>
    <n v="603"/>
    <x v="12"/>
    <x v="165"/>
    <x v="2"/>
    <s v="Percent of GDP"/>
    <s v="Units"/>
    <x v="0"/>
    <n v="22.765999999999998"/>
  </r>
  <r>
    <n v="603"/>
    <x v="12"/>
    <x v="165"/>
    <x v="2"/>
    <s v="Percent of GDP"/>
    <s v="Units"/>
    <x v="1"/>
    <n v="26.120999999999999"/>
  </r>
  <r>
    <n v="603"/>
    <x v="12"/>
    <x v="165"/>
    <x v="2"/>
    <s v="Percent of GDP"/>
    <s v="Units"/>
    <x v="2"/>
    <n v="24.117000000000001"/>
  </r>
  <r>
    <n v="603"/>
    <x v="12"/>
    <x v="165"/>
    <x v="2"/>
    <s v="Percent of GDP"/>
    <s v="Units"/>
    <x v="3"/>
    <n v="25.376999999999999"/>
  </r>
  <r>
    <n v="603"/>
    <x v="12"/>
    <x v="165"/>
    <x v="2"/>
    <s v="Percent of GDP"/>
    <s v="Units"/>
    <x v="4"/>
    <n v="22.588000000000001"/>
  </r>
  <r>
    <n v="603"/>
    <x v="12"/>
    <x v="165"/>
    <x v="2"/>
    <s v="Percent of GDP"/>
    <s v="Units"/>
    <x v="5"/>
    <n v="26.012"/>
  </r>
  <r>
    <n v="603"/>
    <x v="12"/>
    <x v="165"/>
    <x v="2"/>
    <s v="Percent of GDP"/>
    <s v="Units"/>
    <x v="6"/>
    <n v="25.492000000000001"/>
  </r>
  <r>
    <n v="200"/>
    <x v="3"/>
    <x v="93"/>
    <x v="5"/>
    <s v="Percent of GDP"/>
    <s v="Units"/>
    <x v="0"/>
    <n v="29.457999999999998"/>
  </r>
  <r>
    <n v="200"/>
    <x v="3"/>
    <x v="93"/>
    <x v="5"/>
    <s v="Percent of GDP"/>
    <s v="Units"/>
    <x v="1"/>
    <n v="28.757000000000001"/>
  </r>
  <r>
    <n v="200"/>
    <x v="3"/>
    <x v="93"/>
    <x v="5"/>
    <s v="Percent of GDP"/>
    <s v="Units"/>
    <x v="2"/>
    <n v="31.989000000000001"/>
  </r>
  <r>
    <n v="200"/>
    <x v="3"/>
    <x v="93"/>
    <x v="5"/>
    <s v="Percent of GDP"/>
    <s v="Units"/>
    <x v="3"/>
    <n v="27.681999999999999"/>
  </r>
  <r>
    <n v="200"/>
    <x v="3"/>
    <x v="93"/>
    <x v="5"/>
    <s v="Percent of GDP"/>
    <s v="Units"/>
    <x v="4"/>
    <n v="26.140999999999998"/>
  </r>
  <r>
    <n v="200"/>
    <x v="3"/>
    <x v="93"/>
    <x v="5"/>
    <s v="Percent of GDP"/>
    <s v="Units"/>
    <x v="5"/>
    <n v="26.004999999999999"/>
  </r>
  <r>
    <n v="200"/>
    <x v="3"/>
    <x v="93"/>
    <x v="5"/>
    <s v="Percent of GDP"/>
    <s v="Units"/>
    <x v="6"/>
    <n v="25.939"/>
  </r>
  <r>
    <n v="505"/>
    <x v="4"/>
    <x v="93"/>
    <x v="5"/>
    <s v="Percent of GDP"/>
    <s v="Units"/>
    <x v="0"/>
    <n v="29.457999999999998"/>
  </r>
  <r>
    <n v="505"/>
    <x v="4"/>
    <x v="93"/>
    <x v="5"/>
    <s v="Percent of GDP"/>
    <s v="Units"/>
    <x v="1"/>
    <n v="28.757000000000001"/>
  </r>
  <r>
    <n v="505"/>
    <x v="4"/>
    <x v="93"/>
    <x v="5"/>
    <s v="Percent of GDP"/>
    <s v="Units"/>
    <x v="2"/>
    <n v="31.989000000000001"/>
  </r>
  <r>
    <n v="505"/>
    <x v="4"/>
    <x v="93"/>
    <x v="5"/>
    <s v="Percent of GDP"/>
    <s v="Units"/>
    <x v="3"/>
    <n v="27.681999999999999"/>
  </r>
  <r>
    <n v="505"/>
    <x v="4"/>
    <x v="93"/>
    <x v="5"/>
    <s v="Percent of GDP"/>
    <s v="Units"/>
    <x v="4"/>
    <n v="26.140999999999998"/>
  </r>
  <r>
    <n v="505"/>
    <x v="4"/>
    <x v="93"/>
    <x v="5"/>
    <s v="Percent of GDP"/>
    <s v="Units"/>
    <x v="5"/>
    <n v="26.004999999999999"/>
  </r>
  <r>
    <n v="505"/>
    <x v="4"/>
    <x v="93"/>
    <x v="5"/>
    <s v="Percent of GDP"/>
    <s v="Units"/>
    <x v="6"/>
    <n v="25.939"/>
  </r>
  <r>
    <n v="1"/>
    <x v="2"/>
    <x v="93"/>
    <x v="5"/>
    <s v="Percent of GDP"/>
    <s v="Units"/>
    <x v="0"/>
    <n v="29.457999999999998"/>
  </r>
  <r>
    <n v="1"/>
    <x v="2"/>
    <x v="93"/>
    <x v="5"/>
    <s v="Percent of GDP"/>
    <s v="Units"/>
    <x v="1"/>
    <n v="28.757000000000001"/>
  </r>
  <r>
    <n v="1"/>
    <x v="2"/>
    <x v="93"/>
    <x v="5"/>
    <s v="Percent of GDP"/>
    <s v="Units"/>
    <x v="2"/>
    <n v="31.989000000000001"/>
  </r>
  <r>
    <n v="1"/>
    <x v="2"/>
    <x v="93"/>
    <x v="5"/>
    <s v="Percent of GDP"/>
    <s v="Units"/>
    <x v="3"/>
    <n v="27.681999999999999"/>
  </r>
  <r>
    <n v="1"/>
    <x v="2"/>
    <x v="93"/>
    <x v="5"/>
    <s v="Percent of GDP"/>
    <s v="Units"/>
    <x v="4"/>
    <n v="26.140999999999998"/>
  </r>
  <r>
    <n v="1"/>
    <x v="2"/>
    <x v="93"/>
    <x v="5"/>
    <s v="Percent of GDP"/>
    <s v="Units"/>
    <x v="5"/>
    <n v="26.004999999999999"/>
  </r>
  <r>
    <n v="1"/>
    <x v="2"/>
    <x v="93"/>
    <x v="5"/>
    <s v="Percent of GDP"/>
    <s v="Units"/>
    <x v="6"/>
    <n v="25.939"/>
  </r>
  <r>
    <n v="200"/>
    <x v="3"/>
    <x v="156"/>
    <x v="2"/>
    <s v="Percent of GDP"/>
    <s v="Units"/>
    <x v="0"/>
    <n v="32.192"/>
  </r>
  <r>
    <n v="200"/>
    <x v="3"/>
    <x v="156"/>
    <x v="2"/>
    <s v="Percent of GDP"/>
    <s v="Units"/>
    <x v="1"/>
    <n v="30.991"/>
  </r>
  <r>
    <n v="200"/>
    <x v="3"/>
    <x v="156"/>
    <x v="2"/>
    <s v="Percent of GDP"/>
    <s v="Units"/>
    <x v="2"/>
    <n v="28.994"/>
  </r>
  <r>
    <n v="200"/>
    <x v="3"/>
    <x v="156"/>
    <x v="2"/>
    <s v="Percent of GDP"/>
    <s v="Units"/>
    <x v="3"/>
    <n v="29.984999999999999"/>
  </r>
  <r>
    <n v="200"/>
    <x v="3"/>
    <x v="156"/>
    <x v="2"/>
    <s v="Percent of GDP"/>
    <s v="Units"/>
    <x v="4"/>
    <n v="30.521999999999998"/>
  </r>
  <r>
    <n v="200"/>
    <x v="3"/>
    <x v="156"/>
    <x v="2"/>
    <s v="Percent of GDP"/>
    <s v="Units"/>
    <x v="5"/>
    <n v="25.984000000000002"/>
  </r>
  <r>
    <n v="200"/>
    <x v="3"/>
    <x v="156"/>
    <x v="2"/>
    <s v="Percent of GDP"/>
    <s v="Units"/>
    <x v="6"/>
    <n v="26.998000000000001"/>
  </r>
  <r>
    <n v="505"/>
    <x v="4"/>
    <x v="156"/>
    <x v="2"/>
    <s v="Percent of GDP"/>
    <s v="Units"/>
    <x v="0"/>
    <n v="32.192"/>
  </r>
  <r>
    <n v="505"/>
    <x v="4"/>
    <x v="156"/>
    <x v="2"/>
    <s v="Percent of GDP"/>
    <s v="Units"/>
    <x v="1"/>
    <n v="30.991"/>
  </r>
  <r>
    <n v="505"/>
    <x v="4"/>
    <x v="156"/>
    <x v="2"/>
    <s v="Percent of GDP"/>
    <s v="Units"/>
    <x v="2"/>
    <n v="28.994"/>
  </r>
  <r>
    <n v="505"/>
    <x v="4"/>
    <x v="156"/>
    <x v="2"/>
    <s v="Percent of GDP"/>
    <s v="Units"/>
    <x v="3"/>
    <n v="29.984999999999999"/>
  </r>
  <r>
    <n v="505"/>
    <x v="4"/>
    <x v="156"/>
    <x v="2"/>
    <s v="Percent of GDP"/>
    <s v="Units"/>
    <x v="4"/>
    <n v="30.521999999999998"/>
  </r>
  <r>
    <n v="505"/>
    <x v="4"/>
    <x v="156"/>
    <x v="2"/>
    <s v="Percent of GDP"/>
    <s v="Units"/>
    <x v="5"/>
    <n v="25.984000000000002"/>
  </r>
  <r>
    <n v="505"/>
    <x v="4"/>
    <x v="156"/>
    <x v="2"/>
    <s v="Percent of GDP"/>
    <s v="Units"/>
    <x v="6"/>
    <n v="26.998000000000001"/>
  </r>
  <r>
    <n v="200"/>
    <x v="3"/>
    <x v="125"/>
    <x v="3"/>
    <s v="Percent of GDP"/>
    <s v="Units"/>
    <x v="0"/>
    <n v="24.192"/>
  </r>
  <r>
    <n v="200"/>
    <x v="3"/>
    <x v="125"/>
    <x v="3"/>
    <s v="Percent of GDP"/>
    <s v="Units"/>
    <x v="1"/>
    <n v="26.564"/>
  </r>
  <r>
    <n v="200"/>
    <x v="3"/>
    <x v="125"/>
    <x v="3"/>
    <s v="Percent of GDP"/>
    <s v="Units"/>
    <x v="2"/>
    <n v="25.795999999999999"/>
  </r>
  <r>
    <n v="200"/>
    <x v="3"/>
    <x v="125"/>
    <x v="3"/>
    <s v="Percent of GDP"/>
    <s v="Units"/>
    <x v="3"/>
    <n v="26.573"/>
  </r>
  <r>
    <n v="200"/>
    <x v="3"/>
    <x v="125"/>
    <x v="3"/>
    <s v="Percent of GDP"/>
    <s v="Units"/>
    <x v="4"/>
    <n v="26.148"/>
  </r>
  <r>
    <n v="200"/>
    <x v="3"/>
    <x v="125"/>
    <x v="3"/>
    <s v="Percent of GDP"/>
    <s v="Units"/>
    <x v="5"/>
    <n v="25.971"/>
  </r>
  <r>
    <n v="200"/>
    <x v="3"/>
    <x v="125"/>
    <x v="3"/>
    <s v="Percent of GDP"/>
    <s v="Units"/>
    <x v="6"/>
    <n v="25.567"/>
  </r>
  <r>
    <n v="603"/>
    <x v="12"/>
    <x v="125"/>
    <x v="3"/>
    <s v="Percent of GDP"/>
    <s v="Units"/>
    <x v="0"/>
    <n v="24.192"/>
  </r>
  <r>
    <n v="603"/>
    <x v="12"/>
    <x v="125"/>
    <x v="3"/>
    <s v="Percent of GDP"/>
    <s v="Units"/>
    <x v="1"/>
    <n v="26.564"/>
  </r>
  <r>
    <n v="603"/>
    <x v="12"/>
    <x v="125"/>
    <x v="3"/>
    <s v="Percent of GDP"/>
    <s v="Units"/>
    <x v="2"/>
    <n v="25.795999999999999"/>
  </r>
  <r>
    <n v="603"/>
    <x v="12"/>
    <x v="125"/>
    <x v="3"/>
    <s v="Percent of GDP"/>
    <s v="Units"/>
    <x v="3"/>
    <n v="26.573"/>
  </r>
  <r>
    <n v="603"/>
    <x v="12"/>
    <x v="125"/>
    <x v="3"/>
    <s v="Percent of GDP"/>
    <s v="Units"/>
    <x v="4"/>
    <n v="26.148"/>
  </r>
  <r>
    <n v="603"/>
    <x v="12"/>
    <x v="125"/>
    <x v="3"/>
    <s v="Percent of GDP"/>
    <s v="Units"/>
    <x v="5"/>
    <n v="25.971"/>
  </r>
  <r>
    <n v="603"/>
    <x v="12"/>
    <x v="125"/>
    <x v="3"/>
    <s v="Percent of GDP"/>
    <s v="Units"/>
    <x v="6"/>
    <n v="25.567"/>
  </r>
  <r>
    <n v="205"/>
    <x v="7"/>
    <x v="169"/>
    <x v="5"/>
    <s v="Percent of GDP"/>
    <s v="Units"/>
    <x v="0"/>
    <n v="23.564"/>
  </r>
  <r>
    <n v="205"/>
    <x v="7"/>
    <x v="169"/>
    <x v="5"/>
    <s v="Percent of GDP"/>
    <s v="Units"/>
    <x v="1"/>
    <n v="9.1869999999999994"/>
  </r>
  <r>
    <n v="205"/>
    <x v="7"/>
    <x v="169"/>
    <x v="5"/>
    <s v="Percent of GDP"/>
    <s v="Units"/>
    <x v="2"/>
    <n v="19.079000000000001"/>
  </r>
  <r>
    <n v="205"/>
    <x v="7"/>
    <x v="169"/>
    <x v="5"/>
    <s v="Percent of GDP"/>
    <s v="Units"/>
    <x v="3"/>
    <n v="26.341999999999999"/>
  </r>
  <r>
    <n v="205"/>
    <x v="7"/>
    <x v="169"/>
    <x v="5"/>
    <s v="Percent of GDP"/>
    <s v="Units"/>
    <x v="4"/>
    <n v="26.489000000000001"/>
  </r>
  <r>
    <n v="205"/>
    <x v="7"/>
    <x v="169"/>
    <x v="5"/>
    <s v="Percent of GDP"/>
    <s v="Units"/>
    <x v="5"/>
    <n v="25.934999999999999"/>
  </r>
  <r>
    <n v="205"/>
    <x v="7"/>
    <x v="169"/>
    <x v="5"/>
    <s v="Percent of GDP"/>
    <s v="Units"/>
    <x v="6"/>
    <n v="26.254999999999999"/>
  </r>
  <r>
    <n v="200"/>
    <x v="3"/>
    <x v="169"/>
    <x v="5"/>
    <s v="Percent of GDP"/>
    <s v="Units"/>
    <x v="0"/>
    <n v="23.564"/>
  </r>
  <r>
    <n v="200"/>
    <x v="3"/>
    <x v="169"/>
    <x v="5"/>
    <s v="Percent of GDP"/>
    <s v="Units"/>
    <x v="1"/>
    <n v="9.1869999999999994"/>
  </r>
  <r>
    <n v="200"/>
    <x v="3"/>
    <x v="169"/>
    <x v="5"/>
    <s v="Percent of GDP"/>
    <s v="Units"/>
    <x v="2"/>
    <n v="19.079000000000001"/>
  </r>
  <r>
    <n v="200"/>
    <x v="3"/>
    <x v="169"/>
    <x v="5"/>
    <s v="Percent of GDP"/>
    <s v="Units"/>
    <x v="3"/>
    <n v="26.341999999999999"/>
  </r>
  <r>
    <n v="200"/>
    <x v="3"/>
    <x v="169"/>
    <x v="5"/>
    <s v="Percent of GDP"/>
    <s v="Units"/>
    <x v="4"/>
    <n v="26.489000000000001"/>
  </r>
  <r>
    <n v="200"/>
    <x v="3"/>
    <x v="169"/>
    <x v="5"/>
    <s v="Percent of GDP"/>
    <s v="Units"/>
    <x v="5"/>
    <n v="25.934999999999999"/>
  </r>
  <r>
    <n v="200"/>
    <x v="3"/>
    <x v="169"/>
    <x v="5"/>
    <s v="Percent of GDP"/>
    <s v="Units"/>
    <x v="6"/>
    <n v="26.254999999999999"/>
  </r>
  <r>
    <n v="1"/>
    <x v="2"/>
    <x v="169"/>
    <x v="5"/>
    <s v="Percent of GDP"/>
    <s v="Units"/>
    <x v="0"/>
    <n v="23.564"/>
  </r>
  <r>
    <n v="1"/>
    <x v="2"/>
    <x v="169"/>
    <x v="5"/>
    <s v="Percent of GDP"/>
    <s v="Units"/>
    <x v="1"/>
    <n v="9.1869999999999994"/>
  </r>
  <r>
    <n v="1"/>
    <x v="2"/>
    <x v="169"/>
    <x v="5"/>
    <s v="Percent of GDP"/>
    <s v="Units"/>
    <x v="2"/>
    <n v="19.079000000000001"/>
  </r>
  <r>
    <n v="1"/>
    <x v="2"/>
    <x v="169"/>
    <x v="5"/>
    <s v="Percent of GDP"/>
    <s v="Units"/>
    <x v="3"/>
    <n v="26.341999999999999"/>
  </r>
  <r>
    <n v="1"/>
    <x v="2"/>
    <x v="169"/>
    <x v="5"/>
    <s v="Percent of GDP"/>
    <s v="Units"/>
    <x v="4"/>
    <n v="26.489000000000001"/>
  </r>
  <r>
    <n v="1"/>
    <x v="2"/>
    <x v="169"/>
    <x v="5"/>
    <s v="Percent of GDP"/>
    <s v="Units"/>
    <x v="5"/>
    <n v="25.934999999999999"/>
  </r>
  <r>
    <n v="1"/>
    <x v="2"/>
    <x v="169"/>
    <x v="5"/>
    <s v="Percent of GDP"/>
    <s v="Units"/>
    <x v="6"/>
    <n v="26.254999999999999"/>
  </r>
  <r>
    <n v="205"/>
    <x v="7"/>
    <x v="63"/>
    <x v="5"/>
    <s v="Percent of GDP"/>
    <s v="Units"/>
    <x v="0"/>
    <n v="24.670999999999999"/>
  </r>
  <r>
    <n v="205"/>
    <x v="7"/>
    <x v="63"/>
    <x v="5"/>
    <s v="Percent of GDP"/>
    <s v="Units"/>
    <x v="1"/>
    <n v="23.689"/>
  </r>
  <r>
    <n v="205"/>
    <x v="7"/>
    <x v="63"/>
    <x v="5"/>
    <s v="Percent of GDP"/>
    <s v="Units"/>
    <x v="2"/>
    <n v="28.509"/>
  </r>
  <r>
    <n v="205"/>
    <x v="7"/>
    <x v="63"/>
    <x v="5"/>
    <s v="Percent of GDP"/>
    <s v="Units"/>
    <x v="3"/>
    <n v="27.72"/>
  </r>
  <r>
    <n v="205"/>
    <x v="7"/>
    <x v="63"/>
    <x v="5"/>
    <s v="Percent of GDP"/>
    <s v="Units"/>
    <x v="4"/>
    <n v="25.597000000000001"/>
  </r>
  <r>
    <n v="205"/>
    <x v="7"/>
    <x v="63"/>
    <x v="5"/>
    <s v="Percent of GDP"/>
    <s v="Units"/>
    <x v="5"/>
    <n v="25.913"/>
  </r>
  <r>
    <n v="205"/>
    <x v="7"/>
    <x v="63"/>
    <x v="5"/>
    <s v="Percent of GDP"/>
    <s v="Units"/>
    <x v="6"/>
    <n v="26.068999999999999"/>
  </r>
  <r>
    <n v="1"/>
    <x v="2"/>
    <x v="63"/>
    <x v="5"/>
    <s v="Percent of GDP"/>
    <s v="Units"/>
    <x v="0"/>
    <n v="24.670999999999999"/>
  </r>
  <r>
    <n v="1"/>
    <x v="2"/>
    <x v="63"/>
    <x v="5"/>
    <s v="Percent of GDP"/>
    <s v="Units"/>
    <x v="1"/>
    <n v="23.689"/>
  </r>
  <r>
    <n v="1"/>
    <x v="2"/>
    <x v="63"/>
    <x v="5"/>
    <s v="Percent of GDP"/>
    <s v="Units"/>
    <x v="2"/>
    <n v="28.509"/>
  </r>
  <r>
    <n v="1"/>
    <x v="2"/>
    <x v="63"/>
    <x v="5"/>
    <s v="Percent of GDP"/>
    <s v="Units"/>
    <x v="3"/>
    <n v="27.72"/>
  </r>
  <r>
    <n v="1"/>
    <x v="2"/>
    <x v="63"/>
    <x v="5"/>
    <s v="Percent of GDP"/>
    <s v="Units"/>
    <x v="4"/>
    <n v="25.597000000000001"/>
  </r>
  <r>
    <n v="1"/>
    <x v="2"/>
    <x v="63"/>
    <x v="5"/>
    <s v="Percent of GDP"/>
    <s v="Units"/>
    <x v="5"/>
    <n v="25.913"/>
  </r>
  <r>
    <n v="1"/>
    <x v="2"/>
    <x v="63"/>
    <x v="5"/>
    <s v="Percent of GDP"/>
    <s v="Units"/>
    <x v="6"/>
    <n v="26.068999999999999"/>
  </r>
  <r>
    <n v="200"/>
    <x v="3"/>
    <x v="63"/>
    <x v="5"/>
    <s v="Percent of GDP"/>
    <s v="Units"/>
    <x v="0"/>
    <n v="24.670999999999999"/>
  </r>
  <r>
    <n v="200"/>
    <x v="3"/>
    <x v="63"/>
    <x v="5"/>
    <s v="Percent of GDP"/>
    <s v="Units"/>
    <x v="1"/>
    <n v="23.689"/>
  </r>
  <r>
    <n v="200"/>
    <x v="3"/>
    <x v="63"/>
    <x v="5"/>
    <s v="Percent of GDP"/>
    <s v="Units"/>
    <x v="2"/>
    <n v="28.509"/>
  </r>
  <r>
    <n v="200"/>
    <x v="3"/>
    <x v="63"/>
    <x v="5"/>
    <s v="Percent of GDP"/>
    <s v="Units"/>
    <x v="3"/>
    <n v="27.72"/>
  </r>
  <r>
    <n v="200"/>
    <x v="3"/>
    <x v="63"/>
    <x v="5"/>
    <s v="Percent of GDP"/>
    <s v="Units"/>
    <x v="4"/>
    <n v="25.597000000000001"/>
  </r>
  <r>
    <n v="200"/>
    <x v="3"/>
    <x v="63"/>
    <x v="5"/>
    <s v="Percent of GDP"/>
    <s v="Units"/>
    <x v="5"/>
    <n v="25.913"/>
  </r>
  <r>
    <n v="200"/>
    <x v="3"/>
    <x v="63"/>
    <x v="5"/>
    <s v="Percent of GDP"/>
    <s v="Units"/>
    <x v="6"/>
    <n v="26.068999999999999"/>
  </r>
  <r>
    <n v="200"/>
    <x v="3"/>
    <x v="140"/>
    <x v="2"/>
    <s v="Percent of GDP"/>
    <s v="Units"/>
    <x v="0"/>
    <n v="24.138000000000002"/>
  </r>
  <r>
    <n v="200"/>
    <x v="3"/>
    <x v="140"/>
    <x v="2"/>
    <s v="Percent of GDP"/>
    <s v="Units"/>
    <x v="1"/>
    <n v="24.52"/>
  </r>
  <r>
    <n v="200"/>
    <x v="3"/>
    <x v="140"/>
    <x v="2"/>
    <s v="Percent of GDP"/>
    <s v="Units"/>
    <x v="2"/>
    <n v="26.148"/>
  </r>
  <r>
    <n v="200"/>
    <x v="3"/>
    <x v="140"/>
    <x v="2"/>
    <s v="Percent of GDP"/>
    <s v="Units"/>
    <x v="3"/>
    <n v="26.152999999999999"/>
  </r>
  <r>
    <n v="200"/>
    <x v="3"/>
    <x v="140"/>
    <x v="2"/>
    <s v="Percent of GDP"/>
    <s v="Units"/>
    <x v="4"/>
    <n v="26.225999999999999"/>
  </r>
  <r>
    <n v="200"/>
    <x v="3"/>
    <x v="140"/>
    <x v="2"/>
    <s v="Percent of GDP"/>
    <s v="Units"/>
    <x v="5"/>
    <n v="25.88"/>
  </r>
  <r>
    <n v="200"/>
    <x v="3"/>
    <x v="140"/>
    <x v="2"/>
    <s v="Percent of GDP"/>
    <s v="Units"/>
    <x v="6"/>
    <n v="25.873999999999999"/>
  </r>
  <r>
    <n v="205"/>
    <x v="7"/>
    <x v="140"/>
    <x v="2"/>
    <s v="Percent of GDP"/>
    <s v="Units"/>
    <x v="0"/>
    <n v="24.138000000000002"/>
  </r>
  <r>
    <n v="205"/>
    <x v="7"/>
    <x v="140"/>
    <x v="2"/>
    <s v="Percent of GDP"/>
    <s v="Units"/>
    <x v="1"/>
    <n v="24.52"/>
  </r>
  <r>
    <n v="205"/>
    <x v="7"/>
    <x v="140"/>
    <x v="2"/>
    <s v="Percent of GDP"/>
    <s v="Units"/>
    <x v="2"/>
    <n v="26.148"/>
  </r>
  <r>
    <n v="205"/>
    <x v="7"/>
    <x v="140"/>
    <x v="2"/>
    <s v="Percent of GDP"/>
    <s v="Units"/>
    <x v="3"/>
    <n v="26.152999999999999"/>
  </r>
  <r>
    <n v="205"/>
    <x v="7"/>
    <x v="140"/>
    <x v="2"/>
    <s v="Percent of GDP"/>
    <s v="Units"/>
    <x v="4"/>
    <n v="26.225999999999999"/>
  </r>
  <r>
    <n v="205"/>
    <x v="7"/>
    <x v="140"/>
    <x v="2"/>
    <s v="Percent of GDP"/>
    <s v="Units"/>
    <x v="5"/>
    <n v="25.88"/>
  </r>
  <r>
    <n v="205"/>
    <x v="7"/>
    <x v="140"/>
    <x v="2"/>
    <s v="Percent of GDP"/>
    <s v="Units"/>
    <x v="6"/>
    <n v="25.873999999999999"/>
  </r>
  <r>
    <n v="200"/>
    <x v="3"/>
    <x v="43"/>
    <x v="2"/>
    <s v="Percent of GDP"/>
    <s v="Units"/>
    <x v="0"/>
    <n v="23.766999999999999"/>
  </r>
  <r>
    <n v="200"/>
    <x v="3"/>
    <x v="43"/>
    <x v="2"/>
    <s v="Percent of GDP"/>
    <s v="Units"/>
    <x v="1"/>
    <n v="21.992999999999999"/>
  </r>
  <r>
    <n v="200"/>
    <x v="3"/>
    <x v="43"/>
    <x v="2"/>
    <s v="Percent of GDP"/>
    <s v="Units"/>
    <x v="2"/>
    <n v="26.074000000000002"/>
  </r>
  <r>
    <n v="200"/>
    <x v="3"/>
    <x v="43"/>
    <x v="2"/>
    <s v="Percent of GDP"/>
    <s v="Units"/>
    <x v="3"/>
    <n v="28"/>
  </r>
  <r>
    <n v="200"/>
    <x v="3"/>
    <x v="43"/>
    <x v="2"/>
    <s v="Percent of GDP"/>
    <s v="Units"/>
    <x v="4"/>
    <n v="24.707999999999998"/>
  </r>
  <r>
    <n v="200"/>
    <x v="3"/>
    <x v="43"/>
    <x v="2"/>
    <s v="Percent of GDP"/>
    <s v="Units"/>
    <x v="5"/>
    <n v="25.802"/>
  </r>
  <r>
    <n v="200"/>
    <x v="3"/>
    <x v="43"/>
    <x v="2"/>
    <s v="Percent of GDP"/>
    <s v="Units"/>
    <x v="6"/>
    <n v="25.98"/>
  </r>
  <r>
    <n v="205"/>
    <x v="7"/>
    <x v="43"/>
    <x v="2"/>
    <s v="Percent of GDP"/>
    <s v="Units"/>
    <x v="0"/>
    <n v="23.766999999999999"/>
  </r>
  <r>
    <n v="205"/>
    <x v="7"/>
    <x v="43"/>
    <x v="2"/>
    <s v="Percent of GDP"/>
    <s v="Units"/>
    <x v="1"/>
    <n v="21.992999999999999"/>
  </r>
  <r>
    <n v="205"/>
    <x v="7"/>
    <x v="43"/>
    <x v="2"/>
    <s v="Percent of GDP"/>
    <s v="Units"/>
    <x v="2"/>
    <n v="26.074000000000002"/>
  </r>
  <r>
    <n v="205"/>
    <x v="7"/>
    <x v="43"/>
    <x v="2"/>
    <s v="Percent of GDP"/>
    <s v="Units"/>
    <x v="3"/>
    <n v="28"/>
  </r>
  <r>
    <n v="205"/>
    <x v="7"/>
    <x v="43"/>
    <x v="2"/>
    <s v="Percent of GDP"/>
    <s v="Units"/>
    <x v="4"/>
    <n v="24.707999999999998"/>
  </r>
  <r>
    <n v="205"/>
    <x v="7"/>
    <x v="43"/>
    <x v="2"/>
    <s v="Percent of GDP"/>
    <s v="Units"/>
    <x v="5"/>
    <n v="25.802"/>
  </r>
  <r>
    <n v="205"/>
    <x v="7"/>
    <x v="43"/>
    <x v="2"/>
    <s v="Percent of GDP"/>
    <s v="Units"/>
    <x v="6"/>
    <n v="25.98"/>
  </r>
  <r>
    <n v="110"/>
    <x v="0"/>
    <x v="38"/>
    <x v="5"/>
    <s v="Percent of GDP"/>
    <s v="Units"/>
    <x v="0"/>
    <n v="24.042000000000002"/>
  </r>
  <r>
    <n v="110"/>
    <x v="0"/>
    <x v="38"/>
    <x v="5"/>
    <s v="Percent of GDP"/>
    <s v="Units"/>
    <x v="1"/>
    <n v="25.971"/>
  </r>
  <r>
    <n v="110"/>
    <x v="0"/>
    <x v="38"/>
    <x v="5"/>
    <s v="Percent of GDP"/>
    <s v="Units"/>
    <x v="2"/>
    <n v="28.611999999999998"/>
  </r>
  <r>
    <n v="110"/>
    <x v="0"/>
    <x v="38"/>
    <x v="5"/>
    <s v="Percent of GDP"/>
    <s v="Units"/>
    <x v="3"/>
    <n v="25.414999999999999"/>
  </r>
  <r>
    <n v="110"/>
    <x v="0"/>
    <x v="38"/>
    <x v="5"/>
    <s v="Percent of GDP"/>
    <s v="Units"/>
    <x v="4"/>
    <n v="23.913"/>
  </r>
  <r>
    <n v="110"/>
    <x v="0"/>
    <x v="38"/>
    <x v="5"/>
    <s v="Percent of GDP"/>
    <s v="Units"/>
    <x v="5"/>
    <n v="25.788"/>
  </r>
  <r>
    <n v="110"/>
    <x v="0"/>
    <x v="38"/>
    <x v="5"/>
    <s v="Percent of GDP"/>
    <s v="Units"/>
    <x v="6"/>
    <n v="25.728000000000002"/>
  </r>
  <r>
    <n v="1"/>
    <x v="2"/>
    <x v="38"/>
    <x v="5"/>
    <s v="Percent of GDP"/>
    <s v="Units"/>
    <x v="0"/>
    <n v="24.042000000000002"/>
  </r>
  <r>
    <n v="1"/>
    <x v="2"/>
    <x v="38"/>
    <x v="5"/>
    <s v="Percent of GDP"/>
    <s v="Units"/>
    <x v="1"/>
    <n v="25.971"/>
  </r>
  <r>
    <n v="1"/>
    <x v="2"/>
    <x v="38"/>
    <x v="5"/>
    <s v="Percent of GDP"/>
    <s v="Units"/>
    <x v="2"/>
    <n v="28.611999999999998"/>
  </r>
  <r>
    <n v="1"/>
    <x v="2"/>
    <x v="38"/>
    <x v="5"/>
    <s v="Percent of GDP"/>
    <s v="Units"/>
    <x v="3"/>
    <n v="25.414999999999999"/>
  </r>
  <r>
    <n v="1"/>
    <x v="2"/>
    <x v="38"/>
    <x v="5"/>
    <s v="Percent of GDP"/>
    <s v="Units"/>
    <x v="4"/>
    <n v="23.913"/>
  </r>
  <r>
    <n v="1"/>
    <x v="2"/>
    <x v="38"/>
    <x v="5"/>
    <s v="Percent of GDP"/>
    <s v="Units"/>
    <x v="5"/>
    <n v="25.788"/>
  </r>
  <r>
    <n v="1"/>
    <x v="2"/>
    <x v="38"/>
    <x v="5"/>
    <s v="Percent of GDP"/>
    <s v="Units"/>
    <x v="6"/>
    <n v="25.728000000000002"/>
  </r>
  <r>
    <n v="123"/>
    <x v="9"/>
    <x v="38"/>
    <x v="5"/>
    <s v="Percent of GDP"/>
    <s v="Units"/>
    <x v="0"/>
    <n v="24.042000000000002"/>
  </r>
  <r>
    <n v="123"/>
    <x v="9"/>
    <x v="38"/>
    <x v="5"/>
    <s v="Percent of GDP"/>
    <s v="Units"/>
    <x v="1"/>
    <n v="25.971"/>
  </r>
  <r>
    <n v="123"/>
    <x v="9"/>
    <x v="38"/>
    <x v="5"/>
    <s v="Percent of GDP"/>
    <s v="Units"/>
    <x v="2"/>
    <n v="28.611999999999998"/>
  </r>
  <r>
    <n v="123"/>
    <x v="9"/>
    <x v="38"/>
    <x v="5"/>
    <s v="Percent of GDP"/>
    <s v="Units"/>
    <x v="3"/>
    <n v="25.414999999999999"/>
  </r>
  <r>
    <n v="123"/>
    <x v="9"/>
    <x v="38"/>
    <x v="5"/>
    <s v="Percent of GDP"/>
    <s v="Units"/>
    <x v="4"/>
    <n v="23.913"/>
  </r>
  <r>
    <n v="123"/>
    <x v="9"/>
    <x v="38"/>
    <x v="5"/>
    <s v="Percent of GDP"/>
    <s v="Units"/>
    <x v="5"/>
    <n v="25.788"/>
  </r>
  <r>
    <n v="123"/>
    <x v="9"/>
    <x v="38"/>
    <x v="5"/>
    <s v="Percent of GDP"/>
    <s v="Units"/>
    <x v="6"/>
    <n v="25.728000000000002"/>
  </r>
  <r>
    <n v="200"/>
    <x v="3"/>
    <x v="170"/>
    <x v="3"/>
    <s v="Percent of GDP"/>
    <s v="Units"/>
    <x v="0"/>
    <n v="23.149000000000001"/>
  </r>
  <r>
    <n v="200"/>
    <x v="3"/>
    <x v="170"/>
    <x v="3"/>
    <s v="Percent of GDP"/>
    <s v="Units"/>
    <x v="1"/>
    <n v="25.888999999999999"/>
  </r>
  <r>
    <n v="200"/>
    <x v="3"/>
    <x v="170"/>
    <x v="3"/>
    <s v="Percent of GDP"/>
    <s v="Units"/>
    <x v="2"/>
    <n v="26.271999999999998"/>
  </r>
  <r>
    <n v="200"/>
    <x v="3"/>
    <x v="170"/>
    <x v="3"/>
    <s v="Percent of GDP"/>
    <s v="Units"/>
    <x v="3"/>
    <n v="25.154"/>
  </r>
  <r>
    <n v="200"/>
    <x v="3"/>
    <x v="170"/>
    <x v="3"/>
    <s v="Percent of GDP"/>
    <s v="Units"/>
    <x v="4"/>
    <n v="26.327000000000002"/>
  </r>
  <r>
    <n v="200"/>
    <x v="3"/>
    <x v="170"/>
    <x v="3"/>
    <s v="Percent of GDP"/>
    <s v="Units"/>
    <x v="5"/>
    <n v="25.782"/>
  </r>
  <r>
    <n v="200"/>
    <x v="3"/>
    <x v="170"/>
    <x v="3"/>
    <s v="Percent of GDP"/>
    <s v="Units"/>
    <x v="6"/>
    <n v="25.457000000000001"/>
  </r>
  <r>
    <n v="603"/>
    <x v="12"/>
    <x v="170"/>
    <x v="3"/>
    <s v="Percent of GDP"/>
    <s v="Units"/>
    <x v="0"/>
    <n v="23.149000000000001"/>
  </r>
  <r>
    <n v="603"/>
    <x v="12"/>
    <x v="170"/>
    <x v="3"/>
    <s v="Percent of GDP"/>
    <s v="Units"/>
    <x v="1"/>
    <n v="25.888999999999999"/>
  </r>
  <r>
    <n v="603"/>
    <x v="12"/>
    <x v="170"/>
    <x v="3"/>
    <s v="Percent of GDP"/>
    <s v="Units"/>
    <x v="2"/>
    <n v="26.271999999999998"/>
  </r>
  <r>
    <n v="603"/>
    <x v="12"/>
    <x v="170"/>
    <x v="3"/>
    <s v="Percent of GDP"/>
    <s v="Units"/>
    <x v="3"/>
    <n v="25.154"/>
  </r>
  <r>
    <n v="603"/>
    <x v="12"/>
    <x v="170"/>
    <x v="3"/>
    <s v="Percent of GDP"/>
    <s v="Units"/>
    <x v="4"/>
    <n v="26.327000000000002"/>
  </r>
  <r>
    <n v="603"/>
    <x v="12"/>
    <x v="170"/>
    <x v="3"/>
    <s v="Percent of GDP"/>
    <s v="Units"/>
    <x v="5"/>
    <n v="25.782"/>
  </r>
  <r>
    <n v="603"/>
    <x v="12"/>
    <x v="170"/>
    <x v="3"/>
    <s v="Percent of GDP"/>
    <s v="Units"/>
    <x v="6"/>
    <n v="25.457000000000001"/>
  </r>
  <r>
    <n v="205"/>
    <x v="7"/>
    <x v="105"/>
    <x v="3"/>
    <s v="Percent of GDP"/>
    <s v="Units"/>
    <x v="0"/>
    <n v="40.502000000000002"/>
  </r>
  <r>
    <n v="205"/>
    <x v="7"/>
    <x v="105"/>
    <x v="3"/>
    <s v="Percent of GDP"/>
    <s v="Units"/>
    <x v="1"/>
    <n v="30.204000000000001"/>
  </r>
  <r>
    <n v="205"/>
    <x v="7"/>
    <x v="105"/>
    <x v="3"/>
    <s v="Percent of GDP"/>
    <s v="Units"/>
    <x v="2"/>
    <n v="32.051000000000002"/>
  </r>
  <r>
    <n v="205"/>
    <x v="7"/>
    <x v="105"/>
    <x v="3"/>
    <s v="Percent of GDP"/>
    <s v="Units"/>
    <x v="3"/>
    <n v="29.536999999999999"/>
  </r>
  <r>
    <n v="205"/>
    <x v="7"/>
    <x v="105"/>
    <x v="3"/>
    <s v="Percent of GDP"/>
    <s v="Units"/>
    <x v="4"/>
    <n v="26.417000000000002"/>
  </r>
  <r>
    <n v="205"/>
    <x v="7"/>
    <x v="105"/>
    <x v="3"/>
    <s v="Percent of GDP"/>
    <s v="Units"/>
    <x v="5"/>
    <n v="25.771999999999998"/>
  </r>
  <r>
    <n v="205"/>
    <x v="7"/>
    <x v="105"/>
    <x v="3"/>
    <s v="Percent of GDP"/>
    <s v="Units"/>
    <x v="6"/>
    <n v="25.36"/>
  </r>
  <r>
    <n v="200"/>
    <x v="3"/>
    <x v="105"/>
    <x v="3"/>
    <s v="Percent of GDP"/>
    <s v="Units"/>
    <x v="0"/>
    <n v="40.502000000000002"/>
  </r>
  <r>
    <n v="200"/>
    <x v="3"/>
    <x v="105"/>
    <x v="3"/>
    <s v="Percent of GDP"/>
    <s v="Units"/>
    <x v="1"/>
    <n v="30.204000000000001"/>
  </r>
  <r>
    <n v="200"/>
    <x v="3"/>
    <x v="105"/>
    <x v="3"/>
    <s v="Percent of GDP"/>
    <s v="Units"/>
    <x v="2"/>
    <n v="32.051000000000002"/>
  </r>
  <r>
    <n v="200"/>
    <x v="3"/>
    <x v="105"/>
    <x v="3"/>
    <s v="Percent of GDP"/>
    <s v="Units"/>
    <x v="3"/>
    <n v="29.536999999999999"/>
  </r>
  <r>
    <n v="200"/>
    <x v="3"/>
    <x v="105"/>
    <x v="3"/>
    <s v="Percent of GDP"/>
    <s v="Units"/>
    <x v="4"/>
    <n v="26.417000000000002"/>
  </r>
  <r>
    <n v="200"/>
    <x v="3"/>
    <x v="105"/>
    <x v="3"/>
    <s v="Percent of GDP"/>
    <s v="Units"/>
    <x v="5"/>
    <n v="25.771999999999998"/>
  </r>
  <r>
    <n v="200"/>
    <x v="3"/>
    <x v="105"/>
    <x v="3"/>
    <s v="Percent of GDP"/>
    <s v="Units"/>
    <x v="6"/>
    <n v="25.36"/>
  </r>
  <r>
    <n v="1"/>
    <x v="2"/>
    <x v="52"/>
    <x v="7"/>
    <s v="Percent of GDP"/>
    <s v="Units"/>
    <x v="0"/>
    <n v="25.416"/>
  </r>
  <r>
    <n v="1"/>
    <x v="2"/>
    <x v="52"/>
    <x v="7"/>
    <s v="Percent of GDP"/>
    <s v="Units"/>
    <x v="1"/>
    <n v="27.497"/>
  </r>
  <r>
    <n v="1"/>
    <x v="2"/>
    <x v="52"/>
    <x v="7"/>
    <s v="Percent of GDP"/>
    <s v="Units"/>
    <x v="2"/>
    <n v="27.138000000000002"/>
  </r>
  <r>
    <n v="1"/>
    <x v="2"/>
    <x v="52"/>
    <x v="7"/>
    <s v="Percent of GDP"/>
    <s v="Units"/>
    <x v="3"/>
    <n v="20.521999999999998"/>
  </r>
  <r>
    <n v="1"/>
    <x v="2"/>
    <x v="52"/>
    <x v="7"/>
    <s v="Percent of GDP"/>
    <s v="Units"/>
    <x v="4"/>
    <n v="24.283000000000001"/>
  </r>
  <r>
    <n v="1"/>
    <x v="2"/>
    <x v="52"/>
    <x v="7"/>
    <s v="Percent of GDP"/>
    <s v="Units"/>
    <x v="5"/>
    <n v="25.748999999999999"/>
  </r>
  <r>
    <n v="1"/>
    <x v="2"/>
    <x v="52"/>
    <x v="7"/>
    <s v="Percent of GDP"/>
    <s v="Units"/>
    <x v="6"/>
    <n v="26.585999999999999"/>
  </r>
  <r>
    <n v="200"/>
    <x v="3"/>
    <x v="52"/>
    <x v="7"/>
    <s v="Percent of GDP"/>
    <s v="Units"/>
    <x v="0"/>
    <n v="25.416"/>
  </r>
  <r>
    <n v="200"/>
    <x v="3"/>
    <x v="52"/>
    <x v="7"/>
    <s v="Percent of GDP"/>
    <s v="Units"/>
    <x v="1"/>
    <n v="27.497"/>
  </r>
  <r>
    <n v="200"/>
    <x v="3"/>
    <x v="52"/>
    <x v="7"/>
    <s v="Percent of GDP"/>
    <s v="Units"/>
    <x v="2"/>
    <n v="27.138000000000002"/>
  </r>
  <r>
    <n v="200"/>
    <x v="3"/>
    <x v="52"/>
    <x v="7"/>
    <s v="Percent of GDP"/>
    <s v="Units"/>
    <x v="3"/>
    <n v="20.521999999999998"/>
  </r>
  <r>
    <n v="200"/>
    <x v="3"/>
    <x v="52"/>
    <x v="7"/>
    <s v="Percent of GDP"/>
    <s v="Units"/>
    <x v="4"/>
    <n v="24.283000000000001"/>
  </r>
  <r>
    <n v="200"/>
    <x v="3"/>
    <x v="52"/>
    <x v="7"/>
    <s v="Percent of GDP"/>
    <s v="Units"/>
    <x v="5"/>
    <n v="25.748999999999999"/>
  </r>
  <r>
    <n v="200"/>
    <x v="3"/>
    <x v="52"/>
    <x v="7"/>
    <s v="Percent of GDP"/>
    <s v="Units"/>
    <x v="6"/>
    <n v="26.585999999999999"/>
  </r>
  <r>
    <n v="603"/>
    <x v="12"/>
    <x v="52"/>
    <x v="7"/>
    <s v="Percent of GDP"/>
    <s v="Units"/>
    <x v="0"/>
    <n v="25.416"/>
  </r>
  <r>
    <n v="603"/>
    <x v="12"/>
    <x v="52"/>
    <x v="7"/>
    <s v="Percent of GDP"/>
    <s v="Units"/>
    <x v="1"/>
    <n v="27.497"/>
  </r>
  <r>
    <n v="603"/>
    <x v="12"/>
    <x v="52"/>
    <x v="7"/>
    <s v="Percent of GDP"/>
    <s v="Units"/>
    <x v="2"/>
    <n v="27.138000000000002"/>
  </r>
  <r>
    <n v="603"/>
    <x v="12"/>
    <x v="52"/>
    <x v="7"/>
    <s v="Percent of GDP"/>
    <s v="Units"/>
    <x v="3"/>
    <n v="20.521999999999998"/>
  </r>
  <r>
    <n v="603"/>
    <x v="12"/>
    <x v="52"/>
    <x v="7"/>
    <s v="Percent of GDP"/>
    <s v="Units"/>
    <x v="4"/>
    <n v="24.283000000000001"/>
  </r>
  <r>
    <n v="603"/>
    <x v="12"/>
    <x v="52"/>
    <x v="7"/>
    <s v="Percent of GDP"/>
    <s v="Units"/>
    <x v="5"/>
    <n v="25.748999999999999"/>
  </r>
  <r>
    <n v="603"/>
    <x v="12"/>
    <x v="52"/>
    <x v="7"/>
    <s v="Percent of GDP"/>
    <s v="Units"/>
    <x v="6"/>
    <n v="26.585999999999999"/>
  </r>
  <r>
    <n v="1"/>
    <x v="2"/>
    <x v="24"/>
    <x v="7"/>
    <s v="Percent of GDP"/>
    <s v="Units"/>
    <x v="0"/>
    <n v="54.774000000000001"/>
  </r>
  <r>
    <n v="1"/>
    <x v="2"/>
    <x v="24"/>
    <x v="7"/>
    <s v="Percent of GDP"/>
    <s v="Units"/>
    <x v="1"/>
    <n v="43.06"/>
  </r>
  <r>
    <n v="1"/>
    <x v="2"/>
    <x v="24"/>
    <x v="7"/>
    <s v="Percent of GDP"/>
    <s v="Units"/>
    <x v="2"/>
    <n v="23.61"/>
  </r>
  <r>
    <n v="1"/>
    <x v="2"/>
    <x v="24"/>
    <x v="7"/>
    <s v="Percent of GDP"/>
    <s v="Units"/>
    <x v="3"/>
    <n v="23.715"/>
  </r>
  <r>
    <n v="1"/>
    <x v="2"/>
    <x v="24"/>
    <x v="7"/>
    <s v="Percent of GDP"/>
    <s v="Units"/>
    <x v="4"/>
    <n v="26.55"/>
  </r>
  <r>
    <n v="1"/>
    <x v="2"/>
    <x v="24"/>
    <x v="7"/>
    <s v="Percent of GDP"/>
    <s v="Units"/>
    <x v="5"/>
    <n v="25.724"/>
  </r>
  <r>
    <n v="1"/>
    <x v="2"/>
    <x v="24"/>
    <x v="7"/>
    <s v="Percent of GDP"/>
    <s v="Units"/>
    <x v="6"/>
    <n v="25.77"/>
  </r>
  <r>
    <n v="110"/>
    <x v="0"/>
    <x v="24"/>
    <x v="7"/>
    <s v="Percent of GDP"/>
    <s v="Units"/>
    <x v="0"/>
    <n v="54.774000000000001"/>
  </r>
  <r>
    <n v="110"/>
    <x v="0"/>
    <x v="24"/>
    <x v="7"/>
    <s v="Percent of GDP"/>
    <s v="Units"/>
    <x v="1"/>
    <n v="43.06"/>
  </r>
  <r>
    <n v="110"/>
    <x v="0"/>
    <x v="24"/>
    <x v="7"/>
    <s v="Percent of GDP"/>
    <s v="Units"/>
    <x v="2"/>
    <n v="23.61"/>
  </r>
  <r>
    <n v="110"/>
    <x v="0"/>
    <x v="24"/>
    <x v="7"/>
    <s v="Percent of GDP"/>
    <s v="Units"/>
    <x v="3"/>
    <n v="23.715"/>
  </r>
  <r>
    <n v="110"/>
    <x v="0"/>
    <x v="24"/>
    <x v="7"/>
    <s v="Percent of GDP"/>
    <s v="Units"/>
    <x v="4"/>
    <n v="26.55"/>
  </r>
  <r>
    <n v="110"/>
    <x v="0"/>
    <x v="24"/>
    <x v="7"/>
    <s v="Percent of GDP"/>
    <s v="Units"/>
    <x v="5"/>
    <n v="25.724"/>
  </r>
  <r>
    <n v="110"/>
    <x v="0"/>
    <x v="24"/>
    <x v="7"/>
    <s v="Percent of GDP"/>
    <s v="Units"/>
    <x v="6"/>
    <n v="25.77"/>
  </r>
  <r>
    <n v="163"/>
    <x v="5"/>
    <x v="24"/>
    <x v="7"/>
    <s v="Percent of GDP"/>
    <s v="Units"/>
    <x v="0"/>
    <n v="54.774000000000001"/>
  </r>
  <r>
    <n v="163"/>
    <x v="5"/>
    <x v="24"/>
    <x v="7"/>
    <s v="Percent of GDP"/>
    <s v="Units"/>
    <x v="1"/>
    <n v="43.06"/>
  </r>
  <r>
    <n v="163"/>
    <x v="5"/>
    <x v="24"/>
    <x v="7"/>
    <s v="Percent of GDP"/>
    <s v="Units"/>
    <x v="2"/>
    <n v="23.61"/>
  </r>
  <r>
    <n v="163"/>
    <x v="5"/>
    <x v="24"/>
    <x v="7"/>
    <s v="Percent of GDP"/>
    <s v="Units"/>
    <x v="3"/>
    <n v="23.715"/>
  </r>
  <r>
    <n v="163"/>
    <x v="5"/>
    <x v="24"/>
    <x v="7"/>
    <s v="Percent of GDP"/>
    <s v="Units"/>
    <x v="4"/>
    <n v="26.55"/>
  </r>
  <r>
    <n v="163"/>
    <x v="5"/>
    <x v="24"/>
    <x v="7"/>
    <s v="Percent of GDP"/>
    <s v="Units"/>
    <x v="5"/>
    <n v="25.724"/>
  </r>
  <r>
    <n v="163"/>
    <x v="5"/>
    <x v="24"/>
    <x v="7"/>
    <s v="Percent of GDP"/>
    <s v="Units"/>
    <x v="6"/>
    <n v="25.77"/>
  </r>
  <r>
    <n v="998"/>
    <x v="6"/>
    <x v="24"/>
    <x v="7"/>
    <s v="Percent of GDP"/>
    <s v="Units"/>
    <x v="0"/>
    <n v="54.774000000000001"/>
  </r>
  <r>
    <n v="998"/>
    <x v="6"/>
    <x v="24"/>
    <x v="7"/>
    <s v="Percent of GDP"/>
    <s v="Units"/>
    <x v="1"/>
    <n v="43.06"/>
  </r>
  <r>
    <n v="998"/>
    <x v="6"/>
    <x v="24"/>
    <x v="7"/>
    <s v="Percent of GDP"/>
    <s v="Units"/>
    <x v="2"/>
    <n v="23.61"/>
  </r>
  <r>
    <n v="998"/>
    <x v="6"/>
    <x v="24"/>
    <x v="7"/>
    <s v="Percent of GDP"/>
    <s v="Units"/>
    <x v="3"/>
    <n v="23.715"/>
  </r>
  <r>
    <n v="998"/>
    <x v="6"/>
    <x v="24"/>
    <x v="7"/>
    <s v="Percent of GDP"/>
    <s v="Units"/>
    <x v="4"/>
    <n v="26.55"/>
  </r>
  <r>
    <n v="998"/>
    <x v="6"/>
    <x v="24"/>
    <x v="7"/>
    <s v="Percent of GDP"/>
    <s v="Units"/>
    <x v="5"/>
    <n v="25.724"/>
  </r>
  <r>
    <n v="998"/>
    <x v="6"/>
    <x v="24"/>
    <x v="7"/>
    <s v="Percent of GDP"/>
    <s v="Units"/>
    <x v="6"/>
    <n v="25.77"/>
  </r>
  <r>
    <n v="200"/>
    <x v="3"/>
    <x v="171"/>
    <x v="2"/>
    <s v="Percent of GDP"/>
    <s v="Units"/>
    <x v="0"/>
    <n v="18.623000000000001"/>
  </r>
  <r>
    <n v="200"/>
    <x v="3"/>
    <x v="171"/>
    <x v="2"/>
    <s v="Percent of GDP"/>
    <s v="Units"/>
    <x v="1"/>
    <n v="14.395"/>
  </r>
  <r>
    <n v="200"/>
    <x v="3"/>
    <x v="171"/>
    <x v="2"/>
    <s v="Percent of GDP"/>
    <s v="Units"/>
    <x v="2"/>
    <n v="15.3"/>
  </r>
  <r>
    <n v="200"/>
    <x v="3"/>
    <x v="171"/>
    <x v="2"/>
    <s v="Percent of GDP"/>
    <s v="Units"/>
    <x v="3"/>
    <n v="30.788"/>
  </r>
  <r>
    <n v="200"/>
    <x v="3"/>
    <x v="171"/>
    <x v="2"/>
    <s v="Percent of GDP"/>
    <s v="Units"/>
    <x v="4"/>
    <n v="25.95"/>
  </r>
  <r>
    <n v="200"/>
    <x v="3"/>
    <x v="171"/>
    <x v="2"/>
    <s v="Percent of GDP"/>
    <s v="Units"/>
    <x v="5"/>
    <n v="25.655999999999999"/>
  </r>
  <r>
    <n v="200"/>
    <x v="3"/>
    <x v="171"/>
    <x v="2"/>
    <s v="Percent of GDP"/>
    <s v="Units"/>
    <x v="6"/>
    <n v="23.178999999999998"/>
  </r>
  <r>
    <n v="603"/>
    <x v="12"/>
    <x v="171"/>
    <x v="2"/>
    <s v="Percent of GDP"/>
    <s v="Units"/>
    <x v="0"/>
    <n v="18.623000000000001"/>
  </r>
  <r>
    <n v="603"/>
    <x v="12"/>
    <x v="171"/>
    <x v="2"/>
    <s v="Percent of GDP"/>
    <s v="Units"/>
    <x v="1"/>
    <n v="14.395"/>
  </r>
  <r>
    <n v="603"/>
    <x v="12"/>
    <x v="171"/>
    <x v="2"/>
    <s v="Percent of GDP"/>
    <s v="Units"/>
    <x v="2"/>
    <n v="15.3"/>
  </r>
  <r>
    <n v="603"/>
    <x v="12"/>
    <x v="171"/>
    <x v="2"/>
    <s v="Percent of GDP"/>
    <s v="Units"/>
    <x v="3"/>
    <n v="30.788"/>
  </r>
  <r>
    <n v="603"/>
    <x v="12"/>
    <x v="171"/>
    <x v="2"/>
    <s v="Percent of GDP"/>
    <s v="Units"/>
    <x v="4"/>
    <n v="25.95"/>
  </r>
  <r>
    <n v="603"/>
    <x v="12"/>
    <x v="171"/>
    <x v="2"/>
    <s v="Percent of GDP"/>
    <s v="Units"/>
    <x v="5"/>
    <n v="25.655999999999999"/>
  </r>
  <r>
    <n v="603"/>
    <x v="12"/>
    <x v="171"/>
    <x v="2"/>
    <s v="Percent of GDP"/>
    <s v="Units"/>
    <x v="6"/>
    <n v="23.178999999999998"/>
  </r>
  <r>
    <n v="603"/>
    <x v="12"/>
    <x v="141"/>
    <x v="7"/>
    <s v="Percent of GDP"/>
    <s v="Units"/>
    <x v="0"/>
    <n v="26.917999999999999"/>
  </r>
  <r>
    <n v="603"/>
    <x v="12"/>
    <x v="141"/>
    <x v="7"/>
    <s v="Percent of GDP"/>
    <s v="Units"/>
    <x v="1"/>
    <n v="21.741"/>
  </r>
  <r>
    <n v="603"/>
    <x v="12"/>
    <x v="141"/>
    <x v="7"/>
    <s v="Percent of GDP"/>
    <s v="Units"/>
    <x v="2"/>
    <n v="25.510999999999999"/>
  </r>
  <r>
    <n v="603"/>
    <x v="12"/>
    <x v="141"/>
    <x v="7"/>
    <s v="Percent of GDP"/>
    <s v="Units"/>
    <x v="3"/>
    <n v="23.021000000000001"/>
  </r>
  <r>
    <n v="603"/>
    <x v="12"/>
    <x v="141"/>
    <x v="7"/>
    <s v="Percent of GDP"/>
    <s v="Units"/>
    <x v="4"/>
    <n v="24.279"/>
  </r>
  <r>
    <n v="603"/>
    <x v="12"/>
    <x v="141"/>
    <x v="7"/>
    <s v="Percent of GDP"/>
    <s v="Units"/>
    <x v="5"/>
    <n v="25.594999999999999"/>
  </r>
  <r>
    <n v="603"/>
    <x v="12"/>
    <x v="141"/>
    <x v="7"/>
    <s v="Percent of GDP"/>
    <s v="Units"/>
    <x v="6"/>
    <n v="26.321999999999999"/>
  </r>
  <r>
    <n v="1"/>
    <x v="2"/>
    <x v="141"/>
    <x v="7"/>
    <s v="Percent of GDP"/>
    <s v="Units"/>
    <x v="0"/>
    <n v="26.917999999999999"/>
  </r>
  <r>
    <n v="1"/>
    <x v="2"/>
    <x v="141"/>
    <x v="7"/>
    <s v="Percent of GDP"/>
    <s v="Units"/>
    <x v="1"/>
    <n v="21.741"/>
  </r>
  <r>
    <n v="1"/>
    <x v="2"/>
    <x v="141"/>
    <x v="7"/>
    <s v="Percent of GDP"/>
    <s v="Units"/>
    <x v="2"/>
    <n v="25.510999999999999"/>
  </r>
  <r>
    <n v="1"/>
    <x v="2"/>
    <x v="141"/>
    <x v="7"/>
    <s v="Percent of GDP"/>
    <s v="Units"/>
    <x v="3"/>
    <n v="23.021000000000001"/>
  </r>
  <r>
    <n v="1"/>
    <x v="2"/>
    <x v="141"/>
    <x v="7"/>
    <s v="Percent of GDP"/>
    <s v="Units"/>
    <x v="4"/>
    <n v="24.279"/>
  </r>
  <r>
    <n v="1"/>
    <x v="2"/>
    <x v="141"/>
    <x v="7"/>
    <s v="Percent of GDP"/>
    <s v="Units"/>
    <x v="5"/>
    <n v="25.594999999999999"/>
  </r>
  <r>
    <n v="1"/>
    <x v="2"/>
    <x v="141"/>
    <x v="7"/>
    <s v="Percent of GDP"/>
    <s v="Units"/>
    <x v="6"/>
    <n v="26.321999999999999"/>
  </r>
  <r>
    <n v="200"/>
    <x v="3"/>
    <x v="141"/>
    <x v="7"/>
    <s v="Percent of GDP"/>
    <s v="Units"/>
    <x v="0"/>
    <n v="26.917999999999999"/>
  </r>
  <r>
    <n v="200"/>
    <x v="3"/>
    <x v="141"/>
    <x v="7"/>
    <s v="Percent of GDP"/>
    <s v="Units"/>
    <x v="1"/>
    <n v="21.741"/>
  </r>
  <r>
    <n v="200"/>
    <x v="3"/>
    <x v="141"/>
    <x v="7"/>
    <s v="Percent of GDP"/>
    <s v="Units"/>
    <x v="2"/>
    <n v="25.510999999999999"/>
  </r>
  <r>
    <n v="200"/>
    <x v="3"/>
    <x v="141"/>
    <x v="7"/>
    <s v="Percent of GDP"/>
    <s v="Units"/>
    <x v="3"/>
    <n v="23.021000000000001"/>
  </r>
  <r>
    <n v="200"/>
    <x v="3"/>
    <x v="141"/>
    <x v="7"/>
    <s v="Percent of GDP"/>
    <s v="Units"/>
    <x v="4"/>
    <n v="24.279"/>
  </r>
  <r>
    <n v="200"/>
    <x v="3"/>
    <x v="141"/>
    <x v="7"/>
    <s v="Percent of GDP"/>
    <s v="Units"/>
    <x v="5"/>
    <n v="25.594999999999999"/>
  </r>
  <r>
    <n v="200"/>
    <x v="3"/>
    <x v="141"/>
    <x v="7"/>
    <s v="Percent of GDP"/>
    <s v="Units"/>
    <x v="6"/>
    <n v="26.321999999999999"/>
  </r>
  <r>
    <n v="603"/>
    <x v="12"/>
    <x v="56"/>
    <x v="1"/>
    <s v="Percent change"/>
    <s v="Units"/>
    <x v="0"/>
    <n v="15.81"/>
  </r>
  <r>
    <n v="603"/>
    <x v="12"/>
    <x v="56"/>
    <x v="1"/>
    <s v="Percent change"/>
    <s v="Units"/>
    <x v="1"/>
    <n v="20.353999999999999"/>
  </r>
  <r>
    <n v="603"/>
    <x v="12"/>
    <x v="56"/>
    <x v="1"/>
    <s v="Percent change"/>
    <s v="Units"/>
    <x v="2"/>
    <n v="26.794"/>
  </r>
  <r>
    <n v="603"/>
    <x v="12"/>
    <x v="56"/>
    <x v="1"/>
    <s v="Percent change"/>
    <s v="Units"/>
    <x v="3"/>
    <n v="33.938000000000002"/>
  </r>
  <r>
    <n v="603"/>
    <x v="12"/>
    <x v="56"/>
    <x v="1"/>
    <s v="Percent change"/>
    <s v="Units"/>
    <x v="4"/>
    <n v="30.219000000000001"/>
  </r>
  <r>
    <n v="603"/>
    <x v="12"/>
    <x v="56"/>
    <x v="1"/>
    <s v="Percent change"/>
    <s v="Units"/>
    <x v="5"/>
    <n v="25.571999999999999"/>
  </r>
  <r>
    <n v="603"/>
    <x v="12"/>
    <x v="56"/>
    <x v="1"/>
    <s v="Percent change"/>
    <s v="Units"/>
    <x v="6"/>
    <n v="18.187000000000001"/>
  </r>
  <r>
    <n v="200"/>
    <x v="3"/>
    <x v="56"/>
    <x v="1"/>
    <s v="Percent change"/>
    <s v="Units"/>
    <x v="0"/>
    <n v="15.81"/>
  </r>
  <r>
    <n v="200"/>
    <x v="3"/>
    <x v="56"/>
    <x v="1"/>
    <s v="Percent change"/>
    <s v="Units"/>
    <x v="1"/>
    <n v="20.353999999999999"/>
  </r>
  <r>
    <n v="200"/>
    <x v="3"/>
    <x v="56"/>
    <x v="1"/>
    <s v="Percent change"/>
    <s v="Units"/>
    <x v="2"/>
    <n v="26.794"/>
  </r>
  <r>
    <n v="200"/>
    <x v="3"/>
    <x v="56"/>
    <x v="1"/>
    <s v="Percent change"/>
    <s v="Units"/>
    <x v="3"/>
    <n v="33.938000000000002"/>
  </r>
  <r>
    <n v="200"/>
    <x v="3"/>
    <x v="56"/>
    <x v="1"/>
    <s v="Percent change"/>
    <s v="Units"/>
    <x v="4"/>
    <n v="30.219000000000001"/>
  </r>
  <r>
    <n v="200"/>
    <x v="3"/>
    <x v="56"/>
    <x v="1"/>
    <s v="Percent change"/>
    <s v="Units"/>
    <x v="5"/>
    <n v="25.571999999999999"/>
  </r>
  <r>
    <n v="200"/>
    <x v="3"/>
    <x v="56"/>
    <x v="1"/>
    <s v="Percent change"/>
    <s v="Units"/>
    <x v="6"/>
    <n v="18.187000000000001"/>
  </r>
  <r>
    <n v="1"/>
    <x v="2"/>
    <x v="56"/>
    <x v="1"/>
    <s v="Percent change"/>
    <s v="Units"/>
    <x v="0"/>
    <n v="15.81"/>
  </r>
  <r>
    <n v="1"/>
    <x v="2"/>
    <x v="56"/>
    <x v="1"/>
    <s v="Percent change"/>
    <s v="Units"/>
    <x v="1"/>
    <n v="20.353999999999999"/>
  </r>
  <r>
    <n v="1"/>
    <x v="2"/>
    <x v="56"/>
    <x v="1"/>
    <s v="Percent change"/>
    <s v="Units"/>
    <x v="2"/>
    <n v="26.794"/>
  </r>
  <r>
    <n v="1"/>
    <x v="2"/>
    <x v="56"/>
    <x v="1"/>
    <s v="Percent change"/>
    <s v="Units"/>
    <x v="3"/>
    <n v="33.938000000000002"/>
  </r>
  <r>
    <n v="1"/>
    <x v="2"/>
    <x v="56"/>
    <x v="1"/>
    <s v="Percent change"/>
    <s v="Units"/>
    <x v="4"/>
    <n v="30.219000000000001"/>
  </r>
  <r>
    <n v="1"/>
    <x v="2"/>
    <x v="56"/>
    <x v="1"/>
    <s v="Percent change"/>
    <s v="Units"/>
    <x v="5"/>
    <n v="25.571999999999999"/>
  </r>
  <r>
    <n v="1"/>
    <x v="2"/>
    <x v="56"/>
    <x v="1"/>
    <s v="Percent change"/>
    <s v="Units"/>
    <x v="6"/>
    <n v="18.187000000000001"/>
  </r>
  <r>
    <n v="603"/>
    <x v="12"/>
    <x v="172"/>
    <x v="3"/>
    <s v="Percent of GDP"/>
    <s v="Units"/>
    <x v="0"/>
    <n v="32.313000000000002"/>
  </r>
  <r>
    <n v="603"/>
    <x v="12"/>
    <x v="172"/>
    <x v="3"/>
    <s v="Percent of GDP"/>
    <s v="Units"/>
    <x v="1"/>
    <n v="35.286000000000001"/>
  </r>
  <r>
    <n v="603"/>
    <x v="12"/>
    <x v="172"/>
    <x v="3"/>
    <s v="Percent of GDP"/>
    <s v="Units"/>
    <x v="2"/>
    <n v="29.788"/>
  </r>
  <r>
    <n v="603"/>
    <x v="12"/>
    <x v="172"/>
    <x v="3"/>
    <s v="Percent of GDP"/>
    <s v="Units"/>
    <x v="3"/>
    <n v="26.931000000000001"/>
  </r>
  <r>
    <n v="603"/>
    <x v="12"/>
    <x v="172"/>
    <x v="3"/>
    <s v="Percent of GDP"/>
    <s v="Units"/>
    <x v="4"/>
    <n v="25.295000000000002"/>
  </r>
  <r>
    <n v="603"/>
    <x v="12"/>
    <x v="172"/>
    <x v="3"/>
    <s v="Percent of GDP"/>
    <s v="Units"/>
    <x v="5"/>
    <n v="25.452000000000002"/>
  </r>
  <r>
    <n v="603"/>
    <x v="12"/>
    <x v="172"/>
    <x v="3"/>
    <s v="Percent of GDP"/>
    <s v="Units"/>
    <x v="6"/>
    <n v="25.931999999999999"/>
  </r>
  <r>
    <n v="200"/>
    <x v="3"/>
    <x v="172"/>
    <x v="3"/>
    <s v="Percent of GDP"/>
    <s v="Units"/>
    <x v="0"/>
    <n v="32.313000000000002"/>
  </r>
  <r>
    <n v="200"/>
    <x v="3"/>
    <x v="172"/>
    <x v="3"/>
    <s v="Percent of GDP"/>
    <s v="Units"/>
    <x v="1"/>
    <n v="35.286000000000001"/>
  </r>
  <r>
    <n v="200"/>
    <x v="3"/>
    <x v="172"/>
    <x v="3"/>
    <s v="Percent of GDP"/>
    <s v="Units"/>
    <x v="2"/>
    <n v="29.788"/>
  </r>
  <r>
    <n v="200"/>
    <x v="3"/>
    <x v="172"/>
    <x v="3"/>
    <s v="Percent of GDP"/>
    <s v="Units"/>
    <x v="3"/>
    <n v="26.931000000000001"/>
  </r>
  <r>
    <n v="200"/>
    <x v="3"/>
    <x v="172"/>
    <x v="3"/>
    <s v="Percent of GDP"/>
    <s v="Units"/>
    <x v="4"/>
    <n v="25.295000000000002"/>
  </r>
  <r>
    <n v="200"/>
    <x v="3"/>
    <x v="172"/>
    <x v="3"/>
    <s v="Percent of GDP"/>
    <s v="Units"/>
    <x v="5"/>
    <n v="25.452000000000002"/>
  </r>
  <r>
    <n v="200"/>
    <x v="3"/>
    <x v="172"/>
    <x v="3"/>
    <s v="Percent of GDP"/>
    <s v="Units"/>
    <x v="6"/>
    <n v="25.931999999999999"/>
  </r>
  <r>
    <n v="200"/>
    <x v="3"/>
    <x v="173"/>
    <x v="0"/>
    <s v="U.S. dollars"/>
    <s v="Billions"/>
    <x v="0"/>
    <n v="13.443"/>
  </r>
  <r>
    <n v="200"/>
    <x v="3"/>
    <x v="173"/>
    <x v="0"/>
    <s v="U.S. dollars"/>
    <s v="Billions"/>
    <x v="1"/>
    <n v="14.089"/>
  </r>
  <r>
    <n v="200"/>
    <x v="3"/>
    <x v="173"/>
    <x v="0"/>
    <s v="U.S. dollars"/>
    <s v="Billions"/>
    <x v="2"/>
    <n v="16.32"/>
  </r>
  <r>
    <n v="200"/>
    <x v="3"/>
    <x v="173"/>
    <x v="0"/>
    <s v="U.S. dollars"/>
    <s v="Billions"/>
    <x v="3"/>
    <n v="19.588999999999999"/>
  </r>
  <r>
    <n v="200"/>
    <x v="3"/>
    <x v="173"/>
    <x v="0"/>
    <s v="U.S. dollars"/>
    <s v="Billions"/>
    <x v="4"/>
    <n v="23.004999999999999"/>
  </r>
  <r>
    <n v="200"/>
    <x v="3"/>
    <x v="173"/>
    <x v="0"/>
    <s v="U.S. dollars"/>
    <s v="Billions"/>
    <x v="5"/>
    <n v="25.446999999999999"/>
  </r>
  <r>
    <n v="200"/>
    <x v="3"/>
    <x v="173"/>
    <x v="0"/>
    <s v="U.S. dollars"/>
    <s v="Billions"/>
    <x v="6"/>
    <n v="27.216000000000001"/>
  </r>
  <r>
    <n v="603"/>
    <x v="12"/>
    <x v="173"/>
    <x v="0"/>
    <s v="U.S. dollars"/>
    <s v="Billions"/>
    <x v="0"/>
    <n v="13.443"/>
  </r>
  <r>
    <n v="603"/>
    <x v="12"/>
    <x v="173"/>
    <x v="0"/>
    <s v="U.S. dollars"/>
    <s v="Billions"/>
    <x v="1"/>
    <n v="14.089"/>
  </r>
  <r>
    <n v="603"/>
    <x v="12"/>
    <x v="173"/>
    <x v="0"/>
    <s v="U.S. dollars"/>
    <s v="Billions"/>
    <x v="2"/>
    <n v="16.32"/>
  </r>
  <r>
    <n v="603"/>
    <x v="12"/>
    <x v="173"/>
    <x v="0"/>
    <s v="U.S. dollars"/>
    <s v="Billions"/>
    <x v="3"/>
    <n v="19.588999999999999"/>
  </r>
  <r>
    <n v="603"/>
    <x v="12"/>
    <x v="173"/>
    <x v="0"/>
    <s v="U.S. dollars"/>
    <s v="Billions"/>
    <x v="4"/>
    <n v="23.004999999999999"/>
  </r>
  <r>
    <n v="603"/>
    <x v="12"/>
    <x v="173"/>
    <x v="0"/>
    <s v="U.S. dollars"/>
    <s v="Billions"/>
    <x v="5"/>
    <n v="25.446999999999999"/>
  </r>
  <r>
    <n v="603"/>
    <x v="12"/>
    <x v="173"/>
    <x v="0"/>
    <s v="U.S. dollars"/>
    <s v="Billions"/>
    <x v="6"/>
    <n v="27.216000000000001"/>
  </r>
  <r>
    <n v="1"/>
    <x v="2"/>
    <x v="173"/>
    <x v="0"/>
    <s v="U.S. dollars"/>
    <s v="Billions"/>
    <x v="0"/>
    <n v="13.443"/>
  </r>
  <r>
    <n v="1"/>
    <x v="2"/>
    <x v="173"/>
    <x v="0"/>
    <s v="U.S. dollars"/>
    <s v="Billions"/>
    <x v="1"/>
    <n v="14.089"/>
  </r>
  <r>
    <n v="1"/>
    <x v="2"/>
    <x v="173"/>
    <x v="0"/>
    <s v="U.S. dollars"/>
    <s v="Billions"/>
    <x v="2"/>
    <n v="16.32"/>
  </r>
  <r>
    <n v="1"/>
    <x v="2"/>
    <x v="173"/>
    <x v="0"/>
    <s v="U.S. dollars"/>
    <s v="Billions"/>
    <x v="3"/>
    <n v="19.588999999999999"/>
  </r>
  <r>
    <n v="1"/>
    <x v="2"/>
    <x v="173"/>
    <x v="0"/>
    <s v="U.S. dollars"/>
    <s v="Billions"/>
    <x v="4"/>
    <n v="23.004999999999999"/>
  </r>
  <r>
    <n v="1"/>
    <x v="2"/>
    <x v="173"/>
    <x v="0"/>
    <s v="U.S. dollars"/>
    <s v="Billions"/>
    <x v="5"/>
    <n v="25.446999999999999"/>
  </r>
  <r>
    <n v="1"/>
    <x v="2"/>
    <x v="173"/>
    <x v="0"/>
    <s v="U.S. dollars"/>
    <s v="Billions"/>
    <x v="6"/>
    <n v="27.216000000000001"/>
  </r>
  <r>
    <n v="200"/>
    <x v="3"/>
    <x v="103"/>
    <x v="5"/>
    <s v="Percent of GDP"/>
    <s v="Units"/>
    <x v="0"/>
    <n v="23.138000000000002"/>
  </r>
  <r>
    <n v="200"/>
    <x v="3"/>
    <x v="103"/>
    <x v="5"/>
    <s v="Percent of GDP"/>
    <s v="Units"/>
    <x v="1"/>
    <n v="25.314"/>
  </r>
  <r>
    <n v="200"/>
    <x v="3"/>
    <x v="103"/>
    <x v="5"/>
    <s v="Percent of GDP"/>
    <s v="Units"/>
    <x v="2"/>
    <n v="14.004"/>
  </r>
  <r>
    <n v="200"/>
    <x v="3"/>
    <x v="103"/>
    <x v="5"/>
    <s v="Percent of GDP"/>
    <s v="Units"/>
    <x v="3"/>
    <n v="11.91"/>
  </r>
  <r>
    <n v="200"/>
    <x v="3"/>
    <x v="103"/>
    <x v="5"/>
    <s v="Percent of GDP"/>
    <s v="Units"/>
    <x v="4"/>
    <n v="22.263999999999999"/>
  </r>
  <r>
    <n v="200"/>
    <x v="3"/>
    <x v="103"/>
    <x v="5"/>
    <s v="Percent of GDP"/>
    <s v="Units"/>
    <x v="5"/>
    <n v="25.436"/>
  </r>
  <r>
    <n v="200"/>
    <x v="3"/>
    <x v="103"/>
    <x v="5"/>
    <s v="Percent of GDP"/>
    <s v="Units"/>
    <x v="6"/>
    <n v="20.771999999999998"/>
  </r>
  <r>
    <n v="603"/>
    <x v="12"/>
    <x v="103"/>
    <x v="5"/>
    <s v="Percent of GDP"/>
    <s v="Units"/>
    <x v="0"/>
    <n v="23.138000000000002"/>
  </r>
  <r>
    <n v="603"/>
    <x v="12"/>
    <x v="103"/>
    <x v="5"/>
    <s v="Percent of GDP"/>
    <s v="Units"/>
    <x v="1"/>
    <n v="25.314"/>
  </r>
  <r>
    <n v="603"/>
    <x v="12"/>
    <x v="103"/>
    <x v="5"/>
    <s v="Percent of GDP"/>
    <s v="Units"/>
    <x v="2"/>
    <n v="14.004"/>
  </r>
  <r>
    <n v="603"/>
    <x v="12"/>
    <x v="103"/>
    <x v="5"/>
    <s v="Percent of GDP"/>
    <s v="Units"/>
    <x v="3"/>
    <n v="11.91"/>
  </r>
  <r>
    <n v="603"/>
    <x v="12"/>
    <x v="103"/>
    <x v="5"/>
    <s v="Percent of GDP"/>
    <s v="Units"/>
    <x v="4"/>
    <n v="22.263999999999999"/>
  </r>
  <r>
    <n v="603"/>
    <x v="12"/>
    <x v="103"/>
    <x v="5"/>
    <s v="Percent of GDP"/>
    <s v="Units"/>
    <x v="5"/>
    <n v="25.436"/>
  </r>
  <r>
    <n v="603"/>
    <x v="12"/>
    <x v="103"/>
    <x v="5"/>
    <s v="Percent of GDP"/>
    <s v="Units"/>
    <x v="6"/>
    <n v="20.771999999999998"/>
  </r>
  <r>
    <n v="1"/>
    <x v="2"/>
    <x v="103"/>
    <x v="5"/>
    <s v="Percent of GDP"/>
    <s v="Units"/>
    <x v="0"/>
    <n v="23.138000000000002"/>
  </r>
  <r>
    <n v="1"/>
    <x v="2"/>
    <x v="103"/>
    <x v="5"/>
    <s v="Percent of GDP"/>
    <s v="Units"/>
    <x v="1"/>
    <n v="25.314"/>
  </r>
  <r>
    <n v="1"/>
    <x v="2"/>
    <x v="103"/>
    <x v="5"/>
    <s v="Percent of GDP"/>
    <s v="Units"/>
    <x v="2"/>
    <n v="14.004"/>
  </r>
  <r>
    <n v="1"/>
    <x v="2"/>
    <x v="103"/>
    <x v="5"/>
    <s v="Percent of GDP"/>
    <s v="Units"/>
    <x v="3"/>
    <n v="11.91"/>
  </r>
  <r>
    <n v="1"/>
    <x v="2"/>
    <x v="103"/>
    <x v="5"/>
    <s v="Percent of GDP"/>
    <s v="Units"/>
    <x v="4"/>
    <n v="22.263999999999999"/>
  </r>
  <r>
    <n v="1"/>
    <x v="2"/>
    <x v="103"/>
    <x v="5"/>
    <s v="Percent of GDP"/>
    <s v="Units"/>
    <x v="5"/>
    <n v="25.436"/>
  </r>
  <r>
    <n v="1"/>
    <x v="2"/>
    <x v="103"/>
    <x v="5"/>
    <s v="Percent of GDP"/>
    <s v="Units"/>
    <x v="6"/>
    <n v="20.771999999999998"/>
  </r>
  <r>
    <n v="903"/>
    <x v="8"/>
    <x v="154"/>
    <x v="0"/>
    <s v="U.S. dollars"/>
    <s v="Billions"/>
    <x v="0"/>
    <n v="15.398999999999999"/>
  </r>
  <r>
    <n v="903"/>
    <x v="8"/>
    <x v="154"/>
    <x v="0"/>
    <s v="U.S. dollars"/>
    <s v="Billions"/>
    <x v="1"/>
    <n v="15.192"/>
  </r>
  <r>
    <n v="903"/>
    <x v="8"/>
    <x v="154"/>
    <x v="0"/>
    <s v="U.S. dollars"/>
    <s v="Billions"/>
    <x v="2"/>
    <n v="17.984000000000002"/>
  </r>
  <r>
    <n v="903"/>
    <x v="8"/>
    <x v="154"/>
    <x v="0"/>
    <s v="U.S. dollars"/>
    <s v="Billions"/>
    <x v="3"/>
    <n v="19.082999999999998"/>
  </r>
  <r>
    <n v="903"/>
    <x v="8"/>
    <x v="154"/>
    <x v="0"/>
    <s v="U.S. dollars"/>
    <s v="Billions"/>
    <x v="4"/>
    <n v="22.742999999999999"/>
  </r>
  <r>
    <n v="903"/>
    <x v="8"/>
    <x v="154"/>
    <x v="0"/>
    <s v="U.S. dollars"/>
    <s v="Billions"/>
    <x v="5"/>
    <n v="25.431000000000001"/>
  </r>
  <r>
    <n v="903"/>
    <x v="8"/>
    <x v="154"/>
    <x v="0"/>
    <s v="U.S. dollars"/>
    <s v="Billions"/>
    <x v="6"/>
    <n v="26.911000000000001"/>
  </r>
  <r>
    <n v="200"/>
    <x v="3"/>
    <x v="154"/>
    <x v="0"/>
    <s v="U.S. dollars"/>
    <s v="Billions"/>
    <x v="0"/>
    <n v="15.398999999999999"/>
  </r>
  <r>
    <n v="200"/>
    <x v="3"/>
    <x v="154"/>
    <x v="0"/>
    <s v="U.S. dollars"/>
    <s v="Billions"/>
    <x v="1"/>
    <n v="15.192"/>
  </r>
  <r>
    <n v="200"/>
    <x v="3"/>
    <x v="154"/>
    <x v="0"/>
    <s v="U.S. dollars"/>
    <s v="Billions"/>
    <x v="2"/>
    <n v="17.984000000000002"/>
  </r>
  <r>
    <n v="200"/>
    <x v="3"/>
    <x v="154"/>
    <x v="0"/>
    <s v="U.S. dollars"/>
    <s v="Billions"/>
    <x v="3"/>
    <n v="19.082999999999998"/>
  </r>
  <r>
    <n v="200"/>
    <x v="3"/>
    <x v="154"/>
    <x v="0"/>
    <s v="U.S. dollars"/>
    <s v="Billions"/>
    <x v="4"/>
    <n v="22.742999999999999"/>
  </r>
  <r>
    <n v="200"/>
    <x v="3"/>
    <x v="154"/>
    <x v="0"/>
    <s v="U.S. dollars"/>
    <s v="Billions"/>
    <x v="5"/>
    <n v="25.431000000000001"/>
  </r>
  <r>
    <n v="200"/>
    <x v="3"/>
    <x v="154"/>
    <x v="0"/>
    <s v="U.S. dollars"/>
    <s v="Billions"/>
    <x v="6"/>
    <n v="26.911000000000001"/>
  </r>
  <r>
    <n v="1"/>
    <x v="2"/>
    <x v="154"/>
    <x v="0"/>
    <s v="U.S. dollars"/>
    <s v="Billions"/>
    <x v="0"/>
    <n v="15.398999999999999"/>
  </r>
  <r>
    <n v="1"/>
    <x v="2"/>
    <x v="154"/>
    <x v="0"/>
    <s v="U.S. dollars"/>
    <s v="Billions"/>
    <x v="1"/>
    <n v="15.192"/>
  </r>
  <r>
    <n v="1"/>
    <x v="2"/>
    <x v="154"/>
    <x v="0"/>
    <s v="U.S. dollars"/>
    <s v="Billions"/>
    <x v="2"/>
    <n v="17.984000000000002"/>
  </r>
  <r>
    <n v="1"/>
    <x v="2"/>
    <x v="154"/>
    <x v="0"/>
    <s v="U.S. dollars"/>
    <s v="Billions"/>
    <x v="3"/>
    <n v="19.082999999999998"/>
  </r>
  <r>
    <n v="1"/>
    <x v="2"/>
    <x v="154"/>
    <x v="0"/>
    <s v="U.S. dollars"/>
    <s v="Billions"/>
    <x v="4"/>
    <n v="22.742999999999999"/>
  </r>
  <r>
    <n v="1"/>
    <x v="2"/>
    <x v="154"/>
    <x v="0"/>
    <s v="U.S. dollars"/>
    <s v="Billions"/>
    <x v="5"/>
    <n v="25.431000000000001"/>
  </r>
  <r>
    <n v="1"/>
    <x v="2"/>
    <x v="154"/>
    <x v="0"/>
    <s v="U.S. dollars"/>
    <s v="Billions"/>
    <x v="6"/>
    <n v="26.911000000000001"/>
  </r>
  <r>
    <n v="200"/>
    <x v="3"/>
    <x v="157"/>
    <x v="0"/>
    <s v="U.S. dollars"/>
    <s v="Billions"/>
    <x v="0"/>
    <n v="13.619"/>
  </r>
  <r>
    <n v="200"/>
    <x v="3"/>
    <x v="157"/>
    <x v="0"/>
    <s v="U.S. dollars"/>
    <s v="Billions"/>
    <x v="1"/>
    <n v="12.641999999999999"/>
  </r>
  <r>
    <n v="200"/>
    <x v="3"/>
    <x v="157"/>
    <x v="0"/>
    <s v="U.S. dollars"/>
    <s v="Billions"/>
    <x v="2"/>
    <n v="13.879"/>
  </r>
  <r>
    <n v="200"/>
    <x v="3"/>
    <x v="157"/>
    <x v="0"/>
    <s v="U.S. dollars"/>
    <s v="Billions"/>
    <x v="3"/>
    <n v="19.513999999999999"/>
  </r>
  <r>
    <n v="200"/>
    <x v="3"/>
    <x v="157"/>
    <x v="0"/>
    <s v="U.S. dollars"/>
    <s v="Billions"/>
    <x v="4"/>
    <n v="24.155000000000001"/>
  </r>
  <r>
    <n v="200"/>
    <x v="3"/>
    <x v="157"/>
    <x v="0"/>
    <s v="U.S. dollars"/>
    <s v="Billions"/>
    <x v="5"/>
    <n v="25.408000000000001"/>
  </r>
  <r>
    <n v="200"/>
    <x v="3"/>
    <x v="157"/>
    <x v="0"/>
    <s v="U.S. dollars"/>
    <s v="Billions"/>
    <x v="6"/>
    <n v="27.151"/>
  </r>
  <r>
    <n v="400"/>
    <x v="11"/>
    <x v="157"/>
    <x v="0"/>
    <s v="U.S. dollars"/>
    <s v="Billions"/>
    <x v="0"/>
    <n v="13.619"/>
  </r>
  <r>
    <n v="400"/>
    <x v="11"/>
    <x v="157"/>
    <x v="0"/>
    <s v="U.S. dollars"/>
    <s v="Billions"/>
    <x v="1"/>
    <n v="12.641999999999999"/>
  </r>
  <r>
    <n v="400"/>
    <x v="11"/>
    <x v="157"/>
    <x v="0"/>
    <s v="U.S. dollars"/>
    <s v="Billions"/>
    <x v="2"/>
    <n v="13.879"/>
  </r>
  <r>
    <n v="400"/>
    <x v="11"/>
    <x v="157"/>
    <x v="0"/>
    <s v="U.S. dollars"/>
    <s v="Billions"/>
    <x v="3"/>
    <n v="19.513999999999999"/>
  </r>
  <r>
    <n v="400"/>
    <x v="11"/>
    <x v="157"/>
    <x v="0"/>
    <s v="U.S. dollars"/>
    <s v="Billions"/>
    <x v="4"/>
    <n v="24.155000000000001"/>
  </r>
  <r>
    <n v="400"/>
    <x v="11"/>
    <x v="157"/>
    <x v="0"/>
    <s v="U.S. dollars"/>
    <s v="Billions"/>
    <x v="5"/>
    <n v="25.408000000000001"/>
  </r>
  <r>
    <n v="400"/>
    <x v="11"/>
    <x v="157"/>
    <x v="0"/>
    <s v="U.S. dollars"/>
    <s v="Billions"/>
    <x v="6"/>
    <n v="27.151"/>
  </r>
  <r>
    <n v="1"/>
    <x v="2"/>
    <x v="157"/>
    <x v="0"/>
    <s v="U.S. dollars"/>
    <s v="Billions"/>
    <x v="0"/>
    <n v="13.619"/>
  </r>
  <r>
    <n v="1"/>
    <x v="2"/>
    <x v="157"/>
    <x v="0"/>
    <s v="U.S. dollars"/>
    <s v="Billions"/>
    <x v="1"/>
    <n v="12.641999999999999"/>
  </r>
  <r>
    <n v="1"/>
    <x v="2"/>
    <x v="157"/>
    <x v="0"/>
    <s v="U.S. dollars"/>
    <s v="Billions"/>
    <x v="2"/>
    <n v="13.879"/>
  </r>
  <r>
    <n v="1"/>
    <x v="2"/>
    <x v="157"/>
    <x v="0"/>
    <s v="U.S. dollars"/>
    <s v="Billions"/>
    <x v="3"/>
    <n v="19.513999999999999"/>
  </r>
  <r>
    <n v="1"/>
    <x v="2"/>
    <x v="157"/>
    <x v="0"/>
    <s v="U.S. dollars"/>
    <s v="Billions"/>
    <x v="4"/>
    <n v="24.155000000000001"/>
  </r>
  <r>
    <n v="1"/>
    <x v="2"/>
    <x v="157"/>
    <x v="0"/>
    <s v="U.S. dollars"/>
    <s v="Billions"/>
    <x v="5"/>
    <n v="25.408000000000001"/>
  </r>
  <r>
    <n v="1"/>
    <x v="2"/>
    <x v="157"/>
    <x v="0"/>
    <s v="U.S. dollars"/>
    <s v="Billions"/>
    <x v="6"/>
    <n v="27.151"/>
  </r>
  <r>
    <n v="200"/>
    <x v="3"/>
    <x v="55"/>
    <x v="7"/>
    <s v="Percent of GDP"/>
    <s v="Units"/>
    <x v="0"/>
    <n v="28.228000000000002"/>
  </r>
  <r>
    <n v="200"/>
    <x v="3"/>
    <x v="55"/>
    <x v="7"/>
    <s v="Percent of GDP"/>
    <s v="Units"/>
    <x v="1"/>
    <n v="27.138000000000002"/>
  </r>
  <r>
    <n v="200"/>
    <x v="3"/>
    <x v="55"/>
    <x v="7"/>
    <s v="Percent of GDP"/>
    <s v="Units"/>
    <x v="2"/>
    <n v="30.518999999999998"/>
  </r>
  <r>
    <n v="200"/>
    <x v="3"/>
    <x v="55"/>
    <x v="7"/>
    <s v="Percent of GDP"/>
    <s v="Units"/>
    <x v="3"/>
    <n v="33.625999999999998"/>
  </r>
  <r>
    <n v="200"/>
    <x v="3"/>
    <x v="55"/>
    <x v="7"/>
    <s v="Percent of GDP"/>
    <s v="Units"/>
    <x v="4"/>
    <n v="25.52"/>
  </r>
  <r>
    <n v="200"/>
    <x v="3"/>
    <x v="55"/>
    <x v="7"/>
    <s v="Percent of GDP"/>
    <s v="Units"/>
    <x v="5"/>
    <n v="25.399000000000001"/>
  </r>
  <r>
    <n v="200"/>
    <x v="3"/>
    <x v="55"/>
    <x v="7"/>
    <s v="Percent of GDP"/>
    <s v="Units"/>
    <x v="6"/>
    <n v="26.396000000000001"/>
  </r>
  <r>
    <n v="998"/>
    <x v="6"/>
    <x v="55"/>
    <x v="7"/>
    <s v="Percent of GDP"/>
    <s v="Units"/>
    <x v="0"/>
    <n v="28.228000000000002"/>
  </r>
  <r>
    <n v="998"/>
    <x v="6"/>
    <x v="55"/>
    <x v="7"/>
    <s v="Percent of GDP"/>
    <s v="Units"/>
    <x v="1"/>
    <n v="27.138000000000002"/>
  </r>
  <r>
    <n v="998"/>
    <x v="6"/>
    <x v="55"/>
    <x v="7"/>
    <s v="Percent of GDP"/>
    <s v="Units"/>
    <x v="2"/>
    <n v="30.518999999999998"/>
  </r>
  <r>
    <n v="998"/>
    <x v="6"/>
    <x v="55"/>
    <x v="7"/>
    <s v="Percent of GDP"/>
    <s v="Units"/>
    <x v="3"/>
    <n v="33.625999999999998"/>
  </r>
  <r>
    <n v="998"/>
    <x v="6"/>
    <x v="55"/>
    <x v="7"/>
    <s v="Percent of GDP"/>
    <s v="Units"/>
    <x v="4"/>
    <n v="25.52"/>
  </r>
  <r>
    <n v="998"/>
    <x v="6"/>
    <x v="55"/>
    <x v="7"/>
    <s v="Percent of GDP"/>
    <s v="Units"/>
    <x v="5"/>
    <n v="25.399000000000001"/>
  </r>
  <r>
    <n v="998"/>
    <x v="6"/>
    <x v="55"/>
    <x v="7"/>
    <s v="Percent of GDP"/>
    <s v="Units"/>
    <x v="6"/>
    <n v="26.396000000000001"/>
  </r>
  <r>
    <n v="1"/>
    <x v="2"/>
    <x v="55"/>
    <x v="7"/>
    <s v="Percent of GDP"/>
    <s v="Units"/>
    <x v="0"/>
    <n v="28.228000000000002"/>
  </r>
  <r>
    <n v="1"/>
    <x v="2"/>
    <x v="55"/>
    <x v="7"/>
    <s v="Percent of GDP"/>
    <s v="Units"/>
    <x v="1"/>
    <n v="27.138000000000002"/>
  </r>
  <r>
    <n v="1"/>
    <x v="2"/>
    <x v="55"/>
    <x v="7"/>
    <s v="Percent of GDP"/>
    <s v="Units"/>
    <x v="2"/>
    <n v="30.518999999999998"/>
  </r>
  <r>
    <n v="1"/>
    <x v="2"/>
    <x v="55"/>
    <x v="7"/>
    <s v="Percent of GDP"/>
    <s v="Units"/>
    <x v="3"/>
    <n v="33.625999999999998"/>
  </r>
  <r>
    <n v="1"/>
    <x v="2"/>
    <x v="55"/>
    <x v="7"/>
    <s v="Percent of GDP"/>
    <s v="Units"/>
    <x v="4"/>
    <n v="25.52"/>
  </r>
  <r>
    <n v="1"/>
    <x v="2"/>
    <x v="55"/>
    <x v="7"/>
    <s v="Percent of GDP"/>
    <s v="Units"/>
    <x v="5"/>
    <n v="25.399000000000001"/>
  </r>
  <r>
    <n v="1"/>
    <x v="2"/>
    <x v="55"/>
    <x v="7"/>
    <s v="Percent of GDP"/>
    <s v="Units"/>
    <x v="6"/>
    <n v="26.396000000000001"/>
  </r>
  <r>
    <n v="903"/>
    <x v="8"/>
    <x v="55"/>
    <x v="7"/>
    <s v="Percent of GDP"/>
    <s v="Units"/>
    <x v="0"/>
    <n v="28.228000000000002"/>
  </r>
  <r>
    <n v="903"/>
    <x v="8"/>
    <x v="55"/>
    <x v="7"/>
    <s v="Percent of GDP"/>
    <s v="Units"/>
    <x v="1"/>
    <n v="27.138000000000002"/>
  </r>
  <r>
    <n v="903"/>
    <x v="8"/>
    <x v="55"/>
    <x v="7"/>
    <s v="Percent of GDP"/>
    <s v="Units"/>
    <x v="2"/>
    <n v="30.518999999999998"/>
  </r>
  <r>
    <n v="903"/>
    <x v="8"/>
    <x v="55"/>
    <x v="7"/>
    <s v="Percent of GDP"/>
    <s v="Units"/>
    <x v="3"/>
    <n v="33.625999999999998"/>
  </r>
  <r>
    <n v="903"/>
    <x v="8"/>
    <x v="55"/>
    <x v="7"/>
    <s v="Percent of GDP"/>
    <s v="Units"/>
    <x v="4"/>
    <n v="25.52"/>
  </r>
  <r>
    <n v="903"/>
    <x v="8"/>
    <x v="55"/>
    <x v="7"/>
    <s v="Percent of GDP"/>
    <s v="Units"/>
    <x v="5"/>
    <n v="25.399000000000001"/>
  </r>
  <r>
    <n v="903"/>
    <x v="8"/>
    <x v="55"/>
    <x v="7"/>
    <s v="Percent of GDP"/>
    <s v="Units"/>
    <x v="6"/>
    <n v="26.396000000000001"/>
  </r>
  <r>
    <n v="510"/>
    <x v="10"/>
    <x v="36"/>
    <x v="7"/>
    <s v="Percent of GDP"/>
    <s v="Units"/>
    <x v="0"/>
    <n v="21.047999999999998"/>
  </r>
  <r>
    <n v="510"/>
    <x v="10"/>
    <x v="36"/>
    <x v="7"/>
    <s v="Percent of GDP"/>
    <s v="Units"/>
    <x v="1"/>
    <n v="19.658000000000001"/>
  </r>
  <r>
    <n v="510"/>
    <x v="10"/>
    <x v="36"/>
    <x v="7"/>
    <s v="Percent of GDP"/>
    <s v="Units"/>
    <x v="2"/>
    <n v="22.106999999999999"/>
  </r>
  <r>
    <n v="510"/>
    <x v="10"/>
    <x v="36"/>
    <x v="7"/>
    <s v="Percent of GDP"/>
    <s v="Units"/>
    <x v="3"/>
    <n v="23.506"/>
  </r>
  <r>
    <n v="510"/>
    <x v="10"/>
    <x v="36"/>
    <x v="7"/>
    <s v="Percent of GDP"/>
    <s v="Units"/>
    <x v="4"/>
    <n v="25.83"/>
  </r>
  <r>
    <n v="510"/>
    <x v="10"/>
    <x v="36"/>
    <x v="7"/>
    <s v="Percent of GDP"/>
    <s v="Units"/>
    <x v="5"/>
    <n v="25.324999999999999"/>
  </r>
  <r>
    <n v="510"/>
    <x v="10"/>
    <x v="36"/>
    <x v="7"/>
    <s v="Percent of GDP"/>
    <s v="Units"/>
    <x v="6"/>
    <n v="25.902999999999999"/>
  </r>
  <r>
    <n v="505"/>
    <x v="4"/>
    <x v="36"/>
    <x v="7"/>
    <s v="Percent of GDP"/>
    <s v="Units"/>
    <x v="0"/>
    <n v="21.047999999999998"/>
  </r>
  <r>
    <n v="505"/>
    <x v="4"/>
    <x v="36"/>
    <x v="7"/>
    <s v="Percent of GDP"/>
    <s v="Units"/>
    <x v="1"/>
    <n v="19.658000000000001"/>
  </r>
  <r>
    <n v="505"/>
    <x v="4"/>
    <x v="36"/>
    <x v="7"/>
    <s v="Percent of GDP"/>
    <s v="Units"/>
    <x v="2"/>
    <n v="22.106999999999999"/>
  </r>
  <r>
    <n v="505"/>
    <x v="4"/>
    <x v="36"/>
    <x v="7"/>
    <s v="Percent of GDP"/>
    <s v="Units"/>
    <x v="3"/>
    <n v="23.506"/>
  </r>
  <r>
    <n v="505"/>
    <x v="4"/>
    <x v="36"/>
    <x v="7"/>
    <s v="Percent of GDP"/>
    <s v="Units"/>
    <x v="4"/>
    <n v="25.83"/>
  </r>
  <r>
    <n v="505"/>
    <x v="4"/>
    <x v="36"/>
    <x v="7"/>
    <s v="Percent of GDP"/>
    <s v="Units"/>
    <x v="5"/>
    <n v="25.324999999999999"/>
  </r>
  <r>
    <n v="505"/>
    <x v="4"/>
    <x v="36"/>
    <x v="7"/>
    <s v="Percent of GDP"/>
    <s v="Units"/>
    <x v="6"/>
    <n v="25.902999999999999"/>
  </r>
  <r>
    <n v="200"/>
    <x v="3"/>
    <x v="36"/>
    <x v="7"/>
    <s v="Percent of GDP"/>
    <s v="Units"/>
    <x v="0"/>
    <n v="21.047999999999998"/>
  </r>
  <r>
    <n v="200"/>
    <x v="3"/>
    <x v="36"/>
    <x v="7"/>
    <s v="Percent of GDP"/>
    <s v="Units"/>
    <x v="1"/>
    <n v="19.658000000000001"/>
  </r>
  <r>
    <n v="200"/>
    <x v="3"/>
    <x v="36"/>
    <x v="7"/>
    <s v="Percent of GDP"/>
    <s v="Units"/>
    <x v="2"/>
    <n v="22.106999999999999"/>
  </r>
  <r>
    <n v="200"/>
    <x v="3"/>
    <x v="36"/>
    <x v="7"/>
    <s v="Percent of GDP"/>
    <s v="Units"/>
    <x v="3"/>
    <n v="23.506"/>
  </r>
  <r>
    <n v="200"/>
    <x v="3"/>
    <x v="36"/>
    <x v="7"/>
    <s v="Percent of GDP"/>
    <s v="Units"/>
    <x v="4"/>
    <n v="25.83"/>
  </r>
  <r>
    <n v="200"/>
    <x v="3"/>
    <x v="36"/>
    <x v="7"/>
    <s v="Percent of GDP"/>
    <s v="Units"/>
    <x v="5"/>
    <n v="25.324999999999999"/>
  </r>
  <r>
    <n v="200"/>
    <x v="3"/>
    <x v="36"/>
    <x v="7"/>
    <s v="Percent of GDP"/>
    <s v="Units"/>
    <x v="6"/>
    <n v="25.902999999999999"/>
  </r>
  <r>
    <n v="1"/>
    <x v="2"/>
    <x v="36"/>
    <x v="7"/>
    <s v="Percent of GDP"/>
    <s v="Units"/>
    <x v="0"/>
    <n v="21.047999999999998"/>
  </r>
  <r>
    <n v="1"/>
    <x v="2"/>
    <x v="36"/>
    <x v="7"/>
    <s v="Percent of GDP"/>
    <s v="Units"/>
    <x v="1"/>
    <n v="19.658000000000001"/>
  </r>
  <r>
    <n v="1"/>
    <x v="2"/>
    <x v="36"/>
    <x v="7"/>
    <s v="Percent of GDP"/>
    <s v="Units"/>
    <x v="2"/>
    <n v="22.106999999999999"/>
  </r>
  <r>
    <n v="1"/>
    <x v="2"/>
    <x v="36"/>
    <x v="7"/>
    <s v="Percent of GDP"/>
    <s v="Units"/>
    <x v="3"/>
    <n v="23.506"/>
  </r>
  <r>
    <n v="1"/>
    <x v="2"/>
    <x v="36"/>
    <x v="7"/>
    <s v="Percent of GDP"/>
    <s v="Units"/>
    <x v="4"/>
    <n v="25.83"/>
  </r>
  <r>
    <n v="1"/>
    <x v="2"/>
    <x v="36"/>
    <x v="7"/>
    <s v="Percent of GDP"/>
    <s v="Units"/>
    <x v="5"/>
    <n v="25.324999999999999"/>
  </r>
  <r>
    <n v="1"/>
    <x v="2"/>
    <x v="36"/>
    <x v="7"/>
    <s v="Percent of GDP"/>
    <s v="Units"/>
    <x v="6"/>
    <n v="25.902999999999999"/>
  </r>
  <r>
    <n v="200"/>
    <x v="3"/>
    <x v="131"/>
    <x v="2"/>
    <s v="Percent of GDP"/>
    <s v="Units"/>
    <x v="0"/>
    <n v="25.812999999999999"/>
  </r>
  <r>
    <n v="200"/>
    <x v="3"/>
    <x v="131"/>
    <x v="2"/>
    <s v="Percent of GDP"/>
    <s v="Units"/>
    <x v="1"/>
    <n v="23.352"/>
  </r>
  <r>
    <n v="200"/>
    <x v="3"/>
    <x v="131"/>
    <x v="2"/>
    <s v="Percent of GDP"/>
    <s v="Units"/>
    <x v="2"/>
    <n v="25.285"/>
  </r>
  <r>
    <n v="200"/>
    <x v="3"/>
    <x v="131"/>
    <x v="2"/>
    <s v="Percent of GDP"/>
    <s v="Units"/>
    <x v="3"/>
    <n v="25.47"/>
  </r>
  <r>
    <n v="200"/>
    <x v="3"/>
    <x v="131"/>
    <x v="2"/>
    <s v="Percent of GDP"/>
    <s v="Units"/>
    <x v="4"/>
    <n v="24.724"/>
  </r>
  <r>
    <n v="200"/>
    <x v="3"/>
    <x v="131"/>
    <x v="2"/>
    <s v="Percent of GDP"/>
    <s v="Units"/>
    <x v="5"/>
    <n v="25.295000000000002"/>
  </r>
  <r>
    <n v="200"/>
    <x v="3"/>
    <x v="131"/>
    <x v="2"/>
    <s v="Percent of GDP"/>
    <s v="Units"/>
    <x v="6"/>
    <n v="25.611999999999998"/>
  </r>
  <r>
    <n v="205"/>
    <x v="7"/>
    <x v="131"/>
    <x v="2"/>
    <s v="Percent of GDP"/>
    <s v="Units"/>
    <x v="0"/>
    <n v="25.812999999999999"/>
  </r>
  <r>
    <n v="205"/>
    <x v="7"/>
    <x v="131"/>
    <x v="2"/>
    <s v="Percent of GDP"/>
    <s v="Units"/>
    <x v="1"/>
    <n v="23.352"/>
  </r>
  <r>
    <n v="205"/>
    <x v="7"/>
    <x v="131"/>
    <x v="2"/>
    <s v="Percent of GDP"/>
    <s v="Units"/>
    <x v="2"/>
    <n v="25.285"/>
  </r>
  <r>
    <n v="205"/>
    <x v="7"/>
    <x v="131"/>
    <x v="2"/>
    <s v="Percent of GDP"/>
    <s v="Units"/>
    <x v="3"/>
    <n v="25.47"/>
  </r>
  <r>
    <n v="205"/>
    <x v="7"/>
    <x v="131"/>
    <x v="2"/>
    <s v="Percent of GDP"/>
    <s v="Units"/>
    <x v="4"/>
    <n v="24.724"/>
  </r>
  <r>
    <n v="205"/>
    <x v="7"/>
    <x v="131"/>
    <x v="2"/>
    <s v="Percent of GDP"/>
    <s v="Units"/>
    <x v="5"/>
    <n v="25.295000000000002"/>
  </r>
  <r>
    <n v="205"/>
    <x v="7"/>
    <x v="131"/>
    <x v="2"/>
    <s v="Percent of GDP"/>
    <s v="Units"/>
    <x v="6"/>
    <n v="25.611999999999998"/>
  </r>
  <r>
    <n v="1"/>
    <x v="2"/>
    <x v="55"/>
    <x v="5"/>
    <s v="Percent of GDP"/>
    <s v="Units"/>
    <x v="0"/>
    <n v="27.577999999999999"/>
  </r>
  <r>
    <n v="1"/>
    <x v="2"/>
    <x v="55"/>
    <x v="5"/>
    <s v="Percent of GDP"/>
    <s v="Units"/>
    <x v="1"/>
    <n v="26.131"/>
  </r>
  <r>
    <n v="1"/>
    <x v="2"/>
    <x v="55"/>
    <x v="5"/>
    <s v="Percent of GDP"/>
    <s v="Units"/>
    <x v="2"/>
    <n v="26.442"/>
  </r>
  <r>
    <n v="1"/>
    <x v="2"/>
    <x v="55"/>
    <x v="5"/>
    <s v="Percent of GDP"/>
    <s v="Units"/>
    <x v="3"/>
    <n v="25.548999999999999"/>
  </r>
  <r>
    <n v="1"/>
    <x v="2"/>
    <x v="55"/>
    <x v="5"/>
    <s v="Percent of GDP"/>
    <s v="Units"/>
    <x v="4"/>
    <n v="25.913"/>
  </r>
  <r>
    <n v="1"/>
    <x v="2"/>
    <x v="55"/>
    <x v="5"/>
    <s v="Percent of GDP"/>
    <s v="Units"/>
    <x v="5"/>
    <n v="25.215"/>
  </r>
  <r>
    <n v="1"/>
    <x v="2"/>
    <x v="55"/>
    <x v="5"/>
    <s v="Percent of GDP"/>
    <s v="Units"/>
    <x v="6"/>
    <n v="26.120999999999999"/>
  </r>
  <r>
    <n v="200"/>
    <x v="3"/>
    <x v="55"/>
    <x v="5"/>
    <s v="Percent of GDP"/>
    <s v="Units"/>
    <x v="0"/>
    <n v="27.577999999999999"/>
  </r>
  <r>
    <n v="200"/>
    <x v="3"/>
    <x v="55"/>
    <x v="5"/>
    <s v="Percent of GDP"/>
    <s v="Units"/>
    <x v="1"/>
    <n v="26.131"/>
  </r>
  <r>
    <n v="200"/>
    <x v="3"/>
    <x v="55"/>
    <x v="5"/>
    <s v="Percent of GDP"/>
    <s v="Units"/>
    <x v="2"/>
    <n v="26.442"/>
  </r>
  <r>
    <n v="200"/>
    <x v="3"/>
    <x v="55"/>
    <x v="5"/>
    <s v="Percent of GDP"/>
    <s v="Units"/>
    <x v="3"/>
    <n v="25.548999999999999"/>
  </r>
  <r>
    <n v="200"/>
    <x v="3"/>
    <x v="55"/>
    <x v="5"/>
    <s v="Percent of GDP"/>
    <s v="Units"/>
    <x v="4"/>
    <n v="25.913"/>
  </r>
  <r>
    <n v="200"/>
    <x v="3"/>
    <x v="55"/>
    <x v="5"/>
    <s v="Percent of GDP"/>
    <s v="Units"/>
    <x v="5"/>
    <n v="25.215"/>
  </r>
  <r>
    <n v="200"/>
    <x v="3"/>
    <x v="55"/>
    <x v="5"/>
    <s v="Percent of GDP"/>
    <s v="Units"/>
    <x v="6"/>
    <n v="26.120999999999999"/>
  </r>
  <r>
    <n v="903"/>
    <x v="8"/>
    <x v="55"/>
    <x v="5"/>
    <s v="Percent of GDP"/>
    <s v="Units"/>
    <x v="0"/>
    <n v="27.577999999999999"/>
  </r>
  <r>
    <n v="903"/>
    <x v="8"/>
    <x v="55"/>
    <x v="5"/>
    <s v="Percent of GDP"/>
    <s v="Units"/>
    <x v="1"/>
    <n v="26.131"/>
  </r>
  <r>
    <n v="903"/>
    <x v="8"/>
    <x v="55"/>
    <x v="5"/>
    <s v="Percent of GDP"/>
    <s v="Units"/>
    <x v="2"/>
    <n v="26.442"/>
  </r>
  <r>
    <n v="903"/>
    <x v="8"/>
    <x v="55"/>
    <x v="5"/>
    <s v="Percent of GDP"/>
    <s v="Units"/>
    <x v="3"/>
    <n v="25.548999999999999"/>
  </r>
  <r>
    <n v="903"/>
    <x v="8"/>
    <x v="55"/>
    <x v="5"/>
    <s v="Percent of GDP"/>
    <s v="Units"/>
    <x v="4"/>
    <n v="25.913"/>
  </r>
  <r>
    <n v="903"/>
    <x v="8"/>
    <x v="55"/>
    <x v="5"/>
    <s v="Percent of GDP"/>
    <s v="Units"/>
    <x v="5"/>
    <n v="25.215"/>
  </r>
  <r>
    <n v="903"/>
    <x v="8"/>
    <x v="55"/>
    <x v="5"/>
    <s v="Percent of GDP"/>
    <s v="Units"/>
    <x v="6"/>
    <n v="26.120999999999999"/>
  </r>
  <r>
    <n v="998"/>
    <x v="6"/>
    <x v="55"/>
    <x v="5"/>
    <s v="Percent of GDP"/>
    <s v="Units"/>
    <x v="0"/>
    <n v="27.577999999999999"/>
  </r>
  <r>
    <n v="998"/>
    <x v="6"/>
    <x v="55"/>
    <x v="5"/>
    <s v="Percent of GDP"/>
    <s v="Units"/>
    <x v="1"/>
    <n v="26.131"/>
  </r>
  <r>
    <n v="998"/>
    <x v="6"/>
    <x v="55"/>
    <x v="5"/>
    <s v="Percent of GDP"/>
    <s v="Units"/>
    <x v="2"/>
    <n v="26.442"/>
  </r>
  <r>
    <n v="998"/>
    <x v="6"/>
    <x v="55"/>
    <x v="5"/>
    <s v="Percent of GDP"/>
    <s v="Units"/>
    <x v="3"/>
    <n v="25.548999999999999"/>
  </r>
  <r>
    <n v="998"/>
    <x v="6"/>
    <x v="55"/>
    <x v="5"/>
    <s v="Percent of GDP"/>
    <s v="Units"/>
    <x v="4"/>
    <n v="25.913"/>
  </r>
  <r>
    <n v="998"/>
    <x v="6"/>
    <x v="55"/>
    <x v="5"/>
    <s v="Percent of GDP"/>
    <s v="Units"/>
    <x v="5"/>
    <n v="25.215"/>
  </r>
  <r>
    <n v="998"/>
    <x v="6"/>
    <x v="55"/>
    <x v="5"/>
    <s v="Percent of GDP"/>
    <s v="Units"/>
    <x v="6"/>
    <n v="26.120999999999999"/>
  </r>
  <r>
    <n v="200"/>
    <x v="3"/>
    <x v="47"/>
    <x v="7"/>
    <s v="Percent of GDP"/>
    <s v="Units"/>
    <x v="0"/>
    <n v="27.628"/>
  </r>
  <r>
    <n v="200"/>
    <x v="3"/>
    <x v="47"/>
    <x v="7"/>
    <s v="Percent of GDP"/>
    <s v="Units"/>
    <x v="1"/>
    <n v="28.806999999999999"/>
  </r>
  <r>
    <n v="200"/>
    <x v="3"/>
    <x v="47"/>
    <x v="7"/>
    <s v="Percent of GDP"/>
    <s v="Units"/>
    <x v="2"/>
    <n v="26.533000000000001"/>
  </r>
  <r>
    <n v="200"/>
    <x v="3"/>
    <x v="47"/>
    <x v="7"/>
    <s v="Percent of GDP"/>
    <s v="Units"/>
    <x v="3"/>
    <n v="24.923999999999999"/>
  </r>
  <r>
    <n v="200"/>
    <x v="3"/>
    <x v="47"/>
    <x v="7"/>
    <s v="Percent of GDP"/>
    <s v="Units"/>
    <x v="4"/>
    <n v="25.861999999999998"/>
  </r>
  <r>
    <n v="200"/>
    <x v="3"/>
    <x v="47"/>
    <x v="7"/>
    <s v="Percent of GDP"/>
    <s v="Units"/>
    <x v="5"/>
    <n v="25.19"/>
  </r>
  <r>
    <n v="200"/>
    <x v="3"/>
    <x v="47"/>
    <x v="7"/>
    <s v="Percent of GDP"/>
    <s v="Units"/>
    <x v="6"/>
    <n v="24.408000000000001"/>
  </r>
  <r>
    <n v="400"/>
    <x v="11"/>
    <x v="47"/>
    <x v="7"/>
    <s v="Percent of GDP"/>
    <s v="Units"/>
    <x v="0"/>
    <n v="27.628"/>
  </r>
  <r>
    <n v="400"/>
    <x v="11"/>
    <x v="47"/>
    <x v="7"/>
    <s v="Percent of GDP"/>
    <s v="Units"/>
    <x v="1"/>
    <n v="28.806999999999999"/>
  </r>
  <r>
    <n v="400"/>
    <x v="11"/>
    <x v="47"/>
    <x v="7"/>
    <s v="Percent of GDP"/>
    <s v="Units"/>
    <x v="2"/>
    <n v="26.533000000000001"/>
  </r>
  <r>
    <n v="400"/>
    <x v="11"/>
    <x v="47"/>
    <x v="7"/>
    <s v="Percent of GDP"/>
    <s v="Units"/>
    <x v="3"/>
    <n v="24.923999999999999"/>
  </r>
  <r>
    <n v="400"/>
    <x v="11"/>
    <x v="47"/>
    <x v="7"/>
    <s v="Percent of GDP"/>
    <s v="Units"/>
    <x v="4"/>
    <n v="25.861999999999998"/>
  </r>
  <r>
    <n v="400"/>
    <x v="11"/>
    <x v="47"/>
    <x v="7"/>
    <s v="Percent of GDP"/>
    <s v="Units"/>
    <x v="5"/>
    <n v="25.19"/>
  </r>
  <r>
    <n v="400"/>
    <x v="11"/>
    <x v="47"/>
    <x v="7"/>
    <s v="Percent of GDP"/>
    <s v="Units"/>
    <x v="6"/>
    <n v="24.408000000000001"/>
  </r>
  <r>
    <n v="1"/>
    <x v="2"/>
    <x v="47"/>
    <x v="7"/>
    <s v="Percent of GDP"/>
    <s v="Units"/>
    <x v="0"/>
    <n v="27.628"/>
  </r>
  <r>
    <n v="1"/>
    <x v="2"/>
    <x v="47"/>
    <x v="7"/>
    <s v="Percent of GDP"/>
    <s v="Units"/>
    <x v="1"/>
    <n v="28.806999999999999"/>
  </r>
  <r>
    <n v="1"/>
    <x v="2"/>
    <x v="47"/>
    <x v="7"/>
    <s v="Percent of GDP"/>
    <s v="Units"/>
    <x v="2"/>
    <n v="26.533000000000001"/>
  </r>
  <r>
    <n v="1"/>
    <x v="2"/>
    <x v="47"/>
    <x v="7"/>
    <s v="Percent of GDP"/>
    <s v="Units"/>
    <x v="3"/>
    <n v="24.923999999999999"/>
  </r>
  <r>
    <n v="1"/>
    <x v="2"/>
    <x v="47"/>
    <x v="7"/>
    <s v="Percent of GDP"/>
    <s v="Units"/>
    <x v="4"/>
    <n v="25.861999999999998"/>
  </r>
  <r>
    <n v="1"/>
    <x v="2"/>
    <x v="47"/>
    <x v="7"/>
    <s v="Percent of GDP"/>
    <s v="Units"/>
    <x v="5"/>
    <n v="25.19"/>
  </r>
  <r>
    <n v="1"/>
    <x v="2"/>
    <x v="47"/>
    <x v="7"/>
    <s v="Percent of GDP"/>
    <s v="Units"/>
    <x v="6"/>
    <n v="24.408000000000001"/>
  </r>
  <r>
    <n v="200"/>
    <x v="3"/>
    <x v="130"/>
    <x v="5"/>
    <s v="Percent of GDP"/>
    <s v="Units"/>
    <x v="0"/>
    <n v="30.692"/>
  </r>
  <r>
    <n v="200"/>
    <x v="3"/>
    <x v="130"/>
    <x v="5"/>
    <s v="Percent of GDP"/>
    <s v="Units"/>
    <x v="1"/>
    <n v="27.887"/>
  </r>
  <r>
    <n v="200"/>
    <x v="3"/>
    <x v="130"/>
    <x v="5"/>
    <s v="Percent of GDP"/>
    <s v="Units"/>
    <x v="2"/>
    <n v="30.731000000000002"/>
  </r>
  <r>
    <n v="200"/>
    <x v="3"/>
    <x v="130"/>
    <x v="5"/>
    <s v="Percent of GDP"/>
    <s v="Units"/>
    <x v="3"/>
    <n v="22.300999999999998"/>
  </r>
  <r>
    <n v="200"/>
    <x v="3"/>
    <x v="130"/>
    <x v="5"/>
    <s v="Percent of GDP"/>
    <s v="Units"/>
    <x v="4"/>
    <n v="31.512"/>
  </r>
  <r>
    <n v="200"/>
    <x v="3"/>
    <x v="130"/>
    <x v="5"/>
    <s v="Percent of GDP"/>
    <s v="Units"/>
    <x v="5"/>
    <n v="25.149000000000001"/>
  </r>
  <r>
    <n v="200"/>
    <x v="3"/>
    <x v="130"/>
    <x v="5"/>
    <s v="Percent of GDP"/>
    <s v="Units"/>
    <x v="6"/>
    <n v="27.03"/>
  </r>
  <r>
    <n v="1"/>
    <x v="2"/>
    <x v="130"/>
    <x v="5"/>
    <s v="Percent of GDP"/>
    <s v="Units"/>
    <x v="0"/>
    <n v="30.692"/>
  </r>
  <r>
    <n v="1"/>
    <x v="2"/>
    <x v="130"/>
    <x v="5"/>
    <s v="Percent of GDP"/>
    <s v="Units"/>
    <x v="1"/>
    <n v="27.887"/>
  </r>
  <r>
    <n v="1"/>
    <x v="2"/>
    <x v="130"/>
    <x v="5"/>
    <s v="Percent of GDP"/>
    <s v="Units"/>
    <x v="2"/>
    <n v="30.731000000000002"/>
  </r>
  <r>
    <n v="1"/>
    <x v="2"/>
    <x v="130"/>
    <x v="5"/>
    <s v="Percent of GDP"/>
    <s v="Units"/>
    <x v="3"/>
    <n v="22.300999999999998"/>
  </r>
  <r>
    <n v="1"/>
    <x v="2"/>
    <x v="130"/>
    <x v="5"/>
    <s v="Percent of GDP"/>
    <s v="Units"/>
    <x v="4"/>
    <n v="31.512"/>
  </r>
  <r>
    <n v="1"/>
    <x v="2"/>
    <x v="130"/>
    <x v="5"/>
    <s v="Percent of GDP"/>
    <s v="Units"/>
    <x v="5"/>
    <n v="25.149000000000001"/>
  </r>
  <r>
    <n v="1"/>
    <x v="2"/>
    <x v="130"/>
    <x v="5"/>
    <s v="Percent of GDP"/>
    <s v="Units"/>
    <x v="6"/>
    <n v="27.03"/>
  </r>
  <r>
    <n v="505"/>
    <x v="4"/>
    <x v="130"/>
    <x v="5"/>
    <s v="Percent of GDP"/>
    <s v="Units"/>
    <x v="0"/>
    <n v="30.692"/>
  </r>
  <r>
    <n v="505"/>
    <x v="4"/>
    <x v="130"/>
    <x v="5"/>
    <s v="Percent of GDP"/>
    <s v="Units"/>
    <x v="1"/>
    <n v="27.887"/>
  </r>
  <r>
    <n v="505"/>
    <x v="4"/>
    <x v="130"/>
    <x v="5"/>
    <s v="Percent of GDP"/>
    <s v="Units"/>
    <x v="2"/>
    <n v="30.731000000000002"/>
  </r>
  <r>
    <n v="505"/>
    <x v="4"/>
    <x v="130"/>
    <x v="5"/>
    <s v="Percent of GDP"/>
    <s v="Units"/>
    <x v="3"/>
    <n v="22.300999999999998"/>
  </r>
  <r>
    <n v="505"/>
    <x v="4"/>
    <x v="130"/>
    <x v="5"/>
    <s v="Percent of GDP"/>
    <s v="Units"/>
    <x v="4"/>
    <n v="31.512"/>
  </r>
  <r>
    <n v="505"/>
    <x v="4"/>
    <x v="130"/>
    <x v="5"/>
    <s v="Percent of GDP"/>
    <s v="Units"/>
    <x v="5"/>
    <n v="25.149000000000001"/>
  </r>
  <r>
    <n v="505"/>
    <x v="4"/>
    <x v="130"/>
    <x v="5"/>
    <s v="Percent of GDP"/>
    <s v="Units"/>
    <x v="6"/>
    <n v="27.03"/>
  </r>
  <r>
    <n v="163"/>
    <x v="5"/>
    <x v="115"/>
    <x v="7"/>
    <s v="Percent of GDP"/>
    <s v="Units"/>
    <x v="0"/>
    <n v="26.541"/>
  </r>
  <r>
    <n v="163"/>
    <x v="5"/>
    <x v="115"/>
    <x v="7"/>
    <s v="Percent of GDP"/>
    <s v="Units"/>
    <x v="1"/>
    <n v="29.696999999999999"/>
  </r>
  <r>
    <n v="163"/>
    <x v="5"/>
    <x v="115"/>
    <x v="7"/>
    <s v="Percent of GDP"/>
    <s v="Units"/>
    <x v="2"/>
    <n v="31.045999999999999"/>
  </r>
  <r>
    <n v="163"/>
    <x v="5"/>
    <x v="115"/>
    <x v="7"/>
    <s v="Percent of GDP"/>
    <s v="Units"/>
    <x v="3"/>
    <n v="30.713000000000001"/>
  </r>
  <r>
    <n v="163"/>
    <x v="5"/>
    <x v="115"/>
    <x v="7"/>
    <s v="Percent of GDP"/>
    <s v="Units"/>
    <x v="4"/>
    <n v="26.673999999999999"/>
  </r>
  <r>
    <n v="163"/>
    <x v="5"/>
    <x v="115"/>
    <x v="7"/>
    <s v="Percent of GDP"/>
    <s v="Units"/>
    <x v="5"/>
    <n v="25.148"/>
  </r>
  <r>
    <n v="163"/>
    <x v="5"/>
    <x v="115"/>
    <x v="7"/>
    <s v="Percent of GDP"/>
    <s v="Units"/>
    <x v="6"/>
    <n v="25.105"/>
  </r>
  <r>
    <n v="110"/>
    <x v="0"/>
    <x v="115"/>
    <x v="7"/>
    <s v="Percent of GDP"/>
    <s v="Units"/>
    <x v="0"/>
    <n v="26.541"/>
  </r>
  <r>
    <n v="110"/>
    <x v="0"/>
    <x v="115"/>
    <x v="7"/>
    <s v="Percent of GDP"/>
    <s v="Units"/>
    <x v="1"/>
    <n v="29.696999999999999"/>
  </r>
  <r>
    <n v="110"/>
    <x v="0"/>
    <x v="115"/>
    <x v="7"/>
    <s v="Percent of GDP"/>
    <s v="Units"/>
    <x v="2"/>
    <n v="31.045999999999999"/>
  </r>
  <r>
    <n v="110"/>
    <x v="0"/>
    <x v="115"/>
    <x v="7"/>
    <s v="Percent of GDP"/>
    <s v="Units"/>
    <x v="3"/>
    <n v="30.713000000000001"/>
  </r>
  <r>
    <n v="110"/>
    <x v="0"/>
    <x v="115"/>
    <x v="7"/>
    <s v="Percent of GDP"/>
    <s v="Units"/>
    <x v="4"/>
    <n v="26.673999999999999"/>
  </r>
  <r>
    <n v="110"/>
    <x v="0"/>
    <x v="115"/>
    <x v="7"/>
    <s v="Percent of GDP"/>
    <s v="Units"/>
    <x v="5"/>
    <n v="25.148"/>
  </r>
  <r>
    <n v="110"/>
    <x v="0"/>
    <x v="115"/>
    <x v="7"/>
    <s v="Percent of GDP"/>
    <s v="Units"/>
    <x v="6"/>
    <n v="25.105"/>
  </r>
  <r>
    <n v="1"/>
    <x v="2"/>
    <x v="115"/>
    <x v="7"/>
    <s v="Percent of GDP"/>
    <s v="Units"/>
    <x v="0"/>
    <n v="26.541"/>
  </r>
  <r>
    <n v="1"/>
    <x v="2"/>
    <x v="115"/>
    <x v="7"/>
    <s v="Percent of GDP"/>
    <s v="Units"/>
    <x v="1"/>
    <n v="29.696999999999999"/>
  </r>
  <r>
    <n v="1"/>
    <x v="2"/>
    <x v="115"/>
    <x v="7"/>
    <s v="Percent of GDP"/>
    <s v="Units"/>
    <x v="2"/>
    <n v="31.045999999999999"/>
  </r>
  <r>
    <n v="1"/>
    <x v="2"/>
    <x v="115"/>
    <x v="7"/>
    <s v="Percent of GDP"/>
    <s v="Units"/>
    <x v="3"/>
    <n v="30.713000000000001"/>
  </r>
  <r>
    <n v="1"/>
    <x v="2"/>
    <x v="115"/>
    <x v="7"/>
    <s v="Percent of GDP"/>
    <s v="Units"/>
    <x v="4"/>
    <n v="26.673999999999999"/>
  </r>
  <r>
    <n v="1"/>
    <x v="2"/>
    <x v="115"/>
    <x v="7"/>
    <s v="Percent of GDP"/>
    <s v="Units"/>
    <x v="5"/>
    <n v="25.148"/>
  </r>
  <r>
    <n v="1"/>
    <x v="2"/>
    <x v="115"/>
    <x v="7"/>
    <s v="Percent of GDP"/>
    <s v="Units"/>
    <x v="6"/>
    <n v="25.105"/>
  </r>
  <r>
    <n v="998"/>
    <x v="6"/>
    <x v="115"/>
    <x v="7"/>
    <s v="Percent of GDP"/>
    <s v="Units"/>
    <x v="0"/>
    <n v="26.541"/>
  </r>
  <r>
    <n v="998"/>
    <x v="6"/>
    <x v="115"/>
    <x v="7"/>
    <s v="Percent of GDP"/>
    <s v="Units"/>
    <x v="1"/>
    <n v="29.696999999999999"/>
  </r>
  <r>
    <n v="998"/>
    <x v="6"/>
    <x v="115"/>
    <x v="7"/>
    <s v="Percent of GDP"/>
    <s v="Units"/>
    <x v="2"/>
    <n v="31.045999999999999"/>
  </r>
  <r>
    <n v="998"/>
    <x v="6"/>
    <x v="115"/>
    <x v="7"/>
    <s v="Percent of GDP"/>
    <s v="Units"/>
    <x v="3"/>
    <n v="30.713000000000001"/>
  </r>
  <r>
    <n v="998"/>
    <x v="6"/>
    <x v="115"/>
    <x v="7"/>
    <s v="Percent of GDP"/>
    <s v="Units"/>
    <x v="4"/>
    <n v="26.673999999999999"/>
  </r>
  <r>
    <n v="998"/>
    <x v="6"/>
    <x v="115"/>
    <x v="7"/>
    <s v="Percent of GDP"/>
    <s v="Units"/>
    <x v="5"/>
    <n v="25.148"/>
  </r>
  <r>
    <n v="998"/>
    <x v="6"/>
    <x v="115"/>
    <x v="7"/>
    <s v="Percent of GDP"/>
    <s v="Units"/>
    <x v="6"/>
    <n v="25.105"/>
  </r>
  <r>
    <n v="163"/>
    <x v="5"/>
    <x v="24"/>
    <x v="2"/>
    <s v="Percent of GDP"/>
    <s v="Units"/>
    <x v="0"/>
    <n v="24.771000000000001"/>
  </r>
  <r>
    <n v="163"/>
    <x v="5"/>
    <x v="24"/>
    <x v="2"/>
    <s v="Percent of GDP"/>
    <s v="Units"/>
    <x v="1"/>
    <n v="22.19"/>
  </r>
  <r>
    <n v="163"/>
    <x v="5"/>
    <x v="24"/>
    <x v="2"/>
    <s v="Percent of GDP"/>
    <s v="Units"/>
    <x v="2"/>
    <n v="22.873999999999999"/>
  </r>
  <r>
    <n v="163"/>
    <x v="5"/>
    <x v="24"/>
    <x v="2"/>
    <s v="Percent of GDP"/>
    <s v="Units"/>
    <x v="3"/>
    <n v="22.928000000000001"/>
  </r>
  <r>
    <n v="163"/>
    <x v="5"/>
    <x v="24"/>
    <x v="2"/>
    <s v="Percent of GDP"/>
    <s v="Units"/>
    <x v="4"/>
    <n v="24.744"/>
  </r>
  <r>
    <n v="163"/>
    <x v="5"/>
    <x v="24"/>
    <x v="2"/>
    <s v="Percent of GDP"/>
    <s v="Units"/>
    <x v="5"/>
    <n v="25.145"/>
  </r>
  <r>
    <n v="163"/>
    <x v="5"/>
    <x v="24"/>
    <x v="2"/>
    <s v="Percent of GDP"/>
    <s v="Units"/>
    <x v="6"/>
    <n v="25.137"/>
  </r>
  <r>
    <n v="110"/>
    <x v="0"/>
    <x v="24"/>
    <x v="2"/>
    <s v="Percent of GDP"/>
    <s v="Units"/>
    <x v="0"/>
    <n v="24.771000000000001"/>
  </r>
  <r>
    <n v="110"/>
    <x v="0"/>
    <x v="24"/>
    <x v="2"/>
    <s v="Percent of GDP"/>
    <s v="Units"/>
    <x v="1"/>
    <n v="22.19"/>
  </r>
  <r>
    <n v="110"/>
    <x v="0"/>
    <x v="24"/>
    <x v="2"/>
    <s v="Percent of GDP"/>
    <s v="Units"/>
    <x v="2"/>
    <n v="22.873999999999999"/>
  </r>
  <r>
    <n v="110"/>
    <x v="0"/>
    <x v="24"/>
    <x v="2"/>
    <s v="Percent of GDP"/>
    <s v="Units"/>
    <x v="3"/>
    <n v="22.928000000000001"/>
  </r>
  <r>
    <n v="110"/>
    <x v="0"/>
    <x v="24"/>
    <x v="2"/>
    <s v="Percent of GDP"/>
    <s v="Units"/>
    <x v="4"/>
    <n v="24.744"/>
  </r>
  <r>
    <n v="110"/>
    <x v="0"/>
    <x v="24"/>
    <x v="2"/>
    <s v="Percent of GDP"/>
    <s v="Units"/>
    <x v="5"/>
    <n v="25.145"/>
  </r>
  <r>
    <n v="110"/>
    <x v="0"/>
    <x v="24"/>
    <x v="2"/>
    <s v="Percent of GDP"/>
    <s v="Units"/>
    <x v="6"/>
    <n v="25.137"/>
  </r>
  <r>
    <n v="998"/>
    <x v="6"/>
    <x v="24"/>
    <x v="2"/>
    <s v="Percent of GDP"/>
    <s v="Units"/>
    <x v="0"/>
    <n v="24.771000000000001"/>
  </r>
  <r>
    <n v="998"/>
    <x v="6"/>
    <x v="24"/>
    <x v="2"/>
    <s v="Percent of GDP"/>
    <s v="Units"/>
    <x v="1"/>
    <n v="22.19"/>
  </r>
  <r>
    <n v="998"/>
    <x v="6"/>
    <x v="24"/>
    <x v="2"/>
    <s v="Percent of GDP"/>
    <s v="Units"/>
    <x v="2"/>
    <n v="22.873999999999999"/>
  </r>
  <r>
    <n v="998"/>
    <x v="6"/>
    <x v="24"/>
    <x v="2"/>
    <s v="Percent of GDP"/>
    <s v="Units"/>
    <x v="3"/>
    <n v="22.928000000000001"/>
  </r>
  <r>
    <n v="998"/>
    <x v="6"/>
    <x v="24"/>
    <x v="2"/>
    <s v="Percent of GDP"/>
    <s v="Units"/>
    <x v="4"/>
    <n v="24.744"/>
  </r>
  <r>
    <n v="998"/>
    <x v="6"/>
    <x v="24"/>
    <x v="2"/>
    <s v="Percent of GDP"/>
    <s v="Units"/>
    <x v="5"/>
    <n v="25.145"/>
  </r>
  <r>
    <n v="998"/>
    <x v="6"/>
    <x v="24"/>
    <x v="2"/>
    <s v="Percent of GDP"/>
    <s v="Units"/>
    <x v="6"/>
    <n v="25.137"/>
  </r>
  <r>
    <n v="200"/>
    <x v="3"/>
    <x v="165"/>
    <x v="3"/>
    <s v="Percent of GDP"/>
    <s v="Units"/>
    <x v="0"/>
    <n v="22.832000000000001"/>
  </r>
  <r>
    <n v="200"/>
    <x v="3"/>
    <x v="165"/>
    <x v="3"/>
    <s v="Percent of GDP"/>
    <s v="Units"/>
    <x v="1"/>
    <n v="23.181000000000001"/>
  </r>
  <r>
    <n v="200"/>
    <x v="3"/>
    <x v="165"/>
    <x v="3"/>
    <s v="Percent of GDP"/>
    <s v="Units"/>
    <x v="2"/>
    <n v="25.632999999999999"/>
  </r>
  <r>
    <n v="200"/>
    <x v="3"/>
    <x v="165"/>
    <x v="3"/>
    <s v="Percent of GDP"/>
    <s v="Units"/>
    <x v="3"/>
    <n v="27.609000000000002"/>
  </r>
  <r>
    <n v="200"/>
    <x v="3"/>
    <x v="165"/>
    <x v="3"/>
    <s v="Percent of GDP"/>
    <s v="Units"/>
    <x v="4"/>
    <n v="21.704999999999998"/>
  </r>
  <r>
    <n v="200"/>
    <x v="3"/>
    <x v="165"/>
    <x v="3"/>
    <s v="Percent of GDP"/>
    <s v="Units"/>
    <x v="5"/>
    <n v="25.120999999999999"/>
  </r>
  <r>
    <n v="200"/>
    <x v="3"/>
    <x v="165"/>
    <x v="3"/>
    <s v="Percent of GDP"/>
    <s v="Units"/>
    <x v="6"/>
    <n v="23.975000000000001"/>
  </r>
  <r>
    <n v="603"/>
    <x v="12"/>
    <x v="165"/>
    <x v="3"/>
    <s v="Percent of GDP"/>
    <s v="Units"/>
    <x v="0"/>
    <n v="22.832000000000001"/>
  </r>
  <r>
    <n v="603"/>
    <x v="12"/>
    <x v="165"/>
    <x v="3"/>
    <s v="Percent of GDP"/>
    <s v="Units"/>
    <x v="1"/>
    <n v="23.181000000000001"/>
  </r>
  <r>
    <n v="603"/>
    <x v="12"/>
    <x v="165"/>
    <x v="3"/>
    <s v="Percent of GDP"/>
    <s v="Units"/>
    <x v="2"/>
    <n v="25.632999999999999"/>
  </r>
  <r>
    <n v="603"/>
    <x v="12"/>
    <x v="165"/>
    <x v="3"/>
    <s v="Percent of GDP"/>
    <s v="Units"/>
    <x v="3"/>
    <n v="27.609000000000002"/>
  </r>
  <r>
    <n v="603"/>
    <x v="12"/>
    <x v="165"/>
    <x v="3"/>
    <s v="Percent of GDP"/>
    <s v="Units"/>
    <x v="4"/>
    <n v="21.704999999999998"/>
  </r>
  <r>
    <n v="603"/>
    <x v="12"/>
    <x v="165"/>
    <x v="3"/>
    <s v="Percent of GDP"/>
    <s v="Units"/>
    <x v="5"/>
    <n v="25.120999999999999"/>
  </r>
  <r>
    <n v="603"/>
    <x v="12"/>
    <x v="165"/>
    <x v="3"/>
    <s v="Percent of GDP"/>
    <s v="Units"/>
    <x v="6"/>
    <n v="23.975000000000001"/>
  </r>
  <r>
    <n v="1"/>
    <x v="2"/>
    <x v="98"/>
    <x v="7"/>
    <s v="Percent of GDP"/>
    <s v="Units"/>
    <x v="0"/>
    <n v="19.736000000000001"/>
  </r>
  <r>
    <n v="1"/>
    <x v="2"/>
    <x v="98"/>
    <x v="7"/>
    <s v="Percent of GDP"/>
    <s v="Units"/>
    <x v="1"/>
    <n v="35.994"/>
  </r>
  <r>
    <n v="1"/>
    <x v="2"/>
    <x v="98"/>
    <x v="7"/>
    <s v="Percent of GDP"/>
    <s v="Units"/>
    <x v="2"/>
    <n v="61.085000000000001"/>
  </r>
  <r>
    <n v="1"/>
    <x v="2"/>
    <x v="98"/>
    <x v="7"/>
    <s v="Percent of GDP"/>
    <s v="Units"/>
    <x v="3"/>
    <n v="43.551000000000002"/>
  </r>
  <r>
    <n v="1"/>
    <x v="2"/>
    <x v="98"/>
    <x v="7"/>
    <s v="Percent of GDP"/>
    <s v="Units"/>
    <x v="4"/>
    <n v="26.989000000000001"/>
  </r>
  <r>
    <n v="1"/>
    <x v="2"/>
    <x v="98"/>
    <x v="7"/>
    <s v="Percent of GDP"/>
    <s v="Units"/>
    <x v="5"/>
    <n v="25.116"/>
  </r>
  <r>
    <n v="1"/>
    <x v="2"/>
    <x v="98"/>
    <x v="7"/>
    <s v="Percent of GDP"/>
    <s v="Units"/>
    <x v="6"/>
    <n v="24.334"/>
  </r>
  <r>
    <n v="603"/>
    <x v="12"/>
    <x v="98"/>
    <x v="7"/>
    <s v="Percent of GDP"/>
    <s v="Units"/>
    <x v="0"/>
    <n v="19.736000000000001"/>
  </r>
  <r>
    <n v="603"/>
    <x v="12"/>
    <x v="98"/>
    <x v="7"/>
    <s v="Percent of GDP"/>
    <s v="Units"/>
    <x v="1"/>
    <n v="35.994"/>
  </r>
  <r>
    <n v="603"/>
    <x v="12"/>
    <x v="98"/>
    <x v="7"/>
    <s v="Percent of GDP"/>
    <s v="Units"/>
    <x v="2"/>
    <n v="61.085000000000001"/>
  </r>
  <r>
    <n v="603"/>
    <x v="12"/>
    <x v="98"/>
    <x v="7"/>
    <s v="Percent of GDP"/>
    <s v="Units"/>
    <x v="3"/>
    <n v="43.551000000000002"/>
  </r>
  <r>
    <n v="603"/>
    <x v="12"/>
    <x v="98"/>
    <x v="7"/>
    <s v="Percent of GDP"/>
    <s v="Units"/>
    <x v="4"/>
    <n v="26.989000000000001"/>
  </r>
  <r>
    <n v="603"/>
    <x v="12"/>
    <x v="98"/>
    <x v="7"/>
    <s v="Percent of GDP"/>
    <s v="Units"/>
    <x v="5"/>
    <n v="25.116"/>
  </r>
  <r>
    <n v="603"/>
    <x v="12"/>
    <x v="98"/>
    <x v="7"/>
    <s v="Percent of GDP"/>
    <s v="Units"/>
    <x v="6"/>
    <n v="24.334"/>
  </r>
  <r>
    <n v="200"/>
    <x v="3"/>
    <x v="98"/>
    <x v="7"/>
    <s v="Percent of GDP"/>
    <s v="Units"/>
    <x v="0"/>
    <n v="19.736000000000001"/>
  </r>
  <r>
    <n v="200"/>
    <x v="3"/>
    <x v="98"/>
    <x v="7"/>
    <s v="Percent of GDP"/>
    <s v="Units"/>
    <x v="1"/>
    <n v="35.994"/>
  </r>
  <r>
    <n v="200"/>
    <x v="3"/>
    <x v="98"/>
    <x v="7"/>
    <s v="Percent of GDP"/>
    <s v="Units"/>
    <x v="2"/>
    <n v="61.085000000000001"/>
  </r>
  <r>
    <n v="200"/>
    <x v="3"/>
    <x v="98"/>
    <x v="7"/>
    <s v="Percent of GDP"/>
    <s v="Units"/>
    <x v="3"/>
    <n v="43.551000000000002"/>
  </r>
  <r>
    <n v="200"/>
    <x v="3"/>
    <x v="98"/>
    <x v="7"/>
    <s v="Percent of GDP"/>
    <s v="Units"/>
    <x v="4"/>
    <n v="26.989000000000001"/>
  </r>
  <r>
    <n v="200"/>
    <x v="3"/>
    <x v="98"/>
    <x v="7"/>
    <s v="Percent of GDP"/>
    <s v="Units"/>
    <x v="5"/>
    <n v="25.116"/>
  </r>
  <r>
    <n v="200"/>
    <x v="3"/>
    <x v="98"/>
    <x v="7"/>
    <s v="Percent of GDP"/>
    <s v="Units"/>
    <x v="6"/>
    <n v="24.334"/>
  </r>
  <r>
    <n v="505"/>
    <x v="4"/>
    <x v="143"/>
    <x v="5"/>
    <s v="Percent of GDP"/>
    <s v="Units"/>
    <x v="0"/>
    <n v="20.376000000000001"/>
  </r>
  <r>
    <n v="505"/>
    <x v="4"/>
    <x v="143"/>
    <x v="5"/>
    <s v="Percent of GDP"/>
    <s v="Units"/>
    <x v="1"/>
    <n v="17.315999999999999"/>
  </r>
  <r>
    <n v="505"/>
    <x v="4"/>
    <x v="143"/>
    <x v="5"/>
    <s v="Percent of GDP"/>
    <s v="Units"/>
    <x v="2"/>
    <n v="22.925999999999998"/>
  </r>
  <r>
    <n v="505"/>
    <x v="4"/>
    <x v="143"/>
    <x v="5"/>
    <s v="Percent of GDP"/>
    <s v="Units"/>
    <x v="3"/>
    <n v="28.898"/>
  </r>
  <r>
    <n v="505"/>
    <x v="4"/>
    <x v="143"/>
    <x v="5"/>
    <s v="Percent of GDP"/>
    <s v="Units"/>
    <x v="4"/>
    <n v="33.618000000000002"/>
  </r>
  <r>
    <n v="505"/>
    <x v="4"/>
    <x v="143"/>
    <x v="5"/>
    <s v="Percent of GDP"/>
    <s v="Units"/>
    <x v="5"/>
    <n v="25.097999999999999"/>
  </r>
  <r>
    <n v="505"/>
    <x v="4"/>
    <x v="143"/>
    <x v="5"/>
    <s v="Percent of GDP"/>
    <s v="Units"/>
    <x v="6"/>
    <n v="27.146999999999998"/>
  </r>
  <r>
    <n v="200"/>
    <x v="3"/>
    <x v="143"/>
    <x v="5"/>
    <s v="Percent of GDP"/>
    <s v="Units"/>
    <x v="0"/>
    <n v="20.376000000000001"/>
  </r>
  <r>
    <n v="200"/>
    <x v="3"/>
    <x v="143"/>
    <x v="5"/>
    <s v="Percent of GDP"/>
    <s v="Units"/>
    <x v="1"/>
    <n v="17.315999999999999"/>
  </r>
  <r>
    <n v="200"/>
    <x v="3"/>
    <x v="143"/>
    <x v="5"/>
    <s v="Percent of GDP"/>
    <s v="Units"/>
    <x v="2"/>
    <n v="22.925999999999998"/>
  </r>
  <r>
    <n v="200"/>
    <x v="3"/>
    <x v="143"/>
    <x v="5"/>
    <s v="Percent of GDP"/>
    <s v="Units"/>
    <x v="3"/>
    <n v="28.898"/>
  </r>
  <r>
    <n v="200"/>
    <x v="3"/>
    <x v="143"/>
    <x v="5"/>
    <s v="Percent of GDP"/>
    <s v="Units"/>
    <x v="4"/>
    <n v="33.618000000000002"/>
  </r>
  <r>
    <n v="200"/>
    <x v="3"/>
    <x v="143"/>
    <x v="5"/>
    <s v="Percent of GDP"/>
    <s v="Units"/>
    <x v="5"/>
    <n v="25.097999999999999"/>
  </r>
  <r>
    <n v="200"/>
    <x v="3"/>
    <x v="143"/>
    <x v="5"/>
    <s v="Percent of GDP"/>
    <s v="Units"/>
    <x v="6"/>
    <n v="27.146999999999998"/>
  </r>
  <r>
    <n v="1"/>
    <x v="2"/>
    <x v="143"/>
    <x v="5"/>
    <s v="Percent of GDP"/>
    <s v="Units"/>
    <x v="0"/>
    <n v="20.376000000000001"/>
  </r>
  <r>
    <n v="1"/>
    <x v="2"/>
    <x v="143"/>
    <x v="5"/>
    <s v="Percent of GDP"/>
    <s v="Units"/>
    <x v="1"/>
    <n v="17.315999999999999"/>
  </r>
  <r>
    <n v="1"/>
    <x v="2"/>
    <x v="143"/>
    <x v="5"/>
    <s v="Percent of GDP"/>
    <s v="Units"/>
    <x v="2"/>
    <n v="22.925999999999998"/>
  </r>
  <r>
    <n v="1"/>
    <x v="2"/>
    <x v="143"/>
    <x v="5"/>
    <s v="Percent of GDP"/>
    <s v="Units"/>
    <x v="3"/>
    <n v="28.898"/>
  </r>
  <r>
    <n v="1"/>
    <x v="2"/>
    <x v="143"/>
    <x v="5"/>
    <s v="Percent of GDP"/>
    <s v="Units"/>
    <x v="4"/>
    <n v="33.618000000000002"/>
  </r>
  <r>
    <n v="1"/>
    <x v="2"/>
    <x v="143"/>
    <x v="5"/>
    <s v="Percent of GDP"/>
    <s v="Units"/>
    <x v="5"/>
    <n v="25.097999999999999"/>
  </r>
  <r>
    <n v="1"/>
    <x v="2"/>
    <x v="143"/>
    <x v="5"/>
    <s v="Percent of GDP"/>
    <s v="Units"/>
    <x v="6"/>
    <n v="27.146999999999998"/>
  </r>
  <r>
    <n v="123"/>
    <x v="9"/>
    <x v="20"/>
    <x v="7"/>
    <s v="Percent of GDP"/>
    <s v="Units"/>
    <x v="0"/>
    <n v="23.8"/>
  </r>
  <r>
    <n v="123"/>
    <x v="9"/>
    <x v="20"/>
    <x v="7"/>
    <s v="Percent of GDP"/>
    <s v="Units"/>
    <x v="1"/>
    <n v="24.216999999999999"/>
  </r>
  <r>
    <n v="123"/>
    <x v="9"/>
    <x v="20"/>
    <x v="7"/>
    <s v="Percent of GDP"/>
    <s v="Units"/>
    <x v="2"/>
    <n v="27.408999999999999"/>
  </r>
  <r>
    <n v="123"/>
    <x v="9"/>
    <x v="20"/>
    <x v="7"/>
    <s v="Percent of GDP"/>
    <s v="Units"/>
    <x v="3"/>
    <n v="28.148"/>
  </r>
  <r>
    <n v="123"/>
    <x v="9"/>
    <x v="20"/>
    <x v="7"/>
    <s v="Percent of GDP"/>
    <s v="Units"/>
    <x v="4"/>
    <n v="25.855"/>
  </r>
  <r>
    <n v="123"/>
    <x v="9"/>
    <x v="20"/>
    <x v="7"/>
    <s v="Percent of GDP"/>
    <s v="Units"/>
    <x v="5"/>
    <n v="25.059000000000001"/>
  </r>
  <r>
    <n v="123"/>
    <x v="9"/>
    <x v="20"/>
    <x v="7"/>
    <s v="Percent of GDP"/>
    <s v="Units"/>
    <x v="6"/>
    <n v="26.003"/>
  </r>
  <r>
    <n v="1"/>
    <x v="2"/>
    <x v="20"/>
    <x v="7"/>
    <s v="Percent of GDP"/>
    <s v="Units"/>
    <x v="0"/>
    <n v="23.8"/>
  </r>
  <r>
    <n v="1"/>
    <x v="2"/>
    <x v="20"/>
    <x v="7"/>
    <s v="Percent of GDP"/>
    <s v="Units"/>
    <x v="1"/>
    <n v="24.216999999999999"/>
  </r>
  <r>
    <n v="1"/>
    <x v="2"/>
    <x v="20"/>
    <x v="7"/>
    <s v="Percent of GDP"/>
    <s v="Units"/>
    <x v="2"/>
    <n v="27.408999999999999"/>
  </r>
  <r>
    <n v="1"/>
    <x v="2"/>
    <x v="20"/>
    <x v="7"/>
    <s v="Percent of GDP"/>
    <s v="Units"/>
    <x v="3"/>
    <n v="28.148"/>
  </r>
  <r>
    <n v="1"/>
    <x v="2"/>
    <x v="20"/>
    <x v="7"/>
    <s v="Percent of GDP"/>
    <s v="Units"/>
    <x v="4"/>
    <n v="25.855"/>
  </r>
  <r>
    <n v="1"/>
    <x v="2"/>
    <x v="20"/>
    <x v="7"/>
    <s v="Percent of GDP"/>
    <s v="Units"/>
    <x v="5"/>
    <n v="25.059000000000001"/>
  </r>
  <r>
    <n v="1"/>
    <x v="2"/>
    <x v="20"/>
    <x v="7"/>
    <s v="Percent of GDP"/>
    <s v="Units"/>
    <x v="6"/>
    <n v="26.003"/>
  </r>
  <r>
    <n v="110"/>
    <x v="0"/>
    <x v="20"/>
    <x v="7"/>
    <s v="Percent of GDP"/>
    <s v="Units"/>
    <x v="0"/>
    <n v="23.8"/>
  </r>
  <r>
    <n v="110"/>
    <x v="0"/>
    <x v="20"/>
    <x v="7"/>
    <s v="Percent of GDP"/>
    <s v="Units"/>
    <x v="1"/>
    <n v="24.216999999999999"/>
  </r>
  <r>
    <n v="110"/>
    <x v="0"/>
    <x v="20"/>
    <x v="7"/>
    <s v="Percent of GDP"/>
    <s v="Units"/>
    <x v="2"/>
    <n v="27.408999999999999"/>
  </r>
  <r>
    <n v="110"/>
    <x v="0"/>
    <x v="20"/>
    <x v="7"/>
    <s v="Percent of GDP"/>
    <s v="Units"/>
    <x v="3"/>
    <n v="28.148"/>
  </r>
  <r>
    <n v="110"/>
    <x v="0"/>
    <x v="20"/>
    <x v="7"/>
    <s v="Percent of GDP"/>
    <s v="Units"/>
    <x v="4"/>
    <n v="25.855"/>
  </r>
  <r>
    <n v="110"/>
    <x v="0"/>
    <x v="20"/>
    <x v="7"/>
    <s v="Percent of GDP"/>
    <s v="Units"/>
    <x v="5"/>
    <n v="25.059000000000001"/>
  </r>
  <r>
    <n v="110"/>
    <x v="0"/>
    <x v="20"/>
    <x v="7"/>
    <s v="Percent of GDP"/>
    <s v="Units"/>
    <x v="6"/>
    <n v="26.003"/>
  </r>
  <r>
    <n v="163"/>
    <x v="5"/>
    <x v="76"/>
    <x v="5"/>
    <s v="Percent of GDP"/>
    <s v="Units"/>
    <x v="0"/>
    <n v="27.565999999999999"/>
  </r>
  <r>
    <n v="163"/>
    <x v="5"/>
    <x v="76"/>
    <x v="5"/>
    <s v="Percent of GDP"/>
    <s v="Units"/>
    <x v="1"/>
    <n v="25.94"/>
  </r>
  <r>
    <n v="163"/>
    <x v="5"/>
    <x v="76"/>
    <x v="5"/>
    <s v="Percent of GDP"/>
    <s v="Units"/>
    <x v="2"/>
    <n v="26.739000000000001"/>
  </r>
  <r>
    <n v="163"/>
    <x v="5"/>
    <x v="76"/>
    <x v="5"/>
    <s v="Percent of GDP"/>
    <s v="Units"/>
    <x v="3"/>
    <n v="25.396000000000001"/>
  </r>
  <r>
    <n v="163"/>
    <x v="5"/>
    <x v="76"/>
    <x v="5"/>
    <s v="Percent of GDP"/>
    <s v="Units"/>
    <x v="4"/>
    <n v="25.396000000000001"/>
  </r>
  <r>
    <n v="163"/>
    <x v="5"/>
    <x v="76"/>
    <x v="5"/>
    <s v="Percent of GDP"/>
    <s v="Units"/>
    <x v="5"/>
    <n v="25.004999999999999"/>
  </r>
  <r>
    <n v="163"/>
    <x v="5"/>
    <x v="76"/>
    <x v="5"/>
    <s v="Percent of GDP"/>
    <s v="Units"/>
    <x v="6"/>
    <n v="25.366"/>
  </r>
  <r>
    <n v="1"/>
    <x v="2"/>
    <x v="76"/>
    <x v="5"/>
    <s v="Percent of GDP"/>
    <s v="Units"/>
    <x v="0"/>
    <n v="27.565999999999999"/>
  </r>
  <r>
    <n v="1"/>
    <x v="2"/>
    <x v="76"/>
    <x v="5"/>
    <s v="Percent of GDP"/>
    <s v="Units"/>
    <x v="1"/>
    <n v="25.94"/>
  </r>
  <r>
    <n v="1"/>
    <x v="2"/>
    <x v="76"/>
    <x v="5"/>
    <s v="Percent of GDP"/>
    <s v="Units"/>
    <x v="2"/>
    <n v="26.739000000000001"/>
  </r>
  <r>
    <n v="1"/>
    <x v="2"/>
    <x v="76"/>
    <x v="5"/>
    <s v="Percent of GDP"/>
    <s v="Units"/>
    <x v="3"/>
    <n v="25.396000000000001"/>
  </r>
  <r>
    <n v="1"/>
    <x v="2"/>
    <x v="76"/>
    <x v="5"/>
    <s v="Percent of GDP"/>
    <s v="Units"/>
    <x v="4"/>
    <n v="25.396000000000001"/>
  </r>
  <r>
    <n v="1"/>
    <x v="2"/>
    <x v="76"/>
    <x v="5"/>
    <s v="Percent of GDP"/>
    <s v="Units"/>
    <x v="5"/>
    <n v="25.004999999999999"/>
  </r>
  <r>
    <n v="1"/>
    <x v="2"/>
    <x v="76"/>
    <x v="5"/>
    <s v="Percent of GDP"/>
    <s v="Units"/>
    <x v="6"/>
    <n v="25.366"/>
  </r>
  <r>
    <n v="998"/>
    <x v="6"/>
    <x v="76"/>
    <x v="5"/>
    <s v="Percent of GDP"/>
    <s v="Units"/>
    <x v="0"/>
    <n v="27.565999999999999"/>
  </r>
  <r>
    <n v="998"/>
    <x v="6"/>
    <x v="76"/>
    <x v="5"/>
    <s v="Percent of GDP"/>
    <s v="Units"/>
    <x v="1"/>
    <n v="25.94"/>
  </r>
  <r>
    <n v="998"/>
    <x v="6"/>
    <x v="76"/>
    <x v="5"/>
    <s v="Percent of GDP"/>
    <s v="Units"/>
    <x v="2"/>
    <n v="26.739000000000001"/>
  </r>
  <r>
    <n v="998"/>
    <x v="6"/>
    <x v="76"/>
    <x v="5"/>
    <s v="Percent of GDP"/>
    <s v="Units"/>
    <x v="3"/>
    <n v="25.396000000000001"/>
  </r>
  <r>
    <n v="998"/>
    <x v="6"/>
    <x v="76"/>
    <x v="5"/>
    <s v="Percent of GDP"/>
    <s v="Units"/>
    <x v="4"/>
    <n v="25.396000000000001"/>
  </r>
  <r>
    <n v="998"/>
    <x v="6"/>
    <x v="76"/>
    <x v="5"/>
    <s v="Percent of GDP"/>
    <s v="Units"/>
    <x v="5"/>
    <n v="25.004999999999999"/>
  </r>
  <r>
    <n v="998"/>
    <x v="6"/>
    <x v="76"/>
    <x v="5"/>
    <s v="Percent of GDP"/>
    <s v="Units"/>
    <x v="6"/>
    <n v="25.366"/>
  </r>
  <r>
    <n v="110"/>
    <x v="0"/>
    <x v="76"/>
    <x v="5"/>
    <s v="Percent of GDP"/>
    <s v="Units"/>
    <x v="0"/>
    <n v="27.565999999999999"/>
  </r>
  <r>
    <n v="110"/>
    <x v="0"/>
    <x v="76"/>
    <x v="5"/>
    <s v="Percent of GDP"/>
    <s v="Units"/>
    <x v="1"/>
    <n v="25.94"/>
  </r>
  <r>
    <n v="110"/>
    <x v="0"/>
    <x v="76"/>
    <x v="5"/>
    <s v="Percent of GDP"/>
    <s v="Units"/>
    <x v="2"/>
    <n v="26.739000000000001"/>
  </r>
  <r>
    <n v="110"/>
    <x v="0"/>
    <x v="76"/>
    <x v="5"/>
    <s v="Percent of GDP"/>
    <s v="Units"/>
    <x v="3"/>
    <n v="25.396000000000001"/>
  </r>
  <r>
    <n v="110"/>
    <x v="0"/>
    <x v="76"/>
    <x v="5"/>
    <s v="Percent of GDP"/>
    <s v="Units"/>
    <x v="4"/>
    <n v="25.396000000000001"/>
  </r>
  <r>
    <n v="110"/>
    <x v="0"/>
    <x v="76"/>
    <x v="5"/>
    <s v="Percent of GDP"/>
    <s v="Units"/>
    <x v="5"/>
    <n v="25.004999999999999"/>
  </r>
  <r>
    <n v="110"/>
    <x v="0"/>
    <x v="76"/>
    <x v="5"/>
    <s v="Percent of GDP"/>
    <s v="Units"/>
    <x v="6"/>
    <n v="25.366"/>
  </r>
  <r>
    <n v="110"/>
    <x v="0"/>
    <x v="21"/>
    <x v="7"/>
    <s v="Percent of GDP"/>
    <s v="Units"/>
    <x v="0"/>
    <n v="25.009"/>
  </r>
  <r>
    <n v="110"/>
    <x v="0"/>
    <x v="21"/>
    <x v="7"/>
    <s v="Percent of GDP"/>
    <s v="Units"/>
    <x v="1"/>
    <n v="24.225000000000001"/>
  </r>
  <r>
    <n v="110"/>
    <x v="0"/>
    <x v="21"/>
    <x v="7"/>
    <s v="Percent of GDP"/>
    <s v="Units"/>
    <x v="2"/>
    <n v="25.731999999999999"/>
  </r>
  <r>
    <n v="110"/>
    <x v="0"/>
    <x v="21"/>
    <x v="7"/>
    <s v="Percent of GDP"/>
    <s v="Units"/>
    <x v="3"/>
    <n v="27.138000000000002"/>
  </r>
  <r>
    <n v="110"/>
    <x v="0"/>
    <x v="21"/>
    <x v="7"/>
    <s v="Percent of GDP"/>
    <s v="Units"/>
    <x v="4"/>
    <n v="25.219000000000001"/>
  </r>
  <r>
    <n v="110"/>
    <x v="0"/>
    <x v="21"/>
    <x v="7"/>
    <s v="Percent of GDP"/>
    <s v="Units"/>
    <x v="5"/>
    <n v="24.992000000000001"/>
  </r>
  <r>
    <n v="110"/>
    <x v="0"/>
    <x v="21"/>
    <x v="7"/>
    <s v="Percent of GDP"/>
    <s v="Units"/>
    <x v="6"/>
    <n v="25.05"/>
  </r>
  <r>
    <n v="163"/>
    <x v="5"/>
    <x v="21"/>
    <x v="7"/>
    <s v="Percent of GDP"/>
    <s v="Units"/>
    <x v="0"/>
    <n v="25.009"/>
  </r>
  <r>
    <n v="163"/>
    <x v="5"/>
    <x v="21"/>
    <x v="7"/>
    <s v="Percent of GDP"/>
    <s v="Units"/>
    <x v="1"/>
    <n v="24.225000000000001"/>
  </r>
  <r>
    <n v="163"/>
    <x v="5"/>
    <x v="21"/>
    <x v="7"/>
    <s v="Percent of GDP"/>
    <s v="Units"/>
    <x v="2"/>
    <n v="25.731999999999999"/>
  </r>
  <r>
    <n v="163"/>
    <x v="5"/>
    <x v="21"/>
    <x v="7"/>
    <s v="Percent of GDP"/>
    <s v="Units"/>
    <x v="3"/>
    <n v="27.138000000000002"/>
  </r>
  <r>
    <n v="163"/>
    <x v="5"/>
    <x v="21"/>
    <x v="7"/>
    <s v="Percent of GDP"/>
    <s v="Units"/>
    <x v="4"/>
    <n v="25.219000000000001"/>
  </r>
  <r>
    <n v="163"/>
    <x v="5"/>
    <x v="21"/>
    <x v="7"/>
    <s v="Percent of GDP"/>
    <s v="Units"/>
    <x v="5"/>
    <n v="24.992000000000001"/>
  </r>
  <r>
    <n v="163"/>
    <x v="5"/>
    <x v="21"/>
    <x v="7"/>
    <s v="Percent of GDP"/>
    <s v="Units"/>
    <x v="6"/>
    <n v="25.05"/>
  </r>
  <r>
    <n v="1"/>
    <x v="2"/>
    <x v="21"/>
    <x v="7"/>
    <s v="Percent of GDP"/>
    <s v="Units"/>
    <x v="0"/>
    <n v="25.009"/>
  </r>
  <r>
    <n v="1"/>
    <x v="2"/>
    <x v="21"/>
    <x v="7"/>
    <s v="Percent of GDP"/>
    <s v="Units"/>
    <x v="1"/>
    <n v="24.225000000000001"/>
  </r>
  <r>
    <n v="1"/>
    <x v="2"/>
    <x v="21"/>
    <x v="7"/>
    <s v="Percent of GDP"/>
    <s v="Units"/>
    <x v="2"/>
    <n v="25.731999999999999"/>
  </r>
  <r>
    <n v="1"/>
    <x v="2"/>
    <x v="21"/>
    <x v="7"/>
    <s v="Percent of GDP"/>
    <s v="Units"/>
    <x v="3"/>
    <n v="27.138000000000002"/>
  </r>
  <r>
    <n v="1"/>
    <x v="2"/>
    <x v="21"/>
    <x v="7"/>
    <s v="Percent of GDP"/>
    <s v="Units"/>
    <x v="4"/>
    <n v="25.219000000000001"/>
  </r>
  <r>
    <n v="1"/>
    <x v="2"/>
    <x v="21"/>
    <x v="7"/>
    <s v="Percent of GDP"/>
    <s v="Units"/>
    <x v="5"/>
    <n v="24.992000000000001"/>
  </r>
  <r>
    <n v="1"/>
    <x v="2"/>
    <x v="21"/>
    <x v="7"/>
    <s v="Percent of GDP"/>
    <s v="Units"/>
    <x v="6"/>
    <n v="25.05"/>
  </r>
  <r>
    <n v="998"/>
    <x v="6"/>
    <x v="21"/>
    <x v="7"/>
    <s v="Percent of GDP"/>
    <s v="Units"/>
    <x v="0"/>
    <n v="25.009"/>
  </r>
  <r>
    <n v="998"/>
    <x v="6"/>
    <x v="21"/>
    <x v="7"/>
    <s v="Percent of GDP"/>
    <s v="Units"/>
    <x v="1"/>
    <n v="24.225000000000001"/>
  </r>
  <r>
    <n v="998"/>
    <x v="6"/>
    <x v="21"/>
    <x v="7"/>
    <s v="Percent of GDP"/>
    <s v="Units"/>
    <x v="2"/>
    <n v="25.731999999999999"/>
  </r>
  <r>
    <n v="998"/>
    <x v="6"/>
    <x v="21"/>
    <x v="7"/>
    <s v="Percent of GDP"/>
    <s v="Units"/>
    <x v="3"/>
    <n v="27.138000000000002"/>
  </r>
  <r>
    <n v="998"/>
    <x v="6"/>
    <x v="21"/>
    <x v="7"/>
    <s v="Percent of GDP"/>
    <s v="Units"/>
    <x v="4"/>
    <n v="25.219000000000001"/>
  </r>
  <r>
    <n v="998"/>
    <x v="6"/>
    <x v="21"/>
    <x v="7"/>
    <s v="Percent of GDP"/>
    <s v="Units"/>
    <x v="5"/>
    <n v="24.992000000000001"/>
  </r>
  <r>
    <n v="998"/>
    <x v="6"/>
    <x v="21"/>
    <x v="7"/>
    <s v="Percent of GDP"/>
    <s v="Units"/>
    <x v="6"/>
    <n v="25.05"/>
  </r>
  <r>
    <n v="110"/>
    <x v="0"/>
    <x v="90"/>
    <x v="5"/>
    <s v="Percent of GDP"/>
    <s v="Units"/>
    <x v="0"/>
    <n v="26.640999999999998"/>
  </r>
  <r>
    <n v="110"/>
    <x v="0"/>
    <x v="90"/>
    <x v="5"/>
    <s v="Percent of GDP"/>
    <s v="Units"/>
    <x v="1"/>
    <n v="27.462"/>
  </r>
  <r>
    <n v="110"/>
    <x v="0"/>
    <x v="90"/>
    <x v="5"/>
    <s v="Percent of GDP"/>
    <s v="Units"/>
    <x v="2"/>
    <n v="25.192"/>
  </r>
  <r>
    <n v="110"/>
    <x v="0"/>
    <x v="90"/>
    <x v="5"/>
    <s v="Percent of GDP"/>
    <s v="Units"/>
    <x v="3"/>
    <n v="23.489000000000001"/>
  </r>
  <r>
    <n v="110"/>
    <x v="0"/>
    <x v="90"/>
    <x v="5"/>
    <s v="Percent of GDP"/>
    <s v="Units"/>
    <x v="4"/>
    <n v="25.12"/>
  </r>
  <r>
    <n v="110"/>
    <x v="0"/>
    <x v="90"/>
    <x v="5"/>
    <s v="Percent of GDP"/>
    <s v="Units"/>
    <x v="5"/>
    <n v="24.907"/>
  </r>
  <r>
    <n v="110"/>
    <x v="0"/>
    <x v="90"/>
    <x v="5"/>
    <s v="Percent of GDP"/>
    <s v="Units"/>
    <x v="6"/>
    <n v="24.811"/>
  </r>
  <r>
    <n v="1"/>
    <x v="2"/>
    <x v="90"/>
    <x v="5"/>
    <s v="Percent of GDP"/>
    <s v="Units"/>
    <x v="0"/>
    <n v="26.640999999999998"/>
  </r>
  <r>
    <n v="1"/>
    <x v="2"/>
    <x v="90"/>
    <x v="5"/>
    <s v="Percent of GDP"/>
    <s v="Units"/>
    <x v="1"/>
    <n v="27.462"/>
  </r>
  <r>
    <n v="1"/>
    <x v="2"/>
    <x v="90"/>
    <x v="5"/>
    <s v="Percent of GDP"/>
    <s v="Units"/>
    <x v="2"/>
    <n v="25.192"/>
  </r>
  <r>
    <n v="1"/>
    <x v="2"/>
    <x v="90"/>
    <x v="5"/>
    <s v="Percent of GDP"/>
    <s v="Units"/>
    <x v="3"/>
    <n v="23.489000000000001"/>
  </r>
  <r>
    <n v="1"/>
    <x v="2"/>
    <x v="90"/>
    <x v="5"/>
    <s v="Percent of GDP"/>
    <s v="Units"/>
    <x v="4"/>
    <n v="25.12"/>
  </r>
  <r>
    <n v="1"/>
    <x v="2"/>
    <x v="90"/>
    <x v="5"/>
    <s v="Percent of GDP"/>
    <s v="Units"/>
    <x v="5"/>
    <n v="24.907"/>
  </r>
  <r>
    <n v="1"/>
    <x v="2"/>
    <x v="90"/>
    <x v="5"/>
    <s v="Percent of GDP"/>
    <s v="Units"/>
    <x v="6"/>
    <n v="24.811"/>
  </r>
  <r>
    <n v="998"/>
    <x v="6"/>
    <x v="90"/>
    <x v="5"/>
    <s v="Percent of GDP"/>
    <s v="Units"/>
    <x v="0"/>
    <n v="26.640999999999998"/>
  </r>
  <r>
    <n v="998"/>
    <x v="6"/>
    <x v="90"/>
    <x v="5"/>
    <s v="Percent of GDP"/>
    <s v="Units"/>
    <x v="1"/>
    <n v="27.462"/>
  </r>
  <r>
    <n v="998"/>
    <x v="6"/>
    <x v="90"/>
    <x v="5"/>
    <s v="Percent of GDP"/>
    <s v="Units"/>
    <x v="2"/>
    <n v="25.192"/>
  </r>
  <r>
    <n v="998"/>
    <x v="6"/>
    <x v="90"/>
    <x v="5"/>
    <s v="Percent of GDP"/>
    <s v="Units"/>
    <x v="3"/>
    <n v="23.489000000000001"/>
  </r>
  <r>
    <n v="998"/>
    <x v="6"/>
    <x v="90"/>
    <x v="5"/>
    <s v="Percent of GDP"/>
    <s v="Units"/>
    <x v="4"/>
    <n v="25.12"/>
  </r>
  <r>
    <n v="998"/>
    <x v="6"/>
    <x v="90"/>
    <x v="5"/>
    <s v="Percent of GDP"/>
    <s v="Units"/>
    <x v="5"/>
    <n v="24.907"/>
  </r>
  <r>
    <n v="998"/>
    <x v="6"/>
    <x v="90"/>
    <x v="5"/>
    <s v="Percent of GDP"/>
    <s v="Units"/>
    <x v="6"/>
    <n v="24.811"/>
  </r>
  <r>
    <n v="163"/>
    <x v="5"/>
    <x v="90"/>
    <x v="5"/>
    <s v="Percent of GDP"/>
    <s v="Units"/>
    <x v="0"/>
    <n v="26.640999999999998"/>
  </r>
  <r>
    <n v="163"/>
    <x v="5"/>
    <x v="90"/>
    <x v="5"/>
    <s v="Percent of GDP"/>
    <s v="Units"/>
    <x v="1"/>
    <n v="27.462"/>
  </r>
  <r>
    <n v="163"/>
    <x v="5"/>
    <x v="90"/>
    <x v="5"/>
    <s v="Percent of GDP"/>
    <s v="Units"/>
    <x v="2"/>
    <n v="25.192"/>
  </r>
  <r>
    <n v="163"/>
    <x v="5"/>
    <x v="90"/>
    <x v="5"/>
    <s v="Percent of GDP"/>
    <s v="Units"/>
    <x v="3"/>
    <n v="23.489000000000001"/>
  </r>
  <r>
    <n v="163"/>
    <x v="5"/>
    <x v="90"/>
    <x v="5"/>
    <s v="Percent of GDP"/>
    <s v="Units"/>
    <x v="4"/>
    <n v="25.12"/>
  </r>
  <r>
    <n v="163"/>
    <x v="5"/>
    <x v="90"/>
    <x v="5"/>
    <s v="Percent of GDP"/>
    <s v="Units"/>
    <x v="5"/>
    <n v="24.907"/>
  </r>
  <r>
    <n v="163"/>
    <x v="5"/>
    <x v="90"/>
    <x v="5"/>
    <s v="Percent of GDP"/>
    <s v="Units"/>
    <x v="6"/>
    <n v="24.811"/>
  </r>
  <r>
    <n v="200"/>
    <x v="3"/>
    <x v="157"/>
    <x v="2"/>
    <s v="Percent of GDP"/>
    <s v="Units"/>
    <x v="0"/>
    <n v="23.925000000000001"/>
  </r>
  <r>
    <n v="200"/>
    <x v="3"/>
    <x v="157"/>
    <x v="2"/>
    <s v="Percent of GDP"/>
    <s v="Units"/>
    <x v="1"/>
    <n v="25.245999999999999"/>
  </r>
  <r>
    <n v="200"/>
    <x v="3"/>
    <x v="157"/>
    <x v="2"/>
    <s v="Percent of GDP"/>
    <s v="Units"/>
    <x v="2"/>
    <n v="24.082999999999998"/>
  </r>
  <r>
    <n v="200"/>
    <x v="3"/>
    <x v="157"/>
    <x v="2"/>
    <s v="Percent of GDP"/>
    <s v="Units"/>
    <x v="3"/>
    <n v="24.268000000000001"/>
  </r>
  <r>
    <n v="200"/>
    <x v="3"/>
    <x v="157"/>
    <x v="2"/>
    <s v="Percent of GDP"/>
    <s v="Units"/>
    <x v="4"/>
    <n v="24.829000000000001"/>
  </r>
  <r>
    <n v="200"/>
    <x v="3"/>
    <x v="157"/>
    <x v="2"/>
    <s v="Percent of GDP"/>
    <s v="Units"/>
    <x v="5"/>
    <n v="24.878"/>
  </r>
  <r>
    <n v="200"/>
    <x v="3"/>
    <x v="157"/>
    <x v="2"/>
    <s v="Percent of GDP"/>
    <s v="Units"/>
    <x v="6"/>
    <n v="24.977"/>
  </r>
  <r>
    <n v="400"/>
    <x v="11"/>
    <x v="157"/>
    <x v="2"/>
    <s v="Percent of GDP"/>
    <s v="Units"/>
    <x v="0"/>
    <n v="23.925000000000001"/>
  </r>
  <r>
    <n v="400"/>
    <x v="11"/>
    <x v="157"/>
    <x v="2"/>
    <s v="Percent of GDP"/>
    <s v="Units"/>
    <x v="1"/>
    <n v="25.245999999999999"/>
  </r>
  <r>
    <n v="400"/>
    <x v="11"/>
    <x v="157"/>
    <x v="2"/>
    <s v="Percent of GDP"/>
    <s v="Units"/>
    <x v="2"/>
    <n v="24.082999999999998"/>
  </r>
  <r>
    <n v="400"/>
    <x v="11"/>
    <x v="157"/>
    <x v="2"/>
    <s v="Percent of GDP"/>
    <s v="Units"/>
    <x v="3"/>
    <n v="24.268000000000001"/>
  </r>
  <r>
    <n v="400"/>
    <x v="11"/>
    <x v="157"/>
    <x v="2"/>
    <s v="Percent of GDP"/>
    <s v="Units"/>
    <x v="4"/>
    <n v="24.829000000000001"/>
  </r>
  <r>
    <n v="400"/>
    <x v="11"/>
    <x v="157"/>
    <x v="2"/>
    <s v="Percent of GDP"/>
    <s v="Units"/>
    <x v="5"/>
    <n v="24.878"/>
  </r>
  <r>
    <n v="400"/>
    <x v="11"/>
    <x v="157"/>
    <x v="2"/>
    <s v="Percent of GDP"/>
    <s v="Units"/>
    <x v="6"/>
    <n v="24.977"/>
  </r>
  <r>
    <n v="200"/>
    <x v="3"/>
    <x v="32"/>
    <x v="3"/>
    <s v="Percent of GDP"/>
    <s v="Units"/>
    <x v="0"/>
    <n v="21.72"/>
  </r>
  <r>
    <n v="200"/>
    <x v="3"/>
    <x v="32"/>
    <x v="3"/>
    <s v="Percent of GDP"/>
    <s v="Units"/>
    <x v="1"/>
    <n v="25.92"/>
  </r>
  <r>
    <n v="200"/>
    <x v="3"/>
    <x v="32"/>
    <x v="3"/>
    <s v="Percent of GDP"/>
    <s v="Units"/>
    <x v="2"/>
    <n v="27.2"/>
  </r>
  <r>
    <n v="200"/>
    <x v="3"/>
    <x v="32"/>
    <x v="3"/>
    <s v="Percent of GDP"/>
    <s v="Units"/>
    <x v="3"/>
    <n v="25.890999999999998"/>
  </r>
  <r>
    <n v="200"/>
    <x v="3"/>
    <x v="32"/>
    <x v="3"/>
    <s v="Percent of GDP"/>
    <s v="Units"/>
    <x v="4"/>
    <n v="25.210999999999999"/>
  </r>
  <r>
    <n v="200"/>
    <x v="3"/>
    <x v="32"/>
    <x v="3"/>
    <s v="Percent of GDP"/>
    <s v="Units"/>
    <x v="5"/>
    <n v="24.838999999999999"/>
  </r>
  <r>
    <n v="200"/>
    <x v="3"/>
    <x v="32"/>
    <x v="3"/>
    <s v="Percent of GDP"/>
    <s v="Units"/>
    <x v="6"/>
    <n v="24.847000000000001"/>
  </r>
  <r>
    <n v="505"/>
    <x v="4"/>
    <x v="32"/>
    <x v="3"/>
    <s v="Percent of GDP"/>
    <s v="Units"/>
    <x v="0"/>
    <n v="21.72"/>
  </r>
  <r>
    <n v="505"/>
    <x v="4"/>
    <x v="32"/>
    <x v="3"/>
    <s v="Percent of GDP"/>
    <s v="Units"/>
    <x v="1"/>
    <n v="25.92"/>
  </r>
  <r>
    <n v="505"/>
    <x v="4"/>
    <x v="32"/>
    <x v="3"/>
    <s v="Percent of GDP"/>
    <s v="Units"/>
    <x v="2"/>
    <n v="27.2"/>
  </r>
  <r>
    <n v="505"/>
    <x v="4"/>
    <x v="32"/>
    <x v="3"/>
    <s v="Percent of GDP"/>
    <s v="Units"/>
    <x v="3"/>
    <n v="25.890999999999998"/>
  </r>
  <r>
    <n v="505"/>
    <x v="4"/>
    <x v="32"/>
    <x v="3"/>
    <s v="Percent of GDP"/>
    <s v="Units"/>
    <x v="4"/>
    <n v="25.210999999999999"/>
  </r>
  <r>
    <n v="505"/>
    <x v="4"/>
    <x v="32"/>
    <x v="3"/>
    <s v="Percent of GDP"/>
    <s v="Units"/>
    <x v="5"/>
    <n v="24.838999999999999"/>
  </r>
  <r>
    <n v="505"/>
    <x v="4"/>
    <x v="32"/>
    <x v="3"/>
    <s v="Percent of GDP"/>
    <s v="Units"/>
    <x v="6"/>
    <n v="24.847000000000001"/>
  </r>
  <r>
    <n v="510"/>
    <x v="10"/>
    <x v="32"/>
    <x v="3"/>
    <s v="Percent of GDP"/>
    <s v="Units"/>
    <x v="0"/>
    <n v="21.72"/>
  </r>
  <r>
    <n v="510"/>
    <x v="10"/>
    <x v="32"/>
    <x v="3"/>
    <s v="Percent of GDP"/>
    <s v="Units"/>
    <x v="1"/>
    <n v="25.92"/>
  </r>
  <r>
    <n v="510"/>
    <x v="10"/>
    <x v="32"/>
    <x v="3"/>
    <s v="Percent of GDP"/>
    <s v="Units"/>
    <x v="2"/>
    <n v="27.2"/>
  </r>
  <r>
    <n v="510"/>
    <x v="10"/>
    <x v="32"/>
    <x v="3"/>
    <s v="Percent of GDP"/>
    <s v="Units"/>
    <x v="3"/>
    <n v="25.890999999999998"/>
  </r>
  <r>
    <n v="510"/>
    <x v="10"/>
    <x v="32"/>
    <x v="3"/>
    <s v="Percent of GDP"/>
    <s v="Units"/>
    <x v="4"/>
    <n v="25.210999999999999"/>
  </r>
  <r>
    <n v="510"/>
    <x v="10"/>
    <x v="32"/>
    <x v="3"/>
    <s v="Percent of GDP"/>
    <s v="Units"/>
    <x v="5"/>
    <n v="24.838999999999999"/>
  </r>
  <r>
    <n v="510"/>
    <x v="10"/>
    <x v="32"/>
    <x v="3"/>
    <s v="Percent of GDP"/>
    <s v="Units"/>
    <x v="6"/>
    <n v="24.847000000000001"/>
  </r>
  <r>
    <n v="1"/>
    <x v="2"/>
    <x v="113"/>
    <x v="5"/>
    <s v="Percent of GDP"/>
    <s v="Units"/>
    <x v="0"/>
    <n v="27.221"/>
  </r>
  <r>
    <n v="1"/>
    <x v="2"/>
    <x v="113"/>
    <x v="5"/>
    <s v="Percent of GDP"/>
    <s v="Units"/>
    <x v="1"/>
    <n v="22.221"/>
  </r>
  <r>
    <n v="1"/>
    <x v="2"/>
    <x v="113"/>
    <x v="5"/>
    <s v="Percent of GDP"/>
    <s v="Units"/>
    <x v="2"/>
    <n v="20.239999999999998"/>
  </r>
  <r>
    <n v="1"/>
    <x v="2"/>
    <x v="113"/>
    <x v="5"/>
    <s v="Percent of GDP"/>
    <s v="Units"/>
    <x v="3"/>
    <n v="22.596"/>
  </r>
  <r>
    <n v="1"/>
    <x v="2"/>
    <x v="113"/>
    <x v="5"/>
    <s v="Percent of GDP"/>
    <s v="Units"/>
    <x v="4"/>
    <n v="25.356999999999999"/>
  </r>
  <r>
    <n v="1"/>
    <x v="2"/>
    <x v="113"/>
    <x v="5"/>
    <s v="Percent of GDP"/>
    <s v="Units"/>
    <x v="5"/>
    <n v="24.786999999999999"/>
  </r>
  <r>
    <n v="1"/>
    <x v="2"/>
    <x v="113"/>
    <x v="5"/>
    <s v="Percent of GDP"/>
    <s v="Units"/>
    <x v="6"/>
    <n v="24.725000000000001"/>
  </r>
  <r>
    <n v="110"/>
    <x v="0"/>
    <x v="113"/>
    <x v="5"/>
    <s v="Percent of GDP"/>
    <s v="Units"/>
    <x v="0"/>
    <n v="27.221"/>
  </r>
  <r>
    <n v="110"/>
    <x v="0"/>
    <x v="113"/>
    <x v="5"/>
    <s v="Percent of GDP"/>
    <s v="Units"/>
    <x v="1"/>
    <n v="22.221"/>
  </r>
  <r>
    <n v="110"/>
    <x v="0"/>
    <x v="113"/>
    <x v="5"/>
    <s v="Percent of GDP"/>
    <s v="Units"/>
    <x v="2"/>
    <n v="20.239999999999998"/>
  </r>
  <r>
    <n v="110"/>
    <x v="0"/>
    <x v="113"/>
    <x v="5"/>
    <s v="Percent of GDP"/>
    <s v="Units"/>
    <x v="3"/>
    <n v="22.596"/>
  </r>
  <r>
    <n v="110"/>
    <x v="0"/>
    <x v="113"/>
    <x v="5"/>
    <s v="Percent of GDP"/>
    <s v="Units"/>
    <x v="4"/>
    <n v="25.356999999999999"/>
  </r>
  <r>
    <n v="110"/>
    <x v="0"/>
    <x v="113"/>
    <x v="5"/>
    <s v="Percent of GDP"/>
    <s v="Units"/>
    <x v="5"/>
    <n v="24.786999999999999"/>
  </r>
  <r>
    <n v="110"/>
    <x v="0"/>
    <x v="113"/>
    <x v="5"/>
    <s v="Percent of GDP"/>
    <s v="Units"/>
    <x v="6"/>
    <n v="24.725000000000001"/>
  </r>
  <r>
    <n v="123"/>
    <x v="9"/>
    <x v="113"/>
    <x v="5"/>
    <s v="Percent of GDP"/>
    <s v="Units"/>
    <x v="0"/>
    <n v="27.221"/>
  </r>
  <r>
    <n v="123"/>
    <x v="9"/>
    <x v="113"/>
    <x v="5"/>
    <s v="Percent of GDP"/>
    <s v="Units"/>
    <x v="1"/>
    <n v="22.221"/>
  </r>
  <r>
    <n v="123"/>
    <x v="9"/>
    <x v="113"/>
    <x v="5"/>
    <s v="Percent of GDP"/>
    <s v="Units"/>
    <x v="2"/>
    <n v="20.239999999999998"/>
  </r>
  <r>
    <n v="123"/>
    <x v="9"/>
    <x v="113"/>
    <x v="5"/>
    <s v="Percent of GDP"/>
    <s v="Units"/>
    <x v="3"/>
    <n v="22.596"/>
  </r>
  <r>
    <n v="123"/>
    <x v="9"/>
    <x v="113"/>
    <x v="5"/>
    <s v="Percent of GDP"/>
    <s v="Units"/>
    <x v="4"/>
    <n v="25.356999999999999"/>
  </r>
  <r>
    <n v="123"/>
    <x v="9"/>
    <x v="113"/>
    <x v="5"/>
    <s v="Percent of GDP"/>
    <s v="Units"/>
    <x v="5"/>
    <n v="24.786999999999999"/>
  </r>
  <r>
    <n v="123"/>
    <x v="9"/>
    <x v="113"/>
    <x v="5"/>
    <s v="Percent of GDP"/>
    <s v="Units"/>
    <x v="6"/>
    <n v="24.725000000000001"/>
  </r>
  <r>
    <n v="205"/>
    <x v="7"/>
    <x v="105"/>
    <x v="2"/>
    <s v="Percent of GDP"/>
    <s v="Units"/>
    <x v="0"/>
    <n v="20.277000000000001"/>
  </r>
  <r>
    <n v="205"/>
    <x v="7"/>
    <x v="105"/>
    <x v="2"/>
    <s v="Percent of GDP"/>
    <s v="Units"/>
    <x v="1"/>
    <n v="18.248999999999999"/>
  </r>
  <r>
    <n v="205"/>
    <x v="7"/>
    <x v="105"/>
    <x v="2"/>
    <s v="Percent of GDP"/>
    <s v="Units"/>
    <x v="2"/>
    <n v="26.361000000000001"/>
  </r>
  <r>
    <n v="205"/>
    <x v="7"/>
    <x v="105"/>
    <x v="2"/>
    <s v="Percent of GDP"/>
    <s v="Units"/>
    <x v="3"/>
    <n v="26.847999999999999"/>
  </r>
  <r>
    <n v="205"/>
    <x v="7"/>
    <x v="105"/>
    <x v="2"/>
    <s v="Percent of GDP"/>
    <s v="Units"/>
    <x v="4"/>
    <n v="24.885999999999999"/>
  </r>
  <r>
    <n v="205"/>
    <x v="7"/>
    <x v="105"/>
    <x v="2"/>
    <s v="Percent of GDP"/>
    <s v="Units"/>
    <x v="5"/>
    <n v="24.765999999999998"/>
  </r>
  <r>
    <n v="205"/>
    <x v="7"/>
    <x v="105"/>
    <x v="2"/>
    <s v="Percent of GDP"/>
    <s v="Units"/>
    <x v="6"/>
    <n v="25.143000000000001"/>
  </r>
  <r>
    <n v="200"/>
    <x v="3"/>
    <x v="105"/>
    <x v="2"/>
    <s v="Percent of GDP"/>
    <s v="Units"/>
    <x v="0"/>
    <n v="20.277000000000001"/>
  </r>
  <r>
    <n v="200"/>
    <x v="3"/>
    <x v="105"/>
    <x v="2"/>
    <s v="Percent of GDP"/>
    <s v="Units"/>
    <x v="1"/>
    <n v="18.248999999999999"/>
  </r>
  <r>
    <n v="200"/>
    <x v="3"/>
    <x v="105"/>
    <x v="2"/>
    <s v="Percent of GDP"/>
    <s v="Units"/>
    <x v="2"/>
    <n v="26.361000000000001"/>
  </r>
  <r>
    <n v="200"/>
    <x v="3"/>
    <x v="105"/>
    <x v="2"/>
    <s v="Percent of GDP"/>
    <s v="Units"/>
    <x v="3"/>
    <n v="26.847999999999999"/>
  </r>
  <r>
    <n v="200"/>
    <x v="3"/>
    <x v="105"/>
    <x v="2"/>
    <s v="Percent of GDP"/>
    <s v="Units"/>
    <x v="4"/>
    <n v="24.885999999999999"/>
  </r>
  <r>
    <n v="200"/>
    <x v="3"/>
    <x v="105"/>
    <x v="2"/>
    <s v="Percent of GDP"/>
    <s v="Units"/>
    <x v="5"/>
    <n v="24.765999999999998"/>
  </r>
  <r>
    <n v="200"/>
    <x v="3"/>
    <x v="105"/>
    <x v="2"/>
    <s v="Percent of GDP"/>
    <s v="Units"/>
    <x v="6"/>
    <n v="25.143000000000001"/>
  </r>
  <r>
    <n v="1"/>
    <x v="2"/>
    <x v="174"/>
    <x v="1"/>
    <s v="Percent change"/>
    <s v="Units"/>
    <x v="0"/>
    <n v="6.7380000000000004"/>
  </r>
  <r>
    <n v="1"/>
    <x v="2"/>
    <x v="174"/>
    <x v="1"/>
    <s v="Percent change"/>
    <s v="Units"/>
    <x v="1"/>
    <n v="10.741"/>
  </r>
  <r>
    <n v="1"/>
    <x v="2"/>
    <x v="174"/>
    <x v="1"/>
    <s v="Percent change"/>
    <s v="Units"/>
    <x v="2"/>
    <n v="8.9009999999999998"/>
  </r>
  <r>
    <n v="1"/>
    <x v="2"/>
    <x v="174"/>
    <x v="1"/>
    <s v="Percent change"/>
    <s v="Units"/>
    <x v="3"/>
    <n v="12.148"/>
  </r>
  <r>
    <n v="1"/>
    <x v="2"/>
    <x v="174"/>
    <x v="1"/>
    <s v="Percent change"/>
    <s v="Units"/>
    <x v="4"/>
    <n v="29.181000000000001"/>
  </r>
  <r>
    <n v="1"/>
    <x v="2"/>
    <x v="174"/>
    <x v="1"/>
    <s v="Percent change"/>
    <s v="Units"/>
    <x v="5"/>
    <n v="24.757000000000001"/>
  </r>
  <r>
    <n v="1"/>
    <x v="2"/>
    <x v="174"/>
    <x v="1"/>
    <s v="Percent change"/>
    <s v="Units"/>
    <x v="6"/>
    <n v="12.654"/>
  </r>
  <r>
    <n v="400"/>
    <x v="11"/>
    <x v="174"/>
    <x v="1"/>
    <s v="Percent change"/>
    <s v="Units"/>
    <x v="0"/>
    <n v="6.7380000000000004"/>
  </r>
  <r>
    <n v="400"/>
    <x v="11"/>
    <x v="174"/>
    <x v="1"/>
    <s v="Percent change"/>
    <s v="Units"/>
    <x v="1"/>
    <n v="10.741"/>
  </r>
  <r>
    <n v="400"/>
    <x v="11"/>
    <x v="174"/>
    <x v="1"/>
    <s v="Percent change"/>
    <s v="Units"/>
    <x v="2"/>
    <n v="8.9009999999999998"/>
  </r>
  <r>
    <n v="400"/>
    <x v="11"/>
    <x v="174"/>
    <x v="1"/>
    <s v="Percent change"/>
    <s v="Units"/>
    <x v="3"/>
    <n v="12.148"/>
  </r>
  <r>
    <n v="400"/>
    <x v="11"/>
    <x v="174"/>
    <x v="1"/>
    <s v="Percent change"/>
    <s v="Units"/>
    <x v="4"/>
    <n v="29.181000000000001"/>
  </r>
  <r>
    <n v="400"/>
    <x v="11"/>
    <x v="174"/>
    <x v="1"/>
    <s v="Percent change"/>
    <s v="Units"/>
    <x v="5"/>
    <n v="24.757000000000001"/>
  </r>
  <r>
    <n v="400"/>
    <x v="11"/>
    <x v="174"/>
    <x v="1"/>
    <s v="Percent change"/>
    <s v="Units"/>
    <x v="6"/>
    <n v="12.654"/>
  </r>
  <r>
    <n v="200"/>
    <x v="3"/>
    <x v="174"/>
    <x v="1"/>
    <s v="Percent change"/>
    <s v="Units"/>
    <x v="0"/>
    <n v="6.7380000000000004"/>
  </r>
  <r>
    <n v="200"/>
    <x v="3"/>
    <x v="174"/>
    <x v="1"/>
    <s v="Percent change"/>
    <s v="Units"/>
    <x v="1"/>
    <n v="10.741"/>
  </r>
  <r>
    <n v="200"/>
    <x v="3"/>
    <x v="174"/>
    <x v="1"/>
    <s v="Percent change"/>
    <s v="Units"/>
    <x v="2"/>
    <n v="8.9009999999999998"/>
  </r>
  <r>
    <n v="200"/>
    <x v="3"/>
    <x v="174"/>
    <x v="1"/>
    <s v="Percent change"/>
    <s v="Units"/>
    <x v="3"/>
    <n v="12.148"/>
  </r>
  <r>
    <n v="200"/>
    <x v="3"/>
    <x v="174"/>
    <x v="1"/>
    <s v="Percent change"/>
    <s v="Units"/>
    <x v="4"/>
    <n v="29.181000000000001"/>
  </r>
  <r>
    <n v="200"/>
    <x v="3"/>
    <x v="174"/>
    <x v="1"/>
    <s v="Percent change"/>
    <s v="Units"/>
    <x v="5"/>
    <n v="24.757000000000001"/>
  </r>
  <r>
    <n v="200"/>
    <x v="3"/>
    <x v="174"/>
    <x v="1"/>
    <s v="Percent change"/>
    <s v="Units"/>
    <x v="6"/>
    <n v="12.654"/>
  </r>
  <r>
    <n v="123"/>
    <x v="9"/>
    <x v="12"/>
    <x v="5"/>
    <s v="Percent of GDP"/>
    <s v="Units"/>
    <x v="0"/>
    <n v="23.048999999999999"/>
  </r>
  <r>
    <n v="123"/>
    <x v="9"/>
    <x v="12"/>
    <x v="5"/>
    <s v="Percent of GDP"/>
    <s v="Units"/>
    <x v="1"/>
    <n v="24.562999999999999"/>
  </r>
  <r>
    <n v="123"/>
    <x v="9"/>
    <x v="12"/>
    <x v="5"/>
    <s v="Percent of GDP"/>
    <s v="Units"/>
    <x v="2"/>
    <n v="26.207000000000001"/>
  </r>
  <r>
    <n v="123"/>
    <x v="9"/>
    <x v="12"/>
    <x v="5"/>
    <s v="Percent of GDP"/>
    <s v="Units"/>
    <x v="3"/>
    <n v="24.927"/>
  </r>
  <r>
    <n v="123"/>
    <x v="9"/>
    <x v="12"/>
    <x v="5"/>
    <s v="Percent of GDP"/>
    <s v="Units"/>
    <x v="4"/>
    <n v="24.997"/>
  </r>
  <r>
    <n v="123"/>
    <x v="9"/>
    <x v="12"/>
    <x v="5"/>
    <s v="Percent of GDP"/>
    <s v="Units"/>
    <x v="5"/>
    <n v="24.693999999999999"/>
  </r>
  <r>
    <n v="123"/>
    <x v="9"/>
    <x v="12"/>
    <x v="5"/>
    <s v="Percent of GDP"/>
    <s v="Units"/>
    <x v="6"/>
    <n v="24.425999999999998"/>
  </r>
  <r>
    <n v="1"/>
    <x v="2"/>
    <x v="12"/>
    <x v="5"/>
    <s v="Percent of GDP"/>
    <s v="Units"/>
    <x v="0"/>
    <n v="23.048999999999999"/>
  </r>
  <r>
    <n v="1"/>
    <x v="2"/>
    <x v="12"/>
    <x v="5"/>
    <s v="Percent of GDP"/>
    <s v="Units"/>
    <x v="1"/>
    <n v="24.562999999999999"/>
  </r>
  <r>
    <n v="1"/>
    <x v="2"/>
    <x v="12"/>
    <x v="5"/>
    <s v="Percent of GDP"/>
    <s v="Units"/>
    <x v="2"/>
    <n v="26.207000000000001"/>
  </r>
  <r>
    <n v="1"/>
    <x v="2"/>
    <x v="12"/>
    <x v="5"/>
    <s v="Percent of GDP"/>
    <s v="Units"/>
    <x v="3"/>
    <n v="24.927"/>
  </r>
  <r>
    <n v="1"/>
    <x v="2"/>
    <x v="12"/>
    <x v="5"/>
    <s v="Percent of GDP"/>
    <s v="Units"/>
    <x v="4"/>
    <n v="24.997"/>
  </r>
  <r>
    <n v="1"/>
    <x v="2"/>
    <x v="12"/>
    <x v="5"/>
    <s v="Percent of GDP"/>
    <s v="Units"/>
    <x v="5"/>
    <n v="24.693999999999999"/>
  </r>
  <r>
    <n v="1"/>
    <x v="2"/>
    <x v="12"/>
    <x v="5"/>
    <s v="Percent of GDP"/>
    <s v="Units"/>
    <x v="6"/>
    <n v="24.425999999999998"/>
  </r>
  <r>
    <n v="110"/>
    <x v="0"/>
    <x v="12"/>
    <x v="5"/>
    <s v="Percent of GDP"/>
    <s v="Units"/>
    <x v="0"/>
    <n v="23.048999999999999"/>
  </r>
  <r>
    <n v="110"/>
    <x v="0"/>
    <x v="12"/>
    <x v="5"/>
    <s v="Percent of GDP"/>
    <s v="Units"/>
    <x v="1"/>
    <n v="24.562999999999999"/>
  </r>
  <r>
    <n v="110"/>
    <x v="0"/>
    <x v="12"/>
    <x v="5"/>
    <s v="Percent of GDP"/>
    <s v="Units"/>
    <x v="2"/>
    <n v="26.207000000000001"/>
  </r>
  <r>
    <n v="110"/>
    <x v="0"/>
    <x v="12"/>
    <x v="5"/>
    <s v="Percent of GDP"/>
    <s v="Units"/>
    <x v="3"/>
    <n v="24.927"/>
  </r>
  <r>
    <n v="110"/>
    <x v="0"/>
    <x v="12"/>
    <x v="5"/>
    <s v="Percent of GDP"/>
    <s v="Units"/>
    <x v="4"/>
    <n v="24.997"/>
  </r>
  <r>
    <n v="110"/>
    <x v="0"/>
    <x v="12"/>
    <x v="5"/>
    <s v="Percent of GDP"/>
    <s v="Units"/>
    <x v="5"/>
    <n v="24.693999999999999"/>
  </r>
  <r>
    <n v="110"/>
    <x v="0"/>
    <x v="12"/>
    <x v="5"/>
    <s v="Percent of GDP"/>
    <s v="Units"/>
    <x v="6"/>
    <n v="24.425999999999998"/>
  </r>
  <r>
    <n v="1"/>
    <x v="2"/>
    <x v="30"/>
    <x v="7"/>
    <s v="Percent of GDP"/>
    <s v="Units"/>
    <x v="0"/>
    <n v="29.6"/>
  </r>
  <r>
    <n v="1"/>
    <x v="2"/>
    <x v="30"/>
    <x v="7"/>
    <s v="Percent of GDP"/>
    <s v="Units"/>
    <x v="1"/>
    <n v="31.347000000000001"/>
  </r>
  <r>
    <n v="1"/>
    <x v="2"/>
    <x v="30"/>
    <x v="7"/>
    <s v="Percent of GDP"/>
    <s v="Units"/>
    <x v="2"/>
    <n v="25.085000000000001"/>
  </r>
  <r>
    <n v="1"/>
    <x v="2"/>
    <x v="30"/>
    <x v="7"/>
    <s v="Percent of GDP"/>
    <s v="Units"/>
    <x v="3"/>
    <n v="21.69"/>
  </r>
  <r>
    <n v="1"/>
    <x v="2"/>
    <x v="30"/>
    <x v="7"/>
    <s v="Percent of GDP"/>
    <s v="Units"/>
    <x v="4"/>
    <n v="25.838000000000001"/>
  </r>
  <r>
    <n v="1"/>
    <x v="2"/>
    <x v="30"/>
    <x v="7"/>
    <s v="Percent of GDP"/>
    <s v="Units"/>
    <x v="5"/>
    <n v="24.648"/>
  </r>
  <r>
    <n v="1"/>
    <x v="2"/>
    <x v="30"/>
    <x v="7"/>
    <s v="Percent of GDP"/>
    <s v="Units"/>
    <x v="6"/>
    <n v="24.347999999999999"/>
  </r>
  <r>
    <n v="110"/>
    <x v="0"/>
    <x v="30"/>
    <x v="7"/>
    <s v="Percent of GDP"/>
    <s v="Units"/>
    <x v="0"/>
    <n v="29.6"/>
  </r>
  <r>
    <n v="110"/>
    <x v="0"/>
    <x v="30"/>
    <x v="7"/>
    <s v="Percent of GDP"/>
    <s v="Units"/>
    <x v="1"/>
    <n v="31.347000000000001"/>
  </r>
  <r>
    <n v="110"/>
    <x v="0"/>
    <x v="30"/>
    <x v="7"/>
    <s v="Percent of GDP"/>
    <s v="Units"/>
    <x v="2"/>
    <n v="25.085000000000001"/>
  </r>
  <r>
    <n v="110"/>
    <x v="0"/>
    <x v="30"/>
    <x v="7"/>
    <s v="Percent of GDP"/>
    <s v="Units"/>
    <x v="3"/>
    <n v="21.69"/>
  </r>
  <r>
    <n v="110"/>
    <x v="0"/>
    <x v="30"/>
    <x v="7"/>
    <s v="Percent of GDP"/>
    <s v="Units"/>
    <x v="4"/>
    <n v="25.838000000000001"/>
  </r>
  <r>
    <n v="110"/>
    <x v="0"/>
    <x v="30"/>
    <x v="7"/>
    <s v="Percent of GDP"/>
    <s v="Units"/>
    <x v="5"/>
    <n v="24.648"/>
  </r>
  <r>
    <n v="110"/>
    <x v="0"/>
    <x v="30"/>
    <x v="7"/>
    <s v="Percent of GDP"/>
    <s v="Units"/>
    <x v="6"/>
    <n v="24.347999999999999"/>
  </r>
  <r>
    <n v="123"/>
    <x v="9"/>
    <x v="30"/>
    <x v="7"/>
    <s v="Percent of GDP"/>
    <s v="Units"/>
    <x v="0"/>
    <n v="29.6"/>
  </r>
  <r>
    <n v="123"/>
    <x v="9"/>
    <x v="30"/>
    <x v="7"/>
    <s v="Percent of GDP"/>
    <s v="Units"/>
    <x v="1"/>
    <n v="31.347000000000001"/>
  </r>
  <r>
    <n v="123"/>
    <x v="9"/>
    <x v="30"/>
    <x v="7"/>
    <s v="Percent of GDP"/>
    <s v="Units"/>
    <x v="2"/>
    <n v="25.085000000000001"/>
  </r>
  <r>
    <n v="123"/>
    <x v="9"/>
    <x v="30"/>
    <x v="7"/>
    <s v="Percent of GDP"/>
    <s v="Units"/>
    <x v="3"/>
    <n v="21.69"/>
  </r>
  <r>
    <n v="123"/>
    <x v="9"/>
    <x v="30"/>
    <x v="7"/>
    <s v="Percent of GDP"/>
    <s v="Units"/>
    <x v="4"/>
    <n v="25.838000000000001"/>
  </r>
  <r>
    <n v="123"/>
    <x v="9"/>
    <x v="30"/>
    <x v="7"/>
    <s v="Percent of GDP"/>
    <s v="Units"/>
    <x v="5"/>
    <n v="24.648"/>
  </r>
  <r>
    <n v="123"/>
    <x v="9"/>
    <x v="30"/>
    <x v="7"/>
    <s v="Percent of GDP"/>
    <s v="Units"/>
    <x v="6"/>
    <n v="24.347999999999999"/>
  </r>
  <r>
    <n v="205"/>
    <x v="7"/>
    <x v="11"/>
    <x v="7"/>
    <s v="Percent of GDP"/>
    <s v="Units"/>
    <x v="0"/>
    <n v="22.12"/>
  </r>
  <r>
    <n v="205"/>
    <x v="7"/>
    <x v="11"/>
    <x v="7"/>
    <s v="Percent of GDP"/>
    <s v="Units"/>
    <x v="1"/>
    <n v="20.207000000000001"/>
  </r>
  <r>
    <n v="205"/>
    <x v="7"/>
    <x v="11"/>
    <x v="7"/>
    <s v="Percent of GDP"/>
    <s v="Units"/>
    <x v="2"/>
    <n v="21.617000000000001"/>
  </r>
  <r>
    <n v="205"/>
    <x v="7"/>
    <x v="11"/>
    <x v="7"/>
    <s v="Percent of GDP"/>
    <s v="Units"/>
    <x v="3"/>
    <n v="22.704999999999998"/>
  </r>
  <r>
    <n v="205"/>
    <x v="7"/>
    <x v="11"/>
    <x v="7"/>
    <s v="Percent of GDP"/>
    <s v="Units"/>
    <x v="4"/>
    <n v="24.75"/>
  </r>
  <r>
    <n v="205"/>
    <x v="7"/>
    <x v="11"/>
    <x v="7"/>
    <s v="Percent of GDP"/>
    <s v="Units"/>
    <x v="5"/>
    <n v="24.611999999999998"/>
  </r>
  <r>
    <n v="205"/>
    <x v="7"/>
    <x v="11"/>
    <x v="7"/>
    <s v="Percent of GDP"/>
    <s v="Units"/>
    <x v="6"/>
    <n v="24.125"/>
  </r>
  <r>
    <n v="1"/>
    <x v="2"/>
    <x v="11"/>
    <x v="7"/>
    <s v="Percent of GDP"/>
    <s v="Units"/>
    <x v="0"/>
    <n v="22.12"/>
  </r>
  <r>
    <n v="1"/>
    <x v="2"/>
    <x v="11"/>
    <x v="7"/>
    <s v="Percent of GDP"/>
    <s v="Units"/>
    <x v="1"/>
    <n v="20.207000000000001"/>
  </r>
  <r>
    <n v="1"/>
    <x v="2"/>
    <x v="11"/>
    <x v="7"/>
    <s v="Percent of GDP"/>
    <s v="Units"/>
    <x v="2"/>
    <n v="21.617000000000001"/>
  </r>
  <r>
    <n v="1"/>
    <x v="2"/>
    <x v="11"/>
    <x v="7"/>
    <s v="Percent of GDP"/>
    <s v="Units"/>
    <x v="3"/>
    <n v="22.704999999999998"/>
  </r>
  <r>
    <n v="1"/>
    <x v="2"/>
    <x v="11"/>
    <x v="7"/>
    <s v="Percent of GDP"/>
    <s v="Units"/>
    <x v="4"/>
    <n v="24.75"/>
  </r>
  <r>
    <n v="1"/>
    <x v="2"/>
    <x v="11"/>
    <x v="7"/>
    <s v="Percent of GDP"/>
    <s v="Units"/>
    <x v="5"/>
    <n v="24.611999999999998"/>
  </r>
  <r>
    <n v="1"/>
    <x v="2"/>
    <x v="11"/>
    <x v="7"/>
    <s v="Percent of GDP"/>
    <s v="Units"/>
    <x v="6"/>
    <n v="24.125"/>
  </r>
  <r>
    <n v="200"/>
    <x v="3"/>
    <x v="11"/>
    <x v="7"/>
    <s v="Percent of GDP"/>
    <s v="Units"/>
    <x v="0"/>
    <n v="22.12"/>
  </r>
  <r>
    <n v="200"/>
    <x v="3"/>
    <x v="11"/>
    <x v="7"/>
    <s v="Percent of GDP"/>
    <s v="Units"/>
    <x v="1"/>
    <n v="20.207000000000001"/>
  </r>
  <r>
    <n v="200"/>
    <x v="3"/>
    <x v="11"/>
    <x v="7"/>
    <s v="Percent of GDP"/>
    <s v="Units"/>
    <x v="2"/>
    <n v="21.617000000000001"/>
  </r>
  <r>
    <n v="200"/>
    <x v="3"/>
    <x v="11"/>
    <x v="7"/>
    <s v="Percent of GDP"/>
    <s v="Units"/>
    <x v="3"/>
    <n v="22.704999999999998"/>
  </r>
  <r>
    <n v="200"/>
    <x v="3"/>
    <x v="11"/>
    <x v="7"/>
    <s v="Percent of GDP"/>
    <s v="Units"/>
    <x v="4"/>
    <n v="24.75"/>
  </r>
  <r>
    <n v="200"/>
    <x v="3"/>
    <x v="11"/>
    <x v="7"/>
    <s v="Percent of GDP"/>
    <s v="Units"/>
    <x v="5"/>
    <n v="24.611999999999998"/>
  </r>
  <r>
    <n v="200"/>
    <x v="3"/>
    <x v="11"/>
    <x v="7"/>
    <s v="Percent of GDP"/>
    <s v="Units"/>
    <x v="6"/>
    <n v="24.125"/>
  </r>
  <r>
    <n v="998"/>
    <x v="6"/>
    <x v="41"/>
    <x v="7"/>
    <s v="Percent of GDP"/>
    <s v="Units"/>
    <x v="0"/>
    <n v="24.289000000000001"/>
  </r>
  <r>
    <n v="998"/>
    <x v="6"/>
    <x v="41"/>
    <x v="7"/>
    <s v="Percent of GDP"/>
    <s v="Units"/>
    <x v="1"/>
    <n v="24.533999999999999"/>
  </r>
  <r>
    <n v="998"/>
    <x v="6"/>
    <x v="41"/>
    <x v="7"/>
    <s v="Percent of GDP"/>
    <s v="Units"/>
    <x v="2"/>
    <n v="26.314"/>
  </r>
  <r>
    <n v="998"/>
    <x v="6"/>
    <x v="41"/>
    <x v="7"/>
    <s v="Percent of GDP"/>
    <s v="Units"/>
    <x v="3"/>
    <n v="26.753"/>
  </r>
  <r>
    <n v="998"/>
    <x v="6"/>
    <x v="41"/>
    <x v="7"/>
    <s v="Percent of GDP"/>
    <s v="Units"/>
    <x v="4"/>
    <n v="23.977"/>
  </r>
  <r>
    <n v="998"/>
    <x v="6"/>
    <x v="41"/>
    <x v="7"/>
    <s v="Percent of GDP"/>
    <s v="Units"/>
    <x v="5"/>
    <n v="24.596"/>
  </r>
  <r>
    <n v="998"/>
    <x v="6"/>
    <x v="41"/>
    <x v="7"/>
    <s v="Percent of GDP"/>
    <s v="Units"/>
    <x v="6"/>
    <n v="23.992999999999999"/>
  </r>
  <r>
    <n v="200"/>
    <x v="3"/>
    <x v="41"/>
    <x v="7"/>
    <s v="Percent of GDP"/>
    <s v="Units"/>
    <x v="0"/>
    <n v="24.289000000000001"/>
  </r>
  <r>
    <n v="200"/>
    <x v="3"/>
    <x v="41"/>
    <x v="7"/>
    <s v="Percent of GDP"/>
    <s v="Units"/>
    <x v="1"/>
    <n v="24.533999999999999"/>
  </r>
  <r>
    <n v="200"/>
    <x v="3"/>
    <x v="41"/>
    <x v="7"/>
    <s v="Percent of GDP"/>
    <s v="Units"/>
    <x v="2"/>
    <n v="26.314"/>
  </r>
  <r>
    <n v="200"/>
    <x v="3"/>
    <x v="41"/>
    <x v="7"/>
    <s v="Percent of GDP"/>
    <s v="Units"/>
    <x v="3"/>
    <n v="26.753"/>
  </r>
  <r>
    <n v="200"/>
    <x v="3"/>
    <x v="41"/>
    <x v="7"/>
    <s v="Percent of GDP"/>
    <s v="Units"/>
    <x v="4"/>
    <n v="23.977"/>
  </r>
  <r>
    <n v="200"/>
    <x v="3"/>
    <x v="41"/>
    <x v="7"/>
    <s v="Percent of GDP"/>
    <s v="Units"/>
    <x v="5"/>
    <n v="24.596"/>
  </r>
  <r>
    <n v="200"/>
    <x v="3"/>
    <x v="41"/>
    <x v="7"/>
    <s v="Percent of GDP"/>
    <s v="Units"/>
    <x v="6"/>
    <n v="23.992999999999999"/>
  </r>
  <r>
    <n v="903"/>
    <x v="8"/>
    <x v="41"/>
    <x v="7"/>
    <s v="Percent of GDP"/>
    <s v="Units"/>
    <x v="0"/>
    <n v="24.289000000000001"/>
  </r>
  <r>
    <n v="903"/>
    <x v="8"/>
    <x v="41"/>
    <x v="7"/>
    <s v="Percent of GDP"/>
    <s v="Units"/>
    <x v="1"/>
    <n v="24.533999999999999"/>
  </r>
  <r>
    <n v="903"/>
    <x v="8"/>
    <x v="41"/>
    <x v="7"/>
    <s v="Percent of GDP"/>
    <s v="Units"/>
    <x v="2"/>
    <n v="26.314"/>
  </r>
  <r>
    <n v="903"/>
    <x v="8"/>
    <x v="41"/>
    <x v="7"/>
    <s v="Percent of GDP"/>
    <s v="Units"/>
    <x v="3"/>
    <n v="26.753"/>
  </r>
  <r>
    <n v="903"/>
    <x v="8"/>
    <x v="41"/>
    <x v="7"/>
    <s v="Percent of GDP"/>
    <s v="Units"/>
    <x v="4"/>
    <n v="23.977"/>
  </r>
  <r>
    <n v="903"/>
    <x v="8"/>
    <x v="41"/>
    <x v="7"/>
    <s v="Percent of GDP"/>
    <s v="Units"/>
    <x v="5"/>
    <n v="24.596"/>
  </r>
  <r>
    <n v="903"/>
    <x v="8"/>
    <x v="41"/>
    <x v="7"/>
    <s v="Percent of GDP"/>
    <s v="Units"/>
    <x v="6"/>
    <n v="23.992999999999999"/>
  </r>
  <r>
    <n v="1"/>
    <x v="2"/>
    <x v="41"/>
    <x v="7"/>
    <s v="Percent of GDP"/>
    <s v="Units"/>
    <x v="0"/>
    <n v="24.289000000000001"/>
  </r>
  <r>
    <n v="1"/>
    <x v="2"/>
    <x v="41"/>
    <x v="7"/>
    <s v="Percent of GDP"/>
    <s v="Units"/>
    <x v="1"/>
    <n v="24.533999999999999"/>
  </r>
  <r>
    <n v="1"/>
    <x v="2"/>
    <x v="41"/>
    <x v="7"/>
    <s v="Percent of GDP"/>
    <s v="Units"/>
    <x v="2"/>
    <n v="26.314"/>
  </r>
  <r>
    <n v="1"/>
    <x v="2"/>
    <x v="41"/>
    <x v="7"/>
    <s v="Percent of GDP"/>
    <s v="Units"/>
    <x v="3"/>
    <n v="26.753"/>
  </r>
  <r>
    <n v="1"/>
    <x v="2"/>
    <x v="41"/>
    <x v="7"/>
    <s v="Percent of GDP"/>
    <s v="Units"/>
    <x v="4"/>
    <n v="23.977"/>
  </r>
  <r>
    <n v="1"/>
    <x v="2"/>
    <x v="41"/>
    <x v="7"/>
    <s v="Percent of GDP"/>
    <s v="Units"/>
    <x v="5"/>
    <n v="24.596"/>
  </r>
  <r>
    <n v="1"/>
    <x v="2"/>
    <x v="41"/>
    <x v="7"/>
    <s v="Percent of GDP"/>
    <s v="Units"/>
    <x v="6"/>
    <n v="23.992999999999999"/>
  </r>
  <r>
    <n v="400"/>
    <x v="11"/>
    <x v="69"/>
    <x v="7"/>
    <s v="Percent of GDP"/>
    <s v="Units"/>
    <x v="0"/>
    <n v="26.905999999999999"/>
  </r>
  <r>
    <n v="400"/>
    <x v="11"/>
    <x v="69"/>
    <x v="7"/>
    <s v="Percent of GDP"/>
    <s v="Units"/>
    <x v="1"/>
    <n v="27.4"/>
  </r>
  <r>
    <n v="400"/>
    <x v="11"/>
    <x v="69"/>
    <x v="7"/>
    <s v="Percent of GDP"/>
    <s v="Units"/>
    <x v="2"/>
    <n v="22.936"/>
  </r>
  <r>
    <n v="400"/>
    <x v="11"/>
    <x v="69"/>
    <x v="7"/>
    <s v="Percent of GDP"/>
    <s v="Units"/>
    <x v="3"/>
    <n v="23.2"/>
  </r>
  <r>
    <n v="400"/>
    <x v="11"/>
    <x v="69"/>
    <x v="7"/>
    <s v="Percent of GDP"/>
    <s v="Units"/>
    <x v="4"/>
    <n v="24.4"/>
  </r>
  <r>
    <n v="400"/>
    <x v="11"/>
    <x v="69"/>
    <x v="7"/>
    <s v="Percent of GDP"/>
    <s v="Units"/>
    <x v="5"/>
    <n v="24.5"/>
  </r>
  <r>
    <n v="400"/>
    <x v="11"/>
    <x v="69"/>
    <x v="7"/>
    <s v="Percent of GDP"/>
    <s v="Units"/>
    <x v="6"/>
    <n v="25.3"/>
  </r>
  <r>
    <n v="1"/>
    <x v="2"/>
    <x v="112"/>
    <x v="7"/>
    <s v="Percent of GDP"/>
    <s v="Units"/>
    <x v="0"/>
    <n v="31.395"/>
  </r>
  <r>
    <n v="1"/>
    <x v="2"/>
    <x v="112"/>
    <x v="7"/>
    <s v="Percent of GDP"/>
    <s v="Units"/>
    <x v="1"/>
    <n v="31.350999999999999"/>
  </r>
  <r>
    <n v="1"/>
    <x v="2"/>
    <x v="112"/>
    <x v="7"/>
    <s v="Percent of GDP"/>
    <s v="Units"/>
    <x v="2"/>
    <n v="30.379000000000001"/>
  </r>
  <r>
    <n v="1"/>
    <x v="2"/>
    <x v="112"/>
    <x v="7"/>
    <s v="Percent of GDP"/>
    <s v="Units"/>
    <x v="3"/>
    <n v="34.594999999999999"/>
  </r>
  <r>
    <n v="1"/>
    <x v="2"/>
    <x v="112"/>
    <x v="7"/>
    <s v="Percent of GDP"/>
    <s v="Units"/>
    <x v="4"/>
    <n v="24.5"/>
  </r>
  <r>
    <n v="1"/>
    <x v="2"/>
    <x v="112"/>
    <x v="7"/>
    <s v="Percent of GDP"/>
    <s v="Units"/>
    <x v="5"/>
    <n v="24.5"/>
  </r>
  <r>
    <n v="1"/>
    <x v="2"/>
    <x v="112"/>
    <x v="7"/>
    <s v="Percent of GDP"/>
    <s v="Units"/>
    <x v="6"/>
    <n v="24.5"/>
  </r>
  <r>
    <n v="200"/>
    <x v="3"/>
    <x v="112"/>
    <x v="7"/>
    <s v="Percent of GDP"/>
    <s v="Units"/>
    <x v="0"/>
    <n v="31.395"/>
  </r>
  <r>
    <n v="200"/>
    <x v="3"/>
    <x v="112"/>
    <x v="7"/>
    <s v="Percent of GDP"/>
    <s v="Units"/>
    <x v="1"/>
    <n v="31.350999999999999"/>
  </r>
  <r>
    <n v="200"/>
    <x v="3"/>
    <x v="112"/>
    <x v="7"/>
    <s v="Percent of GDP"/>
    <s v="Units"/>
    <x v="2"/>
    <n v="30.379000000000001"/>
  </r>
  <r>
    <n v="200"/>
    <x v="3"/>
    <x v="112"/>
    <x v="7"/>
    <s v="Percent of GDP"/>
    <s v="Units"/>
    <x v="3"/>
    <n v="34.594999999999999"/>
  </r>
  <r>
    <n v="200"/>
    <x v="3"/>
    <x v="112"/>
    <x v="7"/>
    <s v="Percent of GDP"/>
    <s v="Units"/>
    <x v="4"/>
    <n v="24.5"/>
  </r>
  <r>
    <n v="200"/>
    <x v="3"/>
    <x v="112"/>
    <x v="7"/>
    <s v="Percent of GDP"/>
    <s v="Units"/>
    <x v="5"/>
    <n v="24.5"/>
  </r>
  <r>
    <n v="200"/>
    <x v="3"/>
    <x v="112"/>
    <x v="7"/>
    <s v="Percent of GDP"/>
    <s v="Units"/>
    <x v="6"/>
    <n v="24.5"/>
  </r>
  <r>
    <n v="1"/>
    <x v="2"/>
    <x v="69"/>
    <x v="7"/>
    <s v="Percent of GDP"/>
    <s v="Units"/>
    <x v="0"/>
    <n v="26.905999999999999"/>
  </r>
  <r>
    <n v="1"/>
    <x v="2"/>
    <x v="69"/>
    <x v="7"/>
    <s v="Percent of GDP"/>
    <s v="Units"/>
    <x v="1"/>
    <n v="27.4"/>
  </r>
  <r>
    <n v="1"/>
    <x v="2"/>
    <x v="69"/>
    <x v="7"/>
    <s v="Percent of GDP"/>
    <s v="Units"/>
    <x v="2"/>
    <n v="22.936"/>
  </r>
  <r>
    <n v="1"/>
    <x v="2"/>
    <x v="69"/>
    <x v="7"/>
    <s v="Percent of GDP"/>
    <s v="Units"/>
    <x v="3"/>
    <n v="23.2"/>
  </r>
  <r>
    <n v="1"/>
    <x v="2"/>
    <x v="69"/>
    <x v="7"/>
    <s v="Percent of GDP"/>
    <s v="Units"/>
    <x v="4"/>
    <n v="24.4"/>
  </r>
  <r>
    <n v="1"/>
    <x v="2"/>
    <x v="69"/>
    <x v="7"/>
    <s v="Percent of GDP"/>
    <s v="Units"/>
    <x v="5"/>
    <n v="24.5"/>
  </r>
  <r>
    <n v="1"/>
    <x v="2"/>
    <x v="69"/>
    <x v="7"/>
    <s v="Percent of GDP"/>
    <s v="Units"/>
    <x v="6"/>
    <n v="25.3"/>
  </r>
  <r>
    <n v="200"/>
    <x v="3"/>
    <x v="69"/>
    <x v="7"/>
    <s v="Percent of GDP"/>
    <s v="Units"/>
    <x v="0"/>
    <n v="26.905999999999999"/>
  </r>
  <r>
    <n v="200"/>
    <x v="3"/>
    <x v="69"/>
    <x v="7"/>
    <s v="Percent of GDP"/>
    <s v="Units"/>
    <x v="1"/>
    <n v="27.4"/>
  </r>
  <r>
    <n v="200"/>
    <x v="3"/>
    <x v="69"/>
    <x v="7"/>
    <s v="Percent of GDP"/>
    <s v="Units"/>
    <x v="2"/>
    <n v="22.936"/>
  </r>
  <r>
    <n v="200"/>
    <x v="3"/>
    <x v="69"/>
    <x v="7"/>
    <s v="Percent of GDP"/>
    <s v="Units"/>
    <x v="3"/>
    <n v="23.2"/>
  </r>
  <r>
    <n v="200"/>
    <x v="3"/>
    <x v="69"/>
    <x v="7"/>
    <s v="Percent of GDP"/>
    <s v="Units"/>
    <x v="4"/>
    <n v="24.4"/>
  </r>
  <r>
    <n v="200"/>
    <x v="3"/>
    <x v="69"/>
    <x v="7"/>
    <s v="Percent of GDP"/>
    <s v="Units"/>
    <x v="5"/>
    <n v="24.5"/>
  </r>
  <r>
    <n v="200"/>
    <x v="3"/>
    <x v="69"/>
    <x v="7"/>
    <s v="Percent of GDP"/>
    <s v="Units"/>
    <x v="6"/>
    <n v="25.3"/>
  </r>
  <r>
    <n v="505"/>
    <x v="4"/>
    <x v="112"/>
    <x v="7"/>
    <s v="Percent of GDP"/>
    <s v="Units"/>
    <x v="0"/>
    <n v="31.395"/>
  </r>
  <r>
    <n v="505"/>
    <x v="4"/>
    <x v="112"/>
    <x v="7"/>
    <s v="Percent of GDP"/>
    <s v="Units"/>
    <x v="1"/>
    <n v="31.350999999999999"/>
  </r>
  <r>
    <n v="505"/>
    <x v="4"/>
    <x v="112"/>
    <x v="7"/>
    <s v="Percent of GDP"/>
    <s v="Units"/>
    <x v="2"/>
    <n v="30.379000000000001"/>
  </r>
  <r>
    <n v="505"/>
    <x v="4"/>
    <x v="112"/>
    <x v="7"/>
    <s v="Percent of GDP"/>
    <s v="Units"/>
    <x v="3"/>
    <n v="34.594999999999999"/>
  </r>
  <r>
    <n v="505"/>
    <x v="4"/>
    <x v="112"/>
    <x v="7"/>
    <s v="Percent of GDP"/>
    <s v="Units"/>
    <x v="4"/>
    <n v="24.5"/>
  </r>
  <r>
    <n v="505"/>
    <x v="4"/>
    <x v="112"/>
    <x v="7"/>
    <s v="Percent of GDP"/>
    <s v="Units"/>
    <x v="5"/>
    <n v="24.5"/>
  </r>
  <r>
    <n v="505"/>
    <x v="4"/>
    <x v="112"/>
    <x v="7"/>
    <s v="Percent of GDP"/>
    <s v="Units"/>
    <x v="6"/>
    <n v="24.5"/>
  </r>
  <r>
    <n v="200"/>
    <x v="3"/>
    <x v="150"/>
    <x v="5"/>
    <s v="Percent of GDP"/>
    <s v="Units"/>
    <x v="0"/>
    <n v="28.885000000000002"/>
  </r>
  <r>
    <n v="200"/>
    <x v="3"/>
    <x v="150"/>
    <x v="5"/>
    <s v="Percent of GDP"/>
    <s v="Units"/>
    <x v="1"/>
    <n v="26.433"/>
  </r>
  <r>
    <n v="200"/>
    <x v="3"/>
    <x v="150"/>
    <x v="5"/>
    <s v="Percent of GDP"/>
    <s v="Units"/>
    <x v="2"/>
    <n v="27.221"/>
  </r>
  <r>
    <n v="200"/>
    <x v="3"/>
    <x v="150"/>
    <x v="5"/>
    <s v="Percent of GDP"/>
    <s v="Units"/>
    <x v="3"/>
    <n v="24.715"/>
  </r>
  <r>
    <n v="200"/>
    <x v="3"/>
    <x v="150"/>
    <x v="5"/>
    <s v="Percent of GDP"/>
    <s v="Units"/>
    <x v="4"/>
    <n v="24.654"/>
  </r>
  <r>
    <n v="200"/>
    <x v="3"/>
    <x v="150"/>
    <x v="5"/>
    <s v="Percent of GDP"/>
    <s v="Units"/>
    <x v="5"/>
    <n v="24.494"/>
  </r>
  <r>
    <n v="200"/>
    <x v="3"/>
    <x v="150"/>
    <x v="5"/>
    <s v="Percent of GDP"/>
    <s v="Units"/>
    <x v="6"/>
    <n v="26.15"/>
  </r>
  <r>
    <n v="1"/>
    <x v="2"/>
    <x v="150"/>
    <x v="5"/>
    <s v="Percent of GDP"/>
    <s v="Units"/>
    <x v="0"/>
    <n v="28.885000000000002"/>
  </r>
  <r>
    <n v="1"/>
    <x v="2"/>
    <x v="150"/>
    <x v="5"/>
    <s v="Percent of GDP"/>
    <s v="Units"/>
    <x v="1"/>
    <n v="26.433"/>
  </r>
  <r>
    <n v="1"/>
    <x v="2"/>
    <x v="150"/>
    <x v="5"/>
    <s v="Percent of GDP"/>
    <s v="Units"/>
    <x v="2"/>
    <n v="27.221"/>
  </r>
  <r>
    <n v="1"/>
    <x v="2"/>
    <x v="150"/>
    <x v="5"/>
    <s v="Percent of GDP"/>
    <s v="Units"/>
    <x v="3"/>
    <n v="24.715"/>
  </r>
  <r>
    <n v="1"/>
    <x v="2"/>
    <x v="150"/>
    <x v="5"/>
    <s v="Percent of GDP"/>
    <s v="Units"/>
    <x v="4"/>
    <n v="24.654"/>
  </r>
  <r>
    <n v="1"/>
    <x v="2"/>
    <x v="150"/>
    <x v="5"/>
    <s v="Percent of GDP"/>
    <s v="Units"/>
    <x v="5"/>
    <n v="24.494"/>
  </r>
  <r>
    <n v="1"/>
    <x v="2"/>
    <x v="150"/>
    <x v="5"/>
    <s v="Percent of GDP"/>
    <s v="Units"/>
    <x v="6"/>
    <n v="26.15"/>
  </r>
  <r>
    <n v="903"/>
    <x v="8"/>
    <x v="150"/>
    <x v="5"/>
    <s v="Percent of GDP"/>
    <s v="Units"/>
    <x v="0"/>
    <n v="28.885000000000002"/>
  </r>
  <r>
    <n v="903"/>
    <x v="8"/>
    <x v="150"/>
    <x v="5"/>
    <s v="Percent of GDP"/>
    <s v="Units"/>
    <x v="1"/>
    <n v="26.433"/>
  </r>
  <r>
    <n v="903"/>
    <x v="8"/>
    <x v="150"/>
    <x v="5"/>
    <s v="Percent of GDP"/>
    <s v="Units"/>
    <x v="2"/>
    <n v="27.221"/>
  </r>
  <r>
    <n v="903"/>
    <x v="8"/>
    <x v="150"/>
    <x v="5"/>
    <s v="Percent of GDP"/>
    <s v="Units"/>
    <x v="3"/>
    <n v="24.715"/>
  </r>
  <r>
    <n v="903"/>
    <x v="8"/>
    <x v="150"/>
    <x v="5"/>
    <s v="Percent of GDP"/>
    <s v="Units"/>
    <x v="4"/>
    <n v="24.654"/>
  </r>
  <r>
    <n v="903"/>
    <x v="8"/>
    <x v="150"/>
    <x v="5"/>
    <s v="Percent of GDP"/>
    <s v="Units"/>
    <x v="5"/>
    <n v="24.494"/>
  </r>
  <r>
    <n v="903"/>
    <x v="8"/>
    <x v="150"/>
    <x v="5"/>
    <s v="Percent of GDP"/>
    <s v="Units"/>
    <x v="6"/>
    <n v="26.15"/>
  </r>
  <r>
    <n v="123"/>
    <x v="9"/>
    <x v="13"/>
    <x v="3"/>
    <s v="Percent of GDP"/>
    <s v="Units"/>
    <x v="0"/>
    <n v="22.550999999999998"/>
  </r>
  <r>
    <n v="123"/>
    <x v="9"/>
    <x v="13"/>
    <x v="3"/>
    <s v="Percent of GDP"/>
    <s v="Units"/>
    <x v="1"/>
    <n v="25.094999999999999"/>
  </r>
  <r>
    <n v="123"/>
    <x v="9"/>
    <x v="13"/>
    <x v="3"/>
    <s v="Percent of GDP"/>
    <s v="Units"/>
    <x v="2"/>
    <n v="25.739000000000001"/>
  </r>
  <r>
    <n v="123"/>
    <x v="9"/>
    <x v="13"/>
    <x v="3"/>
    <s v="Percent of GDP"/>
    <s v="Units"/>
    <x v="3"/>
    <n v="28.68"/>
  </r>
  <r>
    <n v="123"/>
    <x v="9"/>
    <x v="13"/>
    <x v="3"/>
    <s v="Percent of GDP"/>
    <s v="Units"/>
    <x v="4"/>
    <n v="24.893000000000001"/>
  </r>
  <r>
    <n v="123"/>
    <x v="9"/>
    <x v="13"/>
    <x v="3"/>
    <s v="Percent of GDP"/>
    <s v="Units"/>
    <x v="5"/>
    <n v="24.484000000000002"/>
  </r>
  <r>
    <n v="123"/>
    <x v="9"/>
    <x v="13"/>
    <x v="3"/>
    <s v="Percent of GDP"/>
    <s v="Units"/>
    <x v="6"/>
    <n v="24.315000000000001"/>
  </r>
  <r>
    <n v="110"/>
    <x v="0"/>
    <x v="13"/>
    <x v="3"/>
    <s v="Percent of GDP"/>
    <s v="Units"/>
    <x v="0"/>
    <n v="22.550999999999998"/>
  </r>
  <r>
    <n v="110"/>
    <x v="0"/>
    <x v="13"/>
    <x v="3"/>
    <s v="Percent of GDP"/>
    <s v="Units"/>
    <x v="1"/>
    <n v="25.094999999999999"/>
  </r>
  <r>
    <n v="110"/>
    <x v="0"/>
    <x v="13"/>
    <x v="3"/>
    <s v="Percent of GDP"/>
    <s v="Units"/>
    <x v="2"/>
    <n v="25.739000000000001"/>
  </r>
  <r>
    <n v="110"/>
    <x v="0"/>
    <x v="13"/>
    <x v="3"/>
    <s v="Percent of GDP"/>
    <s v="Units"/>
    <x v="3"/>
    <n v="28.68"/>
  </r>
  <r>
    <n v="110"/>
    <x v="0"/>
    <x v="13"/>
    <x v="3"/>
    <s v="Percent of GDP"/>
    <s v="Units"/>
    <x v="4"/>
    <n v="24.893000000000001"/>
  </r>
  <r>
    <n v="110"/>
    <x v="0"/>
    <x v="13"/>
    <x v="3"/>
    <s v="Percent of GDP"/>
    <s v="Units"/>
    <x v="5"/>
    <n v="24.484000000000002"/>
  </r>
  <r>
    <n v="110"/>
    <x v="0"/>
    <x v="13"/>
    <x v="3"/>
    <s v="Percent of GDP"/>
    <s v="Units"/>
    <x v="6"/>
    <n v="24.315000000000001"/>
  </r>
  <r>
    <n v="998"/>
    <x v="6"/>
    <x v="27"/>
    <x v="7"/>
    <s v="Percent of GDP"/>
    <s v="Units"/>
    <x v="0"/>
    <n v="25.349"/>
  </r>
  <r>
    <n v="998"/>
    <x v="6"/>
    <x v="27"/>
    <x v="7"/>
    <s v="Percent of GDP"/>
    <s v="Units"/>
    <x v="1"/>
    <n v="25.626999999999999"/>
  </r>
  <r>
    <n v="998"/>
    <x v="6"/>
    <x v="27"/>
    <x v="7"/>
    <s v="Percent of GDP"/>
    <s v="Units"/>
    <x v="2"/>
    <n v="27.66"/>
  </r>
  <r>
    <n v="998"/>
    <x v="6"/>
    <x v="27"/>
    <x v="7"/>
    <s v="Percent of GDP"/>
    <s v="Units"/>
    <x v="3"/>
    <n v="27.555"/>
  </r>
  <r>
    <n v="998"/>
    <x v="6"/>
    <x v="27"/>
    <x v="7"/>
    <s v="Percent of GDP"/>
    <s v="Units"/>
    <x v="4"/>
    <n v="25.446999999999999"/>
  </r>
  <r>
    <n v="998"/>
    <x v="6"/>
    <x v="27"/>
    <x v="7"/>
    <s v="Percent of GDP"/>
    <s v="Units"/>
    <x v="5"/>
    <n v="24.475000000000001"/>
  </r>
  <r>
    <n v="998"/>
    <x v="6"/>
    <x v="27"/>
    <x v="7"/>
    <s v="Percent of GDP"/>
    <s v="Units"/>
    <x v="6"/>
    <n v="24.254999999999999"/>
  </r>
  <r>
    <n v="163"/>
    <x v="5"/>
    <x v="27"/>
    <x v="7"/>
    <s v="Percent of GDP"/>
    <s v="Units"/>
    <x v="0"/>
    <n v="25.349"/>
  </r>
  <r>
    <n v="163"/>
    <x v="5"/>
    <x v="27"/>
    <x v="7"/>
    <s v="Percent of GDP"/>
    <s v="Units"/>
    <x v="1"/>
    <n v="25.626999999999999"/>
  </r>
  <r>
    <n v="163"/>
    <x v="5"/>
    <x v="27"/>
    <x v="7"/>
    <s v="Percent of GDP"/>
    <s v="Units"/>
    <x v="2"/>
    <n v="27.66"/>
  </r>
  <r>
    <n v="163"/>
    <x v="5"/>
    <x v="27"/>
    <x v="7"/>
    <s v="Percent of GDP"/>
    <s v="Units"/>
    <x v="3"/>
    <n v="27.555"/>
  </r>
  <r>
    <n v="163"/>
    <x v="5"/>
    <x v="27"/>
    <x v="7"/>
    <s v="Percent of GDP"/>
    <s v="Units"/>
    <x v="4"/>
    <n v="25.446999999999999"/>
  </r>
  <r>
    <n v="163"/>
    <x v="5"/>
    <x v="27"/>
    <x v="7"/>
    <s v="Percent of GDP"/>
    <s v="Units"/>
    <x v="5"/>
    <n v="24.475000000000001"/>
  </r>
  <r>
    <n v="163"/>
    <x v="5"/>
    <x v="27"/>
    <x v="7"/>
    <s v="Percent of GDP"/>
    <s v="Units"/>
    <x v="6"/>
    <n v="24.254999999999999"/>
  </r>
  <r>
    <n v="1"/>
    <x v="2"/>
    <x v="27"/>
    <x v="7"/>
    <s v="Percent of GDP"/>
    <s v="Units"/>
    <x v="0"/>
    <n v="25.349"/>
  </r>
  <r>
    <n v="1"/>
    <x v="2"/>
    <x v="27"/>
    <x v="7"/>
    <s v="Percent of GDP"/>
    <s v="Units"/>
    <x v="1"/>
    <n v="25.626999999999999"/>
  </r>
  <r>
    <n v="1"/>
    <x v="2"/>
    <x v="27"/>
    <x v="7"/>
    <s v="Percent of GDP"/>
    <s v="Units"/>
    <x v="2"/>
    <n v="27.66"/>
  </r>
  <r>
    <n v="1"/>
    <x v="2"/>
    <x v="27"/>
    <x v="7"/>
    <s v="Percent of GDP"/>
    <s v="Units"/>
    <x v="3"/>
    <n v="27.555"/>
  </r>
  <r>
    <n v="1"/>
    <x v="2"/>
    <x v="27"/>
    <x v="7"/>
    <s v="Percent of GDP"/>
    <s v="Units"/>
    <x v="4"/>
    <n v="25.446999999999999"/>
  </r>
  <r>
    <n v="1"/>
    <x v="2"/>
    <x v="27"/>
    <x v="7"/>
    <s v="Percent of GDP"/>
    <s v="Units"/>
    <x v="5"/>
    <n v="24.475000000000001"/>
  </r>
  <r>
    <n v="1"/>
    <x v="2"/>
    <x v="27"/>
    <x v="7"/>
    <s v="Percent of GDP"/>
    <s v="Units"/>
    <x v="6"/>
    <n v="24.254999999999999"/>
  </r>
  <r>
    <n v="110"/>
    <x v="0"/>
    <x v="27"/>
    <x v="7"/>
    <s v="Percent of GDP"/>
    <s v="Units"/>
    <x v="0"/>
    <n v="25.349"/>
  </r>
  <r>
    <n v="110"/>
    <x v="0"/>
    <x v="27"/>
    <x v="7"/>
    <s v="Percent of GDP"/>
    <s v="Units"/>
    <x v="1"/>
    <n v="25.626999999999999"/>
  </r>
  <r>
    <n v="110"/>
    <x v="0"/>
    <x v="27"/>
    <x v="7"/>
    <s v="Percent of GDP"/>
    <s v="Units"/>
    <x v="2"/>
    <n v="27.66"/>
  </r>
  <r>
    <n v="110"/>
    <x v="0"/>
    <x v="27"/>
    <x v="7"/>
    <s v="Percent of GDP"/>
    <s v="Units"/>
    <x v="3"/>
    <n v="27.555"/>
  </r>
  <r>
    <n v="110"/>
    <x v="0"/>
    <x v="27"/>
    <x v="7"/>
    <s v="Percent of GDP"/>
    <s v="Units"/>
    <x v="4"/>
    <n v="25.446999999999999"/>
  </r>
  <r>
    <n v="110"/>
    <x v="0"/>
    <x v="27"/>
    <x v="7"/>
    <s v="Percent of GDP"/>
    <s v="Units"/>
    <x v="5"/>
    <n v="24.475000000000001"/>
  </r>
  <r>
    <n v="110"/>
    <x v="0"/>
    <x v="27"/>
    <x v="7"/>
    <s v="Percent of GDP"/>
    <s v="Units"/>
    <x v="6"/>
    <n v="24.254999999999999"/>
  </r>
  <r>
    <n v="163"/>
    <x v="5"/>
    <x v="21"/>
    <x v="5"/>
    <s v="Percent of GDP"/>
    <s v="Units"/>
    <x v="0"/>
    <n v="25.108000000000001"/>
  </r>
  <r>
    <n v="163"/>
    <x v="5"/>
    <x v="21"/>
    <x v="5"/>
    <s v="Percent of GDP"/>
    <s v="Units"/>
    <x v="1"/>
    <n v="25.637"/>
  </r>
  <r>
    <n v="163"/>
    <x v="5"/>
    <x v="21"/>
    <x v="5"/>
    <s v="Percent of GDP"/>
    <s v="Units"/>
    <x v="2"/>
    <n v="27.041"/>
  </r>
  <r>
    <n v="163"/>
    <x v="5"/>
    <x v="21"/>
    <x v="5"/>
    <s v="Percent of GDP"/>
    <s v="Units"/>
    <x v="3"/>
    <n v="26.126000000000001"/>
  </r>
  <r>
    <n v="163"/>
    <x v="5"/>
    <x v="21"/>
    <x v="5"/>
    <s v="Percent of GDP"/>
    <s v="Units"/>
    <x v="4"/>
    <n v="25.12"/>
  </r>
  <r>
    <n v="163"/>
    <x v="5"/>
    <x v="21"/>
    <x v="5"/>
    <s v="Percent of GDP"/>
    <s v="Units"/>
    <x v="5"/>
    <n v="24.474"/>
  </r>
  <r>
    <n v="163"/>
    <x v="5"/>
    <x v="21"/>
    <x v="5"/>
    <s v="Percent of GDP"/>
    <s v="Units"/>
    <x v="6"/>
    <n v="24.677"/>
  </r>
  <r>
    <n v="998"/>
    <x v="6"/>
    <x v="21"/>
    <x v="5"/>
    <s v="Percent of GDP"/>
    <s v="Units"/>
    <x v="0"/>
    <n v="25.108000000000001"/>
  </r>
  <r>
    <n v="998"/>
    <x v="6"/>
    <x v="21"/>
    <x v="5"/>
    <s v="Percent of GDP"/>
    <s v="Units"/>
    <x v="1"/>
    <n v="25.637"/>
  </r>
  <r>
    <n v="998"/>
    <x v="6"/>
    <x v="21"/>
    <x v="5"/>
    <s v="Percent of GDP"/>
    <s v="Units"/>
    <x v="2"/>
    <n v="27.041"/>
  </r>
  <r>
    <n v="998"/>
    <x v="6"/>
    <x v="21"/>
    <x v="5"/>
    <s v="Percent of GDP"/>
    <s v="Units"/>
    <x v="3"/>
    <n v="26.126000000000001"/>
  </r>
  <r>
    <n v="998"/>
    <x v="6"/>
    <x v="21"/>
    <x v="5"/>
    <s v="Percent of GDP"/>
    <s v="Units"/>
    <x v="4"/>
    <n v="25.12"/>
  </r>
  <r>
    <n v="998"/>
    <x v="6"/>
    <x v="21"/>
    <x v="5"/>
    <s v="Percent of GDP"/>
    <s v="Units"/>
    <x v="5"/>
    <n v="24.474"/>
  </r>
  <r>
    <n v="998"/>
    <x v="6"/>
    <x v="21"/>
    <x v="5"/>
    <s v="Percent of GDP"/>
    <s v="Units"/>
    <x v="6"/>
    <n v="24.677"/>
  </r>
  <r>
    <n v="110"/>
    <x v="0"/>
    <x v="21"/>
    <x v="5"/>
    <s v="Percent of GDP"/>
    <s v="Units"/>
    <x v="0"/>
    <n v="25.108000000000001"/>
  </r>
  <r>
    <n v="110"/>
    <x v="0"/>
    <x v="21"/>
    <x v="5"/>
    <s v="Percent of GDP"/>
    <s v="Units"/>
    <x v="1"/>
    <n v="25.637"/>
  </r>
  <r>
    <n v="110"/>
    <x v="0"/>
    <x v="21"/>
    <x v="5"/>
    <s v="Percent of GDP"/>
    <s v="Units"/>
    <x v="2"/>
    <n v="27.041"/>
  </r>
  <r>
    <n v="110"/>
    <x v="0"/>
    <x v="21"/>
    <x v="5"/>
    <s v="Percent of GDP"/>
    <s v="Units"/>
    <x v="3"/>
    <n v="26.126000000000001"/>
  </r>
  <r>
    <n v="110"/>
    <x v="0"/>
    <x v="21"/>
    <x v="5"/>
    <s v="Percent of GDP"/>
    <s v="Units"/>
    <x v="4"/>
    <n v="25.12"/>
  </r>
  <r>
    <n v="110"/>
    <x v="0"/>
    <x v="21"/>
    <x v="5"/>
    <s v="Percent of GDP"/>
    <s v="Units"/>
    <x v="5"/>
    <n v="24.474"/>
  </r>
  <r>
    <n v="110"/>
    <x v="0"/>
    <x v="21"/>
    <x v="5"/>
    <s v="Percent of GDP"/>
    <s v="Units"/>
    <x v="6"/>
    <n v="24.677"/>
  </r>
  <r>
    <n v="1"/>
    <x v="2"/>
    <x v="21"/>
    <x v="5"/>
    <s v="Percent of GDP"/>
    <s v="Units"/>
    <x v="0"/>
    <n v="25.108000000000001"/>
  </r>
  <r>
    <n v="1"/>
    <x v="2"/>
    <x v="21"/>
    <x v="5"/>
    <s v="Percent of GDP"/>
    <s v="Units"/>
    <x v="1"/>
    <n v="25.637"/>
  </r>
  <r>
    <n v="1"/>
    <x v="2"/>
    <x v="21"/>
    <x v="5"/>
    <s v="Percent of GDP"/>
    <s v="Units"/>
    <x v="2"/>
    <n v="27.041"/>
  </r>
  <r>
    <n v="1"/>
    <x v="2"/>
    <x v="21"/>
    <x v="5"/>
    <s v="Percent of GDP"/>
    <s v="Units"/>
    <x v="3"/>
    <n v="26.126000000000001"/>
  </r>
  <r>
    <n v="1"/>
    <x v="2"/>
    <x v="21"/>
    <x v="5"/>
    <s v="Percent of GDP"/>
    <s v="Units"/>
    <x v="4"/>
    <n v="25.12"/>
  </r>
  <r>
    <n v="1"/>
    <x v="2"/>
    <x v="21"/>
    <x v="5"/>
    <s v="Percent of GDP"/>
    <s v="Units"/>
    <x v="5"/>
    <n v="24.474"/>
  </r>
  <r>
    <n v="1"/>
    <x v="2"/>
    <x v="21"/>
    <x v="5"/>
    <s v="Percent of GDP"/>
    <s v="Units"/>
    <x v="6"/>
    <n v="24.677"/>
  </r>
  <r>
    <n v="205"/>
    <x v="7"/>
    <x v="175"/>
    <x v="3"/>
    <s v="Percent of GDP"/>
    <s v="Units"/>
    <x v="0"/>
    <n v="20.257000000000001"/>
  </r>
  <r>
    <n v="205"/>
    <x v="7"/>
    <x v="175"/>
    <x v="3"/>
    <s v="Percent of GDP"/>
    <s v="Units"/>
    <x v="1"/>
    <n v="25.948"/>
  </r>
  <r>
    <n v="205"/>
    <x v="7"/>
    <x v="175"/>
    <x v="3"/>
    <s v="Percent of GDP"/>
    <s v="Units"/>
    <x v="2"/>
    <n v="31.846"/>
  </r>
  <r>
    <n v="205"/>
    <x v="7"/>
    <x v="175"/>
    <x v="3"/>
    <s v="Percent of GDP"/>
    <s v="Units"/>
    <x v="3"/>
    <n v="26.827999999999999"/>
  </r>
  <r>
    <n v="205"/>
    <x v="7"/>
    <x v="175"/>
    <x v="3"/>
    <s v="Percent of GDP"/>
    <s v="Units"/>
    <x v="4"/>
    <n v="24.85"/>
  </r>
  <r>
    <n v="205"/>
    <x v="7"/>
    <x v="175"/>
    <x v="3"/>
    <s v="Percent of GDP"/>
    <s v="Units"/>
    <x v="5"/>
    <n v="24.431000000000001"/>
  </r>
  <r>
    <n v="205"/>
    <x v="7"/>
    <x v="175"/>
    <x v="3"/>
    <s v="Percent of GDP"/>
    <s v="Units"/>
    <x v="6"/>
    <n v="24.189"/>
  </r>
  <r>
    <n v="200"/>
    <x v="3"/>
    <x v="175"/>
    <x v="3"/>
    <s v="Percent of GDP"/>
    <s v="Units"/>
    <x v="0"/>
    <n v="20.257000000000001"/>
  </r>
  <r>
    <n v="200"/>
    <x v="3"/>
    <x v="175"/>
    <x v="3"/>
    <s v="Percent of GDP"/>
    <s v="Units"/>
    <x v="1"/>
    <n v="25.948"/>
  </r>
  <r>
    <n v="200"/>
    <x v="3"/>
    <x v="175"/>
    <x v="3"/>
    <s v="Percent of GDP"/>
    <s v="Units"/>
    <x v="2"/>
    <n v="31.846"/>
  </r>
  <r>
    <n v="200"/>
    <x v="3"/>
    <x v="175"/>
    <x v="3"/>
    <s v="Percent of GDP"/>
    <s v="Units"/>
    <x v="3"/>
    <n v="26.827999999999999"/>
  </r>
  <r>
    <n v="200"/>
    <x v="3"/>
    <x v="175"/>
    <x v="3"/>
    <s v="Percent of GDP"/>
    <s v="Units"/>
    <x v="4"/>
    <n v="24.85"/>
  </r>
  <r>
    <n v="200"/>
    <x v="3"/>
    <x v="175"/>
    <x v="3"/>
    <s v="Percent of GDP"/>
    <s v="Units"/>
    <x v="5"/>
    <n v="24.431000000000001"/>
  </r>
  <r>
    <n v="200"/>
    <x v="3"/>
    <x v="175"/>
    <x v="3"/>
    <s v="Percent of GDP"/>
    <s v="Units"/>
    <x v="6"/>
    <n v="24.189"/>
  </r>
  <r>
    <n v="200"/>
    <x v="3"/>
    <x v="117"/>
    <x v="3"/>
    <s v="Percent of GDP"/>
    <s v="Units"/>
    <x v="0"/>
    <n v="27.338999999999999"/>
  </r>
  <r>
    <n v="200"/>
    <x v="3"/>
    <x v="117"/>
    <x v="3"/>
    <s v="Percent of GDP"/>
    <s v="Units"/>
    <x v="1"/>
    <n v="27.609000000000002"/>
  </r>
  <r>
    <n v="200"/>
    <x v="3"/>
    <x v="117"/>
    <x v="3"/>
    <s v="Percent of GDP"/>
    <s v="Units"/>
    <x v="2"/>
    <n v="27.248000000000001"/>
  </r>
  <r>
    <n v="200"/>
    <x v="3"/>
    <x v="117"/>
    <x v="3"/>
    <s v="Percent of GDP"/>
    <s v="Units"/>
    <x v="3"/>
    <n v="26.283999999999999"/>
  </r>
  <r>
    <n v="200"/>
    <x v="3"/>
    <x v="117"/>
    <x v="3"/>
    <s v="Percent of GDP"/>
    <s v="Units"/>
    <x v="4"/>
    <n v="25.081"/>
  </r>
  <r>
    <n v="200"/>
    <x v="3"/>
    <x v="117"/>
    <x v="3"/>
    <s v="Percent of GDP"/>
    <s v="Units"/>
    <x v="5"/>
    <n v="24.419"/>
  </r>
  <r>
    <n v="200"/>
    <x v="3"/>
    <x v="117"/>
    <x v="3"/>
    <s v="Percent of GDP"/>
    <s v="Units"/>
    <x v="6"/>
    <n v="24.966999999999999"/>
  </r>
  <r>
    <n v="505"/>
    <x v="4"/>
    <x v="117"/>
    <x v="3"/>
    <s v="Percent of GDP"/>
    <s v="Units"/>
    <x v="0"/>
    <n v="27.338999999999999"/>
  </r>
  <r>
    <n v="505"/>
    <x v="4"/>
    <x v="117"/>
    <x v="3"/>
    <s v="Percent of GDP"/>
    <s v="Units"/>
    <x v="1"/>
    <n v="27.609000000000002"/>
  </r>
  <r>
    <n v="505"/>
    <x v="4"/>
    <x v="117"/>
    <x v="3"/>
    <s v="Percent of GDP"/>
    <s v="Units"/>
    <x v="2"/>
    <n v="27.248000000000001"/>
  </r>
  <r>
    <n v="505"/>
    <x v="4"/>
    <x v="117"/>
    <x v="3"/>
    <s v="Percent of GDP"/>
    <s v="Units"/>
    <x v="3"/>
    <n v="26.283999999999999"/>
  </r>
  <r>
    <n v="505"/>
    <x v="4"/>
    <x v="117"/>
    <x v="3"/>
    <s v="Percent of GDP"/>
    <s v="Units"/>
    <x v="4"/>
    <n v="25.081"/>
  </r>
  <r>
    <n v="505"/>
    <x v="4"/>
    <x v="117"/>
    <x v="3"/>
    <s v="Percent of GDP"/>
    <s v="Units"/>
    <x v="5"/>
    <n v="24.419"/>
  </r>
  <r>
    <n v="505"/>
    <x v="4"/>
    <x v="117"/>
    <x v="3"/>
    <s v="Percent of GDP"/>
    <s v="Units"/>
    <x v="6"/>
    <n v="24.966999999999999"/>
  </r>
  <r>
    <n v="1"/>
    <x v="2"/>
    <x v="135"/>
    <x v="5"/>
    <s v="Percent of GDP"/>
    <s v="Units"/>
    <x v="0"/>
    <n v="31.288"/>
  </r>
  <r>
    <n v="1"/>
    <x v="2"/>
    <x v="135"/>
    <x v="5"/>
    <s v="Percent of GDP"/>
    <s v="Units"/>
    <x v="1"/>
    <n v="26.986999999999998"/>
  </r>
  <r>
    <n v="1"/>
    <x v="2"/>
    <x v="135"/>
    <x v="5"/>
    <s v="Percent of GDP"/>
    <s v="Units"/>
    <x v="2"/>
    <n v="29.440999999999999"/>
  </r>
  <r>
    <n v="1"/>
    <x v="2"/>
    <x v="135"/>
    <x v="5"/>
    <s v="Percent of GDP"/>
    <s v="Units"/>
    <x v="3"/>
    <n v="29.905000000000001"/>
  </r>
  <r>
    <n v="1"/>
    <x v="2"/>
    <x v="135"/>
    <x v="5"/>
    <s v="Percent of GDP"/>
    <s v="Units"/>
    <x v="4"/>
    <n v="24.553000000000001"/>
  </r>
  <r>
    <n v="1"/>
    <x v="2"/>
    <x v="135"/>
    <x v="5"/>
    <s v="Percent of GDP"/>
    <s v="Units"/>
    <x v="5"/>
    <n v="24.411999999999999"/>
  </r>
  <r>
    <n v="1"/>
    <x v="2"/>
    <x v="135"/>
    <x v="5"/>
    <s v="Percent of GDP"/>
    <s v="Units"/>
    <x v="6"/>
    <n v="24.890999999999998"/>
  </r>
  <r>
    <n v="200"/>
    <x v="3"/>
    <x v="135"/>
    <x v="5"/>
    <s v="Percent of GDP"/>
    <s v="Units"/>
    <x v="0"/>
    <n v="31.288"/>
  </r>
  <r>
    <n v="200"/>
    <x v="3"/>
    <x v="135"/>
    <x v="5"/>
    <s v="Percent of GDP"/>
    <s v="Units"/>
    <x v="1"/>
    <n v="26.986999999999998"/>
  </r>
  <r>
    <n v="200"/>
    <x v="3"/>
    <x v="135"/>
    <x v="5"/>
    <s v="Percent of GDP"/>
    <s v="Units"/>
    <x v="2"/>
    <n v="29.440999999999999"/>
  </r>
  <r>
    <n v="200"/>
    <x v="3"/>
    <x v="135"/>
    <x v="5"/>
    <s v="Percent of GDP"/>
    <s v="Units"/>
    <x v="3"/>
    <n v="29.905000000000001"/>
  </r>
  <r>
    <n v="200"/>
    <x v="3"/>
    <x v="135"/>
    <x v="5"/>
    <s v="Percent of GDP"/>
    <s v="Units"/>
    <x v="4"/>
    <n v="24.553000000000001"/>
  </r>
  <r>
    <n v="200"/>
    <x v="3"/>
    <x v="135"/>
    <x v="5"/>
    <s v="Percent of GDP"/>
    <s v="Units"/>
    <x v="5"/>
    <n v="24.411999999999999"/>
  </r>
  <r>
    <n v="200"/>
    <x v="3"/>
    <x v="135"/>
    <x v="5"/>
    <s v="Percent of GDP"/>
    <s v="Units"/>
    <x v="6"/>
    <n v="24.890999999999998"/>
  </r>
  <r>
    <n v="903"/>
    <x v="8"/>
    <x v="135"/>
    <x v="5"/>
    <s v="Percent of GDP"/>
    <s v="Units"/>
    <x v="0"/>
    <n v="31.288"/>
  </r>
  <r>
    <n v="903"/>
    <x v="8"/>
    <x v="135"/>
    <x v="5"/>
    <s v="Percent of GDP"/>
    <s v="Units"/>
    <x v="1"/>
    <n v="26.986999999999998"/>
  </r>
  <r>
    <n v="903"/>
    <x v="8"/>
    <x v="135"/>
    <x v="5"/>
    <s v="Percent of GDP"/>
    <s v="Units"/>
    <x v="2"/>
    <n v="29.440999999999999"/>
  </r>
  <r>
    <n v="903"/>
    <x v="8"/>
    <x v="135"/>
    <x v="5"/>
    <s v="Percent of GDP"/>
    <s v="Units"/>
    <x v="3"/>
    <n v="29.905000000000001"/>
  </r>
  <r>
    <n v="903"/>
    <x v="8"/>
    <x v="135"/>
    <x v="5"/>
    <s v="Percent of GDP"/>
    <s v="Units"/>
    <x v="4"/>
    <n v="24.553000000000001"/>
  </r>
  <r>
    <n v="903"/>
    <x v="8"/>
    <x v="135"/>
    <x v="5"/>
    <s v="Percent of GDP"/>
    <s v="Units"/>
    <x v="5"/>
    <n v="24.411999999999999"/>
  </r>
  <r>
    <n v="903"/>
    <x v="8"/>
    <x v="135"/>
    <x v="5"/>
    <s v="Percent of GDP"/>
    <s v="Units"/>
    <x v="6"/>
    <n v="24.890999999999998"/>
  </r>
  <r>
    <n v="200"/>
    <x v="3"/>
    <x v="163"/>
    <x v="3"/>
    <s v="Percent of GDP"/>
    <s v="Units"/>
    <x v="0"/>
    <n v="16.565000000000001"/>
  </r>
  <r>
    <n v="200"/>
    <x v="3"/>
    <x v="163"/>
    <x v="3"/>
    <s v="Percent of GDP"/>
    <s v="Units"/>
    <x v="1"/>
    <n v="23.693000000000001"/>
  </r>
  <r>
    <n v="200"/>
    <x v="3"/>
    <x v="163"/>
    <x v="3"/>
    <s v="Percent of GDP"/>
    <s v="Units"/>
    <x v="2"/>
    <n v="21.786999999999999"/>
  </r>
  <r>
    <n v="200"/>
    <x v="3"/>
    <x v="163"/>
    <x v="3"/>
    <s v="Percent of GDP"/>
    <s v="Units"/>
    <x v="3"/>
    <n v="25.981000000000002"/>
  </r>
  <r>
    <n v="200"/>
    <x v="3"/>
    <x v="163"/>
    <x v="3"/>
    <s v="Percent of GDP"/>
    <s v="Units"/>
    <x v="4"/>
    <n v="24.94"/>
  </r>
  <r>
    <n v="200"/>
    <x v="3"/>
    <x v="163"/>
    <x v="3"/>
    <s v="Percent of GDP"/>
    <s v="Units"/>
    <x v="5"/>
    <n v="24.404"/>
  </r>
  <r>
    <n v="200"/>
    <x v="3"/>
    <x v="163"/>
    <x v="3"/>
    <s v="Percent of GDP"/>
    <s v="Units"/>
    <x v="6"/>
    <n v="21.373999999999999"/>
  </r>
  <r>
    <n v="603"/>
    <x v="12"/>
    <x v="163"/>
    <x v="3"/>
    <s v="Percent of GDP"/>
    <s v="Units"/>
    <x v="0"/>
    <n v="16.565000000000001"/>
  </r>
  <r>
    <n v="603"/>
    <x v="12"/>
    <x v="163"/>
    <x v="3"/>
    <s v="Percent of GDP"/>
    <s v="Units"/>
    <x v="1"/>
    <n v="23.693000000000001"/>
  </r>
  <r>
    <n v="603"/>
    <x v="12"/>
    <x v="163"/>
    <x v="3"/>
    <s v="Percent of GDP"/>
    <s v="Units"/>
    <x v="2"/>
    <n v="21.786999999999999"/>
  </r>
  <r>
    <n v="603"/>
    <x v="12"/>
    <x v="163"/>
    <x v="3"/>
    <s v="Percent of GDP"/>
    <s v="Units"/>
    <x v="3"/>
    <n v="25.981000000000002"/>
  </r>
  <r>
    <n v="603"/>
    <x v="12"/>
    <x v="163"/>
    <x v="3"/>
    <s v="Percent of GDP"/>
    <s v="Units"/>
    <x v="4"/>
    <n v="24.94"/>
  </r>
  <r>
    <n v="603"/>
    <x v="12"/>
    <x v="163"/>
    <x v="3"/>
    <s v="Percent of GDP"/>
    <s v="Units"/>
    <x v="5"/>
    <n v="24.404"/>
  </r>
  <r>
    <n v="603"/>
    <x v="12"/>
    <x v="163"/>
    <x v="3"/>
    <s v="Percent of GDP"/>
    <s v="Units"/>
    <x v="6"/>
    <n v="21.373999999999999"/>
  </r>
  <r>
    <n v="110"/>
    <x v="0"/>
    <x v="100"/>
    <x v="3"/>
    <s v="Percent of GDP"/>
    <s v="Units"/>
    <x v="0"/>
    <n v="18.454000000000001"/>
  </r>
  <r>
    <n v="110"/>
    <x v="0"/>
    <x v="100"/>
    <x v="3"/>
    <s v="Percent of GDP"/>
    <s v="Units"/>
    <x v="1"/>
    <n v="49.32"/>
  </r>
  <r>
    <n v="110"/>
    <x v="0"/>
    <x v="100"/>
    <x v="3"/>
    <s v="Percent of GDP"/>
    <s v="Units"/>
    <x v="2"/>
    <n v="37.414999999999999"/>
  </r>
  <r>
    <n v="110"/>
    <x v="0"/>
    <x v="100"/>
    <x v="3"/>
    <s v="Percent of GDP"/>
    <s v="Units"/>
    <x v="3"/>
    <n v="58.902000000000001"/>
  </r>
  <r>
    <n v="110"/>
    <x v="0"/>
    <x v="100"/>
    <x v="3"/>
    <s v="Percent of GDP"/>
    <s v="Units"/>
    <x v="4"/>
    <n v="28.556999999999999"/>
  </r>
  <r>
    <n v="110"/>
    <x v="0"/>
    <x v="100"/>
    <x v="3"/>
    <s v="Percent of GDP"/>
    <s v="Units"/>
    <x v="5"/>
    <n v="24.402999999999999"/>
  </r>
  <r>
    <n v="110"/>
    <x v="0"/>
    <x v="100"/>
    <x v="3"/>
    <s v="Percent of GDP"/>
    <s v="Units"/>
    <x v="6"/>
    <n v="21.023"/>
  </r>
  <r>
    <n v="123"/>
    <x v="9"/>
    <x v="100"/>
    <x v="3"/>
    <s v="Percent of GDP"/>
    <s v="Units"/>
    <x v="0"/>
    <n v="18.454000000000001"/>
  </r>
  <r>
    <n v="123"/>
    <x v="9"/>
    <x v="100"/>
    <x v="3"/>
    <s v="Percent of GDP"/>
    <s v="Units"/>
    <x v="1"/>
    <n v="49.32"/>
  </r>
  <r>
    <n v="123"/>
    <x v="9"/>
    <x v="100"/>
    <x v="3"/>
    <s v="Percent of GDP"/>
    <s v="Units"/>
    <x v="2"/>
    <n v="37.414999999999999"/>
  </r>
  <r>
    <n v="123"/>
    <x v="9"/>
    <x v="100"/>
    <x v="3"/>
    <s v="Percent of GDP"/>
    <s v="Units"/>
    <x v="3"/>
    <n v="58.902000000000001"/>
  </r>
  <r>
    <n v="123"/>
    <x v="9"/>
    <x v="100"/>
    <x v="3"/>
    <s v="Percent of GDP"/>
    <s v="Units"/>
    <x v="4"/>
    <n v="28.556999999999999"/>
  </r>
  <r>
    <n v="123"/>
    <x v="9"/>
    <x v="100"/>
    <x v="3"/>
    <s v="Percent of GDP"/>
    <s v="Units"/>
    <x v="5"/>
    <n v="24.402999999999999"/>
  </r>
  <r>
    <n v="123"/>
    <x v="9"/>
    <x v="100"/>
    <x v="3"/>
    <s v="Percent of GDP"/>
    <s v="Units"/>
    <x v="6"/>
    <n v="21.023"/>
  </r>
  <r>
    <n v="400"/>
    <x v="11"/>
    <x v="134"/>
    <x v="2"/>
    <s v="Percent of GDP"/>
    <s v="Units"/>
    <x v="0"/>
    <n v="20.472999999999999"/>
  </r>
  <r>
    <n v="400"/>
    <x v="11"/>
    <x v="134"/>
    <x v="2"/>
    <s v="Percent of GDP"/>
    <s v="Units"/>
    <x v="1"/>
    <n v="21.315999999999999"/>
  </r>
  <r>
    <n v="400"/>
    <x v="11"/>
    <x v="134"/>
    <x v="2"/>
    <s v="Percent of GDP"/>
    <s v="Units"/>
    <x v="2"/>
    <n v="23.378"/>
  </r>
  <r>
    <n v="400"/>
    <x v="11"/>
    <x v="134"/>
    <x v="2"/>
    <s v="Percent of GDP"/>
    <s v="Units"/>
    <x v="3"/>
    <n v="24.992999999999999"/>
  </r>
  <r>
    <n v="400"/>
    <x v="11"/>
    <x v="134"/>
    <x v="2"/>
    <s v="Percent of GDP"/>
    <s v="Units"/>
    <x v="4"/>
    <n v="22.338000000000001"/>
  </r>
  <r>
    <n v="400"/>
    <x v="11"/>
    <x v="134"/>
    <x v="2"/>
    <s v="Percent of GDP"/>
    <s v="Units"/>
    <x v="5"/>
    <n v="24.378"/>
  </r>
  <r>
    <n v="400"/>
    <x v="11"/>
    <x v="134"/>
    <x v="2"/>
    <s v="Percent of GDP"/>
    <s v="Units"/>
    <x v="6"/>
    <n v="24.2"/>
  </r>
  <r>
    <n v="200"/>
    <x v="3"/>
    <x v="134"/>
    <x v="2"/>
    <s v="Percent of GDP"/>
    <s v="Units"/>
    <x v="0"/>
    <n v="20.472999999999999"/>
  </r>
  <r>
    <n v="200"/>
    <x v="3"/>
    <x v="134"/>
    <x v="2"/>
    <s v="Percent of GDP"/>
    <s v="Units"/>
    <x v="1"/>
    <n v="21.315999999999999"/>
  </r>
  <r>
    <n v="200"/>
    <x v="3"/>
    <x v="134"/>
    <x v="2"/>
    <s v="Percent of GDP"/>
    <s v="Units"/>
    <x v="2"/>
    <n v="23.378"/>
  </r>
  <r>
    <n v="200"/>
    <x v="3"/>
    <x v="134"/>
    <x v="2"/>
    <s v="Percent of GDP"/>
    <s v="Units"/>
    <x v="3"/>
    <n v="24.992999999999999"/>
  </r>
  <r>
    <n v="200"/>
    <x v="3"/>
    <x v="134"/>
    <x v="2"/>
    <s v="Percent of GDP"/>
    <s v="Units"/>
    <x v="4"/>
    <n v="22.338000000000001"/>
  </r>
  <r>
    <n v="200"/>
    <x v="3"/>
    <x v="134"/>
    <x v="2"/>
    <s v="Percent of GDP"/>
    <s v="Units"/>
    <x v="5"/>
    <n v="24.378"/>
  </r>
  <r>
    <n v="200"/>
    <x v="3"/>
    <x v="134"/>
    <x v="2"/>
    <s v="Percent of GDP"/>
    <s v="Units"/>
    <x v="6"/>
    <n v="24.2"/>
  </r>
  <r>
    <n v="205"/>
    <x v="7"/>
    <x v="11"/>
    <x v="2"/>
    <s v="Percent of GDP"/>
    <s v="Units"/>
    <x v="0"/>
    <n v="22.978000000000002"/>
  </r>
  <r>
    <n v="205"/>
    <x v="7"/>
    <x v="11"/>
    <x v="2"/>
    <s v="Percent of GDP"/>
    <s v="Units"/>
    <x v="1"/>
    <n v="23.498000000000001"/>
  </r>
  <r>
    <n v="205"/>
    <x v="7"/>
    <x v="11"/>
    <x v="2"/>
    <s v="Percent of GDP"/>
    <s v="Units"/>
    <x v="2"/>
    <n v="22.998000000000001"/>
  </r>
  <r>
    <n v="205"/>
    <x v="7"/>
    <x v="11"/>
    <x v="2"/>
    <s v="Percent of GDP"/>
    <s v="Units"/>
    <x v="3"/>
    <n v="24.306999999999999"/>
  </r>
  <r>
    <n v="205"/>
    <x v="7"/>
    <x v="11"/>
    <x v="2"/>
    <s v="Percent of GDP"/>
    <s v="Units"/>
    <x v="4"/>
    <n v="24.366"/>
  </r>
  <r>
    <n v="205"/>
    <x v="7"/>
    <x v="11"/>
    <x v="2"/>
    <s v="Percent of GDP"/>
    <s v="Units"/>
    <x v="5"/>
    <n v="24.356000000000002"/>
  </r>
  <r>
    <n v="205"/>
    <x v="7"/>
    <x v="11"/>
    <x v="2"/>
    <s v="Percent of GDP"/>
    <s v="Units"/>
    <x v="6"/>
    <n v="24.055"/>
  </r>
  <r>
    <n v="200"/>
    <x v="3"/>
    <x v="11"/>
    <x v="2"/>
    <s v="Percent of GDP"/>
    <s v="Units"/>
    <x v="0"/>
    <n v="22.978000000000002"/>
  </r>
  <r>
    <n v="200"/>
    <x v="3"/>
    <x v="11"/>
    <x v="2"/>
    <s v="Percent of GDP"/>
    <s v="Units"/>
    <x v="1"/>
    <n v="23.498000000000001"/>
  </r>
  <r>
    <n v="200"/>
    <x v="3"/>
    <x v="11"/>
    <x v="2"/>
    <s v="Percent of GDP"/>
    <s v="Units"/>
    <x v="2"/>
    <n v="22.998000000000001"/>
  </r>
  <r>
    <n v="200"/>
    <x v="3"/>
    <x v="11"/>
    <x v="2"/>
    <s v="Percent of GDP"/>
    <s v="Units"/>
    <x v="3"/>
    <n v="24.306999999999999"/>
  </r>
  <r>
    <n v="200"/>
    <x v="3"/>
    <x v="11"/>
    <x v="2"/>
    <s v="Percent of GDP"/>
    <s v="Units"/>
    <x v="4"/>
    <n v="24.366"/>
  </r>
  <r>
    <n v="200"/>
    <x v="3"/>
    <x v="11"/>
    <x v="2"/>
    <s v="Percent of GDP"/>
    <s v="Units"/>
    <x v="5"/>
    <n v="24.356000000000002"/>
  </r>
  <r>
    <n v="200"/>
    <x v="3"/>
    <x v="11"/>
    <x v="2"/>
    <s v="Percent of GDP"/>
    <s v="Units"/>
    <x v="6"/>
    <n v="24.055"/>
  </r>
  <r>
    <n v="110"/>
    <x v="0"/>
    <x v="51"/>
    <x v="7"/>
    <s v="Percent of GDP"/>
    <s v="Units"/>
    <x v="0"/>
    <n v="23.97"/>
  </r>
  <r>
    <n v="110"/>
    <x v="0"/>
    <x v="51"/>
    <x v="7"/>
    <s v="Percent of GDP"/>
    <s v="Units"/>
    <x v="1"/>
    <n v="22.103000000000002"/>
  </r>
  <r>
    <n v="110"/>
    <x v="0"/>
    <x v="51"/>
    <x v="7"/>
    <s v="Percent of GDP"/>
    <s v="Units"/>
    <x v="2"/>
    <n v="25.013000000000002"/>
  </r>
  <r>
    <n v="110"/>
    <x v="0"/>
    <x v="51"/>
    <x v="7"/>
    <s v="Percent of GDP"/>
    <s v="Units"/>
    <x v="3"/>
    <n v="25.97"/>
  </r>
  <r>
    <n v="110"/>
    <x v="0"/>
    <x v="51"/>
    <x v="7"/>
    <s v="Percent of GDP"/>
    <s v="Units"/>
    <x v="4"/>
    <n v="24.367000000000001"/>
  </r>
  <r>
    <n v="110"/>
    <x v="0"/>
    <x v="51"/>
    <x v="7"/>
    <s v="Percent of GDP"/>
    <s v="Units"/>
    <x v="5"/>
    <n v="24.337"/>
  </r>
  <r>
    <n v="110"/>
    <x v="0"/>
    <x v="51"/>
    <x v="7"/>
    <s v="Percent of GDP"/>
    <s v="Units"/>
    <x v="6"/>
    <n v="24.22"/>
  </r>
  <r>
    <n v="1"/>
    <x v="2"/>
    <x v="51"/>
    <x v="7"/>
    <s v="Percent of GDP"/>
    <s v="Units"/>
    <x v="0"/>
    <n v="23.97"/>
  </r>
  <r>
    <n v="1"/>
    <x v="2"/>
    <x v="51"/>
    <x v="7"/>
    <s v="Percent of GDP"/>
    <s v="Units"/>
    <x v="1"/>
    <n v="22.103000000000002"/>
  </r>
  <r>
    <n v="1"/>
    <x v="2"/>
    <x v="51"/>
    <x v="7"/>
    <s v="Percent of GDP"/>
    <s v="Units"/>
    <x v="2"/>
    <n v="25.013000000000002"/>
  </r>
  <r>
    <n v="1"/>
    <x v="2"/>
    <x v="51"/>
    <x v="7"/>
    <s v="Percent of GDP"/>
    <s v="Units"/>
    <x v="3"/>
    <n v="25.97"/>
  </r>
  <r>
    <n v="1"/>
    <x v="2"/>
    <x v="51"/>
    <x v="7"/>
    <s v="Percent of GDP"/>
    <s v="Units"/>
    <x v="4"/>
    <n v="24.367000000000001"/>
  </r>
  <r>
    <n v="1"/>
    <x v="2"/>
    <x v="51"/>
    <x v="7"/>
    <s v="Percent of GDP"/>
    <s v="Units"/>
    <x v="5"/>
    <n v="24.337"/>
  </r>
  <r>
    <n v="1"/>
    <x v="2"/>
    <x v="51"/>
    <x v="7"/>
    <s v="Percent of GDP"/>
    <s v="Units"/>
    <x v="6"/>
    <n v="24.22"/>
  </r>
  <r>
    <n v="123"/>
    <x v="9"/>
    <x v="51"/>
    <x v="7"/>
    <s v="Percent of GDP"/>
    <s v="Units"/>
    <x v="0"/>
    <n v="23.97"/>
  </r>
  <r>
    <n v="123"/>
    <x v="9"/>
    <x v="51"/>
    <x v="7"/>
    <s v="Percent of GDP"/>
    <s v="Units"/>
    <x v="1"/>
    <n v="22.103000000000002"/>
  </r>
  <r>
    <n v="123"/>
    <x v="9"/>
    <x v="51"/>
    <x v="7"/>
    <s v="Percent of GDP"/>
    <s v="Units"/>
    <x v="2"/>
    <n v="25.013000000000002"/>
  </r>
  <r>
    <n v="123"/>
    <x v="9"/>
    <x v="51"/>
    <x v="7"/>
    <s v="Percent of GDP"/>
    <s v="Units"/>
    <x v="3"/>
    <n v="25.97"/>
  </r>
  <r>
    <n v="123"/>
    <x v="9"/>
    <x v="51"/>
    <x v="7"/>
    <s v="Percent of GDP"/>
    <s v="Units"/>
    <x v="4"/>
    <n v="24.367000000000001"/>
  </r>
  <r>
    <n v="123"/>
    <x v="9"/>
    <x v="51"/>
    <x v="7"/>
    <s v="Percent of GDP"/>
    <s v="Units"/>
    <x v="5"/>
    <n v="24.337"/>
  </r>
  <r>
    <n v="123"/>
    <x v="9"/>
    <x v="51"/>
    <x v="7"/>
    <s v="Percent of GDP"/>
    <s v="Units"/>
    <x v="6"/>
    <n v="24.22"/>
  </r>
  <r>
    <n v="1"/>
    <x v="2"/>
    <x v="18"/>
    <x v="7"/>
    <s v="Percent of GDP"/>
    <s v="Units"/>
    <x v="0"/>
    <n v="26.27"/>
  </r>
  <r>
    <n v="1"/>
    <x v="2"/>
    <x v="18"/>
    <x v="7"/>
    <s v="Percent of GDP"/>
    <s v="Units"/>
    <x v="1"/>
    <n v="29.649000000000001"/>
  </r>
  <r>
    <n v="1"/>
    <x v="2"/>
    <x v="18"/>
    <x v="7"/>
    <s v="Percent of GDP"/>
    <s v="Units"/>
    <x v="2"/>
    <n v="26.257000000000001"/>
  </r>
  <r>
    <n v="1"/>
    <x v="2"/>
    <x v="18"/>
    <x v="7"/>
    <s v="Percent of GDP"/>
    <s v="Units"/>
    <x v="3"/>
    <n v="24.452999999999999"/>
  </r>
  <r>
    <n v="1"/>
    <x v="2"/>
    <x v="18"/>
    <x v="7"/>
    <s v="Percent of GDP"/>
    <s v="Units"/>
    <x v="4"/>
    <n v="24.442"/>
  </r>
  <r>
    <n v="1"/>
    <x v="2"/>
    <x v="18"/>
    <x v="7"/>
    <s v="Percent of GDP"/>
    <s v="Units"/>
    <x v="5"/>
    <n v="24.327999999999999"/>
  </r>
  <r>
    <n v="1"/>
    <x v="2"/>
    <x v="18"/>
    <x v="7"/>
    <s v="Percent of GDP"/>
    <s v="Units"/>
    <x v="6"/>
    <n v="24.667000000000002"/>
  </r>
  <r>
    <n v="110"/>
    <x v="0"/>
    <x v="18"/>
    <x v="7"/>
    <s v="Percent of GDP"/>
    <s v="Units"/>
    <x v="0"/>
    <n v="26.27"/>
  </r>
  <r>
    <n v="110"/>
    <x v="0"/>
    <x v="18"/>
    <x v="7"/>
    <s v="Percent of GDP"/>
    <s v="Units"/>
    <x v="1"/>
    <n v="29.649000000000001"/>
  </r>
  <r>
    <n v="110"/>
    <x v="0"/>
    <x v="18"/>
    <x v="7"/>
    <s v="Percent of GDP"/>
    <s v="Units"/>
    <x v="2"/>
    <n v="26.257000000000001"/>
  </r>
  <r>
    <n v="110"/>
    <x v="0"/>
    <x v="18"/>
    <x v="7"/>
    <s v="Percent of GDP"/>
    <s v="Units"/>
    <x v="3"/>
    <n v="24.452999999999999"/>
  </r>
  <r>
    <n v="110"/>
    <x v="0"/>
    <x v="18"/>
    <x v="7"/>
    <s v="Percent of GDP"/>
    <s v="Units"/>
    <x v="4"/>
    <n v="24.442"/>
  </r>
  <r>
    <n v="110"/>
    <x v="0"/>
    <x v="18"/>
    <x v="7"/>
    <s v="Percent of GDP"/>
    <s v="Units"/>
    <x v="5"/>
    <n v="24.327999999999999"/>
  </r>
  <r>
    <n v="110"/>
    <x v="0"/>
    <x v="18"/>
    <x v="7"/>
    <s v="Percent of GDP"/>
    <s v="Units"/>
    <x v="6"/>
    <n v="24.667000000000002"/>
  </r>
  <r>
    <n v="123"/>
    <x v="9"/>
    <x v="18"/>
    <x v="7"/>
    <s v="Percent of GDP"/>
    <s v="Units"/>
    <x v="0"/>
    <n v="26.27"/>
  </r>
  <r>
    <n v="123"/>
    <x v="9"/>
    <x v="18"/>
    <x v="7"/>
    <s v="Percent of GDP"/>
    <s v="Units"/>
    <x v="1"/>
    <n v="29.649000000000001"/>
  </r>
  <r>
    <n v="123"/>
    <x v="9"/>
    <x v="18"/>
    <x v="7"/>
    <s v="Percent of GDP"/>
    <s v="Units"/>
    <x v="2"/>
    <n v="26.257000000000001"/>
  </r>
  <r>
    <n v="123"/>
    <x v="9"/>
    <x v="18"/>
    <x v="7"/>
    <s v="Percent of GDP"/>
    <s v="Units"/>
    <x v="3"/>
    <n v="24.452999999999999"/>
  </r>
  <r>
    <n v="123"/>
    <x v="9"/>
    <x v="18"/>
    <x v="7"/>
    <s v="Percent of GDP"/>
    <s v="Units"/>
    <x v="4"/>
    <n v="24.442"/>
  </r>
  <r>
    <n v="123"/>
    <x v="9"/>
    <x v="18"/>
    <x v="7"/>
    <s v="Percent of GDP"/>
    <s v="Units"/>
    <x v="5"/>
    <n v="24.327999999999999"/>
  </r>
  <r>
    <n v="123"/>
    <x v="9"/>
    <x v="18"/>
    <x v="7"/>
    <s v="Percent of GDP"/>
    <s v="Units"/>
    <x v="6"/>
    <n v="24.667000000000002"/>
  </r>
  <r>
    <n v="200"/>
    <x v="3"/>
    <x v="162"/>
    <x v="3"/>
    <s v="Percent of GDP"/>
    <s v="Units"/>
    <x v="0"/>
    <n v="19.314"/>
  </r>
  <r>
    <n v="200"/>
    <x v="3"/>
    <x v="162"/>
    <x v="3"/>
    <s v="Percent of GDP"/>
    <s v="Units"/>
    <x v="1"/>
    <n v="22.728999999999999"/>
  </r>
  <r>
    <n v="200"/>
    <x v="3"/>
    <x v="162"/>
    <x v="3"/>
    <s v="Percent of GDP"/>
    <s v="Units"/>
    <x v="2"/>
    <n v="23.65"/>
  </r>
  <r>
    <n v="200"/>
    <x v="3"/>
    <x v="162"/>
    <x v="3"/>
    <s v="Percent of GDP"/>
    <s v="Units"/>
    <x v="3"/>
    <n v="26.699000000000002"/>
  </r>
  <r>
    <n v="200"/>
    <x v="3"/>
    <x v="162"/>
    <x v="3"/>
    <s v="Percent of GDP"/>
    <s v="Units"/>
    <x v="4"/>
    <n v="25.512"/>
  </r>
  <r>
    <n v="200"/>
    <x v="3"/>
    <x v="162"/>
    <x v="3"/>
    <s v="Percent of GDP"/>
    <s v="Units"/>
    <x v="5"/>
    <n v="24.285"/>
  </r>
  <r>
    <n v="200"/>
    <x v="3"/>
    <x v="162"/>
    <x v="3"/>
    <s v="Percent of GDP"/>
    <s v="Units"/>
    <x v="6"/>
    <n v="25.858000000000001"/>
  </r>
  <r>
    <n v="603"/>
    <x v="12"/>
    <x v="162"/>
    <x v="3"/>
    <s v="Percent of GDP"/>
    <s v="Units"/>
    <x v="0"/>
    <n v="19.314"/>
  </r>
  <r>
    <n v="603"/>
    <x v="12"/>
    <x v="162"/>
    <x v="3"/>
    <s v="Percent of GDP"/>
    <s v="Units"/>
    <x v="1"/>
    <n v="22.728999999999999"/>
  </r>
  <r>
    <n v="603"/>
    <x v="12"/>
    <x v="162"/>
    <x v="3"/>
    <s v="Percent of GDP"/>
    <s v="Units"/>
    <x v="2"/>
    <n v="23.65"/>
  </r>
  <r>
    <n v="603"/>
    <x v="12"/>
    <x v="162"/>
    <x v="3"/>
    <s v="Percent of GDP"/>
    <s v="Units"/>
    <x v="3"/>
    <n v="26.699000000000002"/>
  </r>
  <r>
    <n v="603"/>
    <x v="12"/>
    <x v="162"/>
    <x v="3"/>
    <s v="Percent of GDP"/>
    <s v="Units"/>
    <x v="4"/>
    <n v="25.512"/>
  </r>
  <r>
    <n v="603"/>
    <x v="12"/>
    <x v="162"/>
    <x v="3"/>
    <s v="Percent of GDP"/>
    <s v="Units"/>
    <x v="5"/>
    <n v="24.285"/>
  </r>
  <r>
    <n v="603"/>
    <x v="12"/>
    <x v="162"/>
    <x v="3"/>
    <s v="Percent of GDP"/>
    <s v="Units"/>
    <x v="6"/>
    <n v="25.858000000000001"/>
  </r>
  <r>
    <n v="1"/>
    <x v="2"/>
    <x v="119"/>
    <x v="7"/>
    <s v="Percent of GDP"/>
    <s v="Units"/>
    <x v="0"/>
    <n v="24.946000000000002"/>
  </r>
  <r>
    <n v="1"/>
    <x v="2"/>
    <x v="119"/>
    <x v="7"/>
    <s v="Percent of GDP"/>
    <s v="Units"/>
    <x v="1"/>
    <n v="17.442"/>
  </r>
  <r>
    <n v="1"/>
    <x v="2"/>
    <x v="119"/>
    <x v="7"/>
    <s v="Percent of GDP"/>
    <s v="Units"/>
    <x v="2"/>
    <n v="23.393000000000001"/>
  </r>
  <r>
    <n v="1"/>
    <x v="2"/>
    <x v="119"/>
    <x v="7"/>
    <s v="Percent of GDP"/>
    <s v="Units"/>
    <x v="3"/>
    <n v="22.693000000000001"/>
  </r>
  <r>
    <n v="1"/>
    <x v="2"/>
    <x v="119"/>
    <x v="7"/>
    <s v="Percent of GDP"/>
    <s v="Units"/>
    <x v="4"/>
    <n v="23.318000000000001"/>
  </r>
  <r>
    <n v="1"/>
    <x v="2"/>
    <x v="119"/>
    <x v="7"/>
    <s v="Percent of GDP"/>
    <s v="Units"/>
    <x v="5"/>
    <n v="24.265000000000001"/>
  </r>
  <r>
    <n v="1"/>
    <x v="2"/>
    <x v="119"/>
    <x v="7"/>
    <s v="Percent of GDP"/>
    <s v="Units"/>
    <x v="6"/>
    <n v="25.116"/>
  </r>
  <r>
    <n v="400"/>
    <x v="11"/>
    <x v="119"/>
    <x v="7"/>
    <s v="Percent of GDP"/>
    <s v="Units"/>
    <x v="0"/>
    <n v="24.946000000000002"/>
  </r>
  <r>
    <n v="400"/>
    <x v="11"/>
    <x v="119"/>
    <x v="7"/>
    <s v="Percent of GDP"/>
    <s v="Units"/>
    <x v="1"/>
    <n v="17.442"/>
  </r>
  <r>
    <n v="400"/>
    <x v="11"/>
    <x v="119"/>
    <x v="7"/>
    <s v="Percent of GDP"/>
    <s v="Units"/>
    <x v="2"/>
    <n v="23.393000000000001"/>
  </r>
  <r>
    <n v="400"/>
    <x v="11"/>
    <x v="119"/>
    <x v="7"/>
    <s v="Percent of GDP"/>
    <s v="Units"/>
    <x v="3"/>
    <n v="22.693000000000001"/>
  </r>
  <r>
    <n v="400"/>
    <x v="11"/>
    <x v="119"/>
    <x v="7"/>
    <s v="Percent of GDP"/>
    <s v="Units"/>
    <x v="4"/>
    <n v="23.318000000000001"/>
  </r>
  <r>
    <n v="400"/>
    <x v="11"/>
    <x v="119"/>
    <x v="7"/>
    <s v="Percent of GDP"/>
    <s v="Units"/>
    <x v="5"/>
    <n v="24.265000000000001"/>
  </r>
  <r>
    <n v="400"/>
    <x v="11"/>
    <x v="119"/>
    <x v="7"/>
    <s v="Percent of GDP"/>
    <s v="Units"/>
    <x v="6"/>
    <n v="25.116"/>
  </r>
  <r>
    <n v="200"/>
    <x v="3"/>
    <x v="119"/>
    <x v="7"/>
    <s v="Percent of GDP"/>
    <s v="Units"/>
    <x v="0"/>
    <n v="24.946000000000002"/>
  </r>
  <r>
    <n v="200"/>
    <x v="3"/>
    <x v="119"/>
    <x v="7"/>
    <s v="Percent of GDP"/>
    <s v="Units"/>
    <x v="1"/>
    <n v="17.442"/>
  </r>
  <r>
    <n v="200"/>
    <x v="3"/>
    <x v="119"/>
    <x v="7"/>
    <s v="Percent of GDP"/>
    <s v="Units"/>
    <x v="2"/>
    <n v="23.393000000000001"/>
  </r>
  <r>
    <n v="200"/>
    <x v="3"/>
    <x v="119"/>
    <x v="7"/>
    <s v="Percent of GDP"/>
    <s v="Units"/>
    <x v="3"/>
    <n v="22.693000000000001"/>
  </r>
  <r>
    <n v="200"/>
    <x v="3"/>
    <x v="119"/>
    <x v="7"/>
    <s v="Percent of GDP"/>
    <s v="Units"/>
    <x v="4"/>
    <n v="23.318000000000001"/>
  </r>
  <r>
    <n v="200"/>
    <x v="3"/>
    <x v="119"/>
    <x v="7"/>
    <s v="Percent of GDP"/>
    <s v="Units"/>
    <x v="5"/>
    <n v="24.265000000000001"/>
  </r>
  <r>
    <n v="200"/>
    <x v="3"/>
    <x v="119"/>
    <x v="7"/>
    <s v="Percent of GDP"/>
    <s v="Units"/>
    <x v="6"/>
    <n v="25.116"/>
  </r>
  <r>
    <n v="110"/>
    <x v="0"/>
    <x v="12"/>
    <x v="7"/>
    <s v="Percent of GDP"/>
    <s v="Units"/>
    <x v="0"/>
    <n v="22.573"/>
  </r>
  <r>
    <n v="110"/>
    <x v="0"/>
    <x v="12"/>
    <x v="7"/>
    <s v="Percent of GDP"/>
    <s v="Units"/>
    <x v="1"/>
    <n v="22.294"/>
  </r>
  <r>
    <n v="110"/>
    <x v="0"/>
    <x v="12"/>
    <x v="7"/>
    <s v="Percent of GDP"/>
    <s v="Units"/>
    <x v="2"/>
    <n v="23.303000000000001"/>
  </r>
  <r>
    <n v="110"/>
    <x v="0"/>
    <x v="12"/>
    <x v="7"/>
    <s v="Percent of GDP"/>
    <s v="Units"/>
    <x v="3"/>
    <n v="23.693000000000001"/>
  </r>
  <r>
    <n v="110"/>
    <x v="0"/>
    <x v="12"/>
    <x v="7"/>
    <s v="Percent of GDP"/>
    <s v="Units"/>
    <x v="4"/>
    <n v="23.925999999999998"/>
  </r>
  <r>
    <n v="110"/>
    <x v="0"/>
    <x v="12"/>
    <x v="7"/>
    <s v="Percent of GDP"/>
    <s v="Units"/>
    <x v="5"/>
    <n v="24.213000000000001"/>
  </r>
  <r>
    <n v="110"/>
    <x v="0"/>
    <x v="12"/>
    <x v="7"/>
    <s v="Percent of GDP"/>
    <s v="Units"/>
    <x v="6"/>
    <n v="24.629000000000001"/>
  </r>
  <r>
    <n v="123"/>
    <x v="9"/>
    <x v="12"/>
    <x v="7"/>
    <s v="Percent of GDP"/>
    <s v="Units"/>
    <x v="0"/>
    <n v="22.573"/>
  </r>
  <r>
    <n v="123"/>
    <x v="9"/>
    <x v="12"/>
    <x v="7"/>
    <s v="Percent of GDP"/>
    <s v="Units"/>
    <x v="1"/>
    <n v="22.294"/>
  </r>
  <r>
    <n v="123"/>
    <x v="9"/>
    <x v="12"/>
    <x v="7"/>
    <s v="Percent of GDP"/>
    <s v="Units"/>
    <x v="2"/>
    <n v="23.303000000000001"/>
  </r>
  <r>
    <n v="123"/>
    <x v="9"/>
    <x v="12"/>
    <x v="7"/>
    <s v="Percent of GDP"/>
    <s v="Units"/>
    <x v="3"/>
    <n v="23.693000000000001"/>
  </r>
  <r>
    <n v="123"/>
    <x v="9"/>
    <x v="12"/>
    <x v="7"/>
    <s v="Percent of GDP"/>
    <s v="Units"/>
    <x v="4"/>
    <n v="23.925999999999998"/>
  </r>
  <r>
    <n v="123"/>
    <x v="9"/>
    <x v="12"/>
    <x v="7"/>
    <s v="Percent of GDP"/>
    <s v="Units"/>
    <x v="5"/>
    <n v="24.213000000000001"/>
  </r>
  <r>
    <n v="123"/>
    <x v="9"/>
    <x v="12"/>
    <x v="7"/>
    <s v="Percent of GDP"/>
    <s v="Units"/>
    <x v="6"/>
    <n v="24.629000000000001"/>
  </r>
  <r>
    <n v="1"/>
    <x v="2"/>
    <x v="12"/>
    <x v="7"/>
    <s v="Percent of GDP"/>
    <s v="Units"/>
    <x v="0"/>
    <n v="22.573"/>
  </r>
  <r>
    <n v="1"/>
    <x v="2"/>
    <x v="12"/>
    <x v="7"/>
    <s v="Percent of GDP"/>
    <s v="Units"/>
    <x v="1"/>
    <n v="22.294"/>
  </r>
  <r>
    <n v="1"/>
    <x v="2"/>
    <x v="12"/>
    <x v="7"/>
    <s v="Percent of GDP"/>
    <s v="Units"/>
    <x v="2"/>
    <n v="23.303000000000001"/>
  </r>
  <r>
    <n v="1"/>
    <x v="2"/>
    <x v="12"/>
    <x v="7"/>
    <s v="Percent of GDP"/>
    <s v="Units"/>
    <x v="3"/>
    <n v="23.693000000000001"/>
  </r>
  <r>
    <n v="1"/>
    <x v="2"/>
    <x v="12"/>
    <x v="7"/>
    <s v="Percent of GDP"/>
    <s v="Units"/>
    <x v="4"/>
    <n v="23.925999999999998"/>
  </r>
  <r>
    <n v="1"/>
    <x v="2"/>
    <x v="12"/>
    <x v="7"/>
    <s v="Percent of GDP"/>
    <s v="Units"/>
    <x v="5"/>
    <n v="24.213000000000001"/>
  </r>
  <r>
    <n v="1"/>
    <x v="2"/>
    <x v="12"/>
    <x v="7"/>
    <s v="Percent of GDP"/>
    <s v="Units"/>
    <x v="6"/>
    <n v="24.629000000000001"/>
  </r>
  <r>
    <n v="205"/>
    <x v="7"/>
    <x v="151"/>
    <x v="5"/>
    <s v="Percent of GDP"/>
    <s v="Units"/>
    <x v="0"/>
    <n v="22.77"/>
  </r>
  <r>
    <n v="205"/>
    <x v="7"/>
    <x v="151"/>
    <x v="5"/>
    <s v="Percent of GDP"/>
    <s v="Units"/>
    <x v="1"/>
    <n v="18.649999999999999"/>
  </r>
  <r>
    <n v="205"/>
    <x v="7"/>
    <x v="151"/>
    <x v="5"/>
    <s v="Percent of GDP"/>
    <s v="Units"/>
    <x v="2"/>
    <n v="19.689"/>
  </r>
  <r>
    <n v="205"/>
    <x v="7"/>
    <x v="151"/>
    <x v="5"/>
    <s v="Percent of GDP"/>
    <s v="Units"/>
    <x v="3"/>
    <n v="23.216999999999999"/>
  </r>
  <r>
    <n v="205"/>
    <x v="7"/>
    <x v="151"/>
    <x v="5"/>
    <s v="Percent of GDP"/>
    <s v="Units"/>
    <x v="4"/>
    <n v="24.881"/>
  </r>
  <r>
    <n v="205"/>
    <x v="7"/>
    <x v="151"/>
    <x v="5"/>
    <s v="Percent of GDP"/>
    <s v="Units"/>
    <x v="5"/>
    <n v="24.152000000000001"/>
  </r>
  <r>
    <n v="205"/>
    <x v="7"/>
    <x v="151"/>
    <x v="5"/>
    <s v="Percent of GDP"/>
    <s v="Units"/>
    <x v="6"/>
    <n v="24.067"/>
  </r>
  <r>
    <n v="1"/>
    <x v="2"/>
    <x v="151"/>
    <x v="5"/>
    <s v="Percent of GDP"/>
    <s v="Units"/>
    <x v="0"/>
    <n v="22.77"/>
  </r>
  <r>
    <n v="1"/>
    <x v="2"/>
    <x v="151"/>
    <x v="5"/>
    <s v="Percent of GDP"/>
    <s v="Units"/>
    <x v="1"/>
    <n v="18.649999999999999"/>
  </r>
  <r>
    <n v="1"/>
    <x v="2"/>
    <x v="151"/>
    <x v="5"/>
    <s v="Percent of GDP"/>
    <s v="Units"/>
    <x v="2"/>
    <n v="19.689"/>
  </r>
  <r>
    <n v="1"/>
    <x v="2"/>
    <x v="151"/>
    <x v="5"/>
    <s v="Percent of GDP"/>
    <s v="Units"/>
    <x v="3"/>
    <n v="23.216999999999999"/>
  </r>
  <r>
    <n v="1"/>
    <x v="2"/>
    <x v="151"/>
    <x v="5"/>
    <s v="Percent of GDP"/>
    <s v="Units"/>
    <x v="4"/>
    <n v="24.881"/>
  </r>
  <r>
    <n v="1"/>
    <x v="2"/>
    <x v="151"/>
    <x v="5"/>
    <s v="Percent of GDP"/>
    <s v="Units"/>
    <x v="5"/>
    <n v="24.152000000000001"/>
  </r>
  <r>
    <n v="1"/>
    <x v="2"/>
    <x v="151"/>
    <x v="5"/>
    <s v="Percent of GDP"/>
    <s v="Units"/>
    <x v="6"/>
    <n v="24.067"/>
  </r>
  <r>
    <n v="200"/>
    <x v="3"/>
    <x v="151"/>
    <x v="5"/>
    <s v="Percent of GDP"/>
    <s v="Units"/>
    <x v="0"/>
    <n v="22.77"/>
  </r>
  <r>
    <n v="200"/>
    <x v="3"/>
    <x v="151"/>
    <x v="5"/>
    <s v="Percent of GDP"/>
    <s v="Units"/>
    <x v="1"/>
    <n v="18.649999999999999"/>
  </r>
  <r>
    <n v="200"/>
    <x v="3"/>
    <x v="151"/>
    <x v="5"/>
    <s v="Percent of GDP"/>
    <s v="Units"/>
    <x v="2"/>
    <n v="19.689"/>
  </r>
  <r>
    <n v="200"/>
    <x v="3"/>
    <x v="151"/>
    <x v="5"/>
    <s v="Percent of GDP"/>
    <s v="Units"/>
    <x v="3"/>
    <n v="23.216999999999999"/>
  </r>
  <r>
    <n v="200"/>
    <x v="3"/>
    <x v="151"/>
    <x v="5"/>
    <s v="Percent of GDP"/>
    <s v="Units"/>
    <x v="4"/>
    <n v="24.881"/>
  </r>
  <r>
    <n v="200"/>
    <x v="3"/>
    <x v="151"/>
    <x v="5"/>
    <s v="Percent of GDP"/>
    <s v="Units"/>
    <x v="5"/>
    <n v="24.152000000000001"/>
  </r>
  <r>
    <n v="200"/>
    <x v="3"/>
    <x v="151"/>
    <x v="5"/>
    <s v="Percent of GDP"/>
    <s v="Units"/>
    <x v="6"/>
    <n v="24.067"/>
  </r>
  <r>
    <n v="200"/>
    <x v="3"/>
    <x v="94"/>
    <x v="7"/>
    <s v="Percent of GDP"/>
    <s v="Units"/>
    <x v="0"/>
    <n v="30.233000000000001"/>
  </r>
  <r>
    <n v="200"/>
    <x v="3"/>
    <x v="94"/>
    <x v="7"/>
    <s v="Percent of GDP"/>
    <s v="Units"/>
    <x v="1"/>
    <n v="31.222000000000001"/>
  </r>
  <r>
    <n v="200"/>
    <x v="3"/>
    <x v="94"/>
    <x v="7"/>
    <s v="Percent of GDP"/>
    <s v="Units"/>
    <x v="2"/>
    <n v="31.821000000000002"/>
  </r>
  <r>
    <n v="200"/>
    <x v="3"/>
    <x v="94"/>
    <x v="7"/>
    <s v="Percent of GDP"/>
    <s v="Units"/>
    <x v="3"/>
    <n v="31.248000000000001"/>
  </r>
  <r>
    <n v="200"/>
    <x v="3"/>
    <x v="94"/>
    <x v="7"/>
    <s v="Percent of GDP"/>
    <s v="Units"/>
    <x v="4"/>
    <n v="24.556000000000001"/>
  </r>
  <r>
    <n v="200"/>
    <x v="3"/>
    <x v="94"/>
    <x v="7"/>
    <s v="Percent of GDP"/>
    <s v="Units"/>
    <x v="5"/>
    <n v="24.113"/>
  </r>
  <r>
    <n v="200"/>
    <x v="3"/>
    <x v="94"/>
    <x v="7"/>
    <s v="Percent of GDP"/>
    <s v="Units"/>
    <x v="6"/>
    <n v="24.638000000000002"/>
  </r>
  <r>
    <n v="1"/>
    <x v="2"/>
    <x v="94"/>
    <x v="7"/>
    <s v="Percent of GDP"/>
    <s v="Units"/>
    <x v="0"/>
    <n v="30.233000000000001"/>
  </r>
  <r>
    <n v="1"/>
    <x v="2"/>
    <x v="94"/>
    <x v="7"/>
    <s v="Percent of GDP"/>
    <s v="Units"/>
    <x v="1"/>
    <n v="31.222000000000001"/>
  </r>
  <r>
    <n v="1"/>
    <x v="2"/>
    <x v="94"/>
    <x v="7"/>
    <s v="Percent of GDP"/>
    <s v="Units"/>
    <x v="2"/>
    <n v="31.821000000000002"/>
  </r>
  <r>
    <n v="1"/>
    <x v="2"/>
    <x v="94"/>
    <x v="7"/>
    <s v="Percent of GDP"/>
    <s v="Units"/>
    <x v="3"/>
    <n v="31.248000000000001"/>
  </r>
  <r>
    <n v="1"/>
    <x v="2"/>
    <x v="94"/>
    <x v="7"/>
    <s v="Percent of GDP"/>
    <s v="Units"/>
    <x v="4"/>
    <n v="24.556000000000001"/>
  </r>
  <r>
    <n v="1"/>
    <x v="2"/>
    <x v="94"/>
    <x v="7"/>
    <s v="Percent of GDP"/>
    <s v="Units"/>
    <x v="5"/>
    <n v="24.113"/>
  </r>
  <r>
    <n v="1"/>
    <x v="2"/>
    <x v="94"/>
    <x v="7"/>
    <s v="Percent of GDP"/>
    <s v="Units"/>
    <x v="6"/>
    <n v="24.638000000000002"/>
  </r>
  <r>
    <n v="603"/>
    <x v="12"/>
    <x v="94"/>
    <x v="7"/>
    <s v="Percent of GDP"/>
    <s v="Units"/>
    <x v="0"/>
    <n v="30.233000000000001"/>
  </r>
  <r>
    <n v="603"/>
    <x v="12"/>
    <x v="94"/>
    <x v="7"/>
    <s v="Percent of GDP"/>
    <s v="Units"/>
    <x v="1"/>
    <n v="31.222000000000001"/>
  </r>
  <r>
    <n v="603"/>
    <x v="12"/>
    <x v="94"/>
    <x v="7"/>
    <s v="Percent of GDP"/>
    <s v="Units"/>
    <x v="2"/>
    <n v="31.821000000000002"/>
  </r>
  <r>
    <n v="603"/>
    <x v="12"/>
    <x v="94"/>
    <x v="7"/>
    <s v="Percent of GDP"/>
    <s v="Units"/>
    <x v="3"/>
    <n v="31.248000000000001"/>
  </r>
  <r>
    <n v="603"/>
    <x v="12"/>
    <x v="94"/>
    <x v="7"/>
    <s v="Percent of GDP"/>
    <s v="Units"/>
    <x v="4"/>
    <n v="24.556000000000001"/>
  </r>
  <r>
    <n v="603"/>
    <x v="12"/>
    <x v="94"/>
    <x v="7"/>
    <s v="Percent of GDP"/>
    <s v="Units"/>
    <x v="5"/>
    <n v="24.113"/>
  </r>
  <r>
    <n v="603"/>
    <x v="12"/>
    <x v="94"/>
    <x v="7"/>
    <s v="Percent of GDP"/>
    <s v="Units"/>
    <x v="6"/>
    <n v="24.638000000000002"/>
  </r>
  <r>
    <n v="123"/>
    <x v="9"/>
    <x v="38"/>
    <x v="3"/>
    <s v="Percent of GDP"/>
    <s v="Units"/>
    <x v="0"/>
    <n v="20.95"/>
  </r>
  <r>
    <n v="123"/>
    <x v="9"/>
    <x v="38"/>
    <x v="3"/>
    <s v="Percent of GDP"/>
    <s v="Units"/>
    <x v="1"/>
    <n v="29.907"/>
  </r>
  <r>
    <n v="123"/>
    <x v="9"/>
    <x v="38"/>
    <x v="3"/>
    <s v="Percent of GDP"/>
    <s v="Units"/>
    <x v="2"/>
    <n v="23.709"/>
  </r>
  <r>
    <n v="123"/>
    <x v="9"/>
    <x v="38"/>
    <x v="3"/>
    <s v="Percent of GDP"/>
    <s v="Units"/>
    <x v="3"/>
    <n v="28.202000000000002"/>
  </r>
  <r>
    <n v="123"/>
    <x v="9"/>
    <x v="38"/>
    <x v="3"/>
    <s v="Percent of GDP"/>
    <s v="Units"/>
    <x v="4"/>
    <n v="23.861000000000001"/>
  </r>
  <r>
    <n v="123"/>
    <x v="9"/>
    <x v="38"/>
    <x v="3"/>
    <s v="Percent of GDP"/>
    <s v="Units"/>
    <x v="5"/>
    <n v="24.094000000000001"/>
  </r>
  <r>
    <n v="123"/>
    <x v="9"/>
    <x v="38"/>
    <x v="3"/>
    <s v="Percent of GDP"/>
    <s v="Units"/>
    <x v="6"/>
    <n v="23.143999999999998"/>
  </r>
  <r>
    <n v="110"/>
    <x v="0"/>
    <x v="38"/>
    <x v="3"/>
    <s v="Percent of GDP"/>
    <s v="Units"/>
    <x v="0"/>
    <n v="20.95"/>
  </r>
  <r>
    <n v="110"/>
    <x v="0"/>
    <x v="38"/>
    <x v="3"/>
    <s v="Percent of GDP"/>
    <s v="Units"/>
    <x v="1"/>
    <n v="29.907"/>
  </r>
  <r>
    <n v="110"/>
    <x v="0"/>
    <x v="38"/>
    <x v="3"/>
    <s v="Percent of GDP"/>
    <s v="Units"/>
    <x v="2"/>
    <n v="23.709"/>
  </r>
  <r>
    <n v="110"/>
    <x v="0"/>
    <x v="38"/>
    <x v="3"/>
    <s v="Percent of GDP"/>
    <s v="Units"/>
    <x v="3"/>
    <n v="28.202000000000002"/>
  </r>
  <r>
    <n v="110"/>
    <x v="0"/>
    <x v="38"/>
    <x v="3"/>
    <s v="Percent of GDP"/>
    <s v="Units"/>
    <x v="4"/>
    <n v="23.861000000000001"/>
  </r>
  <r>
    <n v="110"/>
    <x v="0"/>
    <x v="38"/>
    <x v="3"/>
    <s v="Percent of GDP"/>
    <s v="Units"/>
    <x v="5"/>
    <n v="24.094000000000001"/>
  </r>
  <r>
    <n v="110"/>
    <x v="0"/>
    <x v="38"/>
    <x v="3"/>
    <s v="Percent of GDP"/>
    <s v="Units"/>
    <x v="6"/>
    <n v="23.143999999999998"/>
  </r>
  <r>
    <n v="903"/>
    <x v="8"/>
    <x v="16"/>
    <x v="5"/>
    <s v="Percent of GDP"/>
    <s v="Units"/>
    <x v="0"/>
    <n v="26.388999999999999"/>
  </r>
  <r>
    <n v="903"/>
    <x v="8"/>
    <x v="16"/>
    <x v="5"/>
    <s v="Percent of GDP"/>
    <s v="Units"/>
    <x v="1"/>
    <n v="27.071999999999999"/>
  </r>
  <r>
    <n v="903"/>
    <x v="8"/>
    <x v="16"/>
    <x v="5"/>
    <s v="Percent of GDP"/>
    <s v="Units"/>
    <x v="2"/>
    <n v="30.62"/>
  </r>
  <r>
    <n v="903"/>
    <x v="8"/>
    <x v="16"/>
    <x v="5"/>
    <s v="Percent of GDP"/>
    <s v="Units"/>
    <x v="3"/>
    <n v="30.027999999999999"/>
  </r>
  <r>
    <n v="903"/>
    <x v="8"/>
    <x v="16"/>
    <x v="5"/>
    <s v="Percent of GDP"/>
    <s v="Units"/>
    <x v="4"/>
    <n v="26.023"/>
  </r>
  <r>
    <n v="903"/>
    <x v="8"/>
    <x v="16"/>
    <x v="5"/>
    <s v="Percent of GDP"/>
    <s v="Units"/>
    <x v="5"/>
    <n v="24.048999999999999"/>
  </r>
  <r>
    <n v="903"/>
    <x v="8"/>
    <x v="16"/>
    <x v="5"/>
    <s v="Percent of GDP"/>
    <s v="Units"/>
    <x v="6"/>
    <n v="23.501000000000001"/>
  </r>
  <r>
    <n v="1"/>
    <x v="2"/>
    <x v="16"/>
    <x v="5"/>
    <s v="Percent of GDP"/>
    <s v="Units"/>
    <x v="0"/>
    <n v="26.388999999999999"/>
  </r>
  <r>
    <n v="1"/>
    <x v="2"/>
    <x v="16"/>
    <x v="5"/>
    <s v="Percent of GDP"/>
    <s v="Units"/>
    <x v="1"/>
    <n v="27.071999999999999"/>
  </r>
  <r>
    <n v="1"/>
    <x v="2"/>
    <x v="16"/>
    <x v="5"/>
    <s v="Percent of GDP"/>
    <s v="Units"/>
    <x v="2"/>
    <n v="30.62"/>
  </r>
  <r>
    <n v="1"/>
    <x v="2"/>
    <x v="16"/>
    <x v="5"/>
    <s v="Percent of GDP"/>
    <s v="Units"/>
    <x v="3"/>
    <n v="30.027999999999999"/>
  </r>
  <r>
    <n v="1"/>
    <x v="2"/>
    <x v="16"/>
    <x v="5"/>
    <s v="Percent of GDP"/>
    <s v="Units"/>
    <x v="4"/>
    <n v="26.023"/>
  </r>
  <r>
    <n v="1"/>
    <x v="2"/>
    <x v="16"/>
    <x v="5"/>
    <s v="Percent of GDP"/>
    <s v="Units"/>
    <x v="5"/>
    <n v="24.048999999999999"/>
  </r>
  <r>
    <n v="1"/>
    <x v="2"/>
    <x v="16"/>
    <x v="5"/>
    <s v="Percent of GDP"/>
    <s v="Units"/>
    <x v="6"/>
    <n v="23.501000000000001"/>
  </r>
  <r>
    <n v="200"/>
    <x v="3"/>
    <x v="16"/>
    <x v="5"/>
    <s v="Percent of GDP"/>
    <s v="Units"/>
    <x v="0"/>
    <n v="26.388999999999999"/>
  </r>
  <r>
    <n v="200"/>
    <x v="3"/>
    <x v="16"/>
    <x v="5"/>
    <s v="Percent of GDP"/>
    <s v="Units"/>
    <x v="1"/>
    <n v="27.071999999999999"/>
  </r>
  <r>
    <n v="200"/>
    <x v="3"/>
    <x v="16"/>
    <x v="5"/>
    <s v="Percent of GDP"/>
    <s v="Units"/>
    <x v="2"/>
    <n v="30.62"/>
  </r>
  <r>
    <n v="200"/>
    <x v="3"/>
    <x v="16"/>
    <x v="5"/>
    <s v="Percent of GDP"/>
    <s v="Units"/>
    <x v="3"/>
    <n v="30.027999999999999"/>
  </r>
  <r>
    <n v="200"/>
    <x v="3"/>
    <x v="16"/>
    <x v="5"/>
    <s v="Percent of GDP"/>
    <s v="Units"/>
    <x v="4"/>
    <n v="26.023"/>
  </r>
  <r>
    <n v="200"/>
    <x v="3"/>
    <x v="16"/>
    <x v="5"/>
    <s v="Percent of GDP"/>
    <s v="Units"/>
    <x v="5"/>
    <n v="24.048999999999999"/>
  </r>
  <r>
    <n v="200"/>
    <x v="3"/>
    <x v="16"/>
    <x v="5"/>
    <s v="Percent of GDP"/>
    <s v="Units"/>
    <x v="6"/>
    <n v="23.501000000000001"/>
  </r>
  <r>
    <n v="205"/>
    <x v="7"/>
    <x v="176"/>
    <x v="0"/>
    <s v="U.S. dollars"/>
    <s v="Billions"/>
    <x v="0"/>
    <n v="14.787000000000001"/>
  </r>
  <r>
    <n v="205"/>
    <x v="7"/>
    <x v="176"/>
    <x v="0"/>
    <s v="U.S. dollars"/>
    <s v="Billions"/>
    <x v="1"/>
    <n v="14.507999999999999"/>
  </r>
  <r>
    <n v="205"/>
    <x v="7"/>
    <x v="176"/>
    <x v="0"/>
    <s v="U.S. dollars"/>
    <s v="Billions"/>
    <x v="2"/>
    <n v="21.016999999999999"/>
  </r>
  <r>
    <n v="205"/>
    <x v="7"/>
    <x v="176"/>
    <x v="0"/>
    <s v="U.S. dollars"/>
    <s v="Billions"/>
    <x v="3"/>
    <n v="19.826000000000001"/>
  </r>
  <r>
    <n v="205"/>
    <x v="7"/>
    <x v="176"/>
    <x v="0"/>
    <s v="U.S. dollars"/>
    <s v="Billions"/>
    <x v="4"/>
    <n v="21.533000000000001"/>
  </r>
  <r>
    <n v="205"/>
    <x v="7"/>
    <x v="176"/>
    <x v="0"/>
    <s v="U.S. dollars"/>
    <s v="Billions"/>
    <x v="5"/>
    <n v="24.045999999999999"/>
  </r>
  <r>
    <n v="205"/>
    <x v="7"/>
    <x v="176"/>
    <x v="0"/>
    <s v="U.S. dollars"/>
    <s v="Billions"/>
    <x v="6"/>
    <n v="24.359000000000002"/>
  </r>
  <r>
    <n v="200"/>
    <x v="3"/>
    <x v="176"/>
    <x v="0"/>
    <s v="U.S. dollars"/>
    <s v="Billions"/>
    <x v="0"/>
    <n v="14.787000000000001"/>
  </r>
  <r>
    <n v="200"/>
    <x v="3"/>
    <x v="176"/>
    <x v="0"/>
    <s v="U.S. dollars"/>
    <s v="Billions"/>
    <x v="1"/>
    <n v="14.507999999999999"/>
  </r>
  <r>
    <n v="200"/>
    <x v="3"/>
    <x v="176"/>
    <x v="0"/>
    <s v="U.S. dollars"/>
    <s v="Billions"/>
    <x v="2"/>
    <n v="21.016999999999999"/>
  </r>
  <r>
    <n v="200"/>
    <x v="3"/>
    <x v="176"/>
    <x v="0"/>
    <s v="U.S. dollars"/>
    <s v="Billions"/>
    <x v="3"/>
    <n v="19.826000000000001"/>
  </r>
  <r>
    <n v="200"/>
    <x v="3"/>
    <x v="176"/>
    <x v="0"/>
    <s v="U.S. dollars"/>
    <s v="Billions"/>
    <x v="4"/>
    <n v="21.533000000000001"/>
  </r>
  <r>
    <n v="200"/>
    <x v="3"/>
    <x v="176"/>
    <x v="0"/>
    <s v="U.S. dollars"/>
    <s v="Billions"/>
    <x v="5"/>
    <n v="24.045999999999999"/>
  </r>
  <r>
    <n v="200"/>
    <x v="3"/>
    <x v="176"/>
    <x v="0"/>
    <s v="U.S. dollars"/>
    <s v="Billions"/>
    <x v="6"/>
    <n v="24.359000000000002"/>
  </r>
  <r>
    <n v="1"/>
    <x v="2"/>
    <x v="176"/>
    <x v="0"/>
    <s v="U.S. dollars"/>
    <s v="Billions"/>
    <x v="0"/>
    <n v="14.787000000000001"/>
  </r>
  <r>
    <n v="1"/>
    <x v="2"/>
    <x v="176"/>
    <x v="0"/>
    <s v="U.S. dollars"/>
    <s v="Billions"/>
    <x v="1"/>
    <n v="14.507999999999999"/>
  </r>
  <r>
    <n v="1"/>
    <x v="2"/>
    <x v="176"/>
    <x v="0"/>
    <s v="U.S. dollars"/>
    <s v="Billions"/>
    <x v="2"/>
    <n v="21.016999999999999"/>
  </r>
  <r>
    <n v="1"/>
    <x v="2"/>
    <x v="176"/>
    <x v="0"/>
    <s v="U.S. dollars"/>
    <s v="Billions"/>
    <x v="3"/>
    <n v="19.826000000000001"/>
  </r>
  <r>
    <n v="1"/>
    <x v="2"/>
    <x v="176"/>
    <x v="0"/>
    <s v="U.S. dollars"/>
    <s v="Billions"/>
    <x v="4"/>
    <n v="21.533000000000001"/>
  </r>
  <r>
    <n v="1"/>
    <x v="2"/>
    <x v="176"/>
    <x v="0"/>
    <s v="U.S. dollars"/>
    <s v="Billions"/>
    <x v="5"/>
    <n v="24.045999999999999"/>
  </r>
  <r>
    <n v="1"/>
    <x v="2"/>
    <x v="176"/>
    <x v="0"/>
    <s v="U.S. dollars"/>
    <s v="Billions"/>
    <x v="6"/>
    <n v="24.359000000000002"/>
  </r>
  <r>
    <n v="200"/>
    <x v="3"/>
    <x v="54"/>
    <x v="3"/>
    <s v="Percent of GDP"/>
    <s v="Units"/>
    <x v="0"/>
    <n v="32.463999999999999"/>
  </r>
  <r>
    <n v="200"/>
    <x v="3"/>
    <x v="54"/>
    <x v="3"/>
    <s v="Percent of GDP"/>
    <s v="Units"/>
    <x v="1"/>
    <n v="34.698999999999998"/>
  </r>
  <r>
    <n v="200"/>
    <x v="3"/>
    <x v="54"/>
    <x v="3"/>
    <s v="Percent of GDP"/>
    <s v="Units"/>
    <x v="2"/>
    <n v="29.367999999999999"/>
  </r>
  <r>
    <n v="200"/>
    <x v="3"/>
    <x v="54"/>
    <x v="3"/>
    <s v="Percent of GDP"/>
    <s v="Units"/>
    <x v="3"/>
    <n v="24.273"/>
  </r>
  <r>
    <n v="200"/>
    <x v="3"/>
    <x v="54"/>
    <x v="3"/>
    <s v="Percent of GDP"/>
    <s v="Units"/>
    <x v="4"/>
    <n v="24.431000000000001"/>
  </r>
  <r>
    <n v="200"/>
    <x v="3"/>
    <x v="54"/>
    <x v="3"/>
    <s v="Percent of GDP"/>
    <s v="Units"/>
    <x v="5"/>
    <n v="23.994"/>
  </r>
  <r>
    <n v="200"/>
    <x v="3"/>
    <x v="54"/>
    <x v="3"/>
    <s v="Percent of GDP"/>
    <s v="Units"/>
    <x v="6"/>
    <n v="24.106000000000002"/>
  </r>
  <r>
    <n v="400"/>
    <x v="11"/>
    <x v="54"/>
    <x v="3"/>
    <s v="Percent of GDP"/>
    <s v="Units"/>
    <x v="0"/>
    <n v="32.463999999999999"/>
  </r>
  <r>
    <n v="400"/>
    <x v="11"/>
    <x v="54"/>
    <x v="3"/>
    <s v="Percent of GDP"/>
    <s v="Units"/>
    <x v="1"/>
    <n v="34.698999999999998"/>
  </r>
  <r>
    <n v="400"/>
    <x v="11"/>
    <x v="54"/>
    <x v="3"/>
    <s v="Percent of GDP"/>
    <s v="Units"/>
    <x v="2"/>
    <n v="29.367999999999999"/>
  </r>
  <r>
    <n v="400"/>
    <x v="11"/>
    <x v="54"/>
    <x v="3"/>
    <s v="Percent of GDP"/>
    <s v="Units"/>
    <x v="3"/>
    <n v="24.273"/>
  </r>
  <r>
    <n v="400"/>
    <x v="11"/>
    <x v="54"/>
    <x v="3"/>
    <s v="Percent of GDP"/>
    <s v="Units"/>
    <x v="4"/>
    <n v="24.431000000000001"/>
  </r>
  <r>
    <n v="400"/>
    <x v="11"/>
    <x v="54"/>
    <x v="3"/>
    <s v="Percent of GDP"/>
    <s v="Units"/>
    <x v="5"/>
    <n v="23.994"/>
  </r>
  <r>
    <n v="400"/>
    <x v="11"/>
    <x v="54"/>
    <x v="3"/>
    <s v="Percent of GDP"/>
    <s v="Units"/>
    <x v="6"/>
    <n v="24.106000000000002"/>
  </r>
  <r>
    <n v="1"/>
    <x v="2"/>
    <x v="163"/>
    <x v="5"/>
    <s v="Percent of GDP"/>
    <s v="Units"/>
    <x v="0"/>
    <n v="16.978999999999999"/>
  </r>
  <r>
    <n v="1"/>
    <x v="2"/>
    <x v="163"/>
    <x v="5"/>
    <s v="Percent of GDP"/>
    <s v="Units"/>
    <x v="1"/>
    <n v="21.074999999999999"/>
  </r>
  <r>
    <n v="1"/>
    <x v="2"/>
    <x v="163"/>
    <x v="5"/>
    <s v="Percent of GDP"/>
    <s v="Units"/>
    <x v="2"/>
    <n v="17.651"/>
  </r>
  <r>
    <n v="1"/>
    <x v="2"/>
    <x v="163"/>
    <x v="5"/>
    <s v="Percent of GDP"/>
    <s v="Units"/>
    <x v="3"/>
    <n v="19.367000000000001"/>
  </r>
  <r>
    <n v="1"/>
    <x v="2"/>
    <x v="163"/>
    <x v="5"/>
    <s v="Percent of GDP"/>
    <s v="Units"/>
    <x v="4"/>
    <n v="25.225000000000001"/>
  </r>
  <r>
    <n v="1"/>
    <x v="2"/>
    <x v="163"/>
    <x v="5"/>
    <s v="Percent of GDP"/>
    <s v="Units"/>
    <x v="5"/>
    <n v="23.956"/>
  </r>
  <r>
    <n v="1"/>
    <x v="2"/>
    <x v="163"/>
    <x v="5"/>
    <s v="Percent of GDP"/>
    <s v="Units"/>
    <x v="6"/>
    <n v="21.579000000000001"/>
  </r>
  <r>
    <n v="603"/>
    <x v="12"/>
    <x v="163"/>
    <x v="5"/>
    <s v="Percent of GDP"/>
    <s v="Units"/>
    <x v="0"/>
    <n v="16.978999999999999"/>
  </r>
  <r>
    <n v="603"/>
    <x v="12"/>
    <x v="163"/>
    <x v="5"/>
    <s v="Percent of GDP"/>
    <s v="Units"/>
    <x v="1"/>
    <n v="21.074999999999999"/>
  </r>
  <r>
    <n v="603"/>
    <x v="12"/>
    <x v="163"/>
    <x v="5"/>
    <s v="Percent of GDP"/>
    <s v="Units"/>
    <x v="2"/>
    <n v="17.651"/>
  </r>
  <r>
    <n v="603"/>
    <x v="12"/>
    <x v="163"/>
    <x v="5"/>
    <s v="Percent of GDP"/>
    <s v="Units"/>
    <x v="3"/>
    <n v="19.367000000000001"/>
  </r>
  <r>
    <n v="603"/>
    <x v="12"/>
    <x v="163"/>
    <x v="5"/>
    <s v="Percent of GDP"/>
    <s v="Units"/>
    <x v="4"/>
    <n v="25.225000000000001"/>
  </r>
  <r>
    <n v="603"/>
    <x v="12"/>
    <x v="163"/>
    <x v="5"/>
    <s v="Percent of GDP"/>
    <s v="Units"/>
    <x v="5"/>
    <n v="23.956"/>
  </r>
  <r>
    <n v="603"/>
    <x v="12"/>
    <x v="163"/>
    <x v="5"/>
    <s v="Percent of GDP"/>
    <s v="Units"/>
    <x v="6"/>
    <n v="21.579000000000001"/>
  </r>
  <r>
    <n v="200"/>
    <x v="3"/>
    <x v="163"/>
    <x v="5"/>
    <s v="Percent of GDP"/>
    <s v="Units"/>
    <x v="0"/>
    <n v="16.978999999999999"/>
  </r>
  <r>
    <n v="200"/>
    <x v="3"/>
    <x v="163"/>
    <x v="5"/>
    <s v="Percent of GDP"/>
    <s v="Units"/>
    <x v="1"/>
    <n v="21.074999999999999"/>
  </r>
  <r>
    <n v="200"/>
    <x v="3"/>
    <x v="163"/>
    <x v="5"/>
    <s v="Percent of GDP"/>
    <s v="Units"/>
    <x v="2"/>
    <n v="17.651"/>
  </r>
  <r>
    <n v="200"/>
    <x v="3"/>
    <x v="163"/>
    <x v="5"/>
    <s v="Percent of GDP"/>
    <s v="Units"/>
    <x v="3"/>
    <n v="19.367000000000001"/>
  </r>
  <r>
    <n v="200"/>
    <x v="3"/>
    <x v="163"/>
    <x v="5"/>
    <s v="Percent of GDP"/>
    <s v="Units"/>
    <x v="4"/>
    <n v="25.225000000000001"/>
  </r>
  <r>
    <n v="200"/>
    <x v="3"/>
    <x v="163"/>
    <x v="5"/>
    <s v="Percent of GDP"/>
    <s v="Units"/>
    <x v="5"/>
    <n v="23.956"/>
  </r>
  <r>
    <n v="200"/>
    <x v="3"/>
    <x v="163"/>
    <x v="5"/>
    <s v="Percent of GDP"/>
    <s v="Units"/>
    <x v="6"/>
    <n v="21.579000000000001"/>
  </r>
  <r>
    <n v="1"/>
    <x v="2"/>
    <x v="9"/>
    <x v="5"/>
    <s v="Percent of GDP"/>
    <s v="Units"/>
    <x v="0"/>
    <n v="21.088999999999999"/>
  </r>
  <r>
    <n v="1"/>
    <x v="2"/>
    <x v="9"/>
    <x v="5"/>
    <s v="Percent of GDP"/>
    <s v="Units"/>
    <x v="1"/>
    <n v="20.658000000000001"/>
  </r>
  <r>
    <n v="1"/>
    <x v="2"/>
    <x v="9"/>
    <x v="5"/>
    <s v="Percent of GDP"/>
    <s v="Units"/>
    <x v="2"/>
    <n v="24.329000000000001"/>
  </r>
  <r>
    <n v="1"/>
    <x v="2"/>
    <x v="9"/>
    <x v="5"/>
    <s v="Percent of GDP"/>
    <s v="Units"/>
    <x v="3"/>
    <n v="24.997"/>
  </r>
  <r>
    <n v="1"/>
    <x v="2"/>
    <x v="9"/>
    <x v="5"/>
    <s v="Percent of GDP"/>
    <s v="Units"/>
    <x v="4"/>
    <n v="23.288"/>
  </r>
  <r>
    <n v="1"/>
    <x v="2"/>
    <x v="9"/>
    <x v="5"/>
    <s v="Percent of GDP"/>
    <s v="Units"/>
    <x v="5"/>
    <n v="23.895"/>
  </r>
  <r>
    <n v="1"/>
    <x v="2"/>
    <x v="9"/>
    <x v="5"/>
    <s v="Percent of GDP"/>
    <s v="Units"/>
    <x v="6"/>
    <n v="23.936"/>
  </r>
  <r>
    <n v="119"/>
    <x v="1"/>
    <x v="9"/>
    <x v="5"/>
    <s v="Percent of GDP"/>
    <s v="Units"/>
    <x v="0"/>
    <n v="21.088999999999999"/>
  </r>
  <r>
    <n v="119"/>
    <x v="1"/>
    <x v="9"/>
    <x v="5"/>
    <s v="Percent of GDP"/>
    <s v="Units"/>
    <x v="1"/>
    <n v="20.658000000000001"/>
  </r>
  <r>
    <n v="119"/>
    <x v="1"/>
    <x v="9"/>
    <x v="5"/>
    <s v="Percent of GDP"/>
    <s v="Units"/>
    <x v="2"/>
    <n v="24.329000000000001"/>
  </r>
  <r>
    <n v="119"/>
    <x v="1"/>
    <x v="9"/>
    <x v="5"/>
    <s v="Percent of GDP"/>
    <s v="Units"/>
    <x v="3"/>
    <n v="24.997"/>
  </r>
  <r>
    <n v="119"/>
    <x v="1"/>
    <x v="9"/>
    <x v="5"/>
    <s v="Percent of GDP"/>
    <s v="Units"/>
    <x v="4"/>
    <n v="23.288"/>
  </r>
  <r>
    <n v="119"/>
    <x v="1"/>
    <x v="9"/>
    <x v="5"/>
    <s v="Percent of GDP"/>
    <s v="Units"/>
    <x v="5"/>
    <n v="23.895"/>
  </r>
  <r>
    <n v="119"/>
    <x v="1"/>
    <x v="9"/>
    <x v="5"/>
    <s v="Percent of GDP"/>
    <s v="Units"/>
    <x v="6"/>
    <n v="23.936"/>
  </r>
  <r>
    <n v="110"/>
    <x v="0"/>
    <x v="9"/>
    <x v="5"/>
    <s v="Percent of GDP"/>
    <s v="Units"/>
    <x v="0"/>
    <n v="21.088999999999999"/>
  </r>
  <r>
    <n v="110"/>
    <x v="0"/>
    <x v="9"/>
    <x v="5"/>
    <s v="Percent of GDP"/>
    <s v="Units"/>
    <x v="1"/>
    <n v="20.658000000000001"/>
  </r>
  <r>
    <n v="110"/>
    <x v="0"/>
    <x v="9"/>
    <x v="5"/>
    <s v="Percent of GDP"/>
    <s v="Units"/>
    <x v="2"/>
    <n v="24.329000000000001"/>
  </r>
  <r>
    <n v="110"/>
    <x v="0"/>
    <x v="9"/>
    <x v="5"/>
    <s v="Percent of GDP"/>
    <s v="Units"/>
    <x v="3"/>
    <n v="24.997"/>
  </r>
  <r>
    <n v="110"/>
    <x v="0"/>
    <x v="9"/>
    <x v="5"/>
    <s v="Percent of GDP"/>
    <s v="Units"/>
    <x v="4"/>
    <n v="23.288"/>
  </r>
  <r>
    <n v="110"/>
    <x v="0"/>
    <x v="9"/>
    <x v="5"/>
    <s v="Percent of GDP"/>
    <s v="Units"/>
    <x v="5"/>
    <n v="23.895"/>
  </r>
  <r>
    <n v="110"/>
    <x v="0"/>
    <x v="9"/>
    <x v="5"/>
    <s v="Percent of GDP"/>
    <s v="Units"/>
    <x v="6"/>
    <n v="23.936"/>
  </r>
  <r>
    <n v="200"/>
    <x v="3"/>
    <x v="177"/>
    <x v="3"/>
    <s v="Percent of GDP"/>
    <s v="Units"/>
    <x v="0"/>
    <n v="27.468"/>
  </r>
  <r>
    <n v="200"/>
    <x v="3"/>
    <x v="177"/>
    <x v="3"/>
    <s v="Percent of GDP"/>
    <s v="Units"/>
    <x v="1"/>
    <n v="33.146000000000001"/>
  </r>
  <r>
    <n v="200"/>
    <x v="3"/>
    <x v="177"/>
    <x v="3"/>
    <s v="Percent of GDP"/>
    <s v="Units"/>
    <x v="2"/>
    <n v="25.776"/>
  </r>
  <r>
    <n v="200"/>
    <x v="3"/>
    <x v="177"/>
    <x v="3"/>
    <s v="Percent of GDP"/>
    <s v="Units"/>
    <x v="3"/>
    <n v="22.966000000000001"/>
  </r>
  <r>
    <n v="200"/>
    <x v="3"/>
    <x v="177"/>
    <x v="3"/>
    <s v="Percent of GDP"/>
    <s v="Units"/>
    <x v="4"/>
    <n v="23.702000000000002"/>
  </r>
  <r>
    <n v="200"/>
    <x v="3"/>
    <x v="177"/>
    <x v="3"/>
    <s v="Percent of GDP"/>
    <s v="Units"/>
    <x v="5"/>
    <n v="23.888999999999999"/>
  </r>
  <r>
    <n v="200"/>
    <x v="3"/>
    <x v="177"/>
    <x v="3"/>
    <s v="Percent of GDP"/>
    <s v="Units"/>
    <x v="6"/>
    <n v="24.276"/>
  </r>
  <r>
    <n v="205"/>
    <x v="7"/>
    <x v="177"/>
    <x v="3"/>
    <s v="Percent of GDP"/>
    <s v="Units"/>
    <x v="0"/>
    <n v="27.468"/>
  </r>
  <r>
    <n v="205"/>
    <x v="7"/>
    <x v="177"/>
    <x v="3"/>
    <s v="Percent of GDP"/>
    <s v="Units"/>
    <x v="1"/>
    <n v="33.146000000000001"/>
  </r>
  <r>
    <n v="205"/>
    <x v="7"/>
    <x v="177"/>
    <x v="3"/>
    <s v="Percent of GDP"/>
    <s v="Units"/>
    <x v="2"/>
    <n v="25.776"/>
  </r>
  <r>
    <n v="205"/>
    <x v="7"/>
    <x v="177"/>
    <x v="3"/>
    <s v="Percent of GDP"/>
    <s v="Units"/>
    <x v="3"/>
    <n v="22.966000000000001"/>
  </r>
  <r>
    <n v="205"/>
    <x v="7"/>
    <x v="177"/>
    <x v="3"/>
    <s v="Percent of GDP"/>
    <s v="Units"/>
    <x v="4"/>
    <n v="23.702000000000002"/>
  </r>
  <r>
    <n v="205"/>
    <x v="7"/>
    <x v="177"/>
    <x v="3"/>
    <s v="Percent of GDP"/>
    <s v="Units"/>
    <x v="5"/>
    <n v="23.888999999999999"/>
  </r>
  <r>
    <n v="205"/>
    <x v="7"/>
    <x v="177"/>
    <x v="3"/>
    <s v="Percent of GDP"/>
    <s v="Units"/>
    <x v="6"/>
    <n v="24.276"/>
  </r>
  <r>
    <n v="123"/>
    <x v="9"/>
    <x v="13"/>
    <x v="2"/>
    <s v="Percent of GDP"/>
    <s v="Units"/>
    <x v="0"/>
    <n v="22.922999999999998"/>
  </r>
  <r>
    <n v="123"/>
    <x v="9"/>
    <x v="13"/>
    <x v="2"/>
    <s v="Percent of GDP"/>
    <s v="Units"/>
    <x v="1"/>
    <n v="22.861999999999998"/>
  </r>
  <r>
    <n v="123"/>
    <x v="9"/>
    <x v="13"/>
    <x v="2"/>
    <s v="Percent of GDP"/>
    <s v="Units"/>
    <x v="2"/>
    <n v="25.719000000000001"/>
  </r>
  <r>
    <n v="123"/>
    <x v="9"/>
    <x v="13"/>
    <x v="2"/>
    <s v="Percent of GDP"/>
    <s v="Units"/>
    <x v="3"/>
    <n v="27.076000000000001"/>
  </r>
  <r>
    <n v="123"/>
    <x v="9"/>
    <x v="13"/>
    <x v="2"/>
    <s v="Percent of GDP"/>
    <s v="Units"/>
    <x v="4"/>
    <n v="23.876999999999999"/>
  </r>
  <r>
    <n v="123"/>
    <x v="9"/>
    <x v="13"/>
    <x v="2"/>
    <s v="Percent of GDP"/>
    <s v="Units"/>
    <x v="5"/>
    <n v="23.888000000000002"/>
  </r>
  <r>
    <n v="123"/>
    <x v="9"/>
    <x v="13"/>
    <x v="2"/>
    <s v="Percent of GDP"/>
    <s v="Units"/>
    <x v="6"/>
    <n v="24.443999999999999"/>
  </r>
  <r>
    <n v="110"/>
    <x v="0"/>
    <x v="13"/>
    <x v="2"/>
    <s v="Percent of GDP"/>
    <s v="Units"/>
    <x v="0"/>
    <n v="22.922999999999998"/>
  </r>
  <r>
    <n v="110"/>
    <x v="0"/>
    <x v="13"/>
    <x v="2"/>
    <s v="Percent of GDP"/>
    <s v="Units"/>
    <x v="1"/>
    <n v="22.861999999999998"/>
  </r>
  <r>
    <n v="110"/>
    <x v="0"/>
    <x v="13"/>
    <x v="2"/>
    <s v="Percent of GDP"/>
    <s v="Units"/>
    <x v="2"/>
    <n v="25.719000000000001"/>
  </r>
  <r>
    <n v="110"/>
    <x v="0"/>
    <x v="13"/>
    <x v="2"/>
    <s v="Percent of GDP"/>
    <s v="Units"/>
    <x v="3"/>
    <n v="27.076000000000001"/>
  </r>
  <r>
    <n v="110"/>
    <x v="0"/>
    <x v="13"/>
    <x v="2"/>
    <s v="Percent of GDP"/>
    <s v="Units"/>
    <x v="4"/>
    <n v="23.876999999999999"/>
  </r>
  <r>
    <n v="110"/>
    <x v="0"/>
    <x v="13"/>
    <x v="2"/>
    <s v="Percent of GDP"/>
    <s v="Units"/>
    <x v="5"/>
    <n v="23.888000000000002"/>
  </r>
  <r>
    <n v="110"/>
    <x v="0"/>
    <x v="13"/>
    <x v="2"/>
    <s v="Percent of GDP"/>
    <s v="Units"/>
    <x v="6"/>
    <n v="24.443999999999999"/>
  </r>
  <r>
    <n v="205"/>
    <x v="7"/>
    <x v="160"/>
    <x v="5"/>
    <s v="Percent of GDP"/>
    <s v="Units"/>
    <x v="0"/>
    <n v="23.928999999999998"/>
  </r>
  <r>
    <n v="205"/>
    <x v="7"/>
    <x v="160"/>
    <x v="5"/>
    <s v="Percent of GDP"/>
    <s v="Units"/>
    <x v="1"/>
    <n v="16.195"/>
  </r>
  <r>
    <n v="205"/>
    <x v="7"/>
    <x v="160"/>
    <x v="5"/>
    <s v="Percent of GDP"/>
    <s v="Units"/>
    <x v="2"/>
    <n v="22.619"/>
  </r>
  <r>
    <n v="205"/>
    <x v="7"/>
    <x v="160"/>
    <x v="5"/>
    <s v="Percent of GDP"/>
    <s v="Units"/>
    <x v="3"/>
    <n v="22.236999999999998"/>
  </r>
  <r>
    <n v="205"/>
    <x v="7"/>
    <x v="160"/>
    <x v="5"/>
    <s v="Percent of GDP"/>
    <s v="Units"/>
    <x v="4"/>
    <n v="24.001999999999999"/>
  </r>
  <r>
    <n v="205"/>
    <x v="7"/>
    <x v="160"/>
    <x v="5"/>
    <s v="Percent of GDP"/>
    <s v="Units"/>
    <x v="5"/>
    <n v="23.881"/>
  </r>
  <r>
    <n v="205"/>
    <x v="7"/>
    <x v="160"/>
    <x v="5"/>
    <s v="Percent of GDP"/>
    <s v="Units"/>
    <x v="6"/>
    <n v="24.047000000000001"/>
  </r>
  <r>
    <n v="1"/>
    <x v="2"/>
    <x v="160"/>
    <x v="5"/>
    <s v="Percent of GDP"/>
    <s v="Units"/>
    <x v="0"/>
    <n v="23.928999999999998"/>
  </r>
  <r>
    <n v="1"/>
    <x v="2"/>
    <x v="160"/>
    <x v="5"/>
    <s v="Percent of GDP"/>
    <s v="Units"/>
    <x v="1"/>
    <n v="16.195"/>
  </r>
  <r>
    <n v="1"/>
    <x v="2"/>
    <x v="160"/>
    <x v="5"/>
    <s v="Percent of GDP"/>
    <s v="Units"/>
    <x v="2"/>
    <n v="22.619"/>
  </r>
  <r>
    <n v="1"/>
    <x v="2"/>
    <x v="160"/>
    <x v="5"/>
    <s v="Percent of GDP"/>
    <s v="Units"/>
    <x v="3"/>
    <n v="22.236999999999998"/>
  </r>
  <r>
    <n v="1"/>
    <x v="2"/>
    <x v="160"/>
    <x v="5"/>
    <s v="Percent of GDP"/>
    <s v="Units"/>
    <x v="4"/>
    <n v="24.001999999999999"/>
  </r>
  <r>
    <n v="1"/>
    <x v="2"/>
    <x v="160"/>
    <x v="5"/>
    <s v="Percent of GDP"/>
    <s v="Units"/>
    <x v="5"/>
    <n v="23.881"/>
  </r>
  <r>
    <n v="1"/>
    <x v="2"/>
    <x v="160"/>
    <x v="5"/>
    <s v="Percent of GDP"/>
    <s v="Units"/>
    <x v="6"/>
    <n v="24.047000000000001"/>
  </r>
  <r>
    <n v="200"/>
    <x v="3"/>
    <x v="160"/>
    <x v="5"/>
    <s v="Percent of GDP"/>
    <s v="Units"/>
    <x v="0"/>
    <n v="23.928999999999998"/>
  </r>
  <r>
    <n v="200"/>
    <x v="3"/>
    <x v="160"/>
    <x v="5"/>
    <s v="Percent of GDP"/>
    <s v="Units"/>
    <x v="1"/>
    <n v="16.195"/>
  </r>
  <r>
    <n v="200"/>
    <x v="3"/>
    <x v="160"/>
    <x v="5"/>
    <s v="Percent of GDP"/>
    <s v="Units"/>
    <x v="2"/>
    <n v="22.619"/>
  </r>
  <r>
    <n v="200"/>
    <x v="3"/>
    <x v="160"/>
    <x v="5"/>
    <s v="Percent of GDP"/>
    <s v="Units"/>
    <x v="3"/>
    <n v="22.236999999999998"/>
  </r>
  <r>
    <n v="200"/>
    <x v="3"/>
    <x v="160"/>
    <x v="5"/>
    <s v="Percent of GDP"/>
    <s v="Units"/>
    <x v="4"/>
    <n v="24.001999999999999"/>
  </r>
  <r>
    <n v="200"/>
    <x v="3"/>
    <x v="160"/>
    <x v="5"/>
    <s v="Percent of GDP"/>
    <s v="Units"/>
    <x v="5"/>
    <n v="23.881"/>
  </r>
  <r>
    <n v="200"/>
    <x v="3"/>
    <x v="160"/>
    <x v="5"/>
    <s v="Percent of GDP"/>
    <s v="Units"/>
    <x v="6"/>
    <n v="24.047000000000001"/>
  </r>
  <r>
    <n v="200"/>
    <x v="3"/>
    <x v="11"/>
    <x v="5"/>
    <s v="Percent of GDP"/>
    <s v="Units"/>
    <x v="0"/>
    <n v="21.823"/>
  </r>
  <r>
    <n v="200"/>
    <x v="3"/>
    <x v="11"/>
    <x v="5"/>
    <s v="Percent of GDP"/>
    <s v="Units"/>
    <x v="1"/>
    <n v="22.606999999999999"/>
  </r>
  <r>
    <n v="200"/>
    <x v="3"/>
    <x v="11"/>
    <x v="5"/>
    <s v="Percent of GDP"/>
    <s v="Units"/>
    <x v="2"/>
    <n v="21.274999999999999"/>
  </r>
  <r>
    <n v="200"/>
    <x v="3"/>
    <x v="11"/>
    <x v="5"/>
    <s v="Percent of GDP"/>
    <s v="Units"/>
    <x v="3"/>
    <n v="21.497"/>
  </r>
  <r>
    <n v="200"/>
    <x v="3"/>
    <x v="11"/>
    <x v="5"/>
    <s v="Percent of GDP"/>
    <s v="Units"/>
    <x v="4"/>
    <n v="24.446000000000002"/>
  </r>
  <r>
    <n v="200"/>
    <x v="3"/>
    <x v="11"/>
    <x v="5"/>
    <s v="Percent of GDP"/>
    <s v="Units"/>
    <x v="5"/>
    <n v="23.867000000000001"/>
  </r>
  <r>
    <n v="200"/>
    <x v="3"/>
    <x v="11"/>
    <x v="5"/>
    <s v="Percent of GDP"/>
    <s v="Units"/>
    <x v="6"/>
    <n v="23.367000000000001"/>
  </r>
  <r>
    <n v="1"/>
    <x v="2"/>
    <x v="11"/>
    <x v="5"/>
    <s v="Percent of GDP"/>
    <s v="Units"/>
    <x v="0"/>
    <n v="21.823"/>
  </r>
  <r>
    <n v="1"/>
    <x v="2"/>
    <x v="11"/>
    <x v="5"/>
    <s v="Percent of GDP"/>
    <s v="Units"/>
    <x v="1"/>
    <n v="22.606999999999999"/>
  </r>
  <r>
    <n v="1"/>
    <x v="2"/>
    <x v="11"/>
    <x v="5"/>
    <s v="Percent of GDP"/>
    <s v="Units"/>
    <x v="2"/>
    <n v="21.274999999999999"/>
  </r>
  <r>
    <n v="1"/>
    <x v="2"/>
    <x v="11"/>
    <x v="5"/>
    <s v="Percent of GDP"/>
    <s v="Units"/>
    <x v="3"/>
    <n v="21.497"/>
  </r>
  <r>
    <n v="1"/>
    <x v="2"/>
    <x v="11"/>
    <x v="5"/>
    <s v="Percent of GDP"/>
    <s v="Units"/>
    <x v="4"/>
    <n v="24.446000000000002"/>
  </r>
  <r>
    <n v="1"/>
    <x v="2"/>
    <x v="11"/>
    <x v="5"/>
    <s v="Percent of GDP"/>
    <s v="Units"/>
    <x v="5"/>
    <n v="23.867000000000001"/>
  </r>
  <r>
    <n v="1"/>
    <x v="2"/>
    <x v="11"/>
    <x v="5"/>
    <s v="Percent of GDP"/>
    <s v="Units"/>
    <x v="6"/>
    <n v="23.367000000000001"/>
  </r>
  <r>
    <n v="205"/>
    <x v="7"/>
    <x v="11"/>
    <x v="5"/>
    <s v="Percent of GDP"/>
    <s v="Units"/>
    <x v="0"/>
    <n v="21.823"/>
  </r>
  <r>
    <n v="205"/>
    <x v="7"/>
    <x v="11"/>
    <x v="5"/>
    <s v="Percent of GDP"/>
    <s v="Units"/>
    <x v="1"/>
    <n v="22.606999999999999"/>
  </r>
  <r>
    <n v="205"/>
    <x v="7"/>
    <x v="11"/>
    <x v="5"/>
    <s v="Percent of GDP"/>
    <s v="Units"/>
    <x v="2"/>
    <n v="21.274999999999999"/>
  </r>
  <r>
    <n v="205"/>
    <x v="7"/>
    <x v="11"/>
    <x v="5"/>
    <s v="Percent of GDP"/>
    <s v="Units"/>
    <x v="3"/>
    <n v="21.497"/>
  </r>
  <r>
    <n v="205"/>
    <x v="7"/>
    <x v="11"/>
    <x v="5"/>
    <s v="Percent of GDP"/>
    <s v="Units"/>
    <x v="4"/>
    <n v="24.446000000000002"/>
  </r>
  <r>
    <n v="205"/>
    <x v="7"/>
    <x v="11"/>
    <x v="5"/>
    <s v="Percent of GDP"/>
    <s v="Units"/>
    <x v="5"/>
    <n v="23.867000000000001"/>
  </r>
  <r>
    <n v="205"/>
    <x v="7"/>
    <x v="11"/>
    <x v="5"/>
    <s v="Percent of GDP"/>
    <s v="Units"/>
    <x v="6"/>
    <n v="23.367000000000001"/>
  </r>
  <r>
    <n v="603"/>
    <x v="12"/>
    <x v="164"/>
    <x v="7"/>
    <s v="Percent of GDP"/>
    <s v="Units"/>
    <x v="0"/>
    <n v="25.565999999999999"/>
  </r>
  <r>
    <n v="603"/>
    <x v="12"/>
    <x v="164"/>
    <x v="7"/>
    <s v="Percent of GDP"/>
    <s v="Units"/>
    <x v="1"/>
    <n v="23.001999999999999"/>
  </r>
  <r>
    <n v="603"/>
    <x v="12"/>
    <x v="164"/>
    <x v="7"/>
    <s v="Percent of GDP"/>
    <s v="Units"/>
    <x v="2"/>
    <n v="24.858000000000001"/>
  </r>
  <r>
    <n v="603"/>
    <x v="12"/>
    <x v="164"/>
    <x v="7"/>
    <s v="Percent of GDP"/>
    <s v="Units"/>
    <x v="3"/>
    <n v="17.603000000000002"/>
  </r>
  <r>
    <n v="603"/>
    <x v="12"/>
    <x v="164"/>
    <x v="7"/>
    <s v="Percent of GDP"/>
    <s v="Units"/>
    <x v="4"/>
    <n v="19.722000000000001"/>
  </r>
  <r>
    <n v="603"/>
    <x v="12"/>
    <x v="164"/>
    <x v="7"/>
    <s v="Percent of GDP"/>
    <s v="Units"/>
    <x v="5"/>
    <n v="23.852"/>
  </r>
  <r>
    <n v="603"/>
    <x v="12"/>
    <x v="164"/>
    <x v="7"/>
    <s v="Percent of GDP"/>
    <s v="Units"/>
    <x v="6"/>
    <n v="25.356999999999999"/>
  </r>
  <r>
    <n v="1"/>
    <x v="2"/>
    <x v="164"/>
    <x v="7"/>
    <s v="Percent of GDP"/>
    <s v="Units"/>
    <x v="0"/>
    <n v="25.565999999999999"/>
  </r>
  <r>
    <n v="1"/>
    <x v="2"/>
    <x v="164"/>
    <x v="7"/>
    <s v="Percent of GDP"/>
    <s v="Units"/>
    <x v="1"/>
    <n v="23.001999999999999"/>
  </r>
  <r>
    <n v="1"/>
    <x v="2"/>
    <x v="164"/>
    <x v="7"/>
    <s v="Percent of GDP"/>
    <s v="Units"/>
    <x v="2"/>
    <n v="24.858000000000001"/>
  </r>
  <r>
    <n v="1"/>
    <x v="2"/>
    <x v="164"/>
    <x v="7"/>
    <s v="Percent of GDP"/>
    <s v="Units"/>
    <x v="3"/>
    <n v="17.603000000000002"/>
  </r>
  <r>
    <n v="1"/>
    <x v="2"/>
    <x v="164"/>
    <x v="7"/>
    <s v="Percent of GDP"/>
    <s v="Units"/>
    <x v="4"/>
    <n v="19.722000000000001"/>
  </r>
  <r>
    <n v="1"/>
    <x v="2"/>
    <x v="164"/>
    <x v="7"/>
    <s v="Percent of GDP"/>
    <s v="Units"/>
    <x v="5"/>
    <n v="23.852"/>
  </r>
  <r>
    <n v="1"/>
    <x v="2"/>
    <x v="164"/>
    <x v="7"/>
    <s v="Percent of GDP"/>
    <s v="Units"/>
    <x v="6"/>
    <n v="25.356999999999999"/>
  </r>
  <r>
    <n v="200"/>
    <x v="3"/>
    <x v="164"/>
    <x v="7"/>
    <s v="Percent of GDP"/>
    <s v="Units"/>
    <x v="0"/>
    <n v="25.565999999999999"/>
  </r>
  <r>
    <n v="200"/>
    <x v="3"/>
    <x v="164"/>
    <x v="7"/>
    <s v="Percent of GDP"/>
    <s v="Units"/>
    <x v="1"/>
    <n v="23.001999999999999"/>
  </r>
  <r>
    <n v="200"/>
    <x v="3"/>
    <x v="164"/>
    <x v="7"/>
    <s v="Percent of GDP"/>
    <s v="Units"/>
    <x v="2"/>
    <n v="24.858000000000001"/>
  </r>
  <r>
    <n v="200"/>
    <x v="3"/>
    <x v="164"/>
    <x v="7"/>
    <s v="Percent of GDP"/>
    <s v="Units"/>
    <x v="3"/>
    <n v="17.603000000000002"/>
  </r>
  <r>
    <n v="200"/>
    <x v="3"/>
    <x v="164"/>
    <x v="7"/>
    <s v="Percent of GDP"/>
    <s v="Units"/>
    <x v="4"/>
    <n v="19.722000000000001"/>
  </r>
  <r>
    <n v="200"/>
    <x v="3"/>
    <x v="164"/>
    <x v="7"/>
    <s v="Percent of GDP"/>
    <s v="Units"/>
    <x v="5"/>
    <n v="23.852"/>
  </r>
  <r>
    <n v="200"/>
    <x v="3"/>
    <x v="164"/>
    <x v="7"/>
    <s v="Percent of GDP"/>
    <s v="Units"/>
    <x v="6"/>
    <n v="25.356999999999999"/>
  </r>
  <r>
    <n v="110"/>
    <x v="0"/>
    <x v="113"/>
    <x v="7"/>
    <s v="Percent of GDP"/>
    <s v="Units"/>
    <x v="0"/>
    <n v="20.673999999999999"/>
  </r>
  <r>
    <n v="110"/>
    <x v="0"/>
    <x v="113"/>
    <x v="7"/>
    <s v="Percent of GDP"/>
    <s v="Units"/>
    <x v="1"/>
    <n v="21.326000000000001"/>
  </r>
  <r>
    <n v="110"/>
    <x v="0"/>
    <x v="113"/>
    <x v="7"/>
    <s v="Percent of GDP"/>
    <s v="Units"/>
    <x v="2"/>
    <n v="22.923999999999999"/>
  </r>
  <r>
    <n v="110"/>
    <x v="0"/>
    <x v="113"/>
    <x v="7"/>
    <s v="Percent of GDP"/>
    <s v="Units"/>
    <x v="3"/>
    <n v="24.276"/>
  </r>
  <r>
    <n v="110"/>
    <x v="0"/>
    <x v="113"/>
    <x v="7"/>
    <s v="Percent of GDP"/>
    <s v="Units"/>
    <x v="4"/>
    <n v="24.388999999999999"/>
  </r>
  <r>
    <n v="110"/>
    <x v="0"/>
    <x v="113"/>
    <x v="7"/>
    <s v="Percent of GDP"/>
    <s v="Units"/>
    <x v="5"/>
    <n v="23.832000000000001"/>
  </r>
  <r>
    <n v="110"/>
    <x v="0"/>
    <x v="113"/>
    <x v="7"/>
    <s v="Percent of GDP"/>
    <s v="Units"/>
    <x v="6"/>
    <n v="23.954000000000001"/>
  </r>
  <r>
    <n v="1"/>
    <x v="2"/>
    <x v="113"/>
    <x v="7"/>
    <s v="Percent of GDP"/>
    <s v="Units"/>
    <x v="0"/>
    <n v="20.673999999999999"/>
  </r>
  <r>
    <n v="1"/>
    <x v="2"/>
    <x v="113"/>
    <x v="7"/>
    <s v="Percent of GDP"/>
    <s v="Units"/>
    <x v="1"/>
    <n v="21.326000000000001"/>
  </r>
  <r>
    <n v="1"/>
    <x v="2"/>
    <x v="113"/>
    <x v="7"/>
    <s v="Percent of GDP"/>
    <s v="Units"/>
    <x v="2"/>
    <n v="22.923999999999999"/>
  </r>
  <r>
    <n v="1"/>
    <x v="2"/>
    <x v="113"/>
    <x v="7"/>
    <s v="Percent of GDP"/>
    <s v="Units"/>
    <x v="3"/>
    <n v="24.276"/>
  </r>
  <r>
    <n v="1"/>
    <x v="2"/>
    <x v="113"/>
    <x v="7"/>
    <s v="Percent of GDP"/>
    <s v="Units"/>
    <x v="4"/>
    <n v="24.388999999999999"/>
  </r>
  <r>
    <n v="1"/>
    <x v="2"/>
    <x v="113"/>
    <x v="7"/>
    <s v="Percent of GDP"/>
    <s v="Units"/>
    <x v="5"/>
    <n v="23.832000000000001"/>
  </r>
  <r>
    <n v="1"/>
    <x v="2"/>
    <x v="113"/>
    <x v="7"/>
    <s v="Percent of GDP"/>
    <s v="Units"/>
    <x v="6"/>
    <n v="23.954000000000001"/>
  </r>
  <r>
    <n v="123"/>
    <x v="9"/>
    <x v="113"/>
    <x v="7"/>
    <s v="Percent of GDP"/>
    <s v="Units"/>
    <x v="0"/>
    <n v="20.673999999999999"/>
  </r>
  <r>
    <n v="123"/>
    <x v="9"/>
    <x v="113"/>
    <x v="7"/>
    <s v="Percent of GDP"/>
    <s v="Units"/>
    <x v="1"/>
    <n v="21.326000000000001"/>
  </r>
  <r>
    <n v="123"/>
    <x v="9"/>
    <x v="113"/>
    <x v="7"/>
    <s v="Percent of GDP"/>
    <s v="Units"/>
    <x v="2"/>
    <n v="22.923999999999999"/>
  </r>
  <r>
    <n v="123"/>
    <x v="9"/>
    <x v="113"/>
    <x v="7"/>
    <s v="Percent of GDP"/>
    <s v="Units"/>
    <x v="3"/>
    <n v="24.276"/>
  </r>
  <r>
    <n v="123"/>
    <x v="9"/>
    <x v="113"/>
    <x v="7"/>
    <s v="Percent of GDP"/>
    <s v="Units"/>
    <x v="4"/>
    <n v="24.388999999999999"/>
  </r>
  <r>
    <n v="123"/>
    <x v="9"/>
    <x v="113"/>
    <x v="7"/>
    <s v="Percent of GDP"/>
    <s v="Units"/>
    <x v="5"/>
    <n v="23.832000000000001"/>
  </r>
  <r>
    <n v="123"/>
    <x v="9"/>
    <x v="113"/>
    <x v="7"/>
    <s v="Percent of GDP"/>
    <s v="Units"/>
    <x v="6"/>
    <n v="23.954000000000001"/>
  </r>
  <r>
    <n v="510"/>
    <x v="10"/>
    <x v="26"/>
    <x v="3"/>
    <s v="Percent of GDP"/>
    <s v="Units"/>
    <x v="0"/>
    <n v="20.562000000000001"/>
  </r>
  <r>
    <n v="510"/>
    <x v="10"/>
    <x v="26"/>
    <x v="3"/>
    <s v="Percent of GDP"/>
    <s v="Units"/>
    <x v="1"/>
    <n v="24.885999999999999"/>
  </r>
  <r>
    <n v="510"/>
    <x v="10"/>
    <x v="26"/>
    <x v="3"/>
    <s v="Percent of GDP"/>
    <s v="Units"/>
    <x v="2"/>
    <n v="26.766999999999999"/>
  </r>
  <r>
    <n v="510"/>
    <x v="10"/>
    <x v="26"/>
    <x v="3"/>
    <s v="Percent of GDP"/>
    <s v="Units"/>
    <x v="3"/>
    <n v="24.516999999999999"/>
  </r>
  <r>
    <n v="510"/>
    <x v="10"/>
    <x v="26"/>
    <x v="3"/>
    <s v="Percent of GDP"/>
    <s v="Units"/>
    <x v="4"/>
    <n v="23.183"/>
  </r>
  <r>
    <n v="510"/>
    <x v="10"/>
    <x v="26"/>
    <x v="3"/>
    <s v="Percent of GDP"/>
    <s v="Units"/>
    <x v="5"/>
    <n v="23.802"/>
  </r>
  <r>
    <n v="510"/>
    <x v="10"/>
    <x v="26"/>
    <x v="3"/>
    <s v="Percent of GDP"/>
    <s v="Units"/>
    <x v="6"/>
    <n v="23.629000000000001"/>
  </r>
  <r>
    <n v="505"/>
    <x v="4"/>
    <x v="26"/>
    <x v="3"/>
    <s v="Percent of GDP"/>
    <s v="Units"/>
    <x v="0"/>
    <n v="20.562000000000001"/>
  </r>
  <r>
    <n v="505"/>
    <x v="4"/>
    <x v="26"/>
    <x v="3"/>
    <s v="Percent of GDP"/>
    <s v="Units"/>
    <x v="1"/>
    <n v="24.885999999999999"/>
  </r>
  <r>
    <n v="505"/>
    <x v="4"/>
    <x v="26"/>
    <x v="3"/>
    <s v="Percent of GDP"/>
    <s v="Units"/>
    <x v="2"/>
    <n v="26.766999999999999"/>
  </r>
  <r>
    <n v="505"/>
    <x v="4"/>
    <x v="26"/>
    <x v="3"/>
    <s v="Percent of GDP"/>
    <s v="Units"/>
    <x v="3"/>
    <n v="24.516999999999999"/>
  </r>
  <r>
    <n v="505"/>
    <x v="4"/>
    <x v="26"/>
    <x v="3"/>
    <s v="Percent of GDP"/>
    <s v="Units"/>
    <x v="4"/>
    <n v="23.183"/>
  </r>
  <r>
    <n v="505"/>
    <x v="4"/>
    <x v="26"/>
    <x v="3"/>
    <s v="Percent of GDP"/>
    <s v="Units"/>
    <x v="5"/>
    <n v="23.802"/>
  </r>
  <r>
    <n v="505"/>
    <x v="4"/>
    <x v="26"/>
    <x v="3"/>
    <s v="Percent of GDP"/>
    <s v="Units"/>
    <x v="6"/>
    <n v="23.629000000000001"/>
  </r>
  <r>
    <n v="200"/>
    <x v="3"/>
    <x v="26"/>
    <x v="3"/>
    <s v="Percent of GDP"/>
    <s v="Units"/>
    <x v="0"/>
    <n v="20.562000000000001"/>
  </r>
  <r>
    <n v="200"/>
    <x v="3"/>
    <x v="26"/>
    <x v="3"/>
    <s v="Percent of GDP"/>
    <s v="Units"/>
    <x v="1"/>
    <n v="24.885999999999999"/>
  </r>
  <r>
    <n v="200"/>
    <x v="3"/>
    <x v="26"/>
    <x v="3"/>
    <s v="Percent of GDP"/>
    <s v="Units"/>
    <x v="2"/>
    <n v="26.766999999999999"/>
  </r>
  <r>
    <n v="200"/>
    <x v="3"/>
    <x v="26"/>
    <x v="3"/>
    <s v="Percent of GDP"/>
    <s v="Units"/>
    <x v="3"/>
    <n v="24.516999999999999"/>
  </r>
  <r>
    <n v="200"/>
    <x v="3"/>
    <x v="26"/>
    <x v="3"/>
    <s v="Percent of GDP"/>
    <s v="Units"/>
    <x v="4"/>
    <n v="23.183"/>
  </r>
  <r>
    <n v="200"/>
    <x v="3"/>
    <x v="26"/>
    <x v="3"/>
    <s v="Percent of GDP"/>
    <s v="Units"/>
    <x v="5"/>
    <n v="23.802"/>
  </r>
  <r>
    <n v="200"/>
    <x v="3"/>
    <x v="26"/>
    <x v="3"/>
    <s v="Percent of GDP"/>
    <s v="Units"/>
    <x v="6"/>
    <n v="23.629000000000001"/>
  </r>
  <r>
    <n v="1"/>
    <x v="2"/>
    <x v="145"/>
    <x v="7"/>
    <s v="Percent of GDP"/>
    <s v="Units"/>
    <x v="0"/>
    <n v="27.167999999999999"/>
  </r>
  <r>
    <n v="1"/>
    <x v="2"/>
    <x v="145"/>
    <x v="7"/>
    <s v="Percent of GDP"/>
    <s v="Units"/>
    <x v="1"/>
    <n v="24.606000000000002"/>
  </r>
  <r>
    <n v="1"/>
    <x v="2"/>
    <x v="145"/>
    <x v="7"/>
    <s v="Percent of GDP"/>
    <s v="Units"/>
    <x v="2"/>
    <n v="20.678999999999998"/>
  </r>
  <r>
    <n v="1"/>
    <x v="2"/>
    <x v="145"/>
    <x v="7"/>
    <s v="Percent of GDP"/>
    <s v="Units"/>
    <x v="3"/>
    <n v="24.067"/>
  </r>
  <r>
    <n v="1"/>
    <x v="2"/>
    <x v="145"/>
    <x v="7"/>
    <s v="Percent of GDP"/>
    <s v="Units"/>
    <x v="4"/>
    <n v="23.355"/>
  </r>
  <r>
    <n v="1"/>
    <x v="2"/>
    <x v="145"/>
    <x v="7"/>
    <s v="Percent of GDP"/>
    <s v="Units"/>
    <x v="5"/>
    <n v="23.774999999999999"/>
  </r>
  <r>
    <n v="1"/>
    <x v="2"/>
    <x v="145"/>
    <x v="7"/>
    <s v="Percent of GDP"/>
    <s v="Units"/>
    <x v="6"/>
    <n v="23.506"/>
  </r>
  <r>
    <n v="200"/>
    <x v="3"/>
    <x v="145"/>
    <x v="7"/>
    <s v="Percent of GDP"/>
    <s v="Units"/>
    <x v="0"/>
    <n v="27.167999999999999"/>
  </r>
  <r>
    <n v="200"/>
    <x v="3"/>
    <x v="145"/>
    <x v="7"/>
    <s v="Percent of GDP"/>
    <s v="Units"/>
    <x v="1"/>
    <n v="24.606000000000002"/>
  </r>
  <r>
    <n v="200"/>
    <x v="3"/>
    <x v="145"/>
    <x v="7"/>
    <s v="Percent of GDP"/>
    <s v="Units"/>
    <x v="2"/>
    <n v="20.678999999999998"/>
  </r>
  <r>
    <n v="200"/>
    <x v="3"/>
    <x v="145"/>
    <x v="7"/>
    <s v="Percent of GDP"/>
    <s v="Units"/>
    <x v="3"/>
    <n v="24.067"/>
  </r>
  <r>
    <n v="200"/>
    <x v="3"/>
    <x v="145"/>
    <x v="7"/>
    <s v="Percent of GDP"/>
    <s v="Units"/>
    <x v="4"/>
    <n v="23.355"/>
  </r>
  <r>
    <n v="200"/>
    <x v="3"/>
    <x v="145"/>
    <x v="7"/>
    <s v="Percent of GDP"/>
    <s v="Units"/>
    <x v="5"/>
    <n v="23.774999999999999"/>
  </r>
  <r>
    <n v="200"/>
    <x v="3"/>
    <x v="145"/>
    <x v="7"/>
    <s v="Percent of GDP"/>
    <s v="Units"/>
    <x v="6"/>
    <n v="23.506"/>
  </r>
  <r>
    <n v="400"/>
    <x v="11"/>
    <x v="145"/>
    <x v="7"/>
    <s v="Percent of GDP"/>
    <s v="Units"/>
    <x v="0"/>
    <n v="27.167999999999999"/>
  </r>
  <r>
    <n v="400"/>
    <x v="11"/>
    <x v="145"/>
    <x v="7"/>
    <s v="Percent of GDP"/>
    <s v="Units"/>
    <x v="1"/>
    <n v="24.606000000000002"/>
  </r>
  <r>
    <n v="400"/>
    <x v="11"/>
    <x v="145"/>
    <x v="7"/>
    <s v="Percent of GDP"/>
    <s v="Units"/>
    <x v="2"/>
    <n v="20.678999999999998"/>
  </r>
  <r>
    <n v="400"/>
    <x v="11"/>
    <x v="145"/>
    <x v="7"/>
    <s v="Percent of GDP"/>
    <s v="Units"/>
    <x v="3"/>
    <n v="24.067"/>
  </r>
  <r>
    <n v="400"/>
    <x v="11"/>
    <x v="145"/>
    <x v="7"/>
    <s v="Percent of GDP"/>
    <s v="Units"/>
    <x v="4"/>
    <n v="23.355"/>
  </r>
  <r>
    <n v="400"/>
    <x v="11"/>
    <x v="145"/>
    <x v="7"/>
    <s v="Percent of GDP"/>
    <s v="Units"/>
    <x v="5"/>
    <n v="23.774999999999999"/>
  </r>
  <r>
    <n v="400"/>
    <x v="11"/>
    <x v="145"/>
    <x v="7"/>
    <s v="Percent of GDP"/>
    <s v="Units"/>
    <x v="6"/>
    <n v="23.506"/>
  </r>
  <r>
    <n v="200"/>
    <x v="3"/>
    <x v="130"/>
    <x v="2"/>
    <s v="Percent of GDP"/>
    <s v="Units"/>
    <x v="0"/>
    <n v="22.762"/>
  </r>
  <r>
    <n v="200"/>
    <x v="3"/>
    <x v="130"/>
    <x v="2"/>
    <s v="Percent of GDP"/>
    <s v="Units"/>
    <x v="1"/>
    <n v="29.140999999999998"/>
  </r>
  <r>
    <n v="200"/>
    <x v="3"/>
    <x v="130"/>
    <x v="2"/>
    <s v="Percent of GDP"/>
    <s v="Units"/>
    <x v="2"/>
    <n v="30.869"/>
  </r>
  <r>
    <n v="200"/>
    <x v="3"/>
    <x v="130"/>
    <x v="2"/>
    <s v="Percent of GDP"/>
    <s v="Units"/>
    <x v="3"/>
    <n v="25.135999999999999"/>
  </r>
  <r>
    <n v="200"/>
    <x v="3"/>
    <x v="130"/>
    <x v="2"/>
    <s v="Percent of GDP"/>
    <s v="Units"/>
    <x v="4"/>
    <n v="24.358000000000001"/>
  </r>
  <r>
    <n v="200"/>
    <x v="3"/>
    <x v="130"/>
    <x v="2"/>
    <s v="Percent of GDP"/>
    <s v="Units"/>
    <x v="5"/>
    <n v="23.756"/>
  </r>
  <r>
    <n v="200"/>
    <x v="3"/>
    <x v="130"/>
    <x v="2"/>
    <s v="Percent of GDP"/>
    <s v="Units"/>
    <x v="6"/>
    <n v="25.039000000000001"/>
  </r>
  <r>
    <n v="505"/>
    <x v="4"/>
    <x v="130"/>
    <x v="2"/>
    <s v="Percent of GDP"/>
    <s v="Units"/>
    <x v="0"/>
    <n v="22.762"/>
  </r>
  <r>
    <n v="505"/>
    <x v="4"/>
    <x v="130"/>
    <x v="2"/>
    <s v="Percent of GDP"/>
    <s v="Units"/>
    <x v="1"/>
    <n v="29.140999999999998"/>
  </r>
  <r>
    <n v="505"/>
    <x v="4"/>
    <x v="130"/>
    <x v="2"/>
    <s v="Percent of GDP"/>
    <s v="Units"/>
    <x v="2"/>
    <n v="30.869"/>
  </r>
  <r>
    <n v="505"/>
    <x v="4"/>
    <x v="130"/>
    <x v="2"/>
    <s v="Percent of GDP"/>
    <s v="Units"/>
    <x v="3"/>
    <n v="25.135999999999999"/>
  </r>
  <r>
    <n v="505"/>
    <x v="4"/>
    <x v="130"/>
    <x v="2"/>
    <s v="Percent of GDP"/>
    <s v="Units"/>
    <x v="4"/>
    <n v="24.358000000000001"/>
  </r>
  <r>
    <n v="505"/>
    <x v="4"/>
    <x v="130"/>
    <x v="2"/>
    <s v="Percent of GDP"/>
    <s v="Units"/>
    <x v="5"/>
    <n v="23.756"/>
  </r>
  <r>
    <n v="505"/>
    <x v="4"/>
    <x v="130"/>
    <x v="2"/>
    <s v="Percent of GDP"/>
    <s v="Units"/>
    <x v="6"/>
    <n v="25.039000000000001"/>
  </r>
  <r>
    <n v="205"/>
    <x v="7"/>
    <x v="151"/>
    <x v="7"/>
    <s v="Percent of GDP"/>
    <s v="Units"/>
    <x v="0"/>
    <n v="24.268999999999998"/>
  </r>
  <r>
    <n v="205"/>
    <x v="7"/>
    <x v="151"/>
    <x v="7"/>
    <s v="Percent of GDP"/>
    <s v="Units"/>
    <x v="1"/>
    <n v="19.670000000000002"/>
  </r>
  <r>
    <n v="205"/>
    <x v="7"/>
    <x v="151"/>
    <x v="7"/>
    <s v="Percent of GDP"/>
    <s v="Units"/>
    <x v="2"/>
    <n v="18.562000000000001"/>
  </r>
  <r>
    <n v="205"/>
    <x v="7"/>
    <x v="151"/>
    <x v="7"/>
    <s v="Percent of GDP"/>
    <s v="Units"/>
    <x v="3"/>
    <n v="23.87"/>
  </r>
  <r>
    <n v="205"/>
    <x v="7"/>
    <x v="151"/>
    <x v="7"/>
    <s v="Percent of GDP"/>
    <s v="Units"/>
    <x v="4"/>
    <n v="23.286000000000001"/>
  </r>
  <r>
    <n v="205"/>
    <x v="7"/>
    <x v="151"/>
    <x v="7"/>
    <s v="Percent of GDP"/>
    <s v="Units"/>
    <x v="5"/>
    <n v="23.75"/>
  </r>
  <r>
    <n v="205"/>
    <x v="7"/>
    <x v="151"/>
    <x v="7"/>
    <s v="Percent of GDP"/>
    <s v="Units"/>
    <x v="6"/>
    <n v="24.835999999999999"/>
  </r>
  <r>
    <n v="1"/>
    <x v="2"/>
    <x v="151"/>
    <x v="7"/>
    <s v="Percent of GDP"/>
    <s v="Units"/>
    <x v="0"/>
    <n v="24.268999999999998"/>
  </r>
  <r>
    <n v="1"/>
    <x v="2"/>
    <x v="151"/>
    <x v="7"/>
    <s v="Percent of GDP"/>
    <s v="Units"/>
    <x v="1"/>
    <n v="19.670000000000002"/>
  </r>
  <r>
    <n v="1"/>
    <x v="2"/>
    <x v="151"/>
    <x v="7"/>
    <s v="Percent of GDP"/>
    <s v="Units"/>
    <x v="2"/>
    <n v="18.562000000000001"/>
  </r>
  <r>
    <n v="1"/>
    <x v="2"/>
    <x v="151"/>
    <x v="7"/>
    <s v="Percent of GDP"/>
    <s v="Units"/>
    <x v="3"/>
    <n v="23.87"/>
  </r>
  <r>
    <n v="1"/>
    <x v="2"/>
    <x v="151"/>
    <x v="7"/>
    <s v="Percent of GDP"/>
    <s v="Units"/>
    <x v="4"/>
    <n v="23.286000000000001"/>
  </r>
  <r>
    <n v="1"/>
    <x v="2"/>
    <x v="151"/>
    <x v="7"/>
    <s v="Percent of GDP"/>
    <s v="Units"/>
    <x v="5"/>
    <n v="23.75"/>
  </r>
  <r>
    <n v="1"/>
    <x v="2"/>
    <x v="151"/>
    <x v="7"/>
    <s v="Percent of GDP"/>
    <s v="Units"/>
    <x v="6"/>
    <n v="24.835999999999999"/>
  </r>
  <r>
    <n v="200"/>
    <x v="3"/>
    <x v="151"/>
    <x v="7"/>
    <s v="Percent of GDP"/>
    <s v="Units"/>
    <x v="0"/>
    <n v="24.268999999999998"/>
  </r>
  <r>
    <n v="200"/>
    <x v="3"/>
    <x v="151"/>
    <x v="7"/>
    <s v="Percent of GDP"/>
    <s v="Units"/>
    <x v="1"/>
    <n v="19.670000000000002"/>
  </r>
  <r>
    <n v="200"/>
    <x v="3"/>
    <x v="151"/>
    <x v="7"/>
    <s v="Percent of GDP"/>
    <s v="Units"/>
    <x v="2"/>
    <n v="18.562000000000001"/>
  </r>
  <r>
    <n v="200"/>
    <x v="3"/>
    <x v="151"/>
    <x v="7"/>
    <s v="Percent of GDP"/>
    <s v="Units"/>
    <x v="3"/>
    <n v="23.87"/>
  </r>
  <r>
    <n v="200"/>
    <x v="3"/>
    <x v="151"/>
    <x v="7"/>
    <s v="Percent of GDP"/>
    <s v="Units"/>
    <x v="4"/>
    <n v="23.286000000000001"/>
  </r>
  <r>
    <n v="200"/>
    <x v="3"/>
    <x v="151"/>
    <x v="7"/>
    <s v="Percent of GDP"/>
    <s v="Units"/>
    <x v="5"/>
    <n v="23.75"/>
  </r>
  <r>
    <n v="200"/>
    <x v="3"/>
    <x v="151"/>
    <x v="7"/>
    <s v="Percent of GDP"/>
    <s v="Units"/>
    <x v="6"/>
    <n v="24.835999999999999"/>
  </r>
  <r>
    <n v="903"/>
    <x v="8"/>
    <x v="154"/>
    <x v="7"/>
    <s v="Percent of GDP"/>
    <s v="Units"/>
    <x v="0"/>
    <n v="23.032"/>
  </r>
  <r>
    <n v="903"/>
    <x v="8"/>
    <x v="154"/>
    <x v="7"/>
    <s v="Percent of GDP"/>
    <s v="Units"/>
    <x v="1"/>
    <n v="22.677"/>
  </r>
  <r>
    <n v="903"/>
    <x v="8"/>
    <x v="154"/>
    <x v="7"/>
    <s v="Percent of GDP"/>
    <s v="Units"/>
    <x v="2"/>
    <n v="25.469000000000001"/>
  </r>
  <r>
    <n v="903"/>
    <x v="8"/>
    <x v="154"/>
    <x v="7"/>
    <s v="Percent of GDP"/>
    <s v="Units"/>
    <x v="3"/>
    <n v="24.873000000000001"/>
  </r>
  <r>
    <n v="903"/>
    <x v="8"/>
    <x v="154"/>
    <x v="7"/>
    <s v="Percent of GDP"/>
    <s v="Units"/>
    <x v="4"/>
    <n v="24.074999999999999"/>
  </r>
  <r>
    <n v="903"/>
    <x v="8"/>
    <x v="154"/>
    <x v="7"/>
    <s v="Percent of GDP"/>
    <s v="Units"/>
    <x v="5"/>
    <n v="23.734999999999999"/>
  </r>
  <r>
    <n v="903"/>
    <x v="8"/>
    <x v="154"/>
    <x v="7"/>
    <s v="Percent of GDP"/>
    <s v="Units"/>
    <x v="6"/>
    <n v="24.061"/>
  </r>
  <r>
    <n v="1"/>
    <x v="2"/>
    <x v="154"/>
    <x v="7"/>
    <s v="Percent of GDP"/>
    <s v="Units"/>
    <x v="0"/>
    <n v="23.032"/>
  </r>
  <r>
    <n v="1"/>
    <x v="2"/>
    <x v="154"/>
    <x v="7"/>
    <s v="Percent of GDP"/>
    <s v="Units"/>
    <x v="1"/>
    <n v="22.677"/>
  </r>
  <r>
    <n v="1"/>
    <x v="2"/>
    <x v="154"/>
    <x v="7"/>
    <s v="Percent of GDP"/>
    <s v="Units"/>
    <x v="2"/>
    <n v="25.469000000000001"/>
  </r>
  <r>
    <n v="1"/>
    <x v="2"/>
    <x v="154"/>
    <x v="7"/>
    <s v="Percent of GDP"/>
    <s v="Units"/>
    <x v="3"/>
    <n v="24.873000000000001"/>
  </r>
  <r>
    <n v="1"/>
    <x v="2"/>
    <x v="154"/>
    <x v="7"/>
    <s v="Percent of GDP"/>
    <s v="Units"/>
    <x v="4"/>
    <n v="24.074999999999999"/>
  </r>
  <r>
    <n v="1"/>
    <x v="2"/>
    <x v="154"/>
    <x v="7"/>
    <s v="Percent of GDP"/>
    <s v="Units"/>
    <x v="5"/>
    <n v="23.734999999999999"/>
  </r>
  <r>
    <n v="1"/>
    <x v="2"/>
    <x v="154"/>
    <x v="7"/>
    <s v="Percent of GDP"/>
    <s v="Units"/>
    <x v="6"/>
    <n v="24.061"/>
  </r>
  <r>
    <n v="200"/>
    <x v="3"/>
    <x v="154"/>
    <x v="7"/>
    <s v="Percent of GDP"/>
    <s v="Units"/>
    <x v="0"/>
    <n v="23.032"/>
  </r>
  <r>
    <n v="200"/>
    <x v="3"/>
    <x v="154"/>
    <x v="7"/>
    <s v="Percent of GDP"/>
    <s v="Units"/>
    <x v="1"/>
    <n v="22.677"/>
  </r>
  <r>
    <n v="200"/>
    <x v="3"/>
    <x v="154"/>
    <x v="7"/>
    <s v="Percent of GDP"/>
    <s v="Units"/>
    <x v="2"/>
    <n v="25.469000000000001"/>
  </r>
  <r>
    <n v="200"/>
    <x v="3"/>
    <x v="154"/>
    <x v="7"/>
    <s v="Percent of GDP"/>
    <s v="Units"/>
    <x v="3"/>
    <n v="24.873000000000001"/>
  </r>
  <r>
    <n v="200"/>
    <x v="3"/>
    <x v="154"/>
    <x v="7"/>
    <s v="Percent of GDP"/>
    <s v="Units"/>
    <x v="4"/>
    <n v="24.074999999999999"/>
  </r>
  <r>
    <n v="200"/>
    <x v="3"/>
    <x v="154"/>
    <x v="7"/>
    <s v="Percent of GDP"/>
    <s v="Units"/>
    <x v="5"/>
    <n v="23.734999999999999"/>
  </r>
  <r>
    <n v="200"/>
    <x v="3"/>
    <x v="154"/>
    <x v="7"/>
    <s v="Percent of GDP"/>
    <s v="Units"/>
    <x v="6"/>
    <n v="24.061"/>
  </r>
  <r>
    <n v="110"/>
    <x v="0"/>
    <x v="24"/>
    <x v="3"/>
    <s v="Percent of GDP"/>
    <s v="Units"/>
    <x v="0"/>
    <n v="24.295999999999999"/>
  </r>
  <r>
    <n v="110"/>
    <x v="0"/>
    <x v="24"/>
    <x v="3"/>
    <s v="Percent of GDP"/>
    <s v="Units"/>
    <x v="1"/>
    <n v="27.173999999999999"/>
  </r>
  <r>
    <n v="110"/>
    <x v="0"/>
    <x v="24"/>
    <x v="3"/>
    <s v="Percent of GDP"/>
    <s v="Units"/>
    <x v="2"/>
    <n v="24.393999999999998"/>
  </r>
  <r>
    <n v="110"/>
    <x v="0"/>
    <x v="24"/>
    <x v="3"/>
    <s v="Percent of GDP"/>
    <s v="Units"/>
    <x v="3"/>
    <n v="21.248000000000001"/>
  </r>
  <r>
    <n v="110"/>
    <x v="0"/>
    <x v="24"/>
    <x v="3"/>
    <s v="Percent of GDP"/>
    <s v="Units"/>
    <x v="4"/>
    <n v="23.227"/>
  </r>
  <r>
    <n v="110"/>
    <x v="0"/>
    <x v="24"/>
    <x v="3"/>
    <s v="Percent of GDP"/>
    <s v="Units"/>
    <x v="5"/>
    <n v="23.7"/>
  </r>
  <r>
    <n v="110"/>
    <x v="0"/>
    <x v="24"/>
    <x v="3"/>
    <s v="Percent of GDP"/>
    <s v="Units"/>
    <x v="6"/>
    <n v="23.879000000000001"/>
  </r>
  <r>
    <n v="998"/>
    <x v="6"/>
    <x v="24"/>
    <x v="3"/>
    <s v="Percent of GDP"/>
    <s v="Units"/>
    <x v="0"/>
    <n v="24.295999999999999"/>
  </r>
  <r>
    <n v="998"/>
    <x v="6"/>
    <x v="24"/>
    <x v="3"/>
    <s v="Percent of GDP"/>
    <s v="Units"/>
    <x v="1"/>
    <n v="27.173999999999999"/>
  </r>
  <r>
    <n v="998"/>
    <x v="6"/>
    <x v="24"/>
    <x v="3"/>
    <s v="Percent of GDP"/>
    <s v="Units"/>
    <x v="2"/>
    <n v="24.393999999999998"/>
  </r>
  <r>
    <n v="998"/>
    <x v="6"/>
    <x v="24"/>
    <x v="3"/>
    <s v="Percent of GDP"/>
    <s v="Units"/>
    <x v="3"/>
    <n v="21.248000000000001"/>
  </r>
  <r>
    <n v="998"/>
    <x v="6"/>
    <x v="24"/>
    <x v="3"/>
    <s v="Percent of GDP"/>
    <s v="Units"/>
    <x v="4"/>
    <n v="23.227"/>
  </r>
  <r>
    <n v="998"/>
    <x v="6"/>
    <x v="24"/>
    <x v="3"/>
    <s v="Percent of GDP"/>
    <s v="Units"/>
    <x v="5"/>
    <n v="23.7"/>
  </r>
  <r>
    <n v="998"/>
    <x v="6"/>
    <x v="24"/>
    <x v="3"/>
    <s v="Percent of GDP"/>
    <s v="Units"/>
    <x v="6"/>
    <n v="23.879000000000001"/>
  </r>
  <r>
    <n v="163"/>
    <x v="5"/>
    <x v="24"/>
    <x v="3"/>
    <s v="Percent of GDP"/>
    <s v="Units"/>
    <x v="0"/>
    <n v="24.295999999999999"/>
  </r>
  <r>
    <n v="163"/>
    <x v="5"/>
    <x v="24"/>
    <x v="3"/>
    <s v="Percent of GDP"/>
    <s v="Units"/>
    <x v="1"/>
    <n v="27.173999999999999"/>
  </r>
  <r>
    <n v="163"/>
    <x v="5"/>
    <x v="24"/>
    <x v="3"/>
    <s v="Percent of GDP"/>
    <s v="Units"/>
    <x v="2"/>
    <n v="24.393999999999998"/>
  </r>
  <r>
    <n v="163"/>
    <x v="5"/>
    <x v="24"/>
    <x v="3"/>
    <s v="Percent of GDP"/>
    <s v="Units"/>
    <x v="3"/>
    <n v="21.248000000000001"/>
  </r>
  <r>
    <n v="163"/>
    <x v="5"/>
    <x v="24"/>
    <x v="3"/>
    <s v="Percent of GDP"/>
    <s v="Units"/>
    <x v="4"/>
    <n v="23.227"/>
  </r>
  <r>
    <n v="163"/>
    <x v="5"/>
    <x v="24"/>
    <x v="3"/>
    <s v="Percent of GDP"/>
    <s v="Units"/>
    <x v="5"/>
    <n v="23.7"/>
  </r>
  <r>
    <n v="163"/>
    <x v="5"/>
    <x v="24"/>
    <x v="3"/>
    <s v="Percent of GDP"/>
    <s v="Units"/>
    <x v="6"/>
    <n v="23.879000000000001"/>
  </r>
  <r>
    <n v="163"/>
    <x v="5"/>
    <x v="78"/>
    <x v="5"/>
    <s v="Percent of GDP"/>
    <s v="Units"/>
    <x v="0"/>
    <n v="24.437000000000001"/>
  </r>
  <r>
    <n v="163"/>
    <x v="5"/>
    <x v="78"/>
    <x v="5"/>
    <s v="Percent of GDP"/>
    <s v="Units"/>
    <x v="1"/>
    <n v="22.25"/>
  </r>
  <r>
    <n v="163"/>
    <x v="5"/>
    <x v="78"/>
    <x v="5"/>
    <s v="Percent of GDP"/>
    <s v="Units"/>
    <x v="2"/>
    <n v="23.026"/>
  </r>
  <r>
    <n v="163"/>
    <x v="5"/>
    <x v="78"/>
    <x v="5"/>
    <s v="Percent of GDP"/>
    <s v="Units"/>
    <x v="3"/>
    <n v="23.529"/>
  </r>
  <r>
    <n v="163"/>
    <x v="5"/>
    <x v="78"/>
    <x v="5"/>
    <s v="Percent of GDP"/>
    <s v="Units"/>
    <x v="4"/>
    <n v="23.405999999999999"/>
  </r>
  <r>
    <n v="163"/>
    <x v="5"/>
    <x v="78"/>
    <x v="5"/>
    <s v="Percent of GDP"/>
    <s v="Units"/>
    <x v="5"/>
    <n v="23.686"/>
  </r>
  <r>
    <n v="163"/>
    <x v="5"/>
    <x v="78"/>
    <x v="5"/>
    <s v="Percent of GDP"/>
    <s v="Units"/>
    <x v="6"/>
    <n v="23.523"/>
  </r>
  <r>
    <n v="1"/>
    <x v="2"/>
    <x v="78"/>
    <x v="5"/>
    <s v="Percent of GDP"/>
    <s v="Units"/>
    <x v="0"/>
    <n v="24.437000000000001"/>
  </r>
  <r>
    <n v="1"/>
    <x v="2"/>
    <x v="78"/>
    <x v="5"/>
    <s v="Percent of GDP"/>
    <s v="Units"/>
    <x v="1"/>
    <n v="22.25"/>
  </r>
  <r>
    <n v="1"/>
    <x v="2"/>
    <x v="78"/>
    <x v="5"/>
    <s v="Percent of GDP"/>
    <s v="Units"/>
    <x v="2"/>
    <n v="23.026"/>
  </r>
  <r>
    <n v="1"/>
    <x v="2"/>
    <x v="78"/>
    <x v="5"/>
    <s v="Percent of GDP"/>
    <s v="Units"/>
    <x v="3"/>
    <n v="23.529"/>
  </r>
  <r>
    <n v="1"/>
    <x v="2"/>
    <x v="78"/>
    <x v="5"/>
    <s v="Percent of GDP"/>
    <s v="Units"/>
    <x v="4"/>
    <n v="23.405999999999999"/>
  </r>
  <r>
    <n v="1"/>
    <x v="2"/>
    <x v="78"/>
    <x v="5"/>
    <s v="Percent of GDP"/>
    <s v="Units"/>
    <x v="5"/>
    <n v="23.686"/>
  </r>
  <r>
    <n v="1"/>
    <x v="2"/>
    <x v="78"/>
    <x v="5"/>
    <s v="Percent of GDP"/>
    <s v="Units"/>
    <x v="6"/>
    <n v="23.523"/>
  </r>
  <r>
    <n v="110"/>
    <x v="0"/>
    <x v="78"/>
    <x v="5"/>
    <s v="Percent of GDP"/>
    <s v="Units"/>
    <x v="0"/>
    <n v="24.437000000000001"/>
  </r>
  <r>
    <n v="110"/>
    <x v="0"/>
    <x v="78"/>
    <x v="5"/>
    <s v="Percent of GDP"/>
    <s v="Units"/>
    <x v="1"/>
    <n v="22.25"/>
  </r>
  <r>
    <n v="110"/>
    <x v="0"/>
    <x v="78"/>
    <x v="5"/>
    <s v="Percent of GDP"/>
    <s v="Units"/>
    <x v="2"/>
    <n v="23.026"/>
  </r>
  <r>
    <n v="110"/>
    <x v="0"/>
    <x v="78"/>
    <x v="5"/>
    <s v="Percent of GDP"/>
    <s v="Units"/>
    <x v="3"/>
    <n v="23.529"/>
  </r>
  <r>
    <n v="110"/>
    <x v="0"/>
    <x v="78"/>
    <x v="5"/>
    <s v="Percent of GDP"/>
    <s v="Units"/>
    <x v="4"/>
    <n v="23.405999999999999"/>
  </r>
  <r>
    <n v="110"/>
    <x v="0"/>
    <x v="78"/>
    <x v="5"/>
    <s v="Percent of GDP"/>
    <s v="Units"/>
    <x v="5"/>
    <n v="23.686"/>
  </r>
  <r>
    <n v="110"/>
    <x v="0"/>
    <x v="78"/>
    <x v="5"/>
    <s v="Percent of GDP"/>
    <s v="Units"/>
    <x v="6"/>
    <n v="23.523"/>
  </r>
  <r>
    <n v="998"/>
    <x v="6"/>
    <x v="78"/>
    <x v="5"/>
    <s v="Percent of GDP"/>
    <s v="Units"/>
    <x v="0"/>
    <n v="24.437000000000001"/>
  </r>
  <r>
    <n v="998"/>
    <x v="6"/>
    <x v="78"/>
    <x v="5"/>
    <s v="Percent of GDP"/>
    <s v="Units"/>
    <x v="1"/>
    <n v="22.25"/>
  </r>
  <r>
    <n v="998"/>
    <x v="6"/>
    <x v="78"/>
    <x v="5"/>
    <s v="Percent of GDP"/>
    <s v="Units"/>
    <x v="2"/>
    <n v="23.026"/>
  </r>
  <r>
    <n v="998"/>
    <x v="6"/>
    <x v="78"/>
    <x v="5"/>
    <s v="Percent of GDP"/>
    <s v="Units"/>
    <x v="3"/>
    <n v="23.529"/>
  </r>
  <r>
    <n v="998"/>
    <x v="6"/>
    <x v="78"/>
    <x v="5"/>
    <s v="Percent of GDP"/>
    <s v="Units"/>
    <x v="4"/>
    <n v="23.405999999999999"/>
  </r>
  <r>
    <n v="998"/>
    <x v="6"/>
    <x v="78"/>
    <x v="5"/>
    <s v="Percent of GDP"/>
    <s v="Units"/>
    <x v="5"/>
    <n v="23.686"/>
  </r>
  <r>
    <n v="998"/>
    <x v="6"/>
    <x v="78"/>
    <x v="5"/>
    <s v="Percent of GDP"/>
    <s v="Units"/>
    <x v="6"/>
    <n v="23.523"/>
  </r>
  <r>
    <n v="110"/>
    <x v="0"/>
    <x v="9"/>
    <x v="7"/>
    <s v="Percent of GDP"/>
    <s v="Units"/>
    <x v="0"/>
    <n v="23.042000000000002"/>
  </r>
  <r>
    <n v="110"/>
    <x v="0"/>
    <x v="9"/>
    <x v="7"/>
    <s v="Percent of GDP"/>
    <s v="Units"/>
    <x v="1"/>
    <n v="22.675000000000001"/>
  </r>
  <r>
    <n v="110"/>
    <x v="0"/>
    <x v="9"/>
    <x v="7"/>
    <s v="Percent of GDP"/>
    <s v="Units"/>
    <x v="2"/>
    <n v="24.314"/>
  </r>
  <r>
    <n v="110"/>
    <x v="0"/>
    <x v="9"/>
    <x v="7"/>
    <s v="Percent of GDP"/>
    <s v="Units"/>
    <x v="3"/>
    <n v="25.364000000000001"/>
  </r>
  <r>
    <n v="110"/>
    <x v="0"/>
    <x v="9"/>
    <x v="7"/>
    <s v="Percent of GDP"/>
    <s v="Units"/>
    <x v="4"/>
    <n v="23.902999999999999"/>
  </r>
  <r>
    <n v="110"/>
    <x v="0"/>
    <x v="9"/>
    <x v="7"/>
    <s v="Percent of GDP"/>
    <s v="Units"/>
    <x v="5"/>
    <n v="23.574999999999999"/>
  </r>
  <r>
    <n v="110"/>
    <x v="0"/>
    <x v="9"/>
    <x v="7"/>
    <s v="Percent of GDP"/>
    <s v="Units"/>
    <x v="6"/>
    <n v="23.561"/>
  </r>
  <r>
    <n v="1"/>
    <x v="2"/>
    <x v="9"/>
    <x v="7"/>
    <s v="Percent of GDP"/>
    <s v="Units"/>
    <x v="0"/>
    <n v="23.042000000000002"/>
  </r>
  <r>
    <n v="1"/>
    <x v="2"/>
    <x v="9"/>
    <x v="7"/>
    <s v="Percent of GDP"/>
    <s v="Units"/>
    <x v="1"/>
    <n v="22.675000000000001"/>
  </r>
  <r>
    <n v="1"/>
    <x v="2"/>
    <x v="9"/>
    <x v="7"/>
    <s v="Percent of GDP"/>
    <s v="Units"/>
    <x v="2"/>
    <n v="24.314"/>
  </r>
  <r>
    <n v="1"/>
    <x v="2"/>
    <x v="9"/>
    <x v="7"/>
    <s v="Percent of GDP"/>
    <s v="Units"/>
    <x v="3"/>
    <n v="25.364000000000001"/>
  </r>
  <r>
    <n v="1"/>
    <x v="2"/>
    <x v="9"/>
    <x v="7"/>
    <s v="Percent of GDP"/>
    <s v="Units"/>
    <x v="4"/>
    <n v="23.902999999999999"/>
  </r>
  <r>
    <n v="1"/>
    <x v="2"/>
    <x v="9"/>
    <x v="7"/>
    <s v="Percent of GDP"/>
    <s v="Units"/>
    <x v="5"/>
    <n v="23.574999999999999"/>
  </r>
  <r>
    <n v="1"/>
    <x v="2"/>
    <x v="9"/>
    <x v="7"/>
    <s v="Percent of GDP"/>
    <s v="Units"/>
    <x v="6"/>
    <n v="23.561"/>
  </r>
  <r>
    <n v="119"/>
    <x v="1"/>
    <x v="9"/>
    <x v="7"/>
    <s v="Percent of GDP"/>
    <s v="Units"/>
    <x v="0"/>
    <n v="23.042000000000002"/>
  </r>
  <r>
    <n v="119"/>
    <x v="1"/>
    <x v="9"/>
    <x v="7"/>
    <s v="Percent of GDP"/>
    <s v="Units"/>
    <x v="1"/>
    <n v="22.675000000000001"/>
  </r>
  <r>
    <n v="119"/>
    <x v="1"/>
    <x v="9"/>
    <x v="7"/>
    <s v="Percent of GDP"/>
    <s v="Units"/>
    <x v="2"/>
    <n v="24.314"/>
  </r>
  <r>
    <n v="119"/>
    <x v="1"/>
    <x v="9"/>
    <x v="7"/>
    <s v="Percent of GDP"/>
    <s v="Units"/>
    <x v="3"/>
    <n v="25.364000000000001"/>
  </r>
  <r>
    <n v="119"/>
    <x v="1"/>
    <x v="9"/>
    <x v="7"/>
    <s v="Percent of GDP"/>
    <s v="Units"/>
    <x v="4"/>
    <n v="23.902999999999999"/>
  </r>
  <r>
    <n v="119"/>
    <x v="1"/>
    <x v="9"/>
    <x v="7"/>
    <s v="Percent of GDP"/>
    <s v="Units"/>
    <x v="5"/>
    <n v="23.574999999999999"/>
  </r>
  <r>
    <n v="119"/>
    <x v="1"/>
    <x v="9"/>
    <x v="7"/>
    <s v="Percent of GDP"/>
    <s v="Units"/>
    <x v="6"/>
    <n v="23.561"/>
  </r>
  <r>
    <n v="200"/>
    <x v="3"/>
    <x v="91"/>
    <x v="7"/>
    <s v="Percent of GDP"/>
    <s v="Units"/>
    <x v="0"/>
    <n v="29.15"/>
  </r>
  <r>
    <n v="200"/>
    <x v="3"/>
    <x v="91"/>
    <x v="7"/>
    <s v="Percent of GDP"/>
    <s v="Units"/>
    <x v="1"/>
    <n v="27.454999999999998"/>
  </r>
  <r>
    <n v="200"/>
    <x v="3"/>
    <x v="91"/>
    <x v="7"/>
    <s v="Percent of GDP"/>
    <s v="Units"/>
    <x v="2"/>
    <n v="24.751000000000001"/>
  </r>
  <r>
    <n v="200"/>
    <x v="3"/>
    <x v="91"/>
    <x v="7"/>
    <s v="Percent of GDP"/>
    <s v="Units"/>
    <x v="3"/>
    <n v="21.975999999999999"/>
  </r>
  <r>
    <n v="200"/>
    <x v="3"/>
    <x v="91"/>
    <x v="7"/>
    <s v="Percent of GDP"/>
    <s v="Units"/>
    <x v="4"/>
    <n v="24.29"/>
  </r>
  <r>
    <n v="200"/>
    <x v="3"/>
    <x v="91"/>
    <x v="7"/>
    <s v="Percent of GDP"/>
    <s v="Units"/>
    <x v="5"/>
    <n v="23.559000000000001"/>
  </r>
  <r>
    <n v="200"/>
    <x v="3"/>
    <x v="91"/>
    <x v="7"/>
    <s v="Percent of GDP"/>
    <s v="Units"/>
    <x v="6"/>
    <n v="23.986000000000001"/>
  </r>
  <r>
    <n v="903"/>
    <x v="8"/>
    <x v="91"/>
    <x v="7"/>
    <s v="Percent of GDP"/>
    <s v="Units"/>
    <x v="0"/>
    <n v="29.15"/>
  </r>
  <r>
    <n v="903"/>
    <x v="8"/>
    <x v="91"/>
    <x v="7"/>
    <s v="Percent of GDP"/>
    <s v="Units"/>
    <x v="1"/>
    <n v="27.454999999999998"/>
  </r>
  <r>
    <n v="903"/>
    <x v="8"/>
    <x v="91"/>
    <x v="7"/>
    <s v="Percent of GDP"/>
    <s v="Units"/>
    <x v="2"/>
    <n v="24.751000000000001"/>
  </r>
  <r>
    <n v="903"/>
    <x v="8"/>
    <x v="91"/>
    <x v="7"/>
    <s v="Percent of GDP"/>
    <s v="Units"/>
    <x v="3"/>
    <n v="21.975999999999999"/>
  </r>
  <r>
    <n v="903"/>
    <x v="8"/>
    <x v="91"/>
    <x v="7"/>
    <s v="Percent of GDP"/>
    <s v="Units"/>
    <x v="4"/>
    <n v="24.29"/>
  </r>
  <r>
    <n v="903"/>
    <x v="8"/>
    <x v="91"/>
    <x v="7"/>
    <s v="Percent of GDP"/>
    <s v="Units"/>
    <x v="5"/>
    <n v="23.559000000000001"/>
  </r>
  <r>
    <n v="903"/>
    <x v="8"/>
    <x v="91"/>
    <x v="7"/>
    <s v="Percent of GDP"/>
    <s v="Units"/>
    <x v="6"/>
    <n v="23.986000000000001"/>
  </r>
  <r>
    <n v="1"/>
    <x v="2"/>
    <x v="91"/>
    <x v="7"/>
    <s v="Percent of GDP"/>
    <s v="Units"/>
    <x v="0"/>
    <n v="29.15"/>
  </r>
  <r>
    <n v="1"/>
    <x v="2"/>
    <x v="91"/>
    <x v="7"/>
    <s v="Percent of GDP"/>
    <s v="Units"/>
    <x v="1"/>
    <n v="27.454999999999998"/>
  </r>
  <r>
    <n v="1"/>
    <x v="2"/>
    <x v="91"/>
    <x v="7"/>
    <s v="Percent of GDP"/>
    <s v="Units"/>
    <x v="2"/>
    <n v="24.751000000000001"/>
  </r>
  <r>
    <n v="1"/>
    <x v="2"/>
    <x v="91"/>
    <x v="7"/>
    <s v="Percent of GDP"/>
    <s v="Units"/>
    <x v="3"/>
    <n v="21.975999999999999"/>
  </r>
  <r>
    <n v="1"/>
    <x v="2"/>
    <x v="91"/>
    <x v="7"/>
    <s v="Percent of GDP"/>
    <s v="Units"/>
    <x v="4"/>
    <n v="24.29"/>
  </r>
  <r>
    <n v="1"/>
    <x v="2"/>
    <x v="91"/>
    <x v="7"/>
    <s v="Percent of GDP"/>
    <s v="Units"/>
    <x v="5"/>
    <n v="23.559000000000001"/>
  </r>
  <r>
    <n v="1"/>
    <x v="2"/>
    <x v="91"/>
    <x v="7"/>
    <s v="Percent of GDP"/>
    <s v="Units"/>
    <x v="6"/>
    <n v="23.986000000000001"/>
  </r>
  <r>
    <n v="205"/>
    <x v="7"/>
    <x v="178"/>
    <x v="3"/>
    <s v="Percent of GDP"/>
    <s v="Units"/>
    <x v="0"/>
    <n v="25.036999999999999"/>
  </r>
  <r>
    <n v="205"/>
    <x v="7"/>
    <x v="178"/>
    <x v="3"/>
    <s v="Percent of GDP"/>
    <s v="Units"/>
    <x v="1"/>
    <n v="33.052"/>
  </r>
  <r>
    <n v="205"/>
    <x v="7"/>
    <x v="178"/>
    <x v="3"/>
    <s v="Percent of GDP"/>
    <s v="Units"/>
    <x v="2"/>
    <n v="27.044"/>
  </r>
  <r>
    <n v="205"/>
    <x v="7"/>
    <x v="178"/>
    <x v="3"/>
    <s v="Percent of GDP"/>
    <s v="Units"/>
    <x v="3"/>
    <n v="23.288"/>
  </r>
  <r>
    <n v="205"/>
    <x v="7"/>
    <x v="178"/>
    <x v="3"/>
    <s v="Percent of GDP"/>
    <s v="Units"/>
    <x v="4"/>
    <n v="23.591999999999999"/>
  </r>
  <r>
    <n v="205"/>
    <x v="7"/>
    <x v="178"/>
    <x v="3"/>
    <s v="Percent of GDP"/>
    <s v="Units"/>
    <x v="5"/>
    <n v="23.466000000000001"/>
  </r>
  <r>
    <n v="205"/>
    <x v="7"/>
    <x v="178"/>
    <x v="3"/>
    <s v="Percent of GDP"/>
    <s v="Units"/>
    <x v="6"/>
    <n v="23.314"/>
  </r>
  <r>
    <n v="200"/>
    <x v="3"/>
    <x v="178"/>
    <x v="3"/>
    <s v="Percent of GDP"/>
    <s v="Units"/>
    <x v="0"/>
    <n v="25.036999999999999"/>
  </r>
  <r>
    <n v="200"/>
    <x v="3"/>
    <x v="178"/>
    <x v="3"/>
    <s v="Percent of GDP"/>
    <s v="Units"/>
    <x v="1"/>
    <n v="33.052"/>
  </r>
  <r>
    <n v="200"/>
    <x v="3"/>
    <x v="178"/>
    <x v="3"/>
    <s v="Percent of GDP"/>
    <s v="Units"/>
    <x v="2"/>
    <n v="27.044"/>
  </r>
  <r>
    <n v="200"/>
    <x v="3"/>
    <x v="178"/>
    <x v="3"/>
    <s v="Percent of GDP"/>
    <s v="Units"/>
    <x v="3"/>
    <n v="23.288"/>
  </r>
  <r>
    <n v="200"/>
    <x v="3"/>
    <x v="178"/>
    <x v="3"/>
    <s v="Percent of GDP"/>
    <s v="Units"/>
    <x v="4"/>
    <n v="23.591999999999999"/>
  </r>
  <r>
    <n v="200"/>
    <x v="3"/>
    <x v="178"/>
    <x v="3"/>
    <s v="Percent of GDP"/>
    <s v="Units"/>
    <x v="5"/>
    <n v="23.466000000000001"/>
  </r>
  <r>
    <n v="200"/>
    <x v="3"/>
    <x v="178"/>
    <x v="3"/>
    <s v="Percent of GDP"/>
    <s v="Units"/>
    <x v="6"/>
    <n v="23.314"/>
  </r>
  <r>
    <n v="1"/>
    <x v="2"/>
    <x v="45"/>
    <x v="7"/>
    <s v="Percent of GDP"/>
    <s v="Units"/>
    <x v="0"/>
    <n v="24.062999999999999"/>
  </r>
  <r>
    <n v="1"/>
    <x v="2"/>
    <x v="45"/>
    <x v="7"/>
    <s v="Percent of GDP"/>
    <s v="Units"/>
    <x v="1"/>
    <n v="24.492999999999999"/>
  </r>
  <r>
    <n v="1"/>
    <x v="2"/>
    <x v="45"/>
    <x v="7"/>
    <s v="Percent of GDP"/>
    <s v="Units"/>
    <x v="2"/>
    <n v="24.07"/>
  </r>
  <r>
    <n v="1"/>
    <x v="2"/>
    <x v="45"/>
    <x v="7"/>
    <s v="Percent of GDP"/>
    <s v="Units"/>
    <x v="3"/>
    <n v="26.724"/>
  </r>
  <r>
    <n v="1"/>
    <x v="2"/>
    <x v="45"/>
    <x v="7"/>
    <s v="Percent of GDP"/>
    <s v="Units"/>
    <x v="4"/>
    <n v="22.385000000000002"/>
  </r>
  <r>
    <n v="1"/>
    <x v="2"/>
    <x v="45"/>
    <x v="7"/>
    <s v="Percent of GDP"/>
    <s v="Units"/>
    <x v="5"/>
    <n v="23.376000000000001"/>
  </r>
  <r>
    <n v="1"/>
    <x v="2"/>
    <x v="45"/>
    <x v="7"/>
    <s v="Percent of GDP"/>
    <s v="Units"/>
    <x v="6"/>
    <n v="23.638000000000002"/>
  </r>
  <r>
    <n v="998"/>
    <x v="6"/>
    <x v="45"/>
    <x v="7"/>
    <s v="Percent of GDP"/>
    <s v="Units"/>
    <x v="0"/>
    <n v="24.062999999999999"/>
  </r>
  <r>
    <n v="998"/>
    <x v="6"/>
    <x v="45"/>
    <x v="7"/>
    <s v="Percent of GDP"/>
    <s v="Units"/>
    <x v="1"/>
    <n v="24.492999999999999"/>
  </r>
  <r>
    <n v="998"/>
    <x v="6"/>
    <x v="45"/>
    <x v="7"/>
    <s v="Percent of GDP"/>
    <s v="Units"/>
    <x v="2"/>
    <n v="24.07"/>
  </r>
  <r>
    <n v="998"/>
    <x v="6"/>
    <x v="45"/>
    <x v="7"/>
    <s v="Percent of GDP"/>
    <s v="Units"/>
    <x v="3"/>
    <n v="26.724"/>
  </r>
  <r>
    <n v="998"/>
    <x v="6"/>
    <x v="45"/>
    <x v="7"/>
    <s v="Percent of GDP"/>
    <s v="Units"/>
    <x v="4"/>
    <n v="22.385000000000002"/>
  </r>
  <r>
    <n v="998"/>
    <x v="6"/>
    <x v="45"/>
    <x v="7"/>
    <s v="Percent of GDP"/>
    <s v="Units"/>
    <x v="5"/>
    <n v="23.376000000000001"/>
  </r>
  <r>
    <n v="998"/>
    <x v="6"/>
    <x v="45"/>
    <x v="7"/>
    <s v="Percent of GDP"/>
    <s v="Units"/>
    <x v="6"/>
    <n v="23.638000000000002"/>
  </r>
  <r>
    <n v="110"/>
    <x v="0"/>
    <x v="45"/>
    <x v="7"/>
    <s v="Percent of GDP"/>
    <s v="Units"/>
    <x v="0"/>
    <n v="24.062999999999999"/>
  </r>
  <r>
    <n v="110"/>
    <x v="0"/>
    <x v="45"/>
    <x v="7"/>
    <s v="Percent of GDP"/>
    <s v="Units"/>
    <x v="1"/>
    <n v="24.492999999999999"/>
  </r>
  <r>
    <n v="110"/>
    <x v="0"/>
    <x v="45"/>
    <x v="7"/>
    <s v="Percent of GDP"/>
    <s v="Units"/>
    <x v="2"/>
    <n v="24.07"/>
  </r>
  <r>
    <n v="110"/>
    <x v="0"/>
    <x v="45"/>
    <x v="7"/>
    <s v="Percent of GDP"/>
    <s v="Units"/>
    <x v="3"/>
    <n v="26.724"/>
  </r>
  <r>
    <n v="110"/>
    <x v="0"/>
    <x v="45"/>
    <x v="7"/>
    <s v="Percent of GDP"/>
    <s v="Units"/>
    <x v="4"/>
    <n v="22.385000000000002"/>
  </r>
  <r>
    <n v="110"/>
    <x v="0"/>
    <x v="45"/>
    <x v="7"/>
    <s v="Percent of GDP"/>
    <s v="Units"/>
    <x v="5"/>
    <n v="23.376000000000001"/>
  </r>
  <r>
    <n v="110"/>
    <x v="0"/>
    <x v="45"/>
    <x v="7"/>
    <s v="Percent of GDP"/>
    <s v="Units"/>
    <x v="6"/>
    <n v="23.638000000000002"/>
  </r>
  <r>
    <n v="163"/>
    <x v="5"/>
    <x v="45"/>
    <x v="7"/>
    <s v="Percent of GDP"/>
    <s v="Units"/>
    <x v="0"/>
    <n v="24.062999999999999"/>
  </r>
  <r>
    <n v="163"/>
    <x v="5"/>
    <x v="45"/>
    <x v="7"/>
    <s v="Percent of GDP"/>
    <s v="Units"/>
    <x v="1"/>
    <n v="24.492999999999999"/>
  </r>
  <r>
    <n v="163"/>
    <x v="5"/>
    <x v="45"/>
    <x v="7"/>
    <s v="Percent of GDP"/>
    <s v="Units"/>
    <x v="2"/>
    <n v="24.07"/>
  </r>
  <r>
    <n v="163"/>
    <x v="5"/>
    <x v="45"/>
    <x v="7"/>
    <s v="Percent of GDP"/>
    <s v="Units"/>
    <x v="3"/>
    <n v="26.724"/>
  </r>
  <r>
    <n v="163"/>
    <x v="5"/>
    <x v="45"/>
    <x v="7"/>
    <s v="Percent of GDP"/>
    <s v="Units"/>
    <x v="4"/>
    <n v="22.385000000000002"/>
  </r>
  <r>
    <n v="163"/>
    <x v="5"/>
    <x v="45"/>
    <x v="7"/>
    <s v="Percent of GDP"/>
    <s v="Units"/>
    <x v="5"/>
    <n v="23.376000000000001"/>
  </r>
  <r>
    <n v="163"/>
    <x v="5"/>
    <x v="45"/>
    <x v="7"/>
    <s v="Percent of GDP"/>
    <s v="Units"/>
    <x v="6"/>
    <n v="23.638000000000002"/>
  </r>
  <r>
    <n v="505"/>
    <x v="4"/>
    <x v="32"/>
    <x v="7"/>
    <s v="Percent of GDP"/>
    <s v="Units"/>
    <x v="0"/>
    <n v="26.402000000000001"/>
  </r>
  <r>
    <n v="505"/>
    <x v="4"/>
    <x v="32"/>
    <x v="7"/>
    <s v="Percent of GDP"/>
    <s v="Units"/>
    <x v="1"/>
    <n v="17.433"/>
  </r>
  <r>
    <n v="505"/>
    <x v="4"/>
    <x v="32"/>
    <x v="7"/>
    <s v="Percent of GDP"/>
    <s v="Units"/>
    <x v="2"/>
    <n v="21.140999999999998"/>
  </r>
  <r>
    <n v="505"/>
    <x v="4"/>
    <x v="32"/>
    <x v="7"/>
    <s v="Percent of GDP"/>
    <s v="Units"/>
    <x v="3"/>
    <n v="24.698"/>
  </r>
  <r>
    <n v="505"/>
    <x v="4"/>
    <x v="32"/>
    <x v="7"/>
    <s v="Percent of GDP"/>
    <s v="Units"/>
    <x v="4"/>
    <n v="23.449000000000002"/>
  </r>
  <r>
    <n v="505"/>
    <x v="4"/>
    <x v="32"/>
    <x v="7"/>
    <s v="Percent of GDP"/>
    <s v="Units"/>
    <x v="5"/>
    <n v="23.359000000000002"/>
  </r>
  <r>
    <n v="505"/>
    <x v="4"/>
    <x v="32"/>
    <x v="7"/>
    <s v="Percent of GDP"/>
    <s v="Units"/>
    <x v="6"/>
    <n v="24.024000000000001"/>
  </r>
  <r>
    <n v="1"/>
    <x v="2"/>
    <x v="32"/>
    <x v="7"/>
    <s v="Percent of GDP"/>
    <s v="Units"/>
    <x v="0"/>
    <n v="26.402000000000001"/>
  </r>
  <r>
    <n v="1"/>
    <x v="2"/>
    <x v="32"/>
    <x v="7"/>
    <s v="Percent of GDP"/>
    <s v="Units"/>
    <x v="1"/>
    <n v="17.433"/>
  </r>
  <r>
    <n v="1"/>
    <x v="2"/>
    <x v="32"/>
    <x v="7"/>
    <s v="Percent of GDP"/>
    <s v="Units"/>
    <x v="2"/>
    <n v="21.140999999999998"/>
  </r>
  <r>
    <n v="1"/>
    <x v="2"/>
    <x v="32"/>
    <x v="7"/>
    <s v="Percent of GDP"/>
    <s v="Units"/>
    <x v="3"/>
    <n v="24.698"/>
  </r>
  <r>
    <n v="1"/>
    <x v="2"/>
    <x v="32"/>
    <x v="7"/>
    <s v="Percent of GDP"/>
    <s v="Units"/>
    <x v="4"/>
    <n v="23.449000000000002"/>
  </r>
  <r>
    <n v="1"/>
    <x v="2"/>
    <x v="32"/>
    <x v="7"/>
    <s v="Percent of GDP"/>
    <s v="Units"/>
    <x v="5"/>
    <n v="23.359000000000002"/>
  </r>
  <r>
    <n v="1"/>
    <x v="2"/>
    <x v="32"/>
    <x v="7"/>
    <s v="Percent of GDP"/>
    <s v="Units"/>
    <x v="6"/>
    <n v="24.024000000000001"/>
  </r>
  <r>
    <n v="200"/>
    <x v="3"/>
    <x v="32"/>
    <x v="7"/>
    <s v="Percent of GDP"/>
    <s v="Units"/>
    <x v="0"/>
    <n v="26.402000000000001"/>
  </r>
  <r>
    <n v="200"/>
    <x v="3"/>
    <x v="32"/>
    <x v="7"/>
    <s v="Percent of GDP"/>
    <s v="Units"/>
    <x v="1"/>
    <n v="17.433"/>
  </r>
  <r>
    <n v="200"/>
    <x v="3"/>
    <x v="32"/>
    <x v="7"/>
    <s v="Percent of GDP"/>
    <s v="Units"/>
    <x v="2"/>
    <n v="21.140999999999998"/>
  </r>
  <r>
    <n v="200"/>
    <x v="3"/>
    <x v="32"/>
    <x v="7"/>
    <s v="Percent of GDP"/>
    <s v="Units"/>
    <x v="3"/>
    <n v="24.698"/>
  </r>
  <r>
    <n v="200"/>
    <x v="3"/>
    <x v="32"/>
    <x v="7"/>
    <s v="Percent of GDP"/>
    <s v="Units"/>
    <x v="4"/>
    <n v="23.449000000000002"/>
  </r>
  <r>
    <n v="200"/>
    <x v="3"/>
    <x v="32"/>
    <x v="7"/>
    <s v="Percent of GDP"/>
    <s v="Units"/>
    <x v="5"/>
    <n v="23.359000000000002"/>
  </r>
  <r>
    <n v="200"/>
    <x v="3"/>
    <x v="32"/>
    <x v="7"/>
    <s v="Percent of GDP"/>
    <s v="Units"/>
    <x v="6"/>
    <n v="24.024000000000001"/>
  </r>
  <r>
    <n v="510"/>
    <x v="10"/>
    <x v="32"/>
    <x v="7"/>
    <s v="Percent of GDP"/>
    <s v="Units"/>
    <x v="0"/>
    <n v="26.402000000000001"/>
  </r>
  <r>
    <n v="510"/>
    <x v="10"/>
    <x v="32"/>
    <x v="7"/>
    <s v="Percent of GDP"/>
    <s v="Units"/>
    <x v="1"/>
    <n v="17.433"/>
  </r>
  <r>
    <n v="510"/>
    <x v="10"/>
    <x v="32"/>
    <x v="7"/>
    <s v="Percent of GDP"/>
    <s v="Units"/>
    <x v="2"/>
    <n v="21.140999999999998"/>
  </r>
  <r>
    <n v="510"/>
    <x v="10"/>
    <x v="32"/>
    <x v="7"/>
    <s v="Percent of GDP"/>
    <s v="Units"/>
    <x v="3"/>
    <n v="24.698"/>
  </r>
  <r>
    <n v="510"/>
    <x v="10"/>
    <x v="32"/>
    <x v="7"/>
    <s v="Percent of GDP"/>
    <s v="Units"/>
    <x v="4"/>
    <n v="23.449000000000002"/>
  </r>
  <r>
    <n v="510"/>
    <x v="10"/>
    <x v="32"/>
    <x v="7"/>
    <s v="Percent of GDP"/>
    <s v="Units"/>
    <x v="5"/>
    <n v="23.359000000000002"/>
  </r>
  <r>
    <n v="510"/>
    <x v="10"/>
    <x v="32"/>
    <x v="7"/>
    <s v="Percent of GDP"/>
    <s v="Units"/>
    <x v="6"/>
    <n v="24.024000000000001"/>
  </r>
  <r>
    <n v="505"/>
    <x v="4"/>
    <x v="93"/>
    <x v="3"/>
    <s v="Percent of GDP"/>
    <s v="Units"/>
    <x v="0"/>
    <n v="20.256"/>
  </r>
  <r>
    <n v="505"/>
    <x v="4"/>
    <x v="93"/>
    <x v="3"/>
    <s v="Percent of GDP"/>
    <s v="Units"/>
    <x v="1"/>
    <n v="22.609000000000002"/>
  </r>
  <r>
    <n v="505"/>
    <x v="4"/>
    <x v="93"/>
    <x v="3"/>
    <s v="Percent of GDP"/>
    <s v="Units"/>
    <x v="2"/>
    <n v="23.34"/>
  </r>
  <r>
    <n v="505"/>
    <x v="4"/>
    <x v="93"/>
    <x v="3"/>
    <s v="Percent of GDP"/>
    <s v="Units"/>
    <x v="3"/>
    <n v="22.600999999999999"/>
  </r>
  <r>
    <n v="505"/>
    <x v="4"/>
    <x v="93"/>
    <x v="3"/>
    <s v="Percent of GDP"/>
    <s v="Units"/>
    <x v="4"/>
    <n v="23.373000000000001"/>
  </r>
  <r>
    <n v="505"/>
    <x v="4"/>
    <x v="93"/>
    <x v="3"/>
    <s v="Percent of GDP"/>
    <s v="Units"/>
    <x v="5"/>
    <n v="23.35"/>
  </r>
  <r>
    <n v="505"/>
    <x v="4"/>
    <x v="93"/>
    <x v="3"/>
    <s v="Percent of GDP"/>
    <s v="Units"/>
    <x v="6"/>
    <n v="23.733000000000001"/>
  </r>
  <r>
    <n v="200"/>
    <x v="3"/>
    <x v="93"/>
    <x v="3"/>
    <s v="Percent of GDP"/>
    <s v="Units"/>
    <x v="0"/>
    <n v="20.256"/>
  </r>
  <r>
    <n v="200"/>
    <x v="3"/>
    <x v="93"/>
    <x v="3"/>
    <s v="Percent of GDP"/>
    <s v="Units"/>
    <x v="1"/>
    <n v="22.609000000000002"/>
  </r>
  <r>
    <n v="200"/>
    <x v="3"/>
    <x v="93"/>
    <x v="3"/>
    <s v="Percent of GDP"/>
    <s v="Units"/>
    <x v="2"/>
    <n v="23.34"/>
  </r>
  <r>
    <n v="200"/>
    <x v="3"/>
    <x v="93"/>
    <x v="3"/>
    <s v="Percent of GDP"/>
    <s v="Units"/>
    <x v="3"/>
    <n v="22.600999999999999"/>
  </r>
  <r>
    <n v="200"/>
    <x v="3"/>
    <x v="93"/>
    <x v="3"/>
    <s v="Percent of GDP"/>
    <s v="Units"/>
    <x v="4"/>
    <n v="23.373000000000001"/>
  </r>
  <r>
    <n v="200"/>
    <x v="3"/>
    <x v="93"/>
    <x v="3"/>
    <s v="Percent of GDP"/>
    <s v="Units"/>
    <x v="5"/>
    <n v="23.35"/>
  </r>
  <r>
    <n v="200"/>
    <x v="3"/>
    <x v="93"/>
    <x v="3"/>
    <s v="Percent of GDP"/>
    <s v="Units"/>
    <x v="6"/>
    <n v="23.733000000000001"/>
  </r>
  <r>
    <n v="200"/>
    <x v="3"/>
    <x v="166"/>
    <x v="2"/>
    <s v="Percent of GDP"/>
    <s v="Units"/>
    <x v="0"/>
    <n v="22.056000000000001"/>
  </r>
  <r>
    <n v="200"/>
    <x v="3"/>
    <x v="166"/>
    <x v="2"/>
    <s v="Percent of GDP"/>
    <s v="Units"/>
    <x v="1"/>
    <n v="21.631"/>
  </r>
  <r>
    <n v="200"/>
    <x v="3"/>
    <x v="166"/>
    <x v="2"/>
    <s v="Percent of GDP"/>
    <s v="Units"/>
    <x v="2"/>
    <n v="24.141999999999999"/>
  </r>
  <r>
    <n v="200"/>
    <x v="3"/>
    <x v="166"/>
    <x v="2"/>
    <s v="Percent of GDP"/>
    <s v="Units"/>
    <x v="3"/>
    <n v="24.31"/>
  </r>
  <r>
    <n v="200"/>
    <x v="3"/>
    <x v="166"/>
    <x v="2"/>
    <s v="Percent of GDP"/>
    <s v="Units"/>
    <x v="4"/>
    <n v="24.271000000000001"/>
  </r>
  <r>
    <n v="200"/>
    <x v="3"/>
    <x v="166"/>
    <x v="2"/>
    <s v="Percent of GDP"/>
    <s v="Units"/>
    <x v="5"/>
    <n v="23.323"/>
  </r>
  <r>
    <n v="200"/>
    <x v="3"/>
    <x v="166"/>
    <x v="2"/>
    <s v="Percent of GDP"/>
    <s v="Units"/>
    <x v="6"/>
    <n v="23.042999999999999"/>
  </r>
  <r>
    <n v="603"/>
    <x v="12"/>
    <x v="166"/>
    <x v="2"/>
    <s v="Percent of GDP"/>
    <s v="Units"/>
    <x v="0"/>
    <n v="22.056000000000001"/>
  </r>
  <r>
    <n v="603"/>
    <x v="12"/>
    <x v="166"/>
    <x v="2"/>
    <s v="Percent of GDP"/>
    <s v="Units"/>
    <x v="1"/>
    <n v="21.631"/>
  </r>
  <r>
    <n v="603"/>
    <x v="12"/>
    <x v="166"/>
    <x v="2"/>
    <s v="Percent of GDP"/>
    <s v="Units"/>
    <x v="2"/>
    <n v="24.141999999999999"/>
  </r>
  <r>
    <n v="603"/>
    <x v="12"/>
    <x v="166"/>
    <x v="2"/>
    <s v="Percent of GDP"/>
    <s v="Units"/>
    <x v="3"/>
    <n v="24.31"/>
  </r>
  <r>
    <n v="603"/>
    <x v="12"/>
    <x v="166"/>
    <x v="2"/>
    <s v="Percent of GDP"/>
    <s v="Units"/>
    <x v="4"/>
    <n v="24.271000000000001"/>
  </r>
  <r>
    <n v="603"/>
    <x v="12"/>
    <x v="166"/>
    <x v="2"/>
    <s v="Percent of GDP"/>
    <s v="Units"/>
    <x v="5"/>
    <n v="23.323"/>
  </r>
  <r>
    <n v="603"/>
    <x v="12"/>
    <x v="166"/>
    <x v="2"/>
    <s v="Percent of GDP"/>
    <s v="Units"/>
    <x v="6"/>
    <n v="23.042999999999999"/>
  </r>
  <r>
    <n v="603"/>
    <x v="12"/>
    <x v="71"/>
    <x v="3"/>
    <s v="Percent of GDP"/>
    <s v="Units"/>
    <x v="0"/>
    <n v="24.414999999999999"/>
  </r>
  <r>
    <n v="603"/>
    <x v="12"/>
    <x v="71"/>
    <x v="3"/>
    <s v="Percent of GDP"/>
    <s v="Units"/>
    <x v="1"/>
    <n v="24.803000000000001"/>
  </r>
  <r>
    <n v="603"/>
    <x v="12"/>
    <x v="71"/>
    <x v="3"/>
    <s v="Percent of GDP"/>
    <s v="Units"/>
    <x v="2"/>
    <n v="24.015000000000001"/>
  </r>
  <r>
    <n v="603"/>
    <x v="12"/>
    <x v="71"/>
    <x v="3"/>
    <s v="Percent of GDP"/>
    <s v="Units"/>
    <x v="3"/>
    <n v="23.370999999999999"/>
  </r>
  <r>
    <n v="603"/>
    <x v="12"/>
    <x v="71"/>
    <x v="3"/>
    <s v="Percent of GDP"/>
    <s v="Units"/>
    <x v="4"/>
    <n v="23.266999999999999"/>
  </r>
  <r>
    <n v="603"/>
    <x v="12"/>
    <x v="71"/>
    <x v="3"/>
    <s v="Percent of GDP"/>
    <s v="Units"/>
    <x v="5"/>
    <n v="23.213000000000001"/>
  </r>
  <r>
    <n v="603"/>
    <x v="12"/>
    <x v="71"/>
    <x v="3"/>
    <s v="Percent of GDP"/>
    <s v="Units"/>
    <x v="6"/>
    <n v="22.567"/>
  </r>
  <r>
    <n v="200"/>
    <x v="3"/>
    <x v="71"/>
    <x v="3"/>
    <s v="Percent of GDP"/>
    <s v="Units"/>
    <x v="0"/>
    <n v="24.414999999999999"/>
  </r>
  <r>
    <n v="200"/>
    <x v="3"/>
    <x v="71"/>
    <x v="3"/>
    <s v="Percent of GDP"/>
    <s v="Units"/>
    <x v="1"/>
    <n v="24.803000000000001"/>
  </r>
  <r>
    <n v="200"/>
    <x v="3"/>
    <x v="71"/>
    <x v="3"/>
    <s v="Percent of GDP"/>
    <s v="Units"/>
    <x v="2"/>
    <n v="24.015000000000001"/>
  </r>
  <r>
    <n v="200"/>
    <x v="3"/>
    <x v="71"/>
    <x v="3"/>
    <s v="Percent of GDP"/>
    <s v="Units"/>
    <x v="3"/>
    <n v="23.370999999999999"/>
  </r>
  <r>
    <n v="200"/>
    <x v="3"/>
    <x v="71"/>
    <x v="3"/>
    <s v="Percent of GDP"/>
    <s v="Units"/>
    <x v="4"/>
    <n v="23.266999999999999"/>
  </r>
  <r>
    <n v="200"/>
    <x v="3"/>
    <x v="71"/>
    <x v="3"/>
    <s v="Percent of GDP"/>
    <s v="Units"/>
    <x v="5"/>
    <n v="23.213000000000001"/>
  </r>
  <r>
    <n v="200"/>
    <x v="3"/>
    <x v="71"/>
    <x v="3"/>
    <s v="Percent of GDP"/>
    <s v="Units"/>
    <x v="6"/>
    <n v="22.567"/>
  </r>
  <r>
    <n v="200"/>
    <x v="3"/>
    <x v="169"/>
    <x v="2"/>
    <s v="Percent of GDP"/>
    <s v="Units"/>
    <x v="0"/>
    <n v="23.445"/>
  </r>
  <r>
    <n v="200"/>
    <x v="3"/>
    <x v="169"/>
    <x v="2"/>
    <s v="Percent of GDP"/>
    <s v="Units"/>
    <x v="1"/>
    <n v="24.007000000000001"/>
  </r>
  <r>
    <n v="200"/>
    <x v="3"/>
    <x v="169"/>
    <x v="2"/>
    <s v="Percent of GDP"/>
    <s v="Units"/>
    <x v="2"/>
    <n v="19.698"/>
  </r>
  <r>
    <n v="200"/>
    <x v="3"/>
    <x v="169"/>
    <x v="2"/>
    <s v="Percent of GDP"/>
    <s v="Units"/>
    <x v="3"/>
    <n v="21.213999999999999"/>
  </r>
  <r>
    <n v="200"/>
    <x v="3"/>
    <x v="169"/>
    <x v="2"/>
    <s v="Percent of GDP"/>
    <s v="Units"/>
    <x v="4"/>
    <n v="23.536000000000001"/>
  </r>
  <r>
    <n v="200"/>
    <x v="3"/>
    <x v="169"/>
    <x v="2"/>
    <s v="Percent of GDP"/>
    <s v="Units"/>
    <x v="5"/>
    <n v="23.192"/>
  </r>
  <r>
    <n v="200"/>
    <x v="3"/>
    <x v="169"/>
    <x v="2"/>
    <s v="Percent of GDP"/>
    <s v="Units"/>
    <x v="6"/>
    <n v="23.192"/>
  </r>
  <r>
    <n v="205"/>
    <x v="7"/>
    <x v="169"/>
    <x v="2"/>
    <s v="Percent of GDP"/>
    <s v="Units"/>
    <x v="0"/>
    <n v="23.445"/>
  </r>
  <r>
    <n v="205"/>
    <x v="7"/>
    <x v="169"/>
    <x v="2"/>
    <s v="Percent of GDP"/>
    <s v="Units"/>
    <x v="1"/>
    <n v="24.007000000000001"/>
  </r>
  <r>
    <n v="205"/>
    <x v="7"/>
    <x v="169"/>
    <x v="2"/>
    <s v="Percent of GDP"/>
    <s v="Units"/>
    <x v="2"/>
    <n v="19.698"/>
  </r>
  <r>
    <n v="205"/>
    <x v="7"/>
    <x v="169"/>
    <x v="2"/>
    <s v="Percent of GDP"/>
    <s v="Units"/>
    <x v="3"/>
    <n v="21.213999999999999"/>
  </r>
  <r>
    <n v="205"/>
    <x v="7"/>
    <x v="169"/>
    <x v="2"/>
    <s v="Percent of GDP"/>
    <s v="Units"/>
    <x v="4"/>
    <n v="23.536000000000001"/>
  </r>
  <r>
    <n v="205"/>
    <x v="7"/>
    <x v="169"/>
    <x v="2"/>
    <s v="Percent of GDP"/>
    <s v="Units"/>
    <x v="5"/>
    <n v="23.192"/>
  </r>
  <r>
    <n v="205"/>
    <x v="7"/>
    <x v="169"/>
    <x v="2"/>
    <s v="Percent of GDP"/>
    <s v="Units"/>
    <x v="6"/>
    <n v="23.192"/>
  </r>
  <r>
    <n v="200"/>
    <x v="3"/>
    <x v="109"/>
    <x v="5"/>
    <s v="Percent of GDP"/>
    <s v="Units"/>
    <x v="0"/>
    <n v="21.116"/>
  </r>
  <r>
    <n v="200"/>
    <x v="3"/>
    <x v="109"/>
    <x v="5"/>
    <s v="Percent of GDP"/>
    <s v="Units"/>
    <x v="1"/>
    <n v="21.93"/>
  </r>
  <r>
    <n v="200"/>
    <x v="3"/>
    <x v="109"/>
    <x v="5"/>
    <s v="Percent of GDP"/>
    <s v="Units"/>
    <x v="2"/>
    <n v="23.129000000000001"/>
  </r>
  <r>
    <n v="200"/>
    <x v="3"/>
    <x v="109"/>
    <x v="5"/>
    <s v="Percent of GDP"/>
    <s v="Units"/>
    <x v="3"/>
    <n v="20.552"/>
  </r>
  <r>
    <n v="200"/>
    <x v="3"/>
    <x v="109"/>
    <x v="5"/>
    <s v="Percent of GDP"/>
    <s v="Units"/>
    <x v="4"/>
    <n v="22.256"/>
  </r>
  <r>
    <n v="200"/>
    <x v="3"/>
    <x v="109"/>
    <x v="5"/>
    <s v="Percent of GDP"/>
    <s v="Units"/>
    <x v="5"/>
    <n v="23.166"/>
  </r>
  <r>
    <n v="200"/>
    <x v="3"/>
    <x v="109"/>
    <x v="5"/>
    <s v="Percent of GDP"/>
    <s v="Units"/>
    <x v="6"/>
    <n v="23.882999999999999"/>
  </r>
  <r>
    <n v="1"/>
    <x v="2"/>
    <x v="109"/>
    <x v="5"/>
    <s v="Percent of GDP"/>
    <s v="Units"/>
    <x v="0"/>
    <n v="21.116"/>
  </r>
  <r>
    <n v="1"/>
    <x v="2"/>
    <x v="109"/>
    <x v="5"/>
    <s v="Percent of GDP"/>
    <s v="Units"/>
    <x v="1"/>
    <n v="21.93"/>
  </r>
  <r>
    <n v="1"/>
    <x v="2"/>
    <x v="109"/>
    <x v="5"/>
    <s v="Percent of GDP"/>
    <s v="Units"/>
    <x v="2"/>
    <n v="23.129000000000001"/>
  </r>
  <r>
    <n v="1"/>
    <x v="2"/>
    <x v="109"/>
    <x v="5"/>
    <s v="Percent of GDP"/>
    <s v="Units"/>
    <x v="3"/>
    <n v="20.552"/>
  </r>
  <r>
    <n v="1"/>
    <x v="2"/>
    <x v="109"/>
    <x v="5"/>
    <s v="Percent of GDP"/>
    <s v="Units"/>
    <x v="4"/>
    <n v="22.256"/>
  </r>
  <r>
    <n v="1"/>
    <x v="2"/>
    <x v="109"/>
    <x v="5"/>
    <s v="Percent of GDP"/>
    <s v="Units"/>
    <x v="5"/>
    <n v="23.166"/>
  </r>
  <r>
    <n v="1"/>
    <x v="2"/>
    <x v="109"/>
    <x v="5"/>
    <s v="Percent of GDP"/>
    <s v="Units"/>
    <x v="6"/>
    <n v="23.882999999999999"/>
  </r>
  <r>
    <n v="205"/>
    <x v="7"/>
    <x v="109"/>
    <x v="5"/>
    <s v="Percent of GDP"/>
    <s v="Units"/>
    <x v="0"/>
    <n v="21.116"/>
  </r>
  <r>
    <n v="205"/>
    <x v="7"/>
    <x v="109"/>
    <x v="5"/>
    <s v="Percent of GDP"/>
    <s v="Units"/>
    <x v="1"/>
    <n v="21.93"/>
  </r>
  <r>
    <n v="205"/>
    <x v="7"/>
    <x v="109"/>
    <x v="5"/>
    <s v="Percent of GDP"/>
    <s v="Units"/>
    <x v="2"/>
    <n v="23.129000000000001"/>
  </r>
  <r>
    <n v="205"/>
    <x v="7"/>
    <x v="109"/>
    <x v="5"/>
    <s v="Percent of GDP"/>
    <s v="Units"/>
    <x v="3"/>
    <n v="20.552"/>
  </r>
  <r>
    <n v="205"/>
    <x v="7"/>
    <x v="109"/>
    <x v="5"/>
    <s v="Percent of GDP"/>
    <s v="Units"/>
    <x v="4"/>
    <n v="22.256"/>
  </r>
  <r>
    <n v="205"/>
    <x v="7"/>
    <x v="109"/>
    <x v="5"/>
    <s v="Percent of GDP"/>
    <s v="Units"/>
    <x v="5"/>
    <n v="23.166"/>
  </r>
  <r>
    <n v="205"/>
    <x v="7"/>
    <x v="109"/>
    <x v="5"/>
    <s v="Percent of GDP"/>
    <s v="Units"/>
    <x v="6"/>
    <n v="23.882999999999999"/>
  </r>
  <r>
    <n v="1"/>
    <x v="2"/>
    <x v="175"/>
    <x v="7"/>
    <s v="Percent of GDP"/>
    <s v="Units"/>
    <x v="0"/>
    <n v="27.652000000000001"/>
  </r>
  <r>
    <n v="1"/>
    <x v="2"/>
    <x v="175"/>
    <x v="7"/>
    <s v="Percent of GDP"/>
    <s v="Units"/>
    <x v="1"/>
    <n v="27.824999999999999"/>
  </r>
  <r>
    <n v="1"/>
    <x v="2"/>
    <x v="175"/>
    <x v="7"/>
    <s v="Percent of GDP"/>
    <s v="Units"/>
    <x v="2"/>
    <n v="26.390999999999998"/>
  </r>
  <r>
    <n v="1"/>
    <x v="2"/>
    <x v="175"/>
    <x v="7"/>
    <s v="Percent of GDP"/>
    <s v="Units"/>
    <x v="3"/>
    <n v="23.099"/>
  </r>
  <r>
    <n v="1"/>
    <x v="2"/>
    <x v="175"/>
    <x v="7"/>
    <s v="Percent of GDP"/>
    <s v="Units"/>
    <x v="4"/>
    <n v="21.981999999999999"/>
  </r>
  <r>
    <n v="1"/>
    <x v="2"/>
    <x v="175"/>
    <x v="7"/>
    <s v="Percent of GDP"/>
    <s v="Units"/>
    <x v="5"/>
    <n v="23.148"/>
  </r>
  <r>
    <n v="1"/>
    <x v="2"/>
    <x v="175"/>
    <x v="7"/>
    <s v="Percent of GDP"/>
    <s v="Units"/>
    <x v="6"/>
    <n v="24.501999999999999"/>
  </r>
  <r>
    <n v="205"/>
    <x v="7"/>
    <x v="175"/>
    <x v="7"/>
    <s v="Percent of GDP"/>
    <s v="Units"/>
    <x v="0"/>
    <n v="27.652000000000001"/>
  </r>
  <r>
    <n v="205"/>
    <x v="7"/>
    <x v="175"/>
    <x v="7"/>
    <s v="Percent of GDP"/>
    <s v="Units"/>
    <x v="1"/>
    <n v="27.824999999999999"/>
  </r>
  <r>
    <n v="205"/>
    <x v="7"/>
    <x v="175"/>
    <x v="7"/>
    <s v="Percent of GDP"/>
    <s v="Units"/>
    <x v="2"/>
    <n v="26.390999999999998"/>
  </r>
  <r>
    <n v="205"/>
    <x v="7"/>
    <x v="175"/>
    <x v="7"/>
    <s v="Percent of GDP"/>
    <s v="Units"/>
    <x v="3"/>
    <n v="23.099"/>
  </r>
  <r>
    <n v="205"/>
    <x v="7"/>
    <x v="175"/>
    <x v="7"/>
    <s v="Percent of GDP"/>
    <s v="Units"/>
    <x v="4"/>
    <n v="21.981999999999999"/>
  </r>
  <r>
    <n v="205"/>
    <x v="7"/>
    <x v="175"/>
    <x v="7"/>
    <s v="Percent of GDP"/>
    <s v="Units"/>
    <x v="5"/>
    <n v="23.148"/>
  </r>
  <r>
    <n v="205"/>
    <x v="7"/>
    <x v="175"/>
    <x v="7"/>
    <s v="Percent of GDP"/>
    <s v="Units"/>
    <x v="6"/>
    <n v="24.501999999999999"/>
  </r>
  <r>
    <n v="200"/>
    <x v="3"/>
    <x v="175"/>
    <x v="7"/>
    <s v="Percent of GDP"/>
    <s v="Units"/>
    <x v="0"/>
    <n v="27.652000000000001"/>
  </r>
  <r>
    <n v="200"/>
    <x v="3"/>
    <x v="175"/>
    <x v="7"/>
    <s v="Percent of GDP"/>
    <s v="Units"/>
    <x v="1"/>
    <n v="27.824999999999999"/>
  </r>
  <r>
    <n v="200"/>
    <x v="3"/>
    <x v="175"/>
    <x v="7"/>
    <s v="Percent of GDP"/>
    <s v="Units"/>
    <x v="2"/>
    <n v="26.390999999999998"/>
  </r>
  <r>
    <n v="200"/>
    <x v="3"/>
    <x v="175"/>
    <x v="7"/>
    <s v="Percent of GDP"/>
    <s v="Units"/>
    <x v="3"/>
    <n v="23.099"/>
  </r>
  <r>
    <n v="200"/>
    <x v="3"/>
    <x v="175"/>
    <x v="7"/>
    <s v="Percent of GDP"/>
    <s v="Units"/>
    <x v="4"/>
    <n v="21.981999999999999"/>
  </r>
  <r>
    <n v="200"/>
    <x v="3"/>
    <x v="175"/>
    <x v="7"/>
    <s v="Percent of GDP"/>
    <s v="Units"/>
    <x v="5"/>
    <n v="23.148"/>
  </r>
  <r>
    <n v="200"/>
    <x v="3"/>
    <x v="175"/>
    <x v="7"/>
    <s v="Percent of GDP"/>
    <s v="Units"/>
    <x v="6"/>
    <n v="24.501999999999999"/>
  </r>
  <r>
    <n v="205"/>
    <x v="7"/>
    <x v="167"/>
    <x v="5"/>
    <s v="Percent of GDP"/>
    <s v="Units"/>
    <x v="0"/>
    <n v="23.763000000000002"/>
  </r>
  <r>
    <n v="205"/>
    <x v="7"/>
    <x v="167"/>
    <x v="5"/>
    <s v="Percent of GDP"/>
    <s v="Units"/>
    <x v="1"/>
    <n v="23.018999999999998"/>
  </r>
  <r>
    <n v="205"/>
    <x v="7"/>
    <x v="167"/>
    <x v="5"/>
    <s v="Percent of GDP"/>
    <s v="Units"/>
    <x v="2"/>
    <n v="20.251000000000001"/>
  </r>
  <r>
    <n v="205"/>
    <x v="7"/>
    <x v="167"/>
    <x v="5"/>
    <s v="Percent of GDP"/>
    <s v="Units"/>
    <x v="3"/>
    <n v="20.373000000000001"/>
  </r>
  <r>
    <n v="205"/>
    <x v="7"/>
    <x v="167"/>
    <x v="5"/>
    <s v="Percent of GDP"/>
    <s v="Units"/>
    <x v="4"/>
    <n v="25.138000000000002"/>
  </r>
  <r>
    <n v="205"/>
    <x v="7"/>
    <x v="167"/>
    <x v="5"/>
    <s v="Percent of GDP"/>
    <s v="Units"/>
    <x v="5"/>
    <n v="23.140999999999998"/>
  </r>
  <r>
    <n v="205"/>
    <x v="7"/>
    <x v="167"/>
    <x v="5"/>
    <s v="Percent of GDP"/>
    <s v="Units"/>
    <x v="6"/>
    <n v="22.190999999999999"/>
  </r>
  <r>
    <n v="1"/>
    <x v="2"/>
    <x v="167"/>
    <x v="5"/>
    <s v="Percent of GDP"/>
    <s v="Units"/>
    <x v="0"/>
    <n v="23.763000000000002"/>
  </r>
  <r>
    <n v="1"/>
    <x v="2"/>
    <x v="167"/>
    <x v="5"/>
    <s v="Percent of GDP"/>
    <s v="Units"/>
    <x v="1"/>
    <n v="23.018999999999998"/>
  </r>
  <r>
    <n v="1"/>
    <x v="2"/>
    <x v="167"/>
    <x v="5"/>
    <s v="Percent of GDP"/>
    <s v="Units"/>
    <x v="2"/>
    <n v="20.251000000000001"/>
  </r>
  <r>
    <n v="1"/>
    <x v="2"/>
    <x v="167"/>
    <x v="5"/>
    <s v="Percent of GDP"/>
    <s v="Units"/>
    <x v="3"/>
    <n v="20.373000000000001"/>
  </r>
  <r>
    <n v="1"/>
    <x v="2"/>
    <x v="167"/>
    <x v="5"/>
    <s v="Percent of GDP"/>
    <s v="Units"/>
    <x v="4"/>
    <n v="25.138000000000002"/>
  </r>
  <r>
    <n v="1"/>
    <x v="2"/>
    <x v="167"/>
    <x v="5"/>
    <s v="Percent of GDP"/>
    <s v="Units"/>
    <x v="5"/>
    <n v="23.140999999999998"/>
  </r>
  <r>
    <n v="1"/>
    <x v="2"/>
    <x v="167"/>
    <x v="5"/>
    <s v="Percent of GDP"/>
    <s v="Units"/>
    <x v="6"/>
    <n v="22.190999999999999"/>
  </r>
  <r>
    <n v="200"/>
    <x v="3"/>
    <x v="167"/>
    <x v="5"/>
    <s v="Percent of GDP"/>
    <s v="Units"/>
    <x v="0"/>
    <n v="23.763000000000002"/>
  </r>
  <r>
    <n v="200"/>
    <x v="3"/>
    <x v="167"/>
    <x v="5"/>
    <s v="Percent of GDP"/>
    <s v="Units"/>
    <x v="1"/>
    <n v="23.018999999999998"/>
  </r>
  <r>
    <n v="200"/>
    <x v="3"/>
    <x v="167"/>
    <x v="5"/>
    <s v="Percent of GDP"/>
    <s v="Units"/>
    <x v="2"/>
    <n v="20.251000000000001"/>
  </r>
  <r>
    <n v="200"/>
    <x v="3"/>
    <x v="167"/>
    <x v="5"/>
    <s v="Percent of GDP"/>
    <s v="Units"/>
    <x v="3"/>
    <n v="20.373000000000001"/>
  </r>
  <r>
    <n v="200"/>
    <x v="3"/>
    <x v="167"/>
    <x v="5"/>
    <s v="Percent of GDP"/>
    <s v="Units"/>
    <x v="4"/>
    <n v="25.138000000000002"/>
  </r>
  <r>
    <n v="200"/>
    <x v="3"/>
    <x v="167"/>
    <x v="5"/>
    <s v="Percent of GDP"/>
    <s v="Units"/>
    <x v="5"/>
    <n v="23.140999999999998"/>
  </r>
  <r>
    <n v="200"/>
    <x v="3"/>
    <x v="167"/>
    <x v="5"/>
    <s v="Percent of GDP"/>
    <s v="Units"/>
    <x v="6"/>
    <n v="22.190999999999999"/>
  </r>
  <r>
    <n v="163"/>
    <x v="5"/>
    <x v="14"/>
    <x v="5"/>
    <s v="Percent of GDP"/>
    <s v="Units"/>
    <x v="0"/>
    <n v="22.936"/>
  </r>
  <r>
    <n v="163"/>
    <x v="5"/>
    <x v="14"/>
    <x v="5"/>
    <s v="Percent of GDP"/>
    <s v="Units"/>
    <x v="1"/>
    <n v="21.087"/>
  </r>
  <r>
    <n v="163"/>
    <x v="5"/>
    <x v="14"/>
    <x v="5"/>
    <s v="Percent of GDP"/>
    <s v="Units"/>
    <x v="2"/>
    <n v="22.350999999999999"/>
  </r>
  <r>
    <n v="163"/>
    <x v="5"/>
    <x v="14"/>
    <x v="5"/>
    <s v="Percent of GDP"/>
    <s v="Units"/>
    <x v="3"/>
    <n v="22.093"/>
  </r>
  <r>
    <n v="163"/>
    <x v="5"/>
    <x v="14"/>
    <x v="5"/>
    <s v="Percent of GDP"/>
    <s v="Units"/>
    <x v="4"/>
    <n v="22.91"/>
  </r>
  <r>
    <n v="163"/>
    <x v="5"/>
    <x v="14"/>
    <x v="5"/>
    <s v="Percent of GDP"/>
    <s v="Units"/>
    <x v="5"/>
    <n v="23.137"/>
  </r>
  <r>
    <n v="163"/>
    <x v="5"/>
    <x v="14"/>
    <x v="5"/>
    <s v="Percent of GDP"/>
    <s v="Units"/>
    <x v="6"/>
    <n v="23.619"/>
  </r>
  <r>
    <n v="1"/>
    <x v="2"/>
    <x v="14"/>
    <x v="5"/>
    <s v="Percent of GDP"/>
    <s v="Units"/>
    <x v="0"/>
    <n v="22.936"/>
  </r>
  <r>
    <n v="1"/>
    <x v="2"/>
    <x v="14"/>
    <x v="5"/>
    <s v="Percent of GDP"/>
    <s v="Units"/>
    <x v="1"/>
    <n v="21.087"/>
  </r>
  <r>
    <n v="1"/>
    <x v="2"/>
    <x v="14"/>
    <x v="5"/>
    <s v="Percent of GDP"/>
    <s v="Units"/>
    <x v="2"/>
    <n v="22.350999999999999"/>
  </r>
  <r>
    <n v="1"/>
    <x v="2"/>
    <x v="14"/>
    <x v="5"/>
    <s v="Percent of GDP"/>
    <s v="Units"/>
    <x v="3"/>
    <n v="22.093"/>
  </r>
  <r>
    <n v="1"/>
    <x v="2"/>
    <x v="14"/>
    <x v="5"/>
    <s v="Percent of GDP"/>
    <s v="Units"/>
    <x v="4"/>
    <n v="22.91"/>
  </r>
  <r>
    <n v="1"/>
    <x v="2"/>
    <x v="14"/>
    <x v="5"/>
    <s v="Percent of GDP"/>
    <s v="Units"/>
    <x v="5"/>
    <n v="23.137"/>
  </r>
  <r>
    <n v="1"/>
    <x v="2"/>
    <x v="14"/>
    <x v="5"/>
    <s v="Percent of GDP"/>
    <s v="Units"/>
    <x v="6"/>
    <n v="23.619"/>
  </r>
  <r>
    <n v="998"/>
    <x v="6"/>
    <x v="14"/>
    <x v="5"/>
    <s v="Percent of GDP"/>
    <s v="Units"/>
    <x v="0"/>
    <n v="22.936"/>
  </r>
  <r>
    <n v="998"/>
    <x v="6"/>
    <x v="14"/>
    <x v="5"/>
    <s v="Percent of GDP"/>
    <s v="Units"/>
    <x v="1"/>
    <n v="21.087"/>
  </r>
  <r>
    <n v="998"/>
    <x v="6"/>
    <x v="14"/>
    <x v="5"/>
    <s v="Percent of GDP"/>
    <s v="Units"/>
    <x v="2"/>
    <n v="22.350999999999999"/>
  </r>
  <r>
    <n v="998"/>
    <x v="6"/>
    <x v="14"/>
    <x v="5"/>
    <s v="Percent of GDP"/>
    <s v="Units"/>
    <x v="3"/>
    <n v="22.093"/>
  </r>
  <r>
    <n v="998"/>
    <x v="6"/>
    <x v="14"/>
    <x v="5"/>
    <s v="Percent of GDP"/>
    <s v="Units"/>
    <x v="4"/>
    <n v="22.91"/>
  </r>
  <r>
    <n v="998"/>
    <x v="6"/>
    <x v="14"/>
    <x v="5"/>
    <s v="Percent of GDP"/>
    <s v="Units"/>
    <x v="5"/>
    <n v="23.137"/>
  </r>
  <r>
    <n v="998"/>
    <x v="6"/>
    <x v="14"/>
    <x v="5"/>
    <s v="Percent of GDP"/>
    <s v="Units"/>
    <x v="6"/>
    <n v="23.619"/>
  </r>
  <r>
    <n v="110"/>
    <x v="0"/>
    <x v="14"/>
    <x v="5"/>
    <s v="Percent of GDP"/>
    <s v="Units"/>
    <x v="0"/>
    <n v="22.936"/>
  </r>
  <r>
    <n v="110"/>
    <x v="0"/>
    <x v="14"/>
    <x v="5"/>
    <s v="Percent of GDP"/>
    <s v="Units"/>
    <x v="1"/>
    <n v="21.087"/>
  </r>
  <r>
    <n v="110"/>
    <x v="0"/>
    <x v="14"/>
    <x v="5"/>
    <s v="Percent of GDP"/>
    <s v="Units"/>
    <x v="2"/>
    <n v="22.350999999999999"/>
  </r>
  <r>
    <n v="110"/>
    <x v="0"/>
    <x v="14"/>
    <x v="5"/>
    <s v="Percent of GDP"/>
    <s v="Units"/>
    <x v="3"/>
    <n v="22.093"/>
  </r>
  <r>
    <n v="110"/>
    <x v="0"/>
    <x v="14"/>
    <x v="5"/>
    <s v="Percent of GDP"/>
    <s v="Units"/>
    <x v="4"/>
    <n v="22.91"/>
  </r>
  <r>
    <n v="110"/>
    <x v="0"/>
    <x v="14"/>
    <x v="5"/>
    <s v="Percent of GDP"/>
    <s v="Units"/>
    <x v="5"/>
    <n v="23.137"/>
  </r>
  <r>
    <n v="110"/>
    <x v="0"/>
    <x v="14"/>
    <x v="5"/>
    <s v="Percent of GDP"/>
    <s v="Units"/>
    <x v="6"/>
    <n v="23.619"/>
  </r>
  <r>
    <n v="200"/>
    <x v="3"/>
    <x v="91"/>
    <x v="5"/>
    <s v="Percent of GDP"/>
    <s v="Units"/>
    <x v="0"/>
    <n v="27.216000000000001"/>
  </r>
  <r>
    <n v="200"/>
    <x v="3"/>
    <x v="91"/>
    <x v="5"/>
    <s v="Percent of GDP"/>
    <s v="Units"/>
    <x v="1"/>
    <n v="27.164000000000001"/>
  </r>
  <r>
    <n v="200"/>
    <x v="3"/>
    <x v="91"/>
    <x v="5"/>
    <s v="Percent of GDP"/>
    <s v="Units"/>
    <x v="2"/>
    <n v="27.914000000000001"/>
  </r>
  <r>
    <n v="200"/>
    <x v="3"/>
    <x v="91"/>
    <x v="5"/>
    <s v="Percent of GDP"/>
    <s v="Units"/>
    <x v="3"/>
    <n v="25.431000000000001"/>
  </r>
  <r>
    <n v="200"/>
    <x v="3"/>
    <x v="91"/>
    <x v="5"/>
    <s v="Percent of GDP"/>
    <s v="Units"/>
    <x v="4"/>
    <n v="24.172999999999998"/>
  </r>
  <r>
    <n v="200"/>
    <x v="3"/>
    <x v="91"/>
    <x v="5"/>
    <s v="Percent of GDP"/>
    <s v="Units"/>
    <x v="5"/>
    <n v="23.074999999999999"/>
  </r>
  <r>
    <n v="200"/>
    <x v="3"/>
    <x v="91"/>
    <x v="5"/>
    <s v="Percent of GDP"/>
    <s v="Units"/>
    <x v="6"/>
    <n v="22.693999999999999"/>
  </r>
  <r>
    <n v="1"/>
    <x v="2"/>
    <x v="91"/>
    <x v="5"/>
    <s v="Percent of GDP"/>
    <s v="Units"/>
    <x v="0"/>
    <n v="27.216000000000001"/>
  </r>
  <r>
    <n v="1"/>
    <x v="2"/>
    <x v="91"/>
    <x v="5"/>
    <s v="Percent of GDP"/>
    <s v="Units"/>
    <x v="1"/>
    <n v="27.164000000000001"/>
  </r>
  <r>
    <n v="1"/>
    <x v="2"/>
    <x v="91"/>
    <x v="5"/>
    <s v="Percent of GDP"/>
    <s v="Units"/>
    <x v="2"/>
    <n v="27.914000000000001"/>
  </r>
  <r>
    <n v="1"/>
    <x v="2"/>
    <x v="91"/>
    <x v="5"/>
    <s v="Percent of GDP"/>
    <s v="Units"/>
    <x v="3"/>
    <n v="25.431000000000001"/>
  </r>
  <r>
    <n v="1"/>
    <x v="2"/>
    <x v="91"/>
    <x v="5"/>
    <s v="Percent of GDP"/>
    <s v="Units"/>
    <x v="4"/>
    <n v="24.172999999999998"/>
  </r>
  <r>
    <n v="1"/>
    <x v="2"/>
    <x v="91"/>
    <x v="5"/>
    <s v="Percent of GDP"/>
    <s v="Units"/>
    <x v="5"/>
    <n v="23.074999999999999"/>
  </r>
  <r>
    <n v="1"/>
    <x v="2"/>
    <x v="91"/>
    <x v="5"/>
    <s v="Percent of GDP"/>
    <s v="Units"/>
    <x v="6"/>
    <n v="22.693999999999999"/>
  </r>
  <r>
    <n v="903"/>
    <x v="8"/>
    <x v="91"/>
    <x v="5"/>
    <s v="Percent of GDP"/>
    <s v="Units"/>
    <x v="0"/>
    <n v="27.216000000000001"/>
  </r>
  <r>
    <n v="903"/>
    <x v="8"/>
    <x v="91"/>
    <x v="5"/>
    <s v="Percent of GDP"/>
    <s v="Units"/>
    <x v="1"/>
    <n v="27.164000000000001"/>
  </r>
  <r>
    <n v="903"/>
    <x v="8"/>
    <x v="91"/>
    <x v="5"/>
    <s v="Percent of GDP"/>
    <s v="Units"/>
    <x v="2"/>
    <n v="27.914000000000001"/>
  </r>
  <r>
    <n v="903"/>
    <x v="8"/>
    <x v="91"/>
    <x v="5"/>
    <s v="Percent of GDP"/>
    <s v="Units"/>
    <x v="3"/>
    <n v="25.431000000000001"/>
  </r>
  <r>
    <n v="903"/>
    <x v="8"/>
    <x v="91"/>
    <x v="5"/>
    <s v="Percent of GDP"/>
    <s v="Units"/>
    <x v="4"/>
    <n v="24.172999999999998"/>
  </r>
  <r>
    <n v="903"/>
    <x v="8"/>
    <x v="91"/>
    <x v="5"/>
    <s v="Percent of GDP"/>
    <s v="Units"/>
    <x v="5"/>
    <n v="23.074999999999999"/>
  </r>
  <r>
    <n v="903"/>
    <x v="8"/>
    <x v="91"/>
    <x v="5"/>
    <s v="Percent of GDP"/>
    <s v="Units"/>
    <x v="6"/>
    <n v="22.693999999999999"/>
  </r>
  <r>
    <n v="200"/>
    <x v="3"/>
    <x v="177"/>
    <x v="2"/>
    <s v="Percent of GDP"/>
    <s v="Units"/>
    <x v="0"/>
    <n v="24.571999999999999"/>
  </r>
  <r>
    <n v="200"/>
    <x v="3"/>
    <x v="177"/>
    <x v="2"/>
    <s v="Percent of GDP"/>
    <s v="Units"/>
    <x v="1"/>
    <n v="24.581"/>
  </r>
  <r>
    <n v="200"/>
    <x v="3"/>
    <x v="177"/>
    <x v="2"/>
    <s v="Percent of GDP"/>
    <s v="Units"/>
    <x v="2"/>
    <n v="22.478999999999999"/>
  </r>
  <r>
    <n v="200"/>
    <x v="3"/>
    <x v="177"/>
    <x v="2"/>
    <s v="Percent of GDP"/>
    <s v="Units"/>
    <x v="3"/>
    <n v="22.484000000000002"/>
  </r>
  <r>
    <n v="200"/>
    <x v="3"/>
    <x v="177"/>
    <x v="2"/>
    <s v="Percent of GDP"/>
    <s v="Units"/>
    <x v="4"/>
    <n v="22.768000000000001"/>
  </r>
  <r>
    <n v="200"/>
    <x v="3"/>
    <x v="177"/>
    <x v="2"/>
    <s v="Percent of GDP"/>
    <s v="Units"/>
    <x v="5"/>
    <n v="23.058"/>
  </r>
  <r>
    <n v="200"/>
    <x v="3"/>
    <x v="177"/>
    <x v="2"/>
    <s v="Percent of GDP"/>
    <s v="Units"/>
    <x v="6"/>
    <n v="23.152999999999999"/>
  </r>
  <r>
    <n v="205"/>
    <x v="7"/>
    <x v="177"/>
    <x v="2"/>
    <s v="Percent of GDP"/>
    <s v="Units"/>
    <x v="0"/>
    <n v="24.571999999999999"/>
  </r>
  <r>
    <n v="205"/>
    <x v="7"/>
    <x v="177"/>
    <x v="2"/>
    <s v="Percent of GDP"/>
    <s v="Units"/>
    <x v="1"/>
    <n v="24.581"/>
  </r>
  <r>
    <n v="205"/>
    <x v="7"/>
    <x v="177"/>
    <x v="2"/>
    <s v="Percent of GDP"/>
    <s v="Units"/>
    <x v="2"/>
    <n v="22.478999999999999"/>
  </r>
  <r>
    <n v="205"/>
    <x v="7"/>
    <x v="177"/>
    <x v="2"/>
    <s v="Percent of GDP"/>
    <s v="Units"/>
    <x v="3"/>
    <n v="22.484000000000002"/>
  </r>
  <r>
    <n v="205"/>
    <x v="7"/>
    <x v="177"/>
    <x v="2"/>
    <s v="Percent of GDP"/>
    <s v="Units"/>
    <x v="4"/>
    <n v="22.768000000000001"/>
  </r>
  <r>
    <n v="205"/>
    <x v="7"/>
    <x v="177"/>
    <x v="2"/>
    <s v="Percent of GDP"/>
    <s v="Units"/>
    <x v="5"/>
    <n v="23.058"/>
  </r>
  <r>
    <n v="205"/>
    <x v="7"/>
    <x v="177"/>
    <x v="2"/>
    <s v="Percent of GDP"/>
    <s v="Units"/>
    <x v="6"/>
    <n v="23.152999999999999"/>
  </r>
  <r>
    <n v="603"/>
    <x v="12"/>
    <x v="152"/>
    <x v="7"/>
    <s v="Percent of GDP"/>
    <s v="Units"/>
    <x v="0"/>
    <n v="33.478999999999999"/>
  </r>
  <r>
    <n v="603"/>
    <x v="12"/>
    <x v="152"/>
    <x v="7"/>
    <s v="Percent of GDP"/>
    <s v="Units"/>
    <x v="1"/>
    <n v="24.108000000000001"/>
  </r>
  <r>
    <n v="603"/>
    <x v="12"/>
    <x v="152"/>
    <x v="7"/>
    <s v="Percent of GDP"/>
    <s v="Units"/>
    <x v="2"/>
    <n v="40.549999999999997"/>
  </r>
  <r>
    <n v="603"/>
    <x v="12"/>
    <x v="152"/>
    <x v="7"/>
    <s v="Percent of GDP"/>
    <s v="Units"/>
    <x v="3"/>
    <n v="38.405000000000001"/>
  </r>
  <r>
    <n v="603"/>
    <x v="12"/>
    <x v="152"/>
    <x v="7"/>
    <s v="Percent of GDP"/>
    <s v="Units"/>
    <x v="4"/>
    <n v="26.204000000000001"/>
  </r>
  <r>
    <n v="603"/>
    <x v="12"/>
    <x v="152"/>
    <x v="7"/>
    <s v="Percent of GDP"/>
    <s v="Units"/>
    <x v="5"/>
    <n v="23.047000000000001"/>
  </r>
  <r>
    <n v="603"/>
    <x v="12"/>
    <x v="152"/>
    <x v="7"/>
    <s v="Percent of GDP"/>
    <s v="Units"/>
    <x v="6"/>
    <n v="22.526"/>
  </r>
  <r>
    <n v="1"/>
    <x v="2"/>
    <x v="179"/>
    <x v="7"/>
    <s v="Percent of GDP"/>
    <s v="Units"/>
    <x v="0"/>
    <n v="22.684000000000001"/>
  </r>
  <r>
    <n v="1"/>
    <x v="2"/>
    <x v="179"/>
    <x v="7"/>
    <s v="Percent of GDP"/>
    <s v="Units"/>
    <x v="1"/>
    <n v="17.715"/>
  </r>
  <r>
    <n v="1"/>
    <x v="2"/>
    <x v="179"/>
    <x v="7"/>
    <s v="Percent of GDP"/>
    <s v="Units"/>
    <x v="2"/>
    <n v="15.098000000000001"/>
  </r>
  <r>
    <n v="1"/>
    <x v="2"/>
    <x v="179"/>
    <x v="7"/>
    <s v="Percent of GDP"/>
    <s v="Units"/>
    <x v="3"/>
    <n v="20.725999999999999"/>
  </r>
  <r>
    <n v="1"/>
    <x v="2"/>
    <x v="179"/>
    <x v="7"/>
    <s v="Percent of GDP"/>
    <s v="Units"/>
    <x v="4"/>
    <n v="24.018000000000001"/>
  </r>
  <r>
    <n v="1"/>
    <x v="2"/>
    <x v="179"/>
    <x v="7"/>
    <s v="Percent of GDP"/>
    <s v="Units"/>
    <x v="5"/>
    <n v="23.047000000000001"/>
  </r>
  <r>
    <n v="1"/>
    <x v="2"/>
    <x v="179"/>
    <x v="7"/>
    <s v="Percent of GDP"/>
    <s v="Units"/>
    <x v="6"/>
    <n v="23.594000000000001"/>
  </r>
  <r>
    <n v="200"/>
    <x v="3"/>
    <x v="179"/>
    <x v="7"/>
    <s v="Percent of GDP"/>
    <s v="Units"/>
    <x v="0"/>
    <n v="22.684000000000001"/>
  </r>
  <r>
    <n v="200"/>
    <x v="3"/>
    <x v="179"/>
    <x v="7"/>
    <s v="Percent of GDP"/>
    <s v="Units"/>
    <x v="1"/>
    <n v="17.715"/>
  </r>
  <r>
    <n v="200"/>
    <x v="3"/>
    <x v="179"/>
    <x v="7"/>
    <s v="Percent of GDP"/>
    <s v="Units"/>
    <x v="2"/>
    <n v="15.098000000000001"/>
  </r>
  <r>
    <n v="200"/>
    <x v="3"/>
    <x v="179"/>
    <x v="7"/>
    <s v="Percent of GDP"/>
    <s v="Units"/>
    <x v="3"/>
    <n v="20.725999999999999"/>
  </r>
  <r>
    <n v="200"/>
    <x v="3"/>
    <x v="179"/>
    <x v="7"/>
    <s v="Percent of GDP"/>
    <s v="Units"/>
    <x v="4"/>
    <n v="24.018000000000001"/>
  </r>
  <r>
    <n v="200"/>
    <x v="3"/>
    <x v="179"/>
    <x v="7"/>
    <s v="Percent of GDP"/>
    <s v="Units"/>
    <x v="5"/>
    <n v="23.047000000000001"/>
  </r>
  <r>
    <n v="200"/>
    <x v="3"/>
    <x v="179"/>
    <x v="7"/>
    <s v="Percent of GDP"/>
    <s v="Units"/>
    <x v="6"/>
    <n v="23.594000000000001"/>
  </r>
  <r>
    <n v="200"/>
    <x v="3"/>
    <x v="152"/>
    <x v="7"/>
    <s v="Percent of GDP"/>
    <s v="Units"/>
    <x v="0"/>
    <n v="33.478999999999999"/>
  </r>
  <r>
    <n v="200"/>
    <x v="3"/>
    <x v="152"/>
    <x v="7"/>
    <s v="Percent of GDP"/>
    <s v="Units"/>
    <x v="1"/>
    <n v="24.108000000000001"/>
  </r>
  <r>
    <n v="200"/>
    <x v="3"/>
    <x v="152"/>
    <x v="7"/>
    <s v="Percent of GDP"/>
    <s v="Units"/>
    <x v="2"/>
    <n v="40.549999999999997"/>
  </r>
  <r>
    <n v="200"/>
    <x v="3"/>
    <x v="152"/>
    <x v="7"/>
    <s v="Percent of GDP"/>
    <s v="Units"/>
    <x v="3"/>
    <n v="38.405000000000001"/>
  </r>
  <r>
    <n v="200"/>
    <x v="3"/>
    <x v="152"/>
    <x v="7"/>
    <s v="Percent of GDP"/>
    <s v="Units"/>
    <x v="4"/>
    <n v="26.204000000000001"/>
  </r>
  <r>
    <n v="200"/>
    <x v="3"/>
    <x v="152"/>
    <x v="7"/>
    <s v="Percent of GDP"/>
    <s v="Units"/>
    <x v="5"/>
    <n v="23.047000000000001"/>
  </r>
  <r>
    <n v="200"/>
    <x v="3"/>
    <x v="152"/>
    <x v="7"/>
    <s v="Percent of GDP"/>
    <s v="Units"/>
    <x v="6"/>
    <n v="22.526"/>
  </r>
  <r>
    <n v="603"/>
    <x v="12"/>
    <x v="179"/>
    <x v="7"/>
    <s v="Percent of GDP"/>
    <s v="Units"/>
    <x v="0"/>
    <n v="22.684000000000001"/>
  </r>
  <r>
    <n v="603"/>
    <x v="12"/>
    <x v="179"/>
    <x v="7"/>
    <s v="Percent of GDP"/>
    <s v="Units"/>
    <x v="1"/>
    <n v="17.715"/>
  </r>
  <r>
    <n v="603"/>
    <x v="12"/>
    <x v="179"/>
    <x v="7"/>
    <s v="Percent of GDP"/>
    <s v="Units"/>
    <x v="2"/>
    <n v="15.098000000000001"/>
  </r>
  <r>
    <n v="603"/>
    <x v="12"/>
    <x v="179"/>
    <x v="7"/>
    <s v="Percent of GDP"/>
    <s v="Units"/>
    <x v="3"/>
    <n v="20.725999999999999"/>
  </r>
  <r>
    <n v="603"/>
    <x v="12"/>
    <x v="179"/>
    <x v="7"/>
    <s v="Percent of GDP"/>
    <s v="Units"/>
    <x v="4"/>
    <n v="24.018000000000001"/>
  </r>
  <r>
    <n v="603"/>
    <x v="12"/>
    <x v="179"/>
    <x v="7"/>
    <s v="Percent of GDP"/>
    <s v="Units"/>
    <x v="5"/>
    <n v="23.047000000000001"/>
  </r>
  <r>
    <n v="603"/>
    <x v="12"/>
    <x v="179"/>
    <x v="7"/>
    <s v="Percent of GDP"/>
    <s v="Units"/>
    <x v="6"/>
    <n v="23.594000000000001"/>
  </r>
  <r>
    <n v="1"/>
    <x v="2"/>
    <x v="152"/>
    <x v="7"/>
    <s v="Percent of GDP"/>
    <s v="Units"/>
    <x v="0"/>
    <n v="33.478999999999999"/>
  </r>
  <r>
    <n v="1"/>
    <x v="2"/>
    <x v="152"/>
    <x v="7"/>
    <s v="Percent of GDP"/>
    <s v="Units"/>
    <x v="1"/>
    <n v="24.108000000000001"/>
  </r>
  <r>
    <n v="1"/>
    <x v="2"/>
    <x v="152"/>
    <x v="7"/>
    <s v="Percent of GDP"/>
    <s v="Units"/>
    <x v="2"/>
    <n v="40.549999999999997"/>
  </r>
  <r>
    <n v="1"/>
    <x v="2"/>
    <x v="152"/>
    <x v="7"/>
    <s v="Percent of GDP"/>
    <s v="Units"/>
    <x v="3"/>
    <n v="38.405000000000001"/>
  </r>
  <r>
    <n v="1"/>
    <x v="2"/>
    <x v="152"/>
    <x v="7"/>
    <s v="Percent of GDP"/>
    <s v="Units"/>
    <x v="4"/>
    <n v="26.204000000000001"/>
  </r>
  <r>
    <n v="1"/>
    <x v="2"/>
    <x v="152"/>
    <x v="7"/>
    <s v="Percent of GDP"/>
    <s v="Units"/>
    <x v="5"/>
    <n v="23.047000000000001"/>
  </r>
  <r>
    <n v="1"/>
    <x v="2"/>
    <x v="152"/>
    <x v="7"/>
    <s v="Percent of GDP"/>
    <s v="Units"/>
    <x v="6"/>
    <n v="22.526"/>
  </r>
  <r>
    <n v="205"/>
    <x v="7"/>
    <x v="43"/>
    <x v="7"/>
    <s v="Percent of GDP"/>
    <s v="Units"/>
    <x v="0"/>
    <n v="24.939"/>
  </r>
  <r>
    <n v="205"/>
    <x v="7"/>
    <x v="43"/>
    <x v="7"/>
    <s v="Percent of GDP"/>
    <s v="Units"/>
    <x v="1"/>
    <n v="21.058"/>
  </r>
  <r>
    <n v="205"/>
    <x v="7"/>
    <x v="43"/>
    <x v="7"/>
    <s v="Percent of GDP"/>
    <s v="Units"/>
    <x v="2"/>
    <n v="24.068999999999999"/>
  </r>
  <r>
    <n v="205"/>
    <x v="7"/>
    <x v="43"/>
    <x v="7"/>
    <s v="Percent of GDP"/>
    <s v="Units"/>
    <x v="3"/>
    <n v="25.588000000000001"/>
  </r>
  <r>
    <n v="205"/>
    <x v="7"/>
    <x v="43"/>
    <x v="7"/>
    <s v="Percent of GDP"/>
    <s v="Units"/>
    <x v="4"/>
    <n v="22.954000000000001"/>
  </r>
  <r>
    <n v="205"/>
    <x v="7"/>
    <x v="43"/>
    <x v="7"/>
    <s v="Percent of GDP"/>
    <s v="Units"/>
    <x v="5"/>
    <n v="23.045999999999999"/>
  </r>
  <r>
    <n v="205"/>
    <x v="7"/>
    <x v="43"/>
    <x v="7"/>
    <s v="Percent of GDP"/>
    <s v="Units"/>
    <x v="6"/>
    <n v="23.244"/>
  </r>
  <r>
    <n v="200"/>
    <x v="3"/>
    <x v="43"/>
    <x v="7"/>
    <s v="Percent of GDP"/>
    <s v="Units"/>
    <x v="0"/>
    <n v="24.939"/>
  </r>
  <r>
    <n v="200"/>
    <x v="3"/>
    <x v="43"/>
    <x v="7"/>
    <s v="Percent of GDP"/>
    <s v="Units"/>
    <x v="1"/>
    <n v="21.058"/>
  </r>
  <r>
    <n v="200"/>
    <x v="3"/>
    <x v="43"/>
    <x v="7"/>
    <s v="Percent of GDP"/>
    <s v="Units"/>
    <x v="2"/>
    <n v="24.068999999999999"/>
  </r>
  <r>
    <n v="200"/>
    <x v="3"/>
    <x v="43"/>
    <x v="7"/>
    <s v="Percent of GDP"/>
    <s v="Units"/>
    <x v="3"/>
    <n v="25.588000000000001"/>
  </r>
  <r>
    <n v="200"/>
    <x v="3"/>
    <x v="43"/>
    <x v="7"/>
    <s v="Percent of GDP"/>
    <s v="Units"/>
    <x v="4"/>
    <n v="22.954000000000001"/>
  </r>
  <r>
    <n v="200"/>
    <x v="3"/>
    <x v="43"/>
    <x v="7"/>
    <s v="Percent of GDP"/>
    <s v="Units"/>
    <x v="5"/>
    <n v="23.045999999999999"/>
  </r>
  <r>
    <n v="200"/>
    <x v="3"/>
    <x v="43"/>
    <x v="7"/>
    <s v="Percent of GDP"/>
    <s v="Units"/>
    <x v="6"/>
    <n v="23.244"/>
  </r>
  <r>
    <n v="1"/>
    <x v="2"/>
    <x v="43"/>
    <x v="7"/>
    <s v="Percent of GDP"/>
    <s v="Units"/>
    <x v="0"/>
    <n v="24.939"/>
  </r>
  <r>
    <n v="1"/>
    <x v="2"/>
    <x v="43"/>
    <x v="7"/>
    <s v="Percent of GDP"/>
    <s v="Units"/>
    <x v="1"/>
    <n v="21.058"/>
  </r>
  <r>
    <n v="1"/>
    <x v="2"/>
    <x v="43"/>
    <x v="7"/>
    <s v="Percent of GDP"/>
    <s v="Units"/>
    <x v="2"/>
    <n v="24.068999999999999"/>
  </r>
  <r>
    <n v="1"/>
    <x v="2"/>
    <x v="43"/>
    <x v="7"/>
    <s v="Percent of GDP"/>
    <s v="Units"/>
    <x v="3"/>
    <n v="25.588000000000001"/>
  </r>
  <r>
    <n v="1"/>
    <x v="2"/>
    <x v="43"/>
    <x v="7"/>
    <s v="Percent of GDP"/>
    <s v="Units"/>
    <x v="4"/>
    <n v="22.954000000000001"/>
  </r>
  <r>
    <n v="1"/>
    <x v="2"/>
    <x v="43"/>
    <x v="7"/>
    <s v="Percent of GDP"/>
    <s v="Units"/>
    <x v="5"/>
    <n v="23.045999999999999"/>
  </r>
  <r>
    <n v="1"/>
    <x v="2"/>
    <x v="43"/>
    <x v="7"/>
    <s v="Percent of GDP"/>
    <s v="Units"/>
    <x v="6"/>
    <n v="23.244"/>
  </r>
  <r>
    <n v="1"/>
    <x v="2"/>
    <x v="176"/>
    <x v="1"/>
    <s v="Percent change"/>
    <s v="Units"/>
    <x v="0"/>
    <n v="17.308"/>
  </r>
  <r>
    <n v="1"/>
    <x v="2"/>
    <x v="176"/>
    <x v="1"/>
    <s v="Percent change"/>
    <s v="Units"/>
    <x v="1"/>
    <n v="22.945"/>
  </r>
  <r>
    <n v="1"/>
    <x v="2"/>
    <x v="176"/>
    <x v="1"/>
    <s v="Percent change"/>
    <s v="Units"/>
    <x v="2"/>
    <n v="15.941000000000001"/>
  </r>
  <r>
    <n v="1"/>
    <x v="2"/>
    <x v="176"/>
    <x v="1"/>
    <s v="Percent change"/>
    <s v="Units"/>
    <x v="3"/>
    <n v="27.576000000000001"/>
  </r>
  <r>
    <n v="1"/>
    <x v="2"/>
    <x v="176"/>
    <x v="1"/>
    <s v="Percent change"/>
    <s v="Units"/>
    <x v="4"/>
    <n v="44.1"/>
  </r>
  <r>
    <n v="1"/>
    <x v="2"/>
    <x v="176"/>
    <x v="1"/>
    <s v="Percent change"/>
    <s v="Units"/>
    <x v="5"/>
    <n v="23.013000000000002"/>
  </r>
  <r>
    <n v="1"/>
    <x v="2"/>
    <x v="176"/>
    <x v="1"/>
    <s v="Percent change"/>
    <s v="Units"/>
    <x v="6"/>
    <n v="14.276"/>
  </r>
  <r>
    <n v="200"/>
    <x v="3"/>
    <x v="176"/>
    <x v="1"/>
    <s v="Percent change"/>
    <s v="Units"/>
    <x v="0"/>
    <n v="17.308"/>
  </r>
  <r>
    <n v="200"/>
    <x v="3"/>
    <x v="176"/>
    <x v="1"/>
    <s v="Percent change"/>
    <s v="Units"/>
    <x v="1"/>
    <n v="22.945"/>
  </r>
  <r>
    <n v="200"/>
    <x v="3"/>
    <x v="176"/>
    <x v="1"/>
    <s v="Percent change"/>
    <s v="Units"/>
    <x v="2"/>
    <n v="15.941000000000001"/>
  </r>
  <r>
    <n v="200"/>
    <x v="3"/>
    <x v="176"/>
    <x v="1"/>
    <s v="Percent change"/>
    <s v="Units"/>
    <x v="3"/>
    <n v="27.576000000000001"/>
  </r>
  <r>
    <n v="200"/>
    <x v="3"/>
    <x v="176"/>
    <x v="1"/>
    <s v="Percent change"/>
    <s v="Units"/>
    <x v="4"/>
    <n v="44.1"/>
  </r>
  <r>
    <n v="200"/>
    <x v="3"/>
    <x v="176"/>
    <x v="1"/>
    <s v="Percent change"/>
    <s v="Units"/>
    <x v="5"/>
    <n v="23.013000000000002"/>
  </r>
  <r>
    <n v="200"/>
    <x v="3"/>
    <x v="176"/>
    <x v="1"/>
    <s v="Percent change"/>
    <s v="Units"/>
    <x v="6"/>
    <n v="14.276"/>
  </r>
  <r>
    <n v="205"/>
    <x v="7"/>
    <x v="176"/>
    <x v="1"/>
    <s v="Percent change"/>
    <s v="Units"/>
    <x v="0"/>
    <n v="17.308"/>
  </r>
  <r>
    <n v="205"/>
    <x v="7"/>
    <x v="176"/>
    <x v="1"/>
    <s v="Percent change"/>
    <s v="Units"/>
    <x v="1"/>
    <n v="22.945"/>
  </r>
  <r>
    <n v="205"/>
    <x v="7"/>
    <x v="176"/>
    <x v="1"/>
    <s v="Percent change"/>
    <s v="Units"/>
    <x v="2"/>
    <n v="15.941000000000001"/>
  </r>
  <r>
    <n v="205"/>
    <x v="7"/>
    <x v="176"/>
    <x v="1"/>
    <s v="Percent change"/>
    <s v="Units"/>
    <x v="3"/>
    <n v="27.576000000000001"/>
  </r>
  <r>
    <n v="205"/>
    <x v="7"/>
    <x v="176"/>
    <x v="1"/>
    <s v="Percent change"/>
    <s v="Units"/>
    <x v="4"/>
    <n v="44.1"/>
  </r>
  <r>
    <n v="205"/>
    <x v="7"/>
    <x v="176"/>
    <x v="1"/>
    <s v="Percent change"/>
    <s v="Units"/>
    <x v="5"/>
    <n v="23.013000000000002"/>
  </r>
  <r>
    <n v="205"/>
    <x v="7"/>
    <x v="176"/>
    <x v="1"/>
    <s v="Percent change"/>
    <s v="Units"/>
    <x v="6"/>
    <n v="14.276"/>
  </r>
  <r>
    <n v="603"/>
    <x v="12"/>
    <x v="104"/>
    <x v="0"/>
    <s v="U.S. dollars"/>
    <s v="Billions"/>
    <x v="0"/>
    <n v="15.513"/>
  </r>
  <r>
    <n v="603"/>
    <x v="12"/>
    <x v="104"/>
    <x v="0"/>
    <s v="U.S. dollars"/>
    <s v="Billions"/>
    <x v="1"/>
    <n v="14.234999999999999"/>
  </r>
  <r>
    <n v="603"/>
    <x v="12"/>
    <x v="104"/>
    <x v="0"/>
    <s v="U.S. dollars"/>
    <s v="Billions"/>
    <x v="2"/>
    <n v="16.167999999999999"/>
  </r>
  <r>
    <n v="603"/>
    <x v="12"/>
    <x v="104"/>
    <x v="0"/>
    <s v="U.S. dollars"/>
    <s v="Billions"/>
    <x v="3"/>
    <n v="18.407"/>
  </r>
  <r>
    <n v="603"/>
    <x v="12"/>
    <x v="104"/>
    <x v="0"/>
    <s v="U.S. dollars"/>
    <s v="Billions"/>
    <x v="4"/>
    <n v="21.353000000000002"/>
  </r>
  <r>
    <n v="603"/>
    <x v="12"/>
    <x v="104"/>
    <x v="0"/>
    <s v="U.S. dollars"/>
    <s v="Billions"/>
    <x v="5"/>
    <n v="22.975000000000001"/>
  </r>
  <r>
    <n v="603"/>
    <x v="12"/>
    <x v="104"/>
    <x v="0"/>
    <s v="U.S. dollars"/>
    <s v="Billions"/>
    <x v="6"/>
    <n v="25.207999999999998"/>
  </r>
  <r>
    <n v="1"/>
    <x v="2"/>
    <x v="104"/>
    <x v="0"/>
    <s v="U.S. dollars"/>
    <s v="Billions"/>
    <x v="0"/>
    <n v="15.513"/>
  </r>
  <r>
    <n v="1"/>
    <x v="2"/>
    <x v="104"/>
    <x v="0"/>
    <s v="U.S. dollars"/>
    <s v="Billions"/>
    <x v="1"/>
    <n v="14.234999999999999"/>
  </r>
  <r>
    <n v="1"/>
    <x v="2"/>
    <x v="104"/>
    <x v="0"/>
    <s v="U.S. dollars"/>
    <s v="Billions"/>
    <x v="2"/>
    <n v="16.167999999999999"/>
  </r>
  <r>
    <n v="1"/>
    <x v="2"/>
    <x v="104"/>
    <x v="0"/>
    <s v="U.S. dollars"/>
    <s v="Billions"/>
    <x v="3"/>
    <n v="18.407"/>
  </r>
  <r>
    <n v="1"/>
    <x v="2"/>
    <x v="104"/>
    <x v="0"/>
    <s v="U.S. dollars"/>
    <s v="Billions"/>
    <x v="4"/>
    <n v="21.353000000000002"/>
  </r>
  <r>
    <n v="1"/>
    <x v="2"/>
    <x v="104"/>
    <x v="0"/>
    <s v="U.S. dollars"/>
    <s v="Billions"/>
    <x v="5"/>
    <n v="22.975000000000001"/>
  </r>
  <r>
    <n v="1"/>
    <x v="2"/>
    <x v="104"/>
    <x v="0"/>
    <s v="U.S. dollars"/>
    <s v="Billions"/>
    <x v="6"/>
    <n v="25.207999999999998"/>
  </r>
  <r>
    <n v="200"/>
    <x v="3"/>
    <x v="104"/>
    <x v="0"/>
    <s v="U.S. dollars"/>
    <s v="Billions"/>
    <x v="0"/>
    <n v="15.513"/>
  </r>
  <r>
    <n v="200"/>
    <x v="3"/>
    <x v="104"/>
    <x v="0"/>
    <s v="U.S. dollars"/>
    <s v="Billions"/>
    <x v="1"/>
    <n v="14.234999999999999"/>
  </r>
  <r>
    <n v="200"/>
    <x v="3"/>
    <x v="104"/>
    <x v="0"/>
    <s v="U.S. dollars"/>
    <s v="Billions"/>
    <x v="2"/>
    <n v="16.167999999999999"/>
  </r>
  <r>
    <n v="200"/>
    <x v="3"/>
    <x v="104"/>
    <x v="0"/>
    <s v="U.S. dollars"/>
    <s v="Billions"/>
    <x v="3"/>
    <n v="18.407"/>
  </r>
  <r>
    <n v="200"/>
    <x v="3"/>
    <x v="104"/>
    <x v="0"/>
    <s v="U.S. dollars"/>
    <s v="Billions"/>
    <x v="4"/>
    <n v="21.353000000000002"/>
  </r>
  <r>
    <n v="200"/>
    <x v="3"/>
    <x v="104"/>
    <x v="0"/>
    <s v="U.S. dollars"/>
    <s v="Billions"/>
    <x v="5"/>
    <n v="22.975000000000001"/>
  </r>
  <r>
    <n v="200"/>
    <x v="3"/>
    <x v="104"/>
    <x v="0"/>
    <s v="U.S. dollars"/>
    <s v="Billions"/>
    <x v="6"/>
    <n v="25.207999999999998"/>
  </r>
  <r>
    <n v="200"/>
    <x v="3"/>
    <x v="138"/>
    <x v="3"/>
    <s v="Percent of GDP"/>
    <s v="Units"/>
    <x v="0"/>
    <n v="17.460999999999999"/>
  </r>
  <r>
    <n v="200"/>
    <x v="3"/>
    <x v="138"/>
    <x v="3"/>
    <s v="Percent of GDP"/>
    <s v="Units"/>
    <x v="1"/>
    <n v="19.811"/>
  </r>
  <r>
    <n v="200"/>
    <x v="3"/>
    <x v="138"/>
    <x v="3"/>
    <s v="Percent of GDP"/>
    <s v="Units"/>
    <x v="2"/>
    <n v="16.594000000000001"/>
  </r>
  <r>
    <n v="200"/>
    <x v="3"/>
    <x v="138"/>
    <x v="3"/>
    <s v="Percent of GDP"/>
    <s v="Units"/>
    <x v="3"/>
    <n v="19.100999999999999"/>
  </r>
  <r>
    <n v="200"/>
    <x v="3"/>
    <x v="138"/>
    <x v="3"/>
    <s v="Percent of GDP"/>
    <s v="Units"/>
    <x v="4"/>
    <n v="21.684000000000001"/>
  </r>
  <r>
    <n v="200"/>
    <x v="3"/>
    <x v="138"/>
    <x v="3"/>
    <s v="Percent of GDP"/>
    <s v="Units"/>
    <x v="5"/>
    <n v="22.965"/>
  </r>
  <r>
    <n v="200"/>
    <x v="3"/>
    <x v="138"/>
    <x v="3"/>
    <s v="Percent of GDP"/>
    <s v="Units"/>
    <x v="6"/>
    <n v="23.879000000000001"/>
  </r>
  <r>
    <n v="603"/>
    <x v="12"/>
    <x v="138"/>
    <x v="3"/>
    <s v="Percent of GDP"/>
    <s v="Units"/>
    <x v="0"/>
    <n v="17.460999999999999"/>
  </r>
  <r>
    <n v="603"/>
    <x v="12"/>
    <x v="138"/>
    <x v="3"/>
    <s v="Percent of GDP"/>
    <s v="Units"/>
    <x v="1"/>
    <n v="19.811"/>
  </r>
  <r>
    <n v="603"/>
    <x v="12"/>
    <x v="138"/>
    <x v="3"/>
    <s v="Percent of GDP"/>
    <s v="Units"/>
    <x v="2"/>
    <n v="16.594000000000001"/>
  </r>
  <r>
    <n v="603"/>
    <x v="12"/>
    <x v="138"/>
    <x v="3"/>
    <s v="Percent of GDP"/>
    <s v="Units"/>
    <x v="3"/>
    <n v="19.100999999999999"/>
  </r>
  <r>
    <n v="603"/>
    <x v="12"/>
    <x v="138"/>
    <x v="3"/>
    <s v="Percent of GDP"/>
    <s v="Units"/>
    <x v="4"/>
    <n v="21.684000000000001"/>
  </r>
  <r>
    <n v="603"/>
    <x v="12"/>
    <x v="138"/>
    <x v="3"/>
    <s v="Percent of GDP"/>
    <s v="Units"/>
    <x v="5"/>
    <n v="22.965"/>
  </r>
  <r>
    <n v="603"/>
    <x v="12"/>
    <x v="138"/>
    <x v="3"/>
    <s v="Percent of GDP"/>
    <s v="Units"/>
    <x v="6"/>
    <n v="23.879000000000001"/>
  </r>
  <r>
    <n v="119"/>
    <x v="1"/>
    <x v="6"/>
    <x v="7"/>
    <s v="Percent of GDP"/>
    <s v="Units"/>
    <x v="0"/>
    <n v="24.364999999999998"/>
  </r>
  <r>
    <n v="119"/>
    <x v="1"/>
    <x v="6"/>
    <x v="7"/>
    <s v="Percent of GDP"/>
    <s v="Units"/>
    <x v="1"/>
    <n v="24.085999999999999"/>
  </r>
  <r>
    <n v="119"/>
    <x v="1"/>
    <x v="6"/>
    <x v="7"/>
    <s v="Percent of GDP"/>
    <s v="Units"/>
    <x v="2"/>
    <n v="24.878"/>
  </r>
  <r>
    <n v="119"/>
    <x v="1"/>
    <x v="6"/>
    <x v="7"/>
    <s v="Percent of GDP"/>
    <s v="Units"/>
    <x v="3"/>
    <n v="27.977"/>
  </r>
  <r>
    <n v="119"/>
    <x v="1"/>
    <x v="6"/>
    <x v="7"/>
    <s v="Percent of GDP"/>
    <s v="Units"/>
    <x v="4"/>
    <n v="27.111999999999998"/>
  </r>
  <r>
    <n v="119"/>
    <x v="1"/>
    <x v="6"/>
    <x v="7"/>
    <s v="Percent of GDP"/>
    <s v="Units"/>
    <x v="5"/>
    <n v="22.919"/>
  </r>
  <r>
    <n v="119"/>
    <x v="1"/>
    <x v="6"/>
    <x v="7"/>
    <s v="Percent of GDP"/>
    <s v="Units"/>
    <x v="6"/>
    <n v="22.57"/>
  </r>
  <r>
    <n v="1"/>
    <x v="2"/>
    <x v="6"/>
    <x v="7"/>
    <s v="Percent of GDP"/>
    <s v="Units"/>
    <x v="0"/>
    <n v="24.364999999999998"/>
  </r>
  <r>
    <n v="1"/>
    <x v="2"/>
    <x v="6"/>
    <x v="7"/>
    <s v="Percent of GDP"/>
    <s v="Units"/>
    <x v="1"/>
    <n v="24.085999999999999"/>
  </r>
  <r>
    <n v="1"/>
    <x v="2"/>
    <x v="6"/>
    <x v="7"/>
    <s v="Percent of GDP"/>
    <s v="Units"/>
    <x v="2"/>
    <n v="24.878"/>
  </r>
  <r>
    <n v="1"/>
    <x v="2"/>
    <x v="6"/>
    <x v="7"/>
    <s v="Percent of GDP"/>
    <s v="Units"/>
    <x v="3"/>
    <n v="27.977"/>
  </r>
  <r>
    <n v="1"/>
    <x v="2"/>
    <x v="6"/>
    <x v="7"/>
    <s v="Percent of GDP"/>
    <s v="Units"/>
    <x v="4"/>
    <n v="27.111999999999998"/>
  </r>
  <r>
    <n v="1"/>
    <x v="2"/>
    <x v="6"/>
    <x v="7"/>
    <s v="Percent of GDP"/>
    <s v="Units"/>
    <x v="5"/>
    <n v="22.919"/>
  </r>
  <r>
    <n v="1"/>
    <x v="2"/>
    <x v="6"/>
    <x v="7"/>
    <s v="Percent of GDP"/>
    <s v="Units"/>
    <x v="6"/>
    <n v="22.57"/>
  </r>
  <r>
    <n v="110"/>
    <x v="0"/>
    <x v="6"/>
    <x v="7"/>
    <s v="Percent of GDP"/>
    <s v="Units"/>
    <x v="0"/>
    <n v="24.364999999999998"/>
  </r>
  <r>
    <n v="110"/>
    <x v="0"/>
    <x v="6"/>
    <x v="7"/>
    <s v="Percent of GDP"/>
    <s v="Units"/>
    <x v="1"/>
    <n v="24.085999999999999"/>
  </r>
  <r>
    <n v="110"/>
    <x v="0"/>
    <x v="6"/>
    <x v="7"/>
    <s v="Percent of GDP"/>
    <s v="Units"/>
    <x v="2"/>
    <n v="24.878"/>
  </r>
  <r>
    <n v="110"/>
    <x v="0"/>
    <x v="6"/>
    <x v="7"/>
    <s v="Percent of GDP"/>
    <s v="Units"/>
    <x v="3"/>
    <n v="27.977"/>
  </r>
  <r>
    <n v="110"/>
    <x v="0"/>
    <x v="6"/>
    <x v="7"/>
    <s v="Percent of GDP"/>
    <s v="Units"/>
    <x v="4"/>
    <n v="27.111999999999998"/>
  </r>
  <r>
    <n v="110"/>
    <x v="0"/>
    <x v="6"/>
    <x v="7"/>
    <s v="Percent of GDP"/>
    <s v="Units"/>
    <x v="5"/>
    <n v="22.919"/>
  </r>
  <r>
    <n v="110"/>
    <x v="0"/>
    <x v="6"/>
    <x v="7"/>
    <s v="Percent of GDP"/>
    <s v="Units"/>
    <x v="6"/>
    <n v="22.57"/>
  </r>
  <r>
    <n v="163"/>
    <x v="5"/>
    <x v="6"/>
    <x v="7"/>
    <s v="Percent of GDP"/>
    <s v="Units"/>
    <x v="0"/>
    <n v="24.364999999999998"/>
  </r>
  <r>
    <n v="163"/>
    <x v="5"/>
    <x v="6"/>
    <x v="7"/>
    <s v="Percent of GDP"/>
    <s v="Units"/>
    <x v="1"/>
    <n v="24.085999999999999"/>
  </r>
  <r>
    <n v="163"/>
    <x v="5"/>
    <x v="6"/>
    <x v="7"/>
    <s v="Percent of GDP"/>
    <s v="Units"/>
    <x v="2"/>
    <n v="24.878"/>
  </r>
  <r>
    <n v="163"/>
    <x v="5"/>
    <x v="6"/>
    <x v="7"/>
    <s v="Percent of GDP"/>
    <s v="Units"/>
    <x v="3"/>
    <n v="27.977"/>
  </r>
  <r>
    <n v="163"/>
    <x v="5"/>
    <x v="6"/>
    <x v="7"/>
    <s v="Percent of GDP"/>
    <s v="Units"/>
    <x v="4"/>
    <n v="27.111999999999998"/>
  </r>
  <r>
    <n v="163"/>
    <x v="5"/>
    <x v="6"/>
    <x v="7"/>
    <s v="Percent of GDP"/>
    <s v="Units"/>
    <x v="5"/>
    <n v="22.919"/>
  </r>
  <r>
    <n v="163"/>
    <x v="5"/>
    <x v="6"/>
    <x v="7"/>
    <s v="Percent of GDP"/>
    <s v="Units"/>
    <x v="6"/>
    <n v="22.57"/>
  </r>
  <r>
    <n v="998"/>
    <x v="6"/>
    <x v="6"/>
    <x v="7"/>
    <s v="Percent of GDP"/>
    <s v="Units"/>
    <x v="0"/>
    <n v="24.364999999999998"/>
  </r>
  <r>
    <n v="998"/>
    <x v="6"/>
    <x v="6"/>
    <x v="7"/>
    <s v="Percent of GDP"/>
    <s v="Units"/>
    <x v="1"/>
    <n v="24.085999999999999"/>
  </r>
  <r>
    <n v="998"/>
    <x v="6"/>
    <x v="6"/>
    <x v="7"/>
    <s v="Percent of GDP"/>
    <s v="Units"/>
    <x v="2"/>
    <n v="24.878"/>
  </r>
  <r>
    <n v="998"/>
    <x v="6"/>
    <x v="6"/>
    <x v="7"/>
    <s v="Percent of GDP"/>
    <s v="Units"/>
    <x v="3"/>
    <n v="27.977"/>
  </r>
  <r>
    <n v="998"/>
    <x v="6"/>
    <x v="6"/>
    <x v="7"/>
    <s v="Percent of GDP"/>
    <s v="Units"/>
    <x v="4"/>
    <n v="27.111999999999998"/>
  </r>
  <r>
    <n v="998"/>
    <x v="6"/>
    <x v="6"/>
    <x v="7"/>
    <s v="Percent of GDP"/>
    <s v="Units"/>
    <x v="5"/>
    <n v="22.919"/>
  </r>
  <r>
    <n v="998"/>
    <x v="6"/>
    <x v="6"/>
    <x v="7"/>
    <s v="Percent of GDP"/>
    <s v="Units"/>
    <x v="6"/>
    <n v="22.57"/>
  </r>
  <r>
    <n v="1"/>
    <x v="2"/>
    <x v="28"/>
    <x v="7"/>
    <s v="Percent of GDP"/>
    <s v="Units"/>
    <x v="0"/>
    <n v="23.713000000000001"/>
  </r>
  <r>
    <n v="1"/>
    <x v="2"/>
    <x v="28"/>
    <x v="7"/>
    <s v="Percent of GDP"/>
    <s v="Units"/>
    <x v="1"/>
    <n v="24.151"/>
  </r>
  <r>
    <n v="1"/>
    <x v="2"/>
    <x v="28"/>
    <x v="7"/>
    <s v="Percent of GDP"/>
    <s v="Units"/>
    <x v="2"/>
    <n v="25.26"/>
  </r>
  <r>
    <n v="1"/>
    <x v="2"/>
    <x v="28"/>
    <x v="7"/>
    <s v="Percent of GDP"/>
    <s v="Units"/>
    <x v="3"/>
    <n v="26.948"/>
  </r>
  <r>
    <n v="1"/>
    <x v="2"/>
    <x v="28"/>
    <x v="7"/>
    <s v="Percent of GDP"/>
    <s v="Units"/>
    <x v="4"/>
    <n v="25.667000000000002"/>
  </r>
  <r>
    <n v="1"/>
    <x v="2"/>
    <x v="28"/>
    <x v="7"/>
    <s v="Percent of GDP"/>
    <s v="Units"/>
    <x v="5"/>
    <n v="22.788"/>
  </r>
  <r>
    <n v="1"/>
    <x v="2"/>
    <x v="28"/>
    <x v="7"/>
    <s v="Percent of GDP"/>
    <s v="Units"/>
    <x v="6"/>
    <n v="25.437000000000001"/>
  </r>
  <r>
    <n v="110"/>
    <x v="0"/>
    <x v="110"/>
    <x v="7"/>
    <s v="Percent of GDP"/>
    <s v="Units"/>
    <x v="0"/>
    <n v="22.812999999999999"/>
  </r>
  <r>
    <n v="110"/>
    <x v="0"/>
    <x v="110"/>
    <x v="7"/>
    <s v="Percent of GDP"/>
    <s v="Units"/>
    <x v="1"/>
    <n v="21.38"/>
  </r>
  <r>
    <n v="110"/>
    <x v="0"/>
    <x v="110"/>
    <x v="7"/>
    <s v="Percent of GDP"/>
    <s v="Units"/>
    <x v="2"/>
    <n v="25.003"/>
  </r>
  <r>
    <n v="110"/>
    <x v="0"/>
    <x v="110"/>
    <x v="7"/>
    <s v="Percent of GDP"/>
    <s v="Units"/>
    <x v="3"/>
    <n v="25.021999999999998"/>
  </r>
  <r>
    <n v="110"/>
    <x v="0"/>
    <x v="110"/>
    <x v="7"/>
    <s v="Percent of GDP"/>
    <s v="Units"/>
    <x v="4"/>
    <n v="22.946000000000002"/>
  </r>
  <r>
    <n v="110"/>
    <x v="0"/>
    <x v="110"/>
    <x v="7"/>
    <s v="Percent of GDP"/>
    <s v="Units"/>
    <x v="5"/>
    <n v="22.788"/>
  </r>
  <r>
    <n v="110"/>
    <x v="0"/>
    <x v="110"/>
    <x v="7"/>
    <s v="Percent of GDP"/>
    <s v="Units"/>
    <x v="6"/>
    <n v="22.385999999999999"/>
  </r>
  <r>
    <n v="998"/>
    <x v="6"/>
    <x v="110"/>
    <x v="7"/>
    <s v="Percent of GDP"/>
    <s v="Units"/>
    <x v="0"/>
    <n v="22.812999999999999"/>
  </r>
  <r>
    <n v="998"/>
    <x v="6"/>
    <x v="110"/>
    <x v="7"/>
    <s v="Percent of GDP"/>
    <s v="Units"/>
    <x v="1"/>
    <n v="21.38"/>
  </r>
  <r>
    <n v="998"/>
    <x v="6"/>
    <x v="110"/>
    <x v="7"/>
    <s v="Percent of GDP"/>
    <s v="Units"/>
    <x v="2"/>
    <n v="25.003"/>
  </r>
  <r>
    <n v="998"/>
    <x v="6"/>
    <x v="110"/>
    <x v="7"/>
    <s v="Percent of GDP"/>
    <s v="Units"/>
    <x v="3"/>
    <n v="25.021999999999998"/>
  </r>
  <r>
    <n v="998"/>
    <x v="6"/>
    <x v="110"/>
    <x v="7"/>
    <s v="Percent of GDP"/>
    <s v="Units"/>
    <x v="4"/>
    <n v="22.946000000000002"/>
  </r>
  <r>
    <n v="998"/>
    <x v="6"/>
    <x v="110"/>
    <x v="7"/>
    <s v="Percent of GDP"/>
    <s v="Units"/>
    <x v="5"/>
    <n v="22.788"/>
  </r>
  <r>
    <n v="998"/>
    <x v="6"/>
    <x v="110"/>
    <x v="7"/>
    <s v="Percent of GDP"/>
    <s v="Units"/>
    <x v="6"/>
    <n v="22.385999999999999"/>
  </r>
  <r>
    <n v="1"/>
    <x v="2"/>
    <x v="110"/>
    <x v="7"/>
    <s v="Percent of GDP"/>
    <s v="Units"/>
    <x v="0"/>
    <n v="22.812999999999999"/>
  </r>
  <r>
    <n v="1"/>
    <x v="2"/>
    <x v="110"/>
    <x v="7"/>
    <s v="Percent of GDP"/>
    <s v="Units"/>
    <x v="1"/>
    <n v="21.38"/>
  </r>
  <r>
    <n v="1"/>
    <x v="2"/>
    <x v="110"/>
    <x v="7"/>
    <s v="Percent of GDP"/>
    <s v="Units"/>
    <x v="2"/>
    <n v="25.003"/>
  </r>
  <r>
    <n v="1"/>
    <x v="2"/>
    <x v="110"/>
    <x v="7"/>
    <s v="Percent of GDP"/>
    <s v="Units"/>
    <x v="3"/>
    <n v="25.021999999999998"/>
  </r>
  <r>
    <n v="1"/>
    <x v="2"/>
    <x v="110"/>
    <x v="7"/>
    <s v="Percent of GDP"/>
    <s v="Units"/>
    <x v="4"/>
    <n v="22.946000000000002"/>
  </r>
  <r>
    <n v="1"/>
    <x v="2"/>
    <x v="110"/>
    <x v="7"/>
    <s v="Percent of GDP"/>
    <s v="Units"/>
    <x v="5"/>
    <n v="22.788"/>
  </r>
  <r>
    <n v="1"/>
    <x v="2"/>
    <x v="110"/>
    <x v="7"/>
    <s v="Percent of GDP"/>
    <s v="Units"/>
    <x v="6"/>
    <n v="22.385999999999999"/>
  </r>
  <r>
    <n v="110"/>
    <x v="0"/>
    <x v="28"/>
    <x v="7"/>
    <s v="Percent of GDP"/>
    <s v="Units"/>
    <x v="0"/>
    <n v="23.713000000000001"/>
  </r>
  <r>
    <n v="110"/>
    <x v="0"/>
    <x v="28"/>
    <x v="7"/>
    <s v="Percent of GDP"/>
    <s v="Units"/>
    <x v="1"/>
    <n v="24.151"/>
  </r>
  <r>
    <n v="110"/>
    <x v="0"/>
    <x v="28"/>
    <x v="7"/>
    <s v="Percent of GDP"/>
    <s v="Units"/>
    <x v="2"/>
    <n v="25.26"/>
  </r>
  <r>
    <n v="110"/>
    <x v="0"/>
    <x v="28"/>
    <x v="7"/>
    <s v="Percent of GDP"/>
    <s v="Units"/>
    <x v="3"/>
    <n v="26.948"/>
  </r>
  <r>
    <n v="110"/>
    <x v="0"/>
    <x v="28"/>
    <x v="7"/>
    <s v="Percent of GDP"/>
    <s v="Units"/>
    <x v="4"/>
    <n v="25.667000000000002"/>
  </r>
  <r>
    <n v="110"/>
    <x v="0"/>
    <x v="28"/>
    <x v="7"/>
    <s v="Percent of GDP"/>
    <s v="Units"/>
    <x v="5"/>
    <n v="22.788"/>
  </r>
  <r>
    <n v="110"/>
    <x v="0"/>
    <x v="28"/>
    <x v="7"/>
    <s v="Percent of GDP"/>
    <s v="Units"/>
    <x v="6"/>
    <n v="25.437000000000001"/>
  </r>
  <r>
    <n v="123"/>
    <x v="9"/>
    <x v="28"/>
    <x v="7"/>
    <s v="Percent of GDP"/>
    <s v="Units"/>
    <x v="0"/>
    <n v="23.713000000000001"/>
  </r>
  <r>
    <n v="123"/>
    <x v="9"/>
    <x v="28"/>
    <x v="7"/>
    <s v="Percent of GDP"/>
    <s v="Units"/>
    <x v="1"/>
    <n v="24.151"/>
  </r>
  <r>
    <n v="123"/>
    <x v="9"/>
    <x v="28"/>
    <x v="7"/>
    <s v="Percent of GDP"/>
    <s v="Units"/>
    <x v="2"/>
    <n v="25.26"/>
  </r>
  <r>
    <n v="123"/>
    <x v="9"/>
    <x v="28"/>
    <x v="7"/>
    <s v="Percent of GDP"/>
    <s v="Units"/>
    <x v="3"/>
    <n v="26.948"/>
  </r>
  <r>
    <n v="123"/>
    <x v="9"/>
    <x v="28"/>
    <x v="7"/>
    <s v="Percent of GDP"/>
    <s v="Units"/>
    <x v="4"/>
    <n v="25.667000000000002"/>
  </r>
  <r>
    <n v="123"/>
    <x v="9"/>
    <x v="28"/>
    <x v="7"/>
    <s v="Percent of GDP"/>
    <s v="Units"/>
    <x v="5"/>
    <n v="22.788"/>
  </r>
  <r>
    <n v="123"/>
    <x v="9"/>
    <x v="28"/>
    <x v="7"/>
    <s v="Percent of GDP"/>
    <s v="Units"/>
    <x v="6"/>
    <n v="25.437000000000001"/>
  </r>
  <r>
    <n v="163"/>
    <x v="5"/>
    <x v="110"/>
    <x v="7"/>
    <s v="Percent of GDP"/>
    <s v="Units"/>
    <x v="0"/>
    <n v="22.812999999999999"/>
  </r>
  <r>
    <n v="163"/>
    <x v="5"/>
    <x v="110"/>
    <x v="7"/>
    <s v="Percent of GDP"/>
    <s v="Units"/>
    <x v="1"/>
    <n v="21.38"/>
  </r>
  <r>
    <n v="163"/>
    <x v="5"/>
    <x v="110"/>
    <x v="7"/>
    <s v="Percent of GDP"/>
    <s v="Units"/>
    <x v="2"/>
    <n v="25.003"/>
  </r>
  <r>
    <n v="163"/>
    <x v="5"/>
    <x v="110"/>
    <x v="7"/>
    <s v="Percent of GDP"/>
    <s v="Units"/>
    <x v="3"/>
    <n v="25.021999999999998"/>
  </r>
  <r>
    <n v="163"/>
    <x v="5"/>
    <x v="110"/>
    <x v="7"/>
    <s v="Percent of GDP"/>
    <s v="Units"/>
    <x v="4"/>
    <n v="22.946000000000002"/>
  </r>
  <r>
    <n v="163"/>
    <x v="5"/>
    <x v="110"/>
    <x v="7"/>
    <s v="Percent of GDP"/>
    <s v="Units"/>
    <x v="5"/>
    <n v="22.788"/>
  </r>
  <r>
    <n v="163"/>
    <x v="5"/>
    <x v="110"/>
    <x v="7"/>
    <s v="Percent of GDP"/>
    <s v="Units"/>
    <x v="6"/>
    <n v="22.385999999999999"/>
  </r>
  <r>
    <n v="163"/>
    <x v="5"/>
    <x v="61"/>
    <x v="7"/>
    <s v="Percent of GDP"/>
    <s v="Units"/>
    <x v="0"/>
    <n v="23.827000000000002"/>
  </r>
  <r>
    <n v="163"/>
    <x v="5"/>
    <x v="61"/>
    <x v="7"/>
    <s v="Percent of GDP"/>
    <s v="Units"/>
    <x v="1"/>
    <n v="19.440000000000001"/>
  </r>
  <r>
    <n v="163"/>
    <x v="5"/>
    <x v="61"/>
    <x v="7"/>
    <s v="Percent of GDP"/>
    <s v="Units"/>
    <x v="2"/>
    <n v="22.152000000000001"/>
  </r>
  <r>
    <n v="163"/>
    <x v="5"/>
    <x v="61"/>
    <x v="7"/>
    <s v="Percent of GDP"/>
    <s v="Units"/>
    <x v="3"/>
    <n v="23.376000000000001"/>
  </r>
  <r>
    <n v="163"/>
    <x v="5"/>
    <x v="61"/>
    <x v="7"/>
    <s v="Percent of GDP"/>
    <s v="Units"/>
    <x v="4"/>
    <n v="19.401"/>
  </r>
  <r>
    <n v="163"/>
    <x v="5"/>
    <x v="61"/>
    <x v="7"/>
    <s v="Percent of GDP"/>
    <s v="Units"/>
    <x v="5"/>
    <n v="22.786999999999999"/>
  </r>
  <r>
    <n v="163"/>
    <x v="5"/>
    <x v="61"/>
    <x v="7"/>
    <s v="Percent of GDP"/>
    <s v="Units"/>
    <x v="6"/>
    <n v="23.303999999999998"/>
  </r>
  <r>
    <n v="998"/>
    <x v="6"/>
    <x v="61"/>
    <x v="7"/>
    <s v="Percent of GDP"/>
    <s v="Units"/>
    <x v="0"/>
    <n v="23.827000000000002"/>
  </r>
  <r>
    <n v="998"/>
    <x v="6"/>
    <x v="61"/>
    <x v="7"/>
    <s v="Percent of GDP"/>
    <s v="Units"/>
    <x v="1"/>
    <n v="19.440000000000001"/>
  </r>
  <r>
    <n v="998"/>
    <x v="6"/>
    <x v="61"/>
    <x v="7"/>
    <s v="Percent of GDP"/>
    <s v="Units"/>
    <x v="2"/>
    <n v="22.152000000000001"/>
  </r>
  <r>
    <n v="998"/>
    <x v="6"/>
    <x v="61"/>
    <x v="7"/>
    <s v="Percent of GDP"/>
    <s v="Units"/>
    <x v="3"/>
    <n v="23.376000000000001"/>
  </r>
  <r>
    <n v="998"/>
    <x v="6"/>
    <x v="61"/>
    <x v="7"/>
    <s v="Percent of GDP"/>
    <s v="Units"/>
    <x v="4"/>
    <n v="19.401"/>
  </r>
  <r>
    <n v="998"/>
    <x v="6"/>
    <x v="61"/>
    <x v="7"/>
    <s v="Percent of GDP"/>
    <s v="Units"/>
    <x v="5"/>
    <n v="22.786999999999999"/>
  </r>
  <r>
    <n v="998"/>
    <x v="6"/>
    <x v="61"/>
    <x v="7"/>
    <s v="Percent of GDP"/>
    <s v="Units"/>
    <x v="6"/>
    <n v="23.303999999999998"/>
  </r>
  <r>
    <n v="110"/>
    <x v="0"/>
    <x v="61"/>
    <x v="7"/>
    <s v="Percent of GDP"/>
    <s v="Units"/>
    <x v="0"/>
    <n v="23.827000000000002"/>
  </r>
  <r>
    <n v="110"/>
    <x v="0"/>
    <x v="61"/>
    <x v="7"/>
    <s v="Percent of GDP"/>
    <s v="Units"/>
    <x v="1"/>
    <n v="19.440000000000001"/>
  </r>
  <r>
    <n v="110"/>
    <x v="0"/>
    <x v="61"/>
    <x v="7"/>
    <s v="Percent of GDP"/>
    <s v="Units"/>
    <x v="2"/>
    <n v="22.152000000000001"/>
  </r>
  <r>
    <n v="110"/>
    <x v="0"/>
    <x v="61"/>
    <x v="7"/>
    <s v="Percent of GDP"/>
    <s v="Units"/>
    <x v="3"/>
    <n v="23.376000000000001"/>
  </r>
  <r>
    <n v="110"/>
    <x v="0"/>
    <x v="61"/>
    <x v="7"/>
    <s v="Percent of GDP"/>
    <s v="Units"/>
    <x v="4"/>
    <n v="19.401"/>
  </r>
  <r>
    <n v="110"/>
    <x v="0"/>
    <x v="61"/>
    <x v="7"/>
    <s v="Percent of GDP"/>
    <s v="Units"/>
    <x v="5"/>
    <n v="22.786999999999999"/>
  </r>
  <r>
    <n v="110"/>
    <x v="0"/>
    <x v="61"/>
    <x v="7"/>
    <s v="Percent of GDP"/>
    <s v="Units"/>
    <x v="6"/>
    <n v="23.303999999999998"/>
  </r>
  <r>
    <n v="1"/>
    <x v="2"/>
    <x v="61"/>
    <x v="7"/>
    <s v="Percent of GDP"/>
    <s v="Units"/>
    <x v="0"/>
    <n v="23.827000000000002"/>
  </r>
  <r>
    <n v="1"/>
    <x v="2"/>
    <x v="61"/>
    <x v="7"/>
    <s v="Percent of GDP"/>
    <s v="Units"/>
    <x v="1"/>
    <n v="19.440000000000001"/>
  </r>
  <r>
    <n v="1"/>
    <x v="2"/>
    <x v="61"/>
    <x v="7"/>
    <s v="Percent of GDP"/>
    <s v="Units"/>
    <x v="2"/>
    <n v="22.152000000000001"/>
  </r>
  <r>
    <n v="1"/>
    <x v="2"/>
    <x v="61"/>
    <x v="7"/>
    <s v="Percent of GDP"/>
    <s v="Units"/>
    <x v="3"/>
    <n v="23.376000000000001"/>
  </r>
  <r>
    <n v="1"/>
    <x v="2"/>
    <x v="61"/>
    <x v="7"/>
    <s v="Percent of GDP"/>
    <s v="Units"/>
    <x v="4"/>
    <n v="19.401"/>
  </r>
  <r>
    <n v="1"/>
    <x v="2"/>
    <x v="61"/>
    <x v="7"/>
    <s v="Percent of GDP"/>
    <s v="Units"/>
    <x v="5"/>
    <n v="22.786999999999999"/>
  </r>
  <r>
    <n v="1"/>
    <x v="2"/>
    <x v="61"/>
    <x v="7"/>
    <s v="Percent of GDP"/>
    <s v="Units"/>
    <x v="6"/>
    <n v="23.303999999999998"/>
  </r>
  <r>
    <n v="163"/>
    <x v="5"/>
    <x v="45"/>
    <x v="5"/>
    <s v="Percent of GDP"/>
    <s v="Units"/>
    <x v="0"/>
    <n v="23.763000000000002"/>
  </r>
  <r>
    <n v="163"/>
    <x v="5"/>
    <x v="45"/>
    <x v="5"/>
    <s v="Percent of GDP"/>
    <s v="Units"/>
    <x v="1"/>
    <n v="25.023"/>
  </r>
  <r>
    <n v="163"/>
    <x v="5"/>
    <x v="45"/>
    <x v="5"/>
    <s v="Percent of GDP"/>
    <s v="Units"/>
    <x v="2"/>
    <n v="24.484999999999999"/>
  </r>
  <r>
    <n v="163"/>
    <x v="5"/>
    <x v="45"/>
    <x v="5"/>
    <s v="Percent of GDP"/>
    <s v="Units"/>
    <x v="3"/>
    <n v="24.164000000000001"/>
  </r>
  <r>
    <n v="163"/>
    <x v="5"/>
    <x v="45"/>
    <x v="5"/>
    <s v="Percent of GDP"/>
    <s v="Units"/>
    <x v="4"/>
    <n v="21.364000000000001"/>
  </r>
  <r>
    <n v="163"/>
    <x v="5"/>
    <x v="45"/>
    <x v="5"/>
    <s v="Percent of GDP"/>
    <s v="Units"/>
    <x v="5"/>
    <n v="22.771999999999998"/>
  </r>
  <r>
    <n v="163"/>
    <x v="5"/>
    <x v="45"/>
    <x v="5"/>
    <s v="Percent of GDP"/>
    <s v="Units"/>
    <x v="6"/>
    <n v="23.236000000000001"/>
  </r>
  <r>
    <n v="110"/>
    <x v="0"/>
    <x v="45"/>
    <x v="5"/>
    <s v="Percent of GDP"/>
    <s v="Units"/>
    <x v="0"/>
    <n v="23.763000000000002"/>
  </r>
  <r>
    <n v="110"/>
    <x v="0"/>
    <x v="45"/>
    <x v="5"/>
    <s v="Percent of GDP"/>
    <s v="Units"/>
    <x v="1"/>
    <n v="25.023"/>
  </r>
  <r>
    <n v="110"/>
    <x v="0"/>
    <x v="45"/>
    <x v="5"/>
    <s v="Percent of GDP"/>
    <s v="Units"/>
    <x v="2"/>
    <n v="24.484999999999999"/>
  </r>
  <r>
    <n v="110"/>
    <x v="0"/>
    <x v="45"/>
    <x v="5"/>
    <s v="Percent of GDP"/>
    <s v="Units"/>
    <x v="3"/>
    <n v="24.164000000000001"/>
  </r>
  <r>
    <n v="110"/>
    <x v="0"/>
    <x v="45"/>
    <x v="5"/>
    <s v="Percent of GDP"/>
    <s v="Units"/>
    <x v="4"/>
    <n v="21.364000000000001"/>
  </r>
  <r>
    <n v="110"/>
    <x v="0"/>
    <x v="45"/>
    <x v="5"/>
    <s v="Percent of GDP"/>
    <s v="Units"/>
    <x v="5"/>
    <n v="22.771999999999998"/>
  </r>
  <r>
    <n v="110"/>
    <x v="0"/>
    <x v="45"/>
    <x v="5"/>
    <s v="Percent of GDP"/>
    <s v="Units"/>
    <x v="6"/>
    <n v="23.236000000000001"/>
  </r>
  <r>
    <n v="998"/>
    <x v="6"/>
    <x v="45"/>
    <x v="5"/>
    <s v="Percent of GDP"/>
    <s v="Units"/>
    <x v="0"/>
    <n v="23.763000000000002"/>
  </r>
  <r>
    <n v="998"/>
    <x v="6"/>
    <x v="45"/>
    <x v="5"/>
    <s v="Percent of GDP"/>
    <s v="Units"/>
    <x v="1"/>
    <n v="25.023"/>
  </r>
  <r>
    <n v="998"/>
    <x v="6"/>
    <x v="45"/>
    <x v="5"/>
    <s v="Percent of GDP"/>
    <s v="Units"/>
    <x v="2"/>
    <n v="24.484999999999999"/>
  </r>
  <r>
    <n v="998"/>
    <x v="6"/>
    <x v="45"/>
    <x v="5"/>
    <s v="Percent of GDP"/>
    <s v="Units"/>
    <x v="3"/>
    <n v="24.164000000000001"/>
  </r>
  <r>
    <n v="998"/>
    <x v="6"/>
    <x v="45"/>
    <x v="5"/>
    <s v="Percent of GDP"/>
    <s v="Units"/>
    <x v="4"/>
    <n v="21.364000000000001"/>
  </r>
  <r>
    <n v="998"/>
    <x v="6"/>
    <x v="45"/>
    <x v="5"/>
    <s v="Percent of GDP"/>
    <s v="Units"/>
    <x v="5"/>
    <n v="22.771999999999998"/>
  </r>
  <r>
    <n v="998"/>
    <x v="6"/>
    <x v="45"/>
    <x v="5"/>
    <s v="Percent of GDP"/>
    <s v="Units"/>
    <x v="6"/>
    <n v="23.236000000000001"/>
  </r>
  <r>
    <n v="1"/>
    <x v="2"/>
    <x v="45"/>
    <x v="5"/>
    <s v="Percent of GDP"/>
    <s v="Units"/>
    <x v="0"/>
    <n v="23.763000000000002"/>
  </r>
  <r>
    <n v="1"/>
    <x v="2"/>
    <x v="45"/>
    <x v="5"/>
    <s v="Percent of GDP"/>
    <s v="Units"/>
    <x v="1"/>
    <n v="25.023"/>
  </r>
  <r>
    <n v="1"/>
    <x v="2"/>
    <x v="45"/>
    <x v="5"/>
    <s v="Percent of GDP"/>
    <s v="Units"/>
    <x v="2"/>
    <n v="24.484999999999999"/>
  </r>
  <r>
    <n v="1"/>
    <x v="2"/>
    <x v="45"/>
    <x v="5"/>
    <s v="Percent of GDP"/>
    <s v="Units"/>
    <x v="3"/>
    <n v="24.164000000000001"/>
  </r>
  <r>
    <n v="1"/>
    <x v="2"/>
    <x v="45"/>
    <x v="5"/>
    <s v="Percent of GDP"/>
    <s v="Units"/>
    <x v="4"/>
    <n v="21.364000000000001"/>
  </r>
  <r>
    <n v="1"/>
    <x v="2"/>
    <x v="45"/>
    <x v="5"/>
    <s v="Percent of GDP"/>
    <s v="Units"/>
    <x v="5"/>
    <n v="22.771999999999998"/>
  </r>
  <r>
    <n v="1"/>
    <x v="2"/>
    <x v="45"/>
    <x v="5"/>
    <s v="Percent of GDP"/>
    <s v="Units"/>
    <x v="6"/>
    <n v="23.236000000000001"/>
  </r>
  <r>
    <n v="1"/>
    <x v="2"/>
    <x v="84"/>
    <x v="5"/>
    <s v="Percent of GDP"/>
    <s v="Units"/>
    <x v="0"/>
    <n v="21.323"/>
  </r>
  <r>
    <n v="1"/>
    <x v="2"/>
    <x v="84"/>
    <x v="5"/>
    <s v="Percent of GDP"/>
    <s v="Units"/>
    <x v="1"/>
    <n v="21.864999999999998"/>
  </r>
  <r>
    <n v="1"/>
    <x v="2"/>
    <x v="84"/>
    <x v="5"/>
    <s v="Percent of GDP"/>
    <s v="Units"/>
    <x v="2"/>
    <n v="21.504999999999999"/>
  </r>
  <r>
    <n v="1"/>
    <x v="2"/>
    <x v="84"/>
    <x v="5"/>
    <s v="Percent of GDP"/>
    <s v="Units"/>
    <x v="3"/>
    <n v="21.402999999999999"/>
  </r>
  <r>
    <n v="1"/>
    <x v="2"/>
    <x v="84"/>
    <x v="5"/>
    <s v="Percent of GDP"/>
    <s v="Units"/>
    <x v="4"/>
    <n v="22.120999999999999"/>
  </r>
  <r>
    <n v="1"/>
    <x v="2"/>
    <x v="84"/>
    <x v="5"/>
    <s v="Percent of GDP"/>
    <s v="Units"/>
    <x v="5"/>
    <n v="22.768999999999998"/>
  </r>
  <r>
    <n v="1"/>
    <x v="2"/>
    <x v="84"/>
    <x v="5"/>
    <s v="Percent of GDP"/>
    <s v="Units"/>
    <x v="6"/>
    <n v="22.783999999999999"/>
  </r>
  <r>
    <n v="110"/>
    <x v="0"/>
    <x v="84"/>
    <x v="5"/>
    <s v="Percent of GDP"/>
    <s v="Units"/>
    <x v="0"/>
    <n v="21.323"/>
  </r>
  <r>
    <n v="110"/>
    <x v="0"/>
    <x v="84"/>
    <x v="5"/>
    <s v="Percent of GDP"/>
    <s v="Units"/>
    <x v="1"/>
    <n v="21.864999999999998"/>
  </r>
  <r>
    <n v="110"/>
    <x v="0"/>
    <x v="84"/>
    <x v="5"/>
    <s v="Percent of GDP"/>
    <s v="Units"/>
    <x v="2"/>
    <n v="21.504999999999999"/>
  </r>
  <r>
    <n v="110"/>
    <x v="0"/>
    <x v="84"/>
    <x v="5"/>
    <s v="Percent of GDP"/>
    <s v="Units"/>
    <x v="3"/>
    <n v="21.402999999999999"/>
  </r>
  <r>
    <n v="110"/>
    <x v="0"/>
    <x v="84"/>
    <x v="5"/>
    <s v="Percent of GDP"/>
    <s v="Units"/>
    <x v="4"/>
    <n v="22.120999999999999"/>
  </r>
  <r>
    <n v="110"/>
    <x v="0"/>
    <x v="84"/>
    <x v="5"/>
    <s v="Percent of GDP"/>
    <s v="Units"/>
    <x v="5"/>
    <n v="22.768999999999998"/>
  </r>
  <r>
    <n v="110"/>
    <x v="0"/>
    <x v="84"/>
    <x v="5"/>
    <s v="Percent of GDP"/>
    <s v="Units"/>
    <x v="6"/>
    <n v="22.783999999999999"/>
  </r>
  <r>
    <n v="998"/>
    <x v="6"/>
    <x v="84"/>
    <x v="5"/>
    <s v="Percent of GDP"/>
    <s v="Units"/>
    <x v="0"/>
    <n v="21.323"/>
  </r>
  <r>
    <n v="998"/>
    <x v="6"/>
    <x v="84"/>
    <x v="5"/>
    <s v="Percent of GDP"/>
    <s v="Units"/>
    <x v="1"/>
    <n v="21.864999999999998"/>
  </r>
  <r>
    <n v="998"/>
    <x v="6"/>
    <x v="84"/>
    <x v="5"/>
    <s v="Percent of GDP"/>
    <s v="Units"/>
    <x v="2"/>
    <n v="21.504999999999999"/>
  </r>
  <r>
    <n v="998"/>
    <x v="6"/>
    <x v="84"/>
    <x v="5"/>
    <s v="Percent of GDP"/>
    <s v="Units"/>
    <x v="3"/>
    <n v="21.402999999999999"/>
  </r>
  <r>
    <n v="998"/>
    <x v="6"/>
    <x v="84"/>
    <x v="5"/>
    <s v="Percent of GDP"/>
    <s v="Units"/>
    <x v="4"/>
    <n v="22.120999999999999"/>
  </r>
  <r>
    <n v="998"/>
    <x v="6"/>
    <x v="84"/>
    <x v="5"/>
    <s v="Percent of GDP"/>
    <s v="Units"/>
    <x v="5"/>
    <n v="22.768999999999998"/>
  </r>
  <r>
    <n v="998"/>
    <x v="6"/>
    <x v="84"/>
    <x v="5"/>
    <s v="Percent of GDP"/>
    <s v="Units"/>
    <x v="6"/>
    <n v="22.783999999999999"/>
  </r>
  <r>
    <n v="163"/>
    <x v="5"/>
    <x v="84"/>
    <x v="5"/>
    <s v="Percent of GDP"/>
    <s v="Units"/>
    <x v="0"/>
    <n v="21.323"/>
  </r>
  <r>
    <n v="163"/>
    <x v="5"/>
    <x v="84"/>
    <x v="5"/>
    <s v="Percent of GDP"/>
    <s v="Units"/>
    <x v="1"/>
    <n v="21.864999999999998"/>
  </r>
  <r>
    <n v="163"/>
    <x v="5"/>
    <x v="84"/>
    <x v="5"/>
    <s v="Percent of GDP"/>
    <s v="Units"/>
    <x v="2"/>
    <n v="21.504999999999999"/>
  </r>
  <r>
    <n v="163"/>
    <x v="5"/>
    <x v="84"/>
    <x v="5"/>
    <s v="Percent of GDP"/>
    <s v="Units"/>
    <x v="3"/>
    <n v="21.402999999999999"/>
  </r>
  <r>
    <n v="163"/>
    <x v="5"/>
    <x v="84"/>
    <x v="5"/>
    <s v="Percent of GDP"/>
    <s v="Units"/>
    <x v="4"/>
    <n v="22.120999999999999"/>
  </r>
  <r>
    <n v="163"/>
    <x v="5"/>
    <x v="84"/>
    <x v="5"/>
    <s v="Percent of GDP"/>
    <s v="Units"/>
    <x v="5"/>
    <n v="22.768999999999998"/>
  </r>
  <r>
    <n v="163"/>
    <x v="5"/>
    <x v="84"/>
    <x v="5"/>
    <s v="Percent of GDP"/>
    <s v="Units"/>
    <x v="6"/>
    <n v="22.783999999999999"/>
  </r>
  <r>
    <n v="163"/>
    <x v="5"/>
    <x v="128"/>
    <x v="0"/>
    <s v="U.S. dollars"/>
    <s v="Billions"/>
    <x v="0"/>
    <n v="16.006"/>
  </r>
  <r>
    <n v="163"/>
    <x v="5"/>
    <x v="128"/>
    <x v="0"/>
    <s v="U.S. dollars"/>
    <s v="Billions"/>
    <x v="1"/>
    <n v="15.238"/>
  </r>
  <r>
    <n v="163"/>
    <x v="5"/>
    <x v="128"/>
    <x v="0"/>
    <s v="U.S. dollars"/>
    <s v="Billions"/>
    <x v="2"/>
    <n v="18.135999999999999"/>
  </r>
  <r>
    <n v="163"/>
    <x v="5"/>
    <x v="128"/>
    <x v="0"/>
    <s v="U.S. dollars"/>
    <s v="Billions"/>
    <x v="3"/>
    <n v="18.372"/>
  </r>
  <r>
    <n v="163"/>
    <x v="5"/>
    <x v="128"/>
    <x v="0"/>
    <s v="U.S. dollars"/>
    <s v="Billions"/>
    <x v="4"/>
    <n v="20.963000000000001"/>
  </r>
  <r>
    <n v="163"/>
    <x v="5"/>
    <x v="128"/>
    <x v="0"/>
    <s v="U.S. dollars"/>
    <s v="Billions"/>
    <x v="5"/>
    <n v="22.736999999999998"/>
  </r>
  <r>
    <n v="163"/>
    <x v="5"/>
    <x v="128"/>
    <x v="0"/>
    <s v="U.S. dollars"/>
    <s v="Billions"/>
    <x v="6"/>
    <n v="24.023"/>
  </r>
  <r>
    <n v="1"/>
    <x v="2"/>
    <x v="128"/>
    <x v="0"/>
    <s v="U.S. dollars"/>
    <s v="Billions"/>
    <x v="0"/>
    <n v="16.006"/>
  </r>
  <r>
    <n v="1"/>
    <x v="2"/>
    <x v="128"/>
    <x v="0"/>
    <s v="U.S. dollars"/>
    <s v="Billions"/>
    <x v="1"/>
    <n v="15.238"/>
  </r>
  <r>
    <n v="1"/>
    <x v="2"/>
    <x v="128"/>
    <x v="0"/>
    <s v="U.S. dollars"/>
    <s v="Billions"/>
    <x v="2"/>
    <n v="18.135999999999999"/>
  </r>
  <r>
    <n v="1"/>
    <x v="2"/>
    <x v="128"/>
    <x v="0"/>
    <s v="U.S. dollars"/>
    <s v="Billions"/>
    <x v="3"/>
    <n v="18.372"/>
  </r>
  <r>
    <n v="1"/>
    <x v="2"/>
    <x v="128"/>
    <x v="0"/>
    <s v="U.S. dollars"/>
    <s v="Billions"/>
    <x v="4"/>
    <n v="20.963000000000001"/>
  </r>
  <r>
    <n v="1"/>
    <x v="2"/>
    <x v="128"/>
    <x v="0"/>
    <s v="U.S. dollars"/>
    <s v="Billions"/>
    <x v="5"/>
    <n v="22.736999999999998"/>
  </r>
  <r>
    <n v="1"/>
    <x v="2"/>
    <x v="128"/>
    <x v="0"/>
    <s v="U.S. dollars"/>
    <s v="Billions"/>
    <x v="6"/>
    <n v="24.023"/>
  </r>
  <r>
    <n v="998"/>
    <x v="6"/>
    <x v="128"/>
    <x v="0"/>
    <s v="U.S. dollars"/>
    <s v="Billions"/>
    <x v="0"/>
    <n v="16.006"/>
  </r>
  <r>
    <n v="998"/>
    <x v="6"/>
    <x v="128"/>
    <x v="0"/>
    <s v="U.S. dollars"/>
    <s v="Billions"/>
    <x v="1"/>
    <n v="15.238"/>
  </r>
  <r>
    <n v="998"/>
    <x v="6"/>
    <x v="128"/>
    <x v="0"/>
    <s v="U.S. dollars"/>
    <s v="Billions"/>
    <x v="2"/>
    <n v="18.135999999999999"/>
  </r>
  <r>
    <n v="998"/>
    <x v="6"/>
    <x v="128"/>
    <x v="0"/>
    <s v="U.S. dollars"/>
    <s v="Billions"/>
    <x v="3"/>
    <n v="18.372"/>
  </r>
  <r>
    <n v="998"/>
    <x v="6"/>
    <x v="128"/>
    <x v="0"/>
    <s v="U.S. dollars"/>
    <s v="Billions"/>
    <x v="4"/>
    <n v="20.963000000000001"/>
  </r>
  <r>
    <n v="998"/>
    <x v="6"/>
    <x v="128"/>
    <x v="0"/>
    <s v="U.S. dollars"/>
    <s v="Billions"/>
    <x v="5"/>
    <n v="22.736999999999998"/>
  </r>
  <r>
    <n v="998"/>
    <x v="6"/>
    <x v="128"/>
    <x v="0"/>
    <s v="U.S. dollars"/>
    <s v="Billions"/>
    <x v="6"/>
    <n v="24.023"/>
  </r>
  <r>
    <n v="110"/>
    <x v="0"/>
    <x v="128"/>
    <x v="0"/>
    <s v="U.S. dollars"/>
    <s v="Billions"/>
    <x v="0"/>
    <n v="16.006"/>
  </r>
  <r>
    <n v="110"/>
    <x v="0"/>
    <x v="128"/>
    <x v="0"/>
    <s v="U.S. dollars"/>
    <s v="Billions"/>
    <x v="1"/>
    <n v="15.238"/>
  </r>
  <r>
    <n v="110"/>
    <x v="0"/>
    <x v="128"/>
    <x v="0"/>
    <s v="U.S. dollars"/>
    <s v="Billions"/>
    <x v="2"/>
    <n v="18.135999999999999"/>
  </r>
  <r>
    <n v="110"/>
    <x v="0"/>
    <x v="128"/>
    <x v="0"/>
    <s v="U.S. dollars"/>
    <s v="Billions"/>
    <x v="3"/>
    <n v="18.372"/>
  </r>
  <r>
    <n v="110"/>
    <x v="0"/>
    <x v="128"/>
    <x v="0"/>
    <s v="U.S. dollars"/>
    <s v="Billions"/>
    <x v="4"/>
    <n v="20.963000000000001"/>
  </r>
  <r>
    <n v="110"/>
    <x v="0"/>
    <x v="128"/>
    <x v="0"/>
    <s v="U.S. dollars"/>
    <s v="Billions"/>
    <x v="5"/>
    <n v="22.736999999999998"/>
  </r>
  <r>
    <n v="110"/>
    <x v="0"/>
    <x v="128"/>
    <x v="0"/>
    <s v="U.S. dollars"/>
    <s v="Billions"/>
    <x v="6"/>
    <n v="24.023"/>
  </r>
  <r>
    <n v="205"/>
    <x v="7"/>
    <x v="109"/>
    <x v="3"/>
    <s v="Percent of GDP"/>
    <s v="Units"/>
    <x v="0"/>
    <n v="22.545999999999999"/>
  </r>
  <r>
    <n v="205"/>
    <x v="7"/>
    <x v="109"/>
    <x v="3"/>
    <s v="Percent of GDP"/>
    <s v="Units"/>
    <x v="1"/>
    <n v="25.512"/>
  </r>
  <r>
    <n v="205"/>
    <x v="7"/>
    <x v="109"/>
    <x v="3"/>
    <s v="Percent of GDP"/>
    <s v="Units"/>
    <x v="2"/>
    <n v="24.308"/>
  </r>
  <r>
    <n v="205"/>
    <x v="7"/>
    <x v="109"/>
    <x v="3"/>
    <s v="Percent of GDP"/>
    <s v="Units"/>
    <x v="3"/>
    <n v="23.411999999999999"/>
  </r>
  <r>
    <n v="205"/>
    <x v="7"/>
    <x v="109"/>
    <x v="3"/>
    <s v="Percent of GDP"/>
    <s v="Units"/>
    <x v="4"/>
    <n v="23.684000000000001"/>
  </r>
  <r>
    <n v="205"/>
    <x v="7"/>
    <x v="109"/>
    <x v="3"/>
    <s v="Percent of GDP"/>
    <s v="Units"/>
    <x v="5"/>
    <n v="22.728999999999999"/>
  </r>
  <r>
    <n v="205"/>
    <x v="7"/>
    <x v="109"/>
    <x v="3"/>
    <s v="Percent of GDP"/>
    <s v="Units"/>
    <x v="6"/>
    <n v="22.021000000000001"/>
  </r>
  <r>
    <n v="200"/>
    <x v="3"/>
    <x v="109"/>
    <x v="3"/>
    <s v="Percent of GDP"/>
    <s v="Units"/>
    <x v="0"/>
    <n v="22.545999999999999"/>
  </r>
  <r>
    <n v="200"/>
    <x v="3"/>
    <x v="109"/>
    <x v="3"/>
    <s v="Percent of GDP"/>
    <s v="Units"/>
    <x v="1"/>
    <n v="25.512"/>
  </r>
  <r>
    <n v="200"/>
    <x v="3"/>
    <x v="109"/>
    <x v="3"/>
    <s v="Percent of GDP"/>
    <s v="Units"/>
    <x v="2"/>
    <n v="24.308"/>
  </r>
  <r>
    <n v="200"/>
    <x v="3"/>
    <x v="109"/>
    <x v="3"/>
    <s v="Percent of GDP"/>
    <s v="Units"/>
    <x v="3"/>
    <n v="23.411999999999999"/>
  </r>
  <r>
    <n v="200"/>
    <x v="3"/>
    <x v="109"/>
    <x v="3"/>
    <s v="Percent of GDP"/>
    <s v="Units"/>
    <x v="4"/>
    <n v="23.684000000000001"/>
  </r>
  <r>
    <n v="200"/>
    <x v="3"/>
    <x v="109"/>
    <x v="3"/>
    <s v="Percent of GDP"/>
    <s v="Units"/>
    <x v="5"/>
    <n v="22.728999999999999"/>
  </r>
  <r>
    <n v="200"/>
    <x v="3"/>
    <x v="109"/>
    <x v="3"/>
    <s v="Percent of GDP"/>
    <s v="Units"/>
    <x v="6"/>
    <n v="22.021000000000001"/>
  </r>
  <r>
    <n v="505"/>
    <x v="4"/>
    <x v="26"/>
    <x v="5"/>
    <s v="Percent of GDP"/>
    <s v="Units"/>
    <x v="0"/>
    <n v="30.847000000000001"/>
  </r>
  <r>
    <n v="505"/>
    <x v="4"/>
    <x v="26"/>
    <x v="5"/>
    <s v="Percent of GDP"/>
    <s v="Units"/>
    <x v="1"/>
    <n v="27.937999999999999"/>
  </r>
  <r>
    <n v="505"/>
    <x v="4"/>
    <x v="26"/>
    <x v="5"/>
    <s v="Percent of GDP"/>
    <s v="Units"/>
    <x v="2"/>
    <n v="26.597000000000001"/>
  </r>
  <r>
    <n v="505"/>
    <x v="4"/>
    <x v="26"/>
    <x v="5"/>
    <s v="Percent of GDP"/>
    <s v="Units"/>
    <x v="3"/>
    <n v="24.652999999999999"/>
  </r>
  <r>
    <n v="505"/>
    <x v="4"/>
    <x v="26"/>
    <x v="5"/>
    <s v="Percent of GDP"/>
    <s v="Units"/>
    <x v="4"/>
    <n v="23.841999999999999"/>
  </r>
  <r>
    <n v="505"/>
    <x v="4"/>
    <x v="26"/>
    <x v="5"/>
    <s v="Percent of GDP"/>
    <s v="Units"/>
    <x v="5"/>
    <n v="22.721"/>
  </r>
  <r>
    <n v="505"/>
    <x v="4"/>
    <x v="26"/>
    <x v="5"/>
    <s v="Percent of GDP"/>
    <s v="Units"/>
    <x v="6"/>
    <n v="23.024999999999999"/>
  </r>
  <r>
    <n v="200"/>
    <x v="3"/>
    <x v="26"/>
    <x v="5"/>
    <s v="Percent of GDP"/>
    <s v="Units"/>
    <x v="0"/>
    <n v="30.847000000000001"/>
  </r>
  <r>
    <n v="200"/>
    <x v="3"/>
    <x v="26"/>
    <x v="5"/>
    <s v="Percent of GDP"/>
    <s v="Units"/>
    <x v="1"/>
    <n v="27.937999999999999"/>
  </r>
  <r>
    <n v="200"/>
    <x v="3"/>
    <x v="26"/>
    <x v="5"/>
    <s v="Percent of GDP"/>
    <s v="Units"/>
    <x v="2"/>
    <n v="26.597000000000001"/>
  </r>
  <r>
    <n v="200"/>
    <x v="3"/>
    <x v="26"/>
    <x v="5"/>
    <s v="Percent of GDP"/>
    <s v="Units"/>
    <x v="3"/>
    <n v="24.652999999999999"/>
  </r>
  <r>
    <n v="200"/>
    <x v="3"/>
    <x v="26"/>
    <x v="5"/>
    <s v="Percent of GDP"/>
    <s v="Units"/>
    <x v="4"/>
    <n v="23.841999999999999"/>
  </r>
  <r>
    <n v="200"/>
    <x v="3"/>
    <x v="26"/>
    <x v="5"/>
    <s v="Percent of GDP"/>
    <s v="Units"/>
    <x v="5"/>
    <n v="22.721"/>
  </r>
  <r>
    <n v="200"/>
    <x v="3"/>
    <x v="26"/>
    <x v="5"/>
    <s v="Percent of GDP"/>
    <s v="Units"/>
    <x v="6"/>
    <n v="23.024999999999999"/>
  </r>
  <r>
    <n v="1"/>
    <x v="2"/>
    <x v="26"/>
    <x v="5"/>
    <s v="Percent of GDP"/>
    <s v="Units"/>
    <x v="0"/>
    <n v="30.847000000000001"/>
  </r>
  <r>
    <n v="1"/>
    <x v="2"/>
    <x v="26"/>
    <x v="5"/>
    <s v="Percent of GDP"/>
    <s v="Units"/>
    <x v="1"/>
    <n v="27.937999999999999"/>
  </r>
  <r>
    <n v="1"/>
    <x v="2"/>
    <x v="26"/>
    <x v="5"/>
    <s v="Percent of GDP"/>
    <s v="Units"/>
    <x v="2"/>
    <n v="26.597000000000001"/>
  </r>
  <r>
    <n v="1"/>
    <x v="2"/>
    <x v="26"/>
    <x v="5"/>
    <s v="Percent of GDP"/>
    <s v="Units"/>
    <x v="3"/>
    <n v="24.652999999999999"/>
  </r>
  <r>
    <n v="1"/>
    <x v="2"/>
    <x v="26"/>
    <x v="5"/>
    <s v="Percent of GDP"/>
    <s v="Units"/>
    <x v="4"/>
    <n v="23.841999999999999"/>
  </r>
  <r>
    <n v="1"/>
    <x v="2"/>
    <x v="26"/>
    <x v="5"/>
    <s v="Percent of GDP"/>
    <s v="Units"/>
    <x v="5"/>
    <n v="22.721"/>
  </r>
  <r>
    <n v="1"/>
    <x v="2"/>
    <x v="26"/>
    <x v="5"/>
    <s v="Percent of GDP"/>
    <s v="Units"/>
    <x v="6"/>
    <n v="23.024999999999999"/>
  </r>
  <r>
    <n v="510"/>
    <x v="10"/>
    <x v="26"/>
    <x v="5"/>
    <s v="Percent of GDP"/>
    <s v="Units"/>
    <x v="0"/>
    <n v="30.847000000000001"/>
  </r>
  <r>
    <n v="510"/>
    <x v="10"/>
    <x v="26"/>
    <x v="5"/>
    <s v="Percent of GDP"/>
    <s v="Units"/>
    <x v="1"/>
    <n v="27.937999999999999"/>
  </r>
  <r>
    <n v="510"/>
    <x v="10"/>
    <x v="26"/>
    <x v="5"/>
    <s v="Percent of GDP"/>
    <s v="Units"/>
    <x v="2"/>
    <n v="26.597000000000001"/>
  </r>
  <r>
    <n v="510"/>
    <x v="10"/>
    <x v="26"/>
    <x v="5"/>
    <s v="Percent of GDP"/>
    <s v="Units"/>
    <x v="3"/>
    <n v="24.652999999999999"/>
  </r>
  <r>
    <n v="510"/>
    <x v="10"/>
    <x v="26"/>
    <x v="5"/>
    <s v="Percent of GDP"/>
    <s v="Units"/>
    <x v="4"/>
    <n v="23.841999999999999"/>
  </r>
  <r>
    <n v="510"/>
    <x v="10"/>
    <x v="26"/>
    <x v="5"/>
    <s v="Percent of GDP"/>
    <s v="Units"/>
    <x v="5"/>
    <n v="22.721"/>
  </r>
  <r>
    <n v="510"/>
    <x v="10"/>
    <x v="26"/>
    <x v="5"/>
    <s v="Percent of GDP"/>
    <s v="Units"/>
    <x v="6"/>
    <n v="23.024999999999999"/>
  </r>
  <r>
    <n v="1"/>
    <x v="2"/>
    <x v="83"/>
    <x v="7"/>
    <s v="Percent of GDP"/>
    <s v="Units"/>
    <x v="0"/>
    <n v="25.087"/>
  </r>
  <r>
    <n v="1"/>
    <x v="2"/>
    <x v="83"/>
    <x v="7"/>
    <s v="Percent of GDP"/>
    <s v="Units"/>
    <x v="1"/>
    <n v="24.187999999999999"/>
  </r>
  <r>
    <n v="1"/>
    <x v="2"/>
    <x v="83"/>
    <x v="7"/>
    <s v="Percent of GDP"/>
    <s v="Units"/>
    <x v="2"/>
    <n v="25.172000000000001"/>
  </r>
  <r>
    <n v="1"/>
    <x v="2"/>
    <x v="83"/>
    <x v="7"/>
    <s v="Percent of GDP"/>
    <s v="Units"/>
    <x v="3"/>
    <n v="26.513000000000002"/>
  </r>
  <r>
    <n v="1"/>
    <x v="2"/>
    <x v="83"/>
    <x v="7"/>
    <s v="Percent of GDP"/>
    <s v="Units"/>
    <x v="4"/>
    <n v="21.373999999999999"/>
  </r>
  <r>
    <n v="1"/>
    <x v="2"/>
    <x v="83"/>
    <x v="7"/>
    <s v="Percent of GDP"/>
    <s v="Units"/>
    <x v="5"/>
    <n v="22.670999999999999"/>
  </r>
  <r>
    <n v="1"/>
    <x v="2"/>
    <x v="83"/>
    <x v="7"/>
    <s v="Percent of GDP"/>
    <s v="Units"/>
    <x v="6"/>
    <n v="23.123000000000001"/>
  </r>
  <r>
    <n v="903"/>
    <x v="8"/>
    <x v="83"/>
    <x v="7"/>
    <s v="Percent of GDP"/>
    <s v="Units"/>
    <x v="0"/>
    <n v="25.087"/>
  </r>
  <r>
    <n v="903"/>
    <x v="8"/>
    <x v="83"/>
    <x v="7"/>
    <s v="Percent of GDP"/>
    <s v="Units"/>
    <x v="1"/>
    <n v="24.187999999999999"/>
  </r>
  <r>
    <n v="903"/>
    <x v="8"/>
    <x v="83"/>
    <x v="7"/>
    <s v="Percent of GDP"/>
    <s v="Units"/>
    <x v="2"/>
    <n v="25.172000000000001"/>
  </r>
  <r>
    <n v="903"/>
    <x v="8"/>
    <x v="83"/>
    <x v="7"/>
    <s v="Percent of GDP"/>
    <s v="Units"/>
    <x v="3"/>
    <n v="26.513000000000002"/>
  </r>
  <r>
    <n v="903"/>
    <x v="8"/>
    <x v="83"/>
    <x v="7"/>
    <s v="Percent of GDP"/>
    <s v="Units"/>
    <x v="4"/>
    <n v="21.373999999999999"/>
  </r>
  <r>
    <n v="903"/>
    <x v="8"/>
    <x v="83"/>
    <x v="7"/>
    <s v="Percent of GDP"/>
    <s v="Units"/>
    <x v="5"/>
    <n v="22.670999999999999"/>
  </r>
  <r>
    <n v="903"/>
    <x v="8"/>
    <x v="83"/>
    <x v="7"/>
    <s v="Percent of GDP"/>
    <s v="Units"/>
    <x v="6"/>
    <n v="23.123000000000001"/>
  </r>
  <r>
    <n v="200"/>
    <x v="3"/>
    <x v="83"/>
    <x v="7"/>
    <s v="Percent of GDP"/>
    <s v="Units"/>
    <x v="0"/>
    <n v="25.087"/>
  </r>
  <r>
    <n v="200"/>
    <x v="3"/>
    <x v="83"/>
    <x v="7"/>
    <s v="Percent of GDP"/>
    <s v="Units"/>
    <x v="1"/>
    <n v="24.187999999999999"/>
  </r>
  <r>
    <n v="200"/>
    <x v="3"/>
    <x v="83"/>
    <x v="7"/>
    <s v="Percent of GDP"/>
    <s v="Units"/>
    <x v="2"/>
    <n v="25.172000000000001"/>
  </r>
  <r>
    <n v="200"/>
    <x v="3"/>
    <x v="83"/>
    <x v="7"/>
    <s v="Percent of GDP"/>
    <s v="Units"/>
    <x v="3"/>
    <n v="26.513000000000002"/>
  </r>
  <r>
    <n v="200"/>
    <x v="3"/>
    <x v="83"/>
    <x v="7"/>
    <s v="Percent of GDP"/>
    <s v="Units"/>
    <x v="4"/>
    <n v="21.373999999999999"/>
  </r>
  <r>
    <n v="200"/>
    <x v="3"/>
    <x v="83"/>
    <x v="7"/>
    <s v="Percent of GDP"/>
    <s v="Units"/>
    <x v="5"/>
    <n v="22.670999999999999"/>
  </r>
  <r>
    <n v="200"/>
    <x v="3"/>
    <x v="83"/>
    <x v="7"/>
    <s v="Percent of GDP"/>
    <s v="Units"/>
    <x v="6"/>
    <n v="23.123000000000001"/>
  </r>
  <r>
    <n v="603"/>
    <x v="12"/>
    <x v="168"/>
    <x v="3"/>
    <s v="Percent of GDP"/>
    <s v="Units"/>
    <x v="0"/>
    <n v="23.934999999999999"/>
  </r>
  <r>
    <n v="603"/>
    <x v="12"/>
    <x v="168"/>
    <x v="3"/>
    <s v="Percent of GDP"/>
    <s v="Units"/>
    <x v="1"/>
    <n v="25.347999999999999"/>
  </r>
  <r>
    <n v="603"/>
    <x v="12"/>
    <x v="168"/>
    <x v="3"/>
    <s v="Percent of GDP"/>
    <s v="Units"/>
    <x v="2"/>
    <n v="21.495999999999999"/>
  </r>
  <r>
    <n v="603"/>
    <x v="12"/>
    <x v="168"/>
    <x v="3"/>
    <s v="Percent of GDP"/>
    <s v="Units"/>
    <x v="3"/>
    <n v="22.318000000000001"/>
  </r>
  <r>
    <n v="603"/>
    <x v="12"/>
    <x v="168"/>
    <x v="3"/>
    <s v="Percent of GDP"/>
    <s v="Units"/>
    <x v="4"/>
    <n v="24.600999999999999"/>
  </r>
  <r>
    <n v="603"/>
    <x v="12"/>
    <x v="168"/>
    <x v="3"/>
    <s v="Percent of GDP"/>
    <s v="Units"/>
    <x v="5"/>
    <n v="22.664999999999999"/>
  </r>
  <r>
    <n v="603"/>
    <x v="12"/>
    <x v="168"/>
    <x v="3"/>
    <s v="Percent of GDP"/>
    <s v="Units"/>
    <x v="6"/>
    <n v="20.856000000000002"/>
  </r>
  <r>
    <n v="200"/>
    <x v="3"/>
    <x v="168"/>
    <x v="3"/>
    <s v="Percent of GDP"/>
    <s v="Units"/>
    <x v="0"/>
    <n v="23.934999999999999"/>
  </r>
  <r>
    <n v="200"/>
    <x v="3"/>
    <x v="168"/>
    <x v="3"/>
    <s v="Percent of GDP"/>
    <s v="Units"/>
    <x v="1"/>
    <n v="25.347999999999999"/>
  </r>
  <r>
    <n v="200"/>
    <x v="3"/>
    <x v="168"/>
    <x v="3"/>
    <s v="Percent of GDP"/>
    <s v="Units"/>
    <x v="2"/>
    <n v="21.495999999999999"/>
  </r>
  <r>
    <n v="200"/>
    <x v="3"/>
    <x v="168"/>
    <x v="3"/>
    <s v="Percent of GDP"/>
    <s v="Units"/>
    <x v="3"/>
    <n v="22.318000000000001"/>
  </r>
  <r>
    <n v="200"/>
    <x v="3"/>
    <x v="168"/>
    <x v="3"/>
    <s v="Percent of GDP"/>
    <s v="Units"/>
    <x v="4"/>
    <n v="24.600999999999999"/>
  </r>
  <r>
    <n v="200"/>
    <x v="3"/>
    <x v="168"/>
    <x v="3"/>
    <s v="Percent of GDP"/>
    <s v="Units"/>
    <x v="5"/>
    <n v="22.664999999999999"/>
  </r>
  <r>
    <n v="200"/>
    <x v="3"/>
    <x v="168"/>
    <x v="3"/>
    <s v="Percent of GDP"/>
    <s v="Units"/>
    <x v="6"/>
    <n v="20.856000000000002"/>
  </r>
  <r>
    <n v="119"/>
    <x v="1"/>
    <x v="8"/>
    <x v="5"/>
    <s v="Percent of GDP"/>
    <s v="Units"/>
    <x v="0"/>
    <n v="21.5"/>
  </r>
  <r>
    <n v="119"/>
    <x v="1"/>
    <x v="8"/>
    <x v="5"/>
    <s v="Percent of GDP"/>
    <s v="Units"/>
    <x v="1"/>
    <n v="21.584"/>
  </r>
  <r>
    <n v="119"/>
    <x v="1"/>
    <x v="8"/>
    <x v="5"/>
    <s v="Percent of GDP"/>
    <s v="Units"/>
    <x v="2"/>
    <n v="24.16"/>
  </r>
  <r>
    <n v="119"/>
    <x v="1"/>
    <x v="8"/>
    <x v="5"/>
    <s v="Percent of GDP"/>
    <s v="Units"/>
    <x v="3"/>
    <n v="21.635999999999999"/>
  </r>
  <r>
    <n v="119"/>
    <x v="1"/>
    <x v="8"/>
    <x v="5"/>
    <s v="Percent of GDP"/>
    <s v="Units"/>
    <x v="4"/>
    <n v="21.071999999999999"/>
  </r>
  <r>
    <n v="119"/>
    <x v="1"/>
    <x v="8"/>
    <x v="5"/>
    <s v="Percent of GDP"/>
    <s v="Units"/>
    <x v="5"/>
    <n v="22.594999999999999"/>
  </r>
  <r>
    <n v="119"/>
    <x v="1"/>
    <x v="8"/>
    <x v="5"/>
    <s v="Percent of GDP"/>
    <s v="Units"/>
    <x v="6"/>
    <n v="23.24"/>
  </r>
  <r>
    <n v="1"/>
    <x v="2"/>
    <x v="8"/>
    <x v="5"/>
    <s v="Percent of GDP"/>
    <s v="Units"/>
    <x v="0"/>
    <n v="21.5"/>
  </r>
  <r>
    <n v="1"/>
    <x v="2"/>
    <x v="8"/>
    <x v="5"/>
    <s v="Percent of GDP"/>
    <s v="Units"/>
    <x v="1"/>
    <n v="21.584"/>
  </r>
  <r>
    <n v="1"/>
    <x v="2"/>
    <x v="8"/>
    <x v="5"/>
    <s v="Percent of GDP"/>
    <s v="Units"/>
    <x v="2"/>
    <n v="24.16"/>
  </r>
  <r>
    <n v="1"/>
    <x v="2"/>
    <x v="8"/>
    <x v="5"/>
    <s v="Percent of GDP"/>
    <s v="Units"/>
    <x v="3"/>
    <n v="21.635999999999999"/>
  </r>
  <r>
    <n v="1"/>
    <x v="2"/>
    <x v="8"/>
    <x v="5"/>
    <s v="Percent of GDP"/>
    <s v="Units"/>
    <x v="4"/>
    <n v="21.071999999999999"/>
  </r>
  <r>
    <n v="1"/>
    <x v="2"/>
    <x v="8"/>
    <x v="5"/>
    <s v="Percent of GDP"/>
    <s v="Units"/>
    <x v="5"/>
    <n v="22.594999999999999"/>
  </r>
  <r>
    <n v="1"/>
    <x v="2"/>
    <x v="8"/>
    <x v="5"/>
    <s v="Percent of GDP"/>
    <s v="Units"/>
    <x v="6"/>
    <n v="23.24"/>
  </r>
  <r>
    <n v="163"/>
    <x v="5"/>
    <x v="8"/>
    <x v="5"/>
    <s v="Percent of GDP"/>
    <s v="Units"/>
    <x v="0"/>
    <n v="21.5"/>
  </r>
  <r>
    <n v="163"/>
    <x v="5"/>
    <x v="8"/>
    <x v="5"/>
    <s v="Percent of GDP"/>
    <s v="Units"/>
    <x v="1"/>
    <n v="21.584"/>
  </r>
  <r>
    <n v="163"/>
    <x v="5"/>
    <x v="8"/>
    <x v="5"/>
    <s v="Percent of GDP"/>
    <s v="Units"/>
    <x v="2"/>
    <n v="24.16"/>
  </r>
  <r>
    <n v="163"/>
    <x v="5"/>
    <x v="8"/>
    <x v="5"/>
    <s v="Percent of GDP"/>
    <s v="Units"/>
    <x v="3"/>
    <n v="21.635999999999999"/>
  </r>
  <r>
    <n v="163"/>
    <x v="5"/>
    <x v="8"/>
    <x v="5"/>
    <s v="Percent of GDP"/>
    <s v="Units"/>
    <x v="4"/>
    <n v="21.071999999999999"/>
  </r>
  <r>
    <n v="163"/>
    <x v="5"/>
    <x v="8"/>
    <x v="5"/>
    <s v="Percent of GDP"/>
    <s v="Units"/>
    <x v="5"/>
    <n v="22.594999999999999"/>
  </r>
  <r>
    <n v="163"/>
    <x v="5"/>
    <x v="8"/>
    <x v="5"/>
    <s v="Percent of GDP"/>
    <s v="Units"/>
    <x v="6"/>
    <n v="23.24"/>
  </r>
  <r>
    <n v="110"/>
    <x v="0"/>
    <x v="8"/>
    <x v="5"/>
    <s v="Percent of GDP"/>
    <s v="Units"/>
    <x v="0"/>
    <n v="21.5"/>
  </r>
  <r>
    <n v="110"/>
    <x v="0"/>
    <x v="8"/>
    <x v="5"/>
    <s v="Percent of GDP"/>
    <s v="Units"/>
    <x v="1"/>
    <n v="21.584"/>
  </r>
  <r>
    <n v="110"/>
    <x v="0"/>
    <x v="8"/>
    <x v="5"/>
    <s v="Percent of GDP"/>
    <s v="Units"/>
    <x v="2"/>
    <n v="24.16"/>
  </r>
  <r>
    <n v="110"/>
    <x v="0"/>
    <x v="8"/>
    <x v="5"/>
    <s v="Percent of GDP"/>
    <s v="Units"/>
    <x v="3"/>
    <n v="21.635999999999999"/>
  </r>
  <r>
    <n v="110"/>
    <x v="0"/>
    <x v="8"/>
    <x v="5"/>
    <s v="Percent of GDP"/>
    <s v="Units"/>
    <x v="4"/>
    <n v="21.071999999999999"/>
  </r>
  <r>
    <n v="110"/>
    <x v="0"/>
    <x v="8"/>
    <x v="5"/>
    <s v="Percent of GDP"/>
    <s v="Units"/>
    <x v="5"/>
    <n v="22.594999999999999"/>
  </r>
  <r>
    <n v="110"/>
    <x v="0"/>
    <x v="8"/>
    <x v="5"/>
    <s v="Percent of GDP"/>
    <s v="Units"/>
    <x v="6"/>
    <n v="23.24"/>
  </r>
  <r>
    <n v="998"/>
    <x v="6"/>
    <x v="8"/>
    <x v="5"/>
    <s v="Percent of GDP"/>
    <s v="Units"/>
    <x v="0"/>
    <n v="21.5"/>
  </r>
  <r>
    <n v="998"/>
    <x v="6"/>
    <x v="8"/>
    <x v="5"/>
    <s v="Percent of GDP"/>
    <s v="Units"/>
    <x v="1"/>
    <n v="21.584"/>
  </r>
  <r>
    <n v="998"/>
    <x v="6"/>
    <x v="8"/>
    <x v="5"/>
    <s v="Percent of GDP"/>
    <s v="Units"/>
    <x v="2"/>
    <n v="24.16"/>
  </r>
  <r>
    <n v="998"/>
    <x v="6"/>
    <x v="8"/>
    <x v="5"/>
    <s v="Percent of GDP"/>
    <s v="Units"/>
    <x v="3"/>
    <n v="21.635999999999999"/>
  </r>
  <r>
    <n v="998"/>
    <x v="6"/>
    <x v="8"/>
    <x v="5"/>
    <s v="Percent of GDP"/>
    <s v="Units"/>
    <x v="4"/>
    <n v="21.071999999999999"/>
  </r>
  <r>
    <n v="998"/>
    <x v="6"/>
    <x v="8"/>
    <x v="5"/>
    <s v="Percent of GDP"/>
    <s v="Units"/>
    <x v="5"/>
    <n v="22.594999999999999"/>
  </r>
  <r>
    <n v="998"/>
    <x v="6"/>
    <x v="8"/>
    <x v="5"/>
    <s v="Percent of GDP"/>
    <s v="Units"/>
    <x v="6"/>
    <n v="23.24"/>
  </r>
  <r>
    <n v="200"/>
    <x v="3"/>
    <x v="109"/>
    <x v="7"/>
    <s v="Percent of GDP"/>
    <s v="Units"/>
    <x v="0"/>
    <n v="21.684999999999999"/>
  </r>
  <r>
    <n v="200"/>
    <x v="3"/>
    <x v="109"/>
    <x v="7"/>
    <s v="Percent of GDP"/>
    <s v="Units"/>
    <x v="1"/>
    <n v="20.041"/>
  </r>
  <r>
    <n v="200"/>
    <x v="3"/>
    <x v="109"/>
    <x v="7"/>
    <s v="Percent of GDP"/>
    <s v="Units"/>
    <x v="2"/>
    <n v="23.998000000000001"/>
  </r>
  <r>
    <n v="200"/>
    <x v="3"/>
    <x v="109"/>
    <x v="7"/>
    <s v="Percent of GDP"/>
    <s v="Units"/>
    <x v="3"/>
    <n v="27.686"/>
  </r>
  <r>
    <n v="200"/>
    <x v="3"/>
    <x v="109"/>
    <x v="7"/>
    <s v="Percent of GDP"/>
    <s v="Units"/>
    <x v="4"/>
    <n v="22.018999999999998"/>
  </r>
  <r>
    <n v="200"/>
    <x v="3"/>
    <x v="109"/>
    <x v="7"/>
    <s v="Percent of GDP"/>
    <s v="Units"/>
    <x v="5"/>
    <n v="22.594000000000001"/>
  </r>
  <r>
    <n v="200"/>
    <x v="3"/>
    <x v="109"/>
    <x v="7"/>
    <s v="Percent of GDP"/>
    <s v="Units"/>
    <x v="6"/>
    <n v="22.382999999999999"/>
  </r>
  <r>
    <n v="205"/>
    <x v="7"/>
    <x v="109"/>
    <x v="7"/>
    <s v="Percent of GDP"/>
    <s v="Units"/>
    <x v="0"/>
    <n v="21.684999999999999"/>
  </r>
  <r>
    <n v="205"/>
    <x v="7"/>
    <x v="109"/>
    <x v="7"/>
    <s v="Percent of GDP"/>
    <s v="Units"/>
    <x v="1"/>
    <n v="20.041"/>
  </r>
  <r>
    <n v="205"/>
    <x v="7"/>
    <x v="109"/>
    <x v="7"/>
    <s v="Percent of GDP"/>
    <s v="Units"/>
    <x v="2"/>
    <n v="23.998000000000001"/>
  </r>
  <r>
    <n v="205"/>
    <x v="7"/>
    <x v="109"/>
    <x v="7"/>
    <s v="Percent of GDP"/>
    <s v="Units"/>
    <x v="3"/>
    <n v="27.686"/>
  </r>
  <r>
    <n v="205"/>
    <x v="7"/>
    <x v="109"/>
    <x v="7"/>
    <s v="Percent of GDP"/>
    <s v="Units"/>
    <x v="4"/>
    <n v="22.018999999999998"/>
  </r>
  <r>
    <n v="205"/>
    <x v="7"/>
    <x v="109"/>
    <x v="7"/>
    <s v="Percent of GDP"/>
    <s v="Units"/>
    <x v="5"/>
    <n v="22.594000000000001"/>
  </r>
  <r>
    <n v="205"/>
    <x v="7"/>
    <x v="109"/>
    <x v="7"/>
    <s v="Percent of GDP"/>
    <s v="Units"/>
    <x v="6"/>
    <n v="22.382999999999999"/>
  </r>
  <r>
    <n v="1"/>
    <x v="2"/>
    <x v="109"/>
    <x v="7"/>
    <s v="Percent of GDP"/>
    <s v="Units"/>
    <x v="0"/>
    <n v="21.684999999999999"/>
  </r>
  <r>
    <n v="1"/>
    <x v="2"/>
    <x v="109"/>
    <x v="7"/>
    <s v="Percent of GDP"/>
    <s v="Units"/>
    <x v="1"/>
    <n v="20.041"/>
  </r>
  <r>
    <n v="1"/>
    <x v="2"/>
    <x v="109"/>
    <x v="7"/>
    <s v="Percent of GDP"/>
    <s v="Units"/>
    <x v="2"/>
    <n v="23.998000000000001"/>
  </r>
  <r>
    <n v="1"/>
    <x v="2"/>
    <x v="109"/>
    <x v="7"/>
    <s v="Percent of GDP"/>
    <s v="Units"/>
    <x v="3"/>
    <n v="27.686"/>
  </r>
  <r>
    <n v="1"/>
    <x v="2"/>
    <x v="109"/>
    <x v="7"/>
    <s v="Percent of GDP"/>
    <s v="Units"/>
    <x v="4"/>
    <n v="22.018999999999998"/>
  </r>
  <r>
    <n v="1"/>
    <x v="2"/>
    <x v="109"/>
    <x v="7"/>
    <s v="Percent of GDP"/>
    <s v="Units"/>
    <x v="5"/>
    <n v="22.594000000000001"/>
  </r>
  <r>
    <n v="1"/>
    <x v="2"/>
    <x v="109"/>
    <x v="7"/>
    <s v="Percent of GDP"/>
    <s v="Units"/>
    <x v="6"/>
    <n v="22.382999999999999"/>
  </r>
  <r>
    <n v="110"/>
    <x v="0"/>
    <x v="2"/>
    <x v="7"/>
    <s v="Percent of GDP"/>
    <s v="Units"/>
    <x v="0"/>
    <n v="21.87"/>
  </r>
  <r>
    <n v="110"/>
    <x v="0"/>
    <x v="2"/>
    <x v="7"/>
    <s v="Percent of GDP"/>
    <s v="Units"/>
    <x v="1"/>
    <n v="21.969000000000001"/>
  </r>
  <r>
    <n v="110"/>
    <x v="0"/>
    <x v="2"/>
    <x v="7"/>
    <s v="Percent of GDP"/>
    <s v="Units"/>
    <x v="2"/>
    <n v="23.216999999999999"/>
  </r>
  <r>
    <n v="110"/>
    <x v="0"/>
    <x v="2"/>
    <x v="7"/>
    <s v="Percent of GDP"/>
    <s v="Units"/>
    <x v="3"/>
    <n v="25.029"/>
  </r>
  <r>
    <n v="110"/>
    <x v="0"/>
    <x v="2"/>
    <x v="7"/>
    <s v="Percent of GDP"/>
    <s v="Units"/>
    <x v="4"/>
    <n v="23.571000000000002"/>
  </r>
  <r>
    <n v="110"/>
    <x v="0"/>
    <x v="2"/>
    <x v="7"/>
    <s v="Percent of GDP"/>
    <s v="Units"/>
    <x v="5"/>
    <n v="22.582999999999998"/>
  </r>
  <r>
    <n v="110"/>
    <x v="0"/>
    <x v="2"/>
    <x v="7"/>
    <s v="Percent of GDP"/>
    <s v="Units"/>
    <x v="6"/>
    <n v="22.713999999999999"/>
  </r>
  <r>
    <n v="998"/>
    <x v="6"/>
    <x v="2"/>
    <x v="7"/>
    <s v="Percent of GDP"/>
    <s v="Units"/>
    <x v="0"/>
    <n v="21.87"/>
  </r>
  <r>
    <n v="998"/>
    <x v="6"/>
    <x v="2"/>
    <x v="7"/>
    <s v="Percent of GDP"/>
    <s v="Units"/>
    <x v="1"/>
    <n v="21.969000000000001"/>
  </r>
  <r>
    <n v="998"/>
    <x v="6"/>
    <x v="2"/>
    <x v="7"/>
    <s v="Percent of GDP"/>
    <s v="Units"/>
    <x v="2"/>
    <n v="23.216999999999999"/>
  </r>
  <r>
    <n v="998"/>
    <x v="6"/>
    <x v="2"/>
    <x v="7"/>
    <s v="Percent of GDP"/>
    <s v="Units"/>
    <x v="3"/>
    <n v="25.029"/>
  </r>
  <r>
    <n v="998"/>
    <x v="6"/>
    <x v="2"/>
    <x v="7"/>
    <s v="Percent of GDP"/>
    <s v="Units"/>
    <x v="4"/>
    <n v="23.571000000000002"/>
  </r>
  <r>
    <n v="998"/>
    <x v="6"/>
    <x v="2"/>
    <x v="7"/>
    <s v="Percent of GDP"/>
    <s v="Units"/>
    <x v="5"/>
    <n v="22.582999999999998"/>
  </r>
  <r>
    <n v="998"/>
    <x v="6"/>
    <x v="2"/>
    <x v="7"/>
    <s v="Percent of GDP"/>
    <s v="Units"/>
    <x v="6"/>
    <n v="22.713999999999999"/>
  </r>
  <r>
    <n v="163"/>
    <x v="5"/>
    <x v="2"/>
    <x v="7"/>
    <s v="Percent of GDP"/>
    <s v="Units"/>
    <x v="0"/>
    <n v="21.87"/>
  </r>
  <r>
    <n v="163"/>
    <x v="5"/>
    <x v="2"/>
    <x v="7"/>
    <s v="Percent of GDP"/>
    <s v="Units"/>
    <x v="1"/>
    <n v="21.969000000000001"/>
  </r>
  <r>
    <n v="163"/>
    <x v="5"/>
    <x v="2"/>
    <x v="7"/>
    <s v="Percent of GDP"/>
    <s v="Units"/>
    <x v="2"/>
    <n v="23.216999999999999"/>
  </r>
  <r>
    <n v="163"/>
    <x v="5"/>
    <x v="2"/>
    <x v="7"/>
    <s v="Percent of GDP"/>
    <s v="Units"/>
    <x v="3"/>
    <n v="25.029"/>
  </r>
  <r>
    <n v="163"/>
    <x v="5"/>
    <x v="2"/>
    <x v="7"/>
    <s v="Percent of GDP"/>
    <s v="Units"/>
    <x v="4"/>
    <n v="23.571000000000002"/>
  </r>
  <r>
    <n v="163"/>
    <x v="5"/>
    <x v="2"/>
    <x v="7"/>
    <s v="Percent of GDP"/>
    <s v="Units"/>
    <x v="5"/>
    <n v="22.582999999999998"/>
  </r>
  <r>
    <n v="163"/>
    <x v="5"/>
    <x v="2"/>
    <x v="7"/>
    <s v="Percent of GDP"/>
    <s v="Units"/>
    <x v="6"/>
    <n v="22.713999999999999"/>
  </r>
  <r>
    <n v="1"/>
    <x v="2"/>
    <x v="2"/>
    <x v="7"/>
    <s v="Percent of GDP"/>
    <s v="Units"/>
    <x v="0"/>
    <n v="21.87"/>
  </r>
  <r>
    <n v="1"/>
    <x v="2"/>
    <x v="2"/>
    <x v="7"/>
    <s v="Percent of GDP"/>
    <s v="Units"/>
    <x v="1"/>
    <n v="21.969000000000001"/>
  </r>
  <r>
    <n v="1"/>
    <x v="2"/>
    <x v="2"/>
    <x v="7"/>
    <s v="Percent of GDP"/>
    <s v="Units"/>
    <x v="2"/>
    <n v="23.216999999999999"/>
  </r>
  <r>
    <n v="1"/>
    <x v="2"/>
    <x v="2"/>
    <x v="7"/>
    <s v="Percent of GDP"/>
    <s v="Units"/>
    <x v="3"/>
    <n v="25.029"/>
  </r>
  <r>
    <n v="1"/>
    <x v="2"/>
    <x v="2"/>
    <x v="7"/>
    <s v="Percent of GDP"/>
    <s v="Units"/>
    <x v="4"/>
    <n v="23.571000000000002"/>
  </r>
  <r>
    <n v="1"/>
    <x v="2"/>
    <x v="2"/>
    <x v="7"/>
    <s v="Percent of GDP"/>
    <s v="Units"/>
    <x v="5"/>
    <n v="22.582999999999998"/>
  </r>
  <r>
    <n v="1"/>
    <x v="2"/>
    <x v="2"/>
    <x v="7"/>
    <s v="Percent of GDP"/>
    <s v="Units"/>
    <x v="6"/>
    <n v="22.713999999999999"/>
  </r>
  <r>
    <n v="119"/>
    <x v="1"/>
    <x v="2"/>
    <x v="7"/>
    <s v="Percent of GDP"/>
    <s v="Units"/>
    <x v="0"/>
    <n v="21.87"/>
  </r>
  <r>
    <n v="119"/>
    <x v="1"/>
    <x v="2"/>
    <x v="7"/>
    <s v="Percent of GDP"/>
    <s v="Units"/>
    <x v="1"/>
    <n v="21.969000000000001"/>
  </r>
  <r>
    <n v="119"/>
    <x v="1"/>
    <x v="2"/>
    <x v="7"/>
    <s v="Percent of GDP"/>
    <s v="Units"/>
    <x v="2"/>
    <n v="23.216999999999999"/>
  </r>
  <r>
    <n v="119"/>
    <x v="1"/>
    <x v="2"/>
    <x v="7"/>
    <s v="Percent of GDP"/>
    <s v="Units"/>
    <x v="3"/>
    <n v="25.029"/>
  </r>
  <r>
    <n v="119"/>
    <x v="1"/>
    <x v="2"/>
    <x v="7"/>
    <s v="Percent of GDP"/>
    <s v="Units"/>
    <x v="4"/>
    <n v="23.571000000000002"/>
  </r>
  <r>
    <n v="119"/>
    <x v="1"/>
    <x v="2"/>
    <x v="7"/>
    <s v="Percent of GDP"/>
    <s v="Units"/>
    <x v="5"/>
    <n v="22.582999999999998"/>
  </r>
  <r>
    <n v="119"/>
    <x v="1"/>
    <x v="2"/>
    <x v="7"/>
    <s v="Percent of GDP"/>
    <s v="Units"/>
    <x v="6"/>
    <n v="22.713999999999999"/>
  </r>
  <r>
    <n v="200"/>
    <x v="3"/>
    <x v="48"/>
    <x v="3"/>
    <s v="Percent of GDP"/>
    <s v="Units"/>
    <x v="0"/>
    <n v="21.178000000000001"/>
  </r>
  <r>
    <n v="200"/>
    <x v="3"/>
    <x v="48"/>
    <x v="3"/>
    <s v="Percent of GDP"/>
    <s v="Units"/>
    <x v="1"/>
    <n v="26.811"/>
  </r>
  <r>
    <n v="200"/>
    <x v="3"/>
    <x v="48"/>
    <x v="3"/>
    <s v="Percent of GDP"/>
    <s v="Units"/>
    <x v="2"/>
    <n v="23.518000000000001"/>
  </r>
  <r>
    <n v="200"/>
    <x v="3"/>
    <x v="48"/>
    <x v="3"/>
    <s v="Percent of GDP"/>
    <s v="Units"/>
    <x v="3"/>
    <n v="23.414999999999999"/>
  </r>
  <r>
    <n v="200"/>
    <x v="3"/>
    <x v="48"/>
    <x v="3"/>
    <s v="Percent of GDP"/>
    <s v="Units"/>
    <x v="4"/>
    <n v="22.425000000000001"/>
  </r>
  <r>
    <n v="200"/>
    <x v="3"/>
    <x v="48"/>
    <x v="3"/>
    <s v="Percent of GDP"/>
    <s v="Units"/>
    <x v="5"/>
    <n v="22.548999999999999"/>
  </r>
  <r>
    <n v="200"/>
    <x v="3"/>
    <x v="48"/>
    <x v="3"/>
    <s v="Percent of GDP"/>
    <s v="Units"/>
    <x v="6"/>
    <n v="21.92"/>
  </r>
  <r>
    <n v="205"/>
    <x v="7"/>
    <x v="48"/>
    <x v="3"/>
    <s v="Percent of GDP"/>
    <s v="Units"/>
    <x v="0"/>
    <n v="21.178000000000001"/>
  </r>
  <r>
    <n v="205"/>
    <x v="7"/>
    <x v="48"/>
    <x v="3"/>
    <s v="Percent of GDP"/>
    <s v="Units"/>
    <x v="1"/>
    <n v="26.811"/>
  </r>
  <r>
    <n v="205"/>
    <x v="7"/>
    <x v="48"/>
    <x v="3"/>
    <s v="Percent of GDP"/>
    <s v="Units"/>
    <x v="2"/>
    <n v="23.518000000000001"/>
  </r>
  <r>
    <n v="205"/>
    <x v="7"/>
    <x v="48"/>
    <x v="3"/>
    <s v="Percent of GDP"/>
    <s v="Units"/>
    <x v="3"/>
    <n v="23.414999999999999"/>
  </r>
  <r>
    <n v="205"/>
    <x v="7"/>
    <x v="48"/>
    <x v="3"/>
    <s v="Percent of GDP"/>
    <s v="Units"/>
    <x v="4"/>
    <n v="22.425000000000001"/>
  </r>
  <r>
    <n v="205"/>
    <x v="7"/>
    <x v="48"/>
    <x v="3"/>
    <s v="Percent of GDP"/>
    <s v="Units"/>
    <x v="5"/>
    <n v="22.548999999999999"/>
  </r>
  <r>
    <n v="205"/>
    <x v="7"/>
    <x v="48"/>
    <x v="3"/>
    <s v="Percent of GDP"/>
    <s v="Units"/>
    <x v="6"/>
    <n v="21.92"/>
  </r>
  <r>
    <n v="400"/>
    <x v="11"/>
    <x v="95"/>
    <x v="7"/>
    <s v="Percent of GDP"/>
    <s v="Units"/>
    <x v="0"/>
    <n v="14.163"/>
  </r>
  <r>
    <n v="400"/>
    <x v="11"/>
    <x v="95"/>
    <x v="7"/>
    <s v="Percent of GDP"/>
    <s v="Units"/>
    <x v="1"/>
    <n v="28.545999999999999"/>
  </r>
  <r>
    <n v="400"/>
    <x v="11"/>
    <x v="95"/>
    <x v="7"/>
    <s v="Percent of GDP"/>
    <s v="Units"/>
    <x v="2"/>
    <n v="27.044"/>
  </r>
  <r>
    <n v="400"/>
    <x v="11"/>
    <x v="95"/>
    <x v="7"/>
    <s v="Percent of GDP"/>
    <s v="Units"/>
    <x v="3"/>
    <n v="28.576000000000001"/>
  </r>
  <r>
    <n v="400"/>
    <x v="11"/>
    <x v="95"/>
    <x v="7"/>
    <s v="Percent of GDP"/>
    <s v="Units"/>
    <x v="4"/>
    <n v="24.350999999999999"/>
  </r>
  <r>
    <n v="400"/>
    <x v="11"/>
    <x v="95"/>
    <x v="7"/>
    <s v="Percent of GDP"/>
    <s v="Units"/>
    <x v="5"/>
    <n v="22.547000000000001"/>
  </r>
  <r>
    <n v="400"/>
    <x v="11"/>
    <x v="95"/>
    <x v="7"/>
    <s v="Percent of GDP"/>
    <s v="Units"/>
    <x v="6"/>
    <n v="21.440999999999999"/>
  </r>
  <r>
    <n v="1"/>
    <x v="2"/>
    <x v="95"/>
    <x v="7"/>
    <s v="Percent of GDP"/>
    <s v="Units"/>
    <x v="0"/>
    <n v="14.163"/>
  </r>
  <r>
    <n v="1"/>
    <x v="2"/>
    <x v="95"/>
    <x v="7"/>
    <s v="Percent of GDP"/>
    <s v="Units"/>
    <x v="1"/>
    <n v="28.545999999999999"/>
  </r>
  <r>
    <n v="1"/>
    <x v="2"/>
    <x v="95"/>
    <x v="7"/>
    <s v="Percent of GDP"/>
    <s v="Units"/>
    <x v="2"/>
    <n v="27.044"/>
  </r>
  <r>
    <n v="1"/>
    <x v="2"/>
    <x v="95"/>
    <x v="7"/>
    <s v="Percent of GDP"/>
    <s v="Units"/>
    <x v="3"/>
    <n v="28.576000000000001"/>
  </r>
  <r>
    <n v="1"/>
    <x v="2"/>
    <x v="95"/>
    <x v="7"/>
    <s v="Percent of GDP"/>
    <s v="Units"/>
    <x v="4"/>
    <n v="24.350999999999999"/>
  </r>
  <r>
    <n v="1"/>
    <x v="2"/>
    <x v="95"/>
    <x v="7"/>
    <s v="Percent of GDP"/>
    <s v="Units"/>
    <x v="5"/>
    <n v="22.547000000000001"/>
  </r>
  <r>
    <n v="1"/>
    <x v="2"/>
    <x v="95"/>
    <x v="7"/>
    <s v="Percent of GDP"/>
    <s v="Units"/>
    <x v="6"/>
    <n v="21.440999999999999"/>
  </r>
  <r>
    <n v="200"/>
    <x v="3"/>
    <x v="95"/>
    <x v="7"/>
    <s v="Percent of GDP"/>
    <s v="Units"/>
    <x v="0"/>
    <n v="14.163"/>
  </r>
  <r>
    <n v="200"/>
    <x v="3"/>
    <x v="95"/>
    <x v="7"/>
    <s v="Percent of GDP"/>
    <s v="Units"/>
    <x v="1"/>
    <n v="28.545999999999999"/>
  </r>
  <r>
    <n v="200"/>
    <x v="3"/>
    <x v="95"/>
    <x v="7"/>
    <s v="Percent of GDP"/>
    <s v="Units"/>
    <x v="2"/>
    <n v="27.044"/>
  </r>
  <r>
    <n v="200"/>
    <x v="3"/>
    <x v="95"/>
    <x v="7"/>
    <s v="Percent of GDP"/>
    <s v="Units"/>
    <x v="3"/>
    <n v="28.576000000000001"/>
  </r>
  <r>
    <n v="200"/>
    <x v="3"/>
    <x v="95"/>
    <x v="7"/>
    <s v="Percent of GDP"/>
    <s v="Units"/>
    <x v="4"/>
    <n v="24.350999999999999"/>
  </r>
  <r>
    <n v="200"/>
    <x v="3"/>
    <x v="95"/>
    <x v="7"/>
    <s v="Percent of GDP"/>
    <s v="Units"/>
    <x v="5"/>
    <n v="22.547000000000001"/>
  </r>
  <r>
    <n v="200"/>
    <x v="3"/>
    <x v="95"/>
    <x v="7"/>
    <s v="Percent of GDP"/>
    <s v="Units"/>
    <x v="6"/>
    <n v="21.440999999999999"/>
  </r>
  <r>
    <n v="200"/>
    <x v="3"/>
    <x v="75"/>
    <x v="7"/>
    <s v="Percent of GDP"/>
    <s v="Units"/>
    <x v="0"/>
    <n v="20.966999999999999"/>
  </r>
  <r>
    <n v="200"/>
    <x v="3"/>
    <x v="75"/>
    <x v="7"/>
    <s v="Percent of GDP"/>
    <s v="Units"/>
    <x v="1"/>
    <n v="25.416"/>
  </r>
  <r>
    <n v="200"/>
    <x v="3"/>
    <x v="75"/>
    <x v="7"/>
    <s v="Percent of GDP"/>
    <s v="Units"/>
    <x v="2"/>
    <n v="24.908000000000001"/>
  </r>
  <r>
    <n v="200"/>
    <x v="3"/>
    <x v="75"/>
    <x v="7"/>
    <s v="Percent of GDP"/>
    <s v="Units"/>
    <x v="3"/>
    <n v="24.135000000000002"/>
  </r>
  <r>
    <n v="200"/>
    <x v="3"/>
    <x v="75"/>
    <x v="7"/>
    <s v="Percent of GDP"/>
    <s v="Units"/>
    <x v="4"/>
    <n v="23.164000000000001"/>
  </r>
  <r>
    <n v="200"/>
    <x v="3"/>
    <x v="75"/>
    <x v="7"/>
    <s v="Percent of GDP"/>
    <s v="Units"/>
    <x v="5"/>
    <n v="22.545000000000002"/>
  </r>
  <r>
    <n v="200"/>
    <x v="3"/>
    <x v="75"/>
    <x v="7"/>
    <s v="Percent of GDP"/>
    <s v="Units"/>
    <x v="6"/>
    <n v="22.742000000000001"/>
  </r>
  <r>
    <n v="603"/>
    <x v="12"/>
    <x v="75"/>
    <x v="7"/>
    <s v="Percent of GDP"/>
    <s v="Units"/>
    <x v="0"/>
    <n v="20.966999999999999"/>
  </r>
  <r>
    <n v="603"/>
    <x v="12"/>
    <x v="75"/>
    <x v="7"/>
    <s v="Percent of GDP"/>
    <s v="Units"/>
    <x v="1"/>
    <n v="25.416"/>
  </r>
  <r>
    <n v="603"/>
    <x v="12"/>
    <x v="75"/>
    <x v="7"/>
    <s v="Percent of GDP"/>
    <s v="Units"/>
    <x v="2"/>
    <n v="24.908000000000001"/>
  </r>
  <r>
    <n v="603"/>
    <x v="12"/>
    <x v="75"/>
    <x v="7"/>
    <s v="Percent of GDP"/>
    <s v="Units"/>
    <x v="3"/>
    <n v="24.135000000000002"/>
  </r>
  <r>
    <n v="603"/>
    <x v="12"/>
    <x v="75"/>
    <x v="7"/>
    <s v="Percent of GDP"/>
    <s v="Units"/>
    <x v="4"/>
    <n v="23.164000000000001"/>
  </r>
  <r>
    <n v="603"/>
    <x v="12"/>
    <x v="75"/>
    <x v="7"/>
    <s v="Percent of GDP"/>
    <s v="Units"/>
    <x v="5"/>
    <n v="22.545000000000002"/>
  </r>
  <r>
    <n v="603"/>
    <x v="12"/>
    <x v="75"/>
    <x v="7"/>
    <s v="Percent of GDP"/>
    <s v="Units"/>
    <x v="6"/>
    <n v="22.742000000000001"/>
  </r>
  <r>
    <n v="1"/>
    <x v="2"/>
    <x v="75"/>
    <x v="7"/>
    <s v="Percent of GDP"/>
    <s v="Units"/>
    <x v="0"/>
    <n v="20.966999999999999"/>
  </r>
  <r>
    <n v="1"/>
    <x v="2"/>
    <x v="75"/>
    <x v="7"/>
    <s v="Percent of GDP"/>
    <s v="Units"/>
    <x v="1"/>
    <n v="25.416"/>
  </r>
  <r>
    <n v="1"/>
    <x v="2"/>
    <x v="75"/>
    <x v="7"/>
    <s v="Percent of GDP"/>
    <s v="Units"/>
    <x v="2"/>
    <n v="24.908000000000001"/>
  </r>
  <r>
    <n v="1"/>
    <x v="2"/>
    <x v="75"/>
    <x v="7"/>
    <s v="Percent of GDP"/>
    <s v="Units"/>
    <x v="3"/>
    <n v="24.135000000000002"/>
  </r>
  <r>
    <n v="1"/>
    <x v="2"/>
    <x v="75"/>
    <x v="7"/>
    <s v="Percent of GDP"/>
    <s v="Units"/>
    <x v="4"/>
    <n v="23.164000000000001"/>
  </r>
  <r>
    <n v="1"/>
    <x v="2"/>
    <x v="75"/>
    <x v="7"/>
    <s v="Percent of GDP"/>
    <s v="Units"/>
    <x v="5"/>
    <n v="22.545000000000002"/>
  </r>
  <r>
    <n v="1"/>
    <x v="2"/>
    <x v="75"/>
    <x v="7"/>
    <s v="Percent of GDP"/>
    <s v="Units"/>
    <x v="6"/>
    <n v="22.742000000000001"/>
  </r>
  <r>
    <n v="603"/>
    <x v="12"/>
    <x v="168"/>
    <x v="7"/>
    <s v="Percent of GDP"/>
    <s v="Units"/>
    <x v="0"/>
    <n v="19.509"/>
  </r>
  <r>
    <n v="603"/>
    <x v="12"/>
    <x v="168"/>
    <x v="7"/>
    <s v="Percent of GDP"/>
    <s v="Units"/>
    <x v="1"/>
    <n v="20.175000000000001"/>
  </r>
  <r>
    <n v="603"/>
    <x v="12"/>
    <x v="168"/>
    <x v="7"/>
    <s v="Percent of GDP"/>
    <s v="Units"/>
    <x v="2"/>
    <n v="21.728000000000002"/>
  </r>
  <r>
    <n v="603"/>
    <x v="12"/>
    <x v="168"/>
    <x v="7"/>
    <s v="Percent of GDP"/>
    <s v="Units"/>
    <x v="3"/>
    <n v="22.253"/>
  </r>
  <r>
    <n v="603"/>
    <x v="12"/>
    <x v="168"/>
    <x v="7"/>
    <s v="Percent of GDP"/>
    <s v="Units"/>
    <x v="4"/>
    <n v="26.395"/>
  </r>
  <r>
    <n v="603"/>
    <x v="12"/>
    <x v="168"/>
    <x v="7"/>
    <s v="Percent of GDP"/>
    <s v="Units"/>
    <x v="5"/>
    <n v="22.503"/>
  </r>
  <r>
    <n v="603"/>
    <x v="12"/>
    <x v="168"/>
    <x v="7"/>
    <s v="Percent of GDP"/>
    <s v="Units"/>
    <x v="6"/>
    <n v="21.462"/>
  </r>
  <r>
    <n v="200"/>
    <x v="3"/>
    <x v="168"/>
    <x v="7"/>
    <s v="Percent of GDP"/>
    <s v="Units"/>
    <x v="0"/>
    <n v="19.509"/>
  </r>
  <r>
    <n v="200"/>
    <x v="3"/>
    <x v="168"/>
    <x v="7"/>
    <s v="Percent of GDP"/>
    <s v="Units"/>
    <x v="1"/>
    <n v="20.175000000000001"/>
  </r>
  <r>
    <n v="200"/>
    <x v="3"/>
    <x v="168"/>
    <x v="7"/>
    <s v="Percent of GDP"/>
    <s v="Units"/>
    <x v="2"/>
    <n v="21.728000000000002"/>
  </r>
  <r>
    <n v="200"/>
    <x v="3"/>
    <x v="168"/>
    <x v="7"/>
    <s v="Percent of GDP"/>
    <s v="Units"/>
    <x v="3"/>
    <n v="22.253"/>
  </r>
  <r>
    <n v="200"/>
    <x v="3"/>
    <x v="168"/>
    <x v="7"/>
    <s v="Percent of GDP"/>
    <s v="Units"/>
    <x v="4"/>
    <n v="26.395"/>
  </r>
  <r>
    <n v="200"/>
    <x v="3"/>
    <x v="168"/>
    <x v="7"/>
    <s v="Percent of GDP"/>
    <s v="Units"/>
    <x v="5"/>
    <n v="22.503"/>
  </r>
  <r>
    <n v="200"/>
    <x v="3"/>
    <x v="168"/>
    <x v="7"/>
    <s v="Percent of GDP"/>
    <s v="Units"/>
    <x v="6"/>
    <n v="21.462"/>
  </r>
  <r>
    <n v="1"/>
    <x v="2"/>
    <x v="168"/>
    <x v="7"/>
    <s v="Percent of GDP"/>
    <s v="Units"/>
    <x v="0"/>
    <n v="19.509"/>
  </r>
  <r>
    <n v="1"/>
    <x v="2"/>
    <x v="168"/>
    <x v="7"/>
    <s v="Percent of GDP"/>
    <s v="Units"/>
    <x v="1"/>
    <n v="20.175000000000001"/>
  </r>
  <r>
    <n v="1"/>
    <x v="2"/>
    <x v="168"/>
    <x v="7"/>
    <s v="Percent of GDP"/>
    <s v="Units"/>
    <x v="2"/>
    <n v="21.728000000000002"/>
  </r>
  <r>
    <n v="1"/>
    <x v="2"/>
    <x v="168"/>
    <x v="7"/>
    <s v="Percent of GDP"/>
    <s v="Units"/>
    <x v="3"/>
    <n v="22.253"/>
  </r>
  <r>
    <n v="1"/>
    <x v="2"/>
    <x v="168"/>
    <x v="7"/>
    <s v="Percent of GDP"/>
    <s v="Units"/>
    <x v="4"/>
    <n v="26.395"/>
  </r>
  <r>
    <n v="1"/>
    <x v="2"/>
    <x v="168"/>
    <x v="7"/>
    <s v="Percent of GDP"/>
    <s v="Units"/>
    <x v="5"/>
    <n v="22.503"/>
  </r>
  <r>
    <n v="1"/>
    <x v="2"/>
    <x v="168"/>
    <x v="7"/>
    <s v="Percent of GDP"/>
    <s v="Units"/>
    <x v="6"/>
    <n v="21.462"/>
  </r>
  <r>
    <n v="1"/>
    <x v="2"/>
    <x v="133"/>
    <x v="7"/>
    <s v="Percent of GDP"/>
    <s v="Units"/>
    <x v="0"/>
    <n v="25.103999999999999"/>
  </r>
  <r>
    <n v="1"/>
    <x v="2"/>
    <x v="133"/>
    <x v="7"/>
    <s v="Percent of GDP"/>
    <s v="Units"/>
    <x v="1"/>
    <n v="22.707000000000001"/>
  </r>
  <r>
    <n v="1"/>
    <x v="2"/>
    <x v="133"/>
    <x v="7"/>
    <s v="Percent of GDP"/>
    <s v="Units"/>
    <x v="2"/>
    <n v="25.754999999999999"/>
  </r>
  <r>
    <n v="1"/>
    <x v="2"/>
    <x v="133"/>
    <x v="7"/>
    <s v="Percent of GDP"/>
    <s v="Units"/>
    <x v="3"/>
    <n v="24.556999999999999"/>
  </r>
  <r>
    <n v="1"/>
    <x v="2"/>
    <x v="133"/>
    <x v="7"/>
    <s v="Percent of GDP"/>
    <s v="Units"/>
    <x v="4"/>
    <n v="22.852"/>
  </r>
  <r>
    <n v="1"/>
    <x v="2"/>
    <x v="133"/>
    <x v="7"/>
    <s v="Percent of GDP"/>
    <s v="Units"/>
    <x v="5"/>
    <n v="22.47"/>
  </r>
  <r>
    <n v="1"/>
    <x v="2"/>
    <x v="133"/>
    <x v="7"/>
    <s v="Percent of GDP"/>
    <s v="Units"/>
    <x v="6"/>
    <n v="22.516999999999999"/>
  </r>
  <r>
    <n v="200"/>
    <x v="3"/>
    <x v="133"/>
    <x v="7"/>
    <s v="Percent of GDP"/>
    <s v="Units"/>
    <x v="0"/>
    <n v="25.103999999999999"/>
  </r>
  <r>
    <n v="200"/>
    <x v="3"/>
    <x v="133"/>
    <x v="7"/>
    <s v="Percent of GDP"/>
    <s v="Units"/>
    <x v="1"/>
    <n v="22.707000000000001"/>
  </r>
  <r>
    <n v="200"/>
    <x v="3"/>
    <x v="133"/>
    <x v="7"/>
    <s v="Percent of GDP"/>
    <s v="Units"/>
    <x v="2"/>
    <n v="25.754999999999999"/>
  </r>
  <r>
    <n v="200"/>
    <x v="3"/>
    <x v="133"/>
    <x v="7"/>
    <s v="Percent of GDP"/>
    <s v="Units"/>
    <x v="3"/>
    <n v="24.556999999999999"/>
  </r>
  <r>
    <n v="200"/>
    <x v="3"/>
    <x v="133"/>
    <x v="7"/>
    <s v="Percent of GDP"/>
    <s v="Units"/>
    <x v="4"/>
    <n v="22.852"/>
  </r>
  <r>
    <n v="200"/>
    <x v="3"/>
    <x v="133"/>
    <x v="7"/>
    <s v="Percent of GDP"/>
    <s v="Units"/>
    <x v="5"/>
    <n v="22.47"/>
  </r>
  <r>
    <n v="200"/>
    <x v="3"/>
    <x v="133"/>
    <x v="7"/>
    <s v="Percent of GDP"/>
    <s v="Units"/>
    <x v="6"/>
    <n v="22.516999999999999"/>
  </r>
  <r>
    <n v="903"/>
    <x v="8"/>
    <x v="133"/>
    <x v="7"/>
    <s v="Percent of GDP"/>
    <s v="Units"/>
    <x v="0"/>
    <n v="25.103999999999999"/>
  </r>
  <r>
    <n v="903"/>
    <x v="8"/>
    <x v="133"/>
    <x v="7"/>
    <s v="Percent of GDP"/>
    <s v="Units"/>
    <x v="1"/>
    <n v="22.707000000000001"/>
  </r>
  <r>
    <n v="903"/>
    <x v="8"/>
    <x v="133"/>
    <x v="7"/>
    <s v="Percent of GDP"/>
    <s v="Units"/>
    <x v="2"/>
    <n v="25.754999999999999"/>
  </r>
  <r>
    <n v="903"/>
    <x v="8"/>
    <x v="133"/>
    <x v="7"/>
    <s v="Percent of GDP"/>
    <s v="Units"/>
    <x v="3"/>
    <n v="24.556999999999999"/>
  </r>
  <r>
    <n v="903"/>
    <x v="8"/>
    <x v="133"/>
    <x v="7"/>
    <s v="Percent of GDP"/>
    <s v="Units"/>
    <x v="4"/>
    <n v="22.852"/>
  </r>
  <r>
    <n v="903"/>
    <x v="8"/>
    <x v="133"/>
    <x v="7"/>
    <s v="Percent of GDP"/>
    <s v="Units"/>
    <x v="5"/>
    <n v="22.47"/>
  </r>
  <r>
    <n v="903"/>
    <x v="8"/>
    <x v="133"/>
    <x v="7"/>
    <s v="Percent of GDP"/>
    <s v="Units"/>
    <x v="6"/>
    <n v="22.516999999999999"/>
  </r>
  <r>
    <n v="603"/>
    <x v="12"/>
    <x v="171"/>
    <x v="3"/>
    <s v="Percent of GDP"/>
    <s v="Units"/>
    <x v="0"/>
    <n v="16.798999999999999"/>
  </r>
  <r>
    <n v="603"/>
    <x v="12"/>
    <x v="171"/>
    <x v="3"/>
    <s v="Percent of GDP"/>
    <s v="Units"/>
    <x v="1"/>
    <n v="16.166"/>
  </r>
  <r>
    <n v="603"/>
    <x v="12"/>
    <x v="171"/>
    <x v="3"/>
    <s v="Percent of GDP"/>
    <s v="Units"/>
    <x v="2"/>
    <n v="12.659000000000001"/>
  </r>
  <r>
    <n v="603"/>
    <x v="12"/>
    <x v="171"/>
    <x v="3"/>
    <s v="Percent of GDP"/>
    <s v="Units"/>
    <x v="3"/>
    <n v="17.199000000000002"/>
  </r>
  <r>
    <n v="603"/>
    <x v="12"/>
    <x v="171"/>
    <x v="3"/>
    <s v="Percent of GDP"/>
    <s v="Units"/>
    <x v="4"/>
    <n v="24.247"/>
  </r>
  <r>
    <n v="603"/>
    <x v="12"/>
    <x v="171"/>
    <x v="3"/>
    <s v="Percent of GDP"/>
    <s v="Units"/>
    <x v="5"/>
    <n v="22.388000000000002"/>
  </r>
  <r>
    <n v="603"/>
    <x v="12"/>
    <x v="171"/>
    <x v="3"/>
    <s v="Percent of GDP"/>
    <s v="Units"/>
    <x v="6"/>
    <n v="22.591000000000001"/>
  </r>
  <r>
    <n v="200"/>
    <x v="3"/>
    <x v="171"/>
    <x v="3"/>
    <s v="Percent of GDP"/>
    <s v="Units"/>
    <x v="0"/>
    <n v="16.798999999999999"/>
  </r>
  <r>
    <n v="200"/>
    <x v="3"/>
    <x v="171"/>
    <x v="3"/>
    <s v="Percent of GDP"/>
    <s v="Units"/>
    <x v="1"/>
    <n v="16.166"/>
  </r>
  <r>
    <n v="200"/>
    <x v="3"/>
    <x v="171"/>
    <x v="3"/>
    <s v="Percent of GDP"/>
    <s v="Units"/>
    <x v="2"/>
    <n v="12.659000000000001"/>
  </r>
  <r>
    <n v="200"/>
    <x v="3"/>
    <x v="171"/>
    <x v="3"/>
    <s v="Percent of GDP"/>
    <s v="Units"/>
    <x v="3"/>
    <n v="17.199000000000002"/>
  </r>
  <r>
    <n v="200"/>
    <x v="3"/>
    <x v="171"/>
    <x v="3"/>
    <s v="Percent of GDP"/>
    <s v="Units"/>
    <x v="4"/>
    <n v="24.247"/>
  </r>
  <r>
    <n v="200"/>
    <x v="3"/>
    <x v="171"/>
    <x v="3"/>
    <s v="Percent of GDP"/>
    <s v="Units"/>
    <x v="5"/>
    <n v="22.388000000000002"/>
  </r>
  <r>
    <n v="200"/>
    <x v="3"/>
    <x v="171"/>
    <x v="3"/>
    <s v="Percent of GDP"/>
    <s v="Units"/>
    <x v="6"/>
    <n v="22.591000000000001"/>
  </r>
  <r>
    <n v="200"/>
    <x v="3"/>
    <x v="131"/>
    <x v="7"/>
    <s v="Percent of GDP"/>
    <s v="Units"/>
    <x v="0"/>
    <n v="22.731000000000002"/>
  </r>
  <r>
    <n v="200"/>
    <x v="3"/>
    <x v="131"/>
    <x v="7"/>
    <s v="Percent of GDP"/>
    <s v="Units"/>
    <x v="1"/>
    <n v="18.835000000000001"/>
  </r>
  <r>
    <n v="200"/>
    <x v="3"/>
    <x v="131"/>
    <x v="7"/>
    <s v="Percent of GDP"/>
    <s v="Units"/>
    <x v="2"/>
    <n v="24.332000000000001"/>
  </r>
  <r>
    <n v="200"/>
    <x v="3"/>
    <x v="131"/>
    <x v="7"/>
    <s v="Percent of GDP"/>
    <s v="Units"/>
    <x v="3"/>
    <n v="25.87"/>
  </r>
  <r>
    <n v="200"/>
    <x v="3"/>
    <x v="131"/>
    <x v="7"/>
    <s v="Percent of GDP"/>
    <s v="Units"/>
    <x v="4"/>
    <n v="22.103999999999999"/>
  </r>
  <r>
    <n v="200"/>
    <x v="3"/>
    <x v="131"/>
    <x v="7"/>
    <s v="Percent of GDP"/>
    <s v="Units"/>
    <x v="5"/>
    <n v="22.364000000000001"/>
  </r>
  <r>
    <n v="200"/>
    <x v="3"/>
    <x v="131"/>
    <x v="7"/>
    <s v="Percent of GDP"/>
    <s v="Units"/>
    <x v="6"/>
    <n v="22.675999999999998"/>
  </r>
  <r>
    <n v="1"/>
    <x v="2"/>
    <x v="131"/>
    <x v="7"/>
    <s v="Percent of GDP"/>
    <s v="Units"/>
    <x v="0"/>
    <n v="22.731000000000002"/>
  </r>
  <r>
    <n v="1"/>
    <x v="2"/>
    <x v="131"/>
    <x v="7"/>
    <s v="Percent of GDP"/>
    <s v="Units"/>
    <x v="1"/>
    <n v="18.835000000000001"/>
  </r>
  <r>
    <n v="1"/>
    <x v="2"/>
    <x v="131"/>
    <x v="7"/>
    <s v="Percent of GDP"/>
    <s v="Units"/>
    <x v="2"/>
    <n v="24.332000000000001"/>
  </r>
  <r>
    <n v="1"/>
    <x v="2"/>
    <x v="131"/>
    <x v="7"/>
    <s v="Percent of GDP"/>
    <s v="Units"/>
    <x v="3"/>
    <n v="25.87"/>
  </r>
  <r>
    <n v="1"/>
    <x v="2"/>
    <x v="131"/>
    <x v="7"/>
    <s v="Percent of GDP"/>
    <s v="Units"/>
    <x v="4"/>
    <n v="22.103999999999999"/>
  </r>
  <r>
    <n v="1"/>
    <x v="2"/>
    <x v="131"/>
    <x v="7"/>
    <s v="Percent of GDP"/>
    <s v="Units"/>
    <x v="5"/>
    <n v="22.364000000000001"/>
  </r>
  <r>
    <n v="1"/>
    <x v="2"/>
    <x v="131"/>
    <x v="7"/>
    <s v="Percent of GDP"/>
    <s v="Units"/>
    <x v="6"/>
    <n v="22.675999999999998"/>
  </r>
  <r>
    <n v="205"/>
    <x v="7"/>
    <x v="131"/>
    <x v="7"/>
    <s v="Percent of GDP"/>
    <s v="Units"/>
    <x v="0"/>
    <n v="22.731000000000002"/>
  </r>
  <r>
    <n v="205"/>
    <x v="7"/>
    <x v="131"/>
    <x v="7"/>
    <s v="Percent of GDP"/>
    <s v="Units"/>
    <x v="1"/>
    <n v="18.835000000000001"/>
  </r>
  <r>
    <n v="205"/>
    <x v="7"/>
    <x v="131"/>
    <x v="7"/>
    <s v="Percent of GDP"/>
    <s v="Units"/>
    <x v="2"/>
    <n v="24.332000000000001"/>
  </r>
  <r>
    <n v="205"/>
    <x v="7"/>
    <x v="131"/>
    <x v="7"/>
    <s v="Percent of GDP"/>
    <s v="Units"/>
    <x v="3"/>
    <n v="25.87"/>
  </r>
  <r>
    <n v="205"/>
    <x v="7"/>
    <x v="131"/>
    <x v="7"/>
    <s v="Percent of GDP"/>
    <s v="Units"/>
    <x v="4"/>
    <n v="22.103999999999999"/>
  </r>
  <r>
    <n v="205"/>
    <x v="7"/>
    <x v="131"/>
    <x v="7"/>
    <s v="Percent of GDP"/>
    <s v="Units"/>
    <x v="5"/>
    <n v="22.364000000000001"/>
  </r>
  <r>
    <n v="205"/>
    <x v="7"/>
    <x v="131"/>
    <x v="7"/>
    <s v="Percent of GDP"/>
    <s v="Units"/>
    <x v="6"/>
    <n v="22.675999999999998"/>
  </r>
  <r>
    <n v="1"/>
    <x v="2"/>
    <x v="121"/>
    <x v="5"/>
    <s v="Percent of GDP"/>
    <s v="Units"/>
    <x v="0"/>
    <n v="21.734999999999999"/>
  </r>
  <r>
    <n v="1"/>
    <x v="2"/>
    <x v="121"/>
    <x v="5"/>
    <s v="Percent of GDP"/>
    <s v="Units"/>
    <x v="1"/>
    <n v="19.728000000000002"/>
  </r>
  <r>
    <n v="1"/>
    <x v="2"/>
    <x v="121"/>
    <x v="5"/>
    <s v="Percent of GDP"/>
    <s v="Units"/>
    <x v="2"/>
    <n v="23.736000000000001"/>
  </r>
  <r>
    <n v="1"/>
    <x v="2"/>
    <x v="121"/>
    <x v="5"/>
    <s v="Percent of GDP"/>
    <s v="Units"/>
    <x v="3"/>
    <n v="23.141999999999999"/>
  </r>
  <r>
    <n v="1"/>
    <x v="2"/>
    <x v="121"/>
    <x v="5"/>
    <s v="Percent of GDP"/>
    <s v="Units"/>
    <x v="4"/>
    <n v="22.195"/>
  </r>
  <r>
    <n v="1"/>
    <x v="2"/>
    <x v="121"/>
    <x v="5"/>
    <s v="Percent of GDP"/>
    <s v="Units"/>
    <x v="5"/>
    <n v="22.349"/>
  </r>
  <r>
    <n v="1"/>
    <x v="2"/>
    <x v="121"/>
    <x v="5"/>
    <s v="Percent of GDP"/>
    <s v="Units"/>
    <x v="6"/>
    <n v="22.704000000000001"/>
  </r>
  <r>
    <n v="200"/>
    <x v="3"/>
    <x v="121"/>
    <x v="5"/>
    <s v="Percent of GDP"/>
    <s v="Units"/>
    <x v="0"/>
    <n v="21.734999999999999"/>
  </r>
  <r>
    <n v="200"/>
    <x v="3"/>
    <x v="121"/>
    <x v="5"/>
    <s v="Percent of GDP"/>
    <s v="Units"/>
    <x v="1"/>
    <n v="19.728000000000002"/>
  </r>
  <r>
    <n v="200"/>
    <x v="3"/>
    <x v="121"/>
    <x v="5"/>
    <s v="Percent of GDP"/>
    <s v="Units"/>
    <x v="2"/>
    <n v="23.736000000000001"/>
  </r>
  <r>
    <n v="200"/>
    <x v="3"/>
    <x v="121"/>
    <x v="5"/>
    <s v="Percent of GDP"/>
    <s v="Units"/>
    <x v="3"/>
    <n v="23.141999999999999"/>
  </r>
  <r>
    <n v="200"/>
    <x v="3"/>
    <x v="121"/>
    <x v="5"/>
    <s v="Percent of GDP"/>
    <s v="Units"/>
    <x v="4"/>
    <n v="22.195"/>
  </r>
  <r>
    <n v="200"/>
    <x v="3"/>
    <x v="121"/>
    <x v="5"/>
    <s v="Percent of GDP"/>
    <s v="Units"/>
    <x v="5"/>
    <n v="22.349"/>
  </r>
  <r>
    <n v="200"/>
    <x v="3"/>
    <x v="121"/>
    <x v="5"/>
    <s v="Percent of GDP"/>
    <s v="Units"/>
    <x v="6"/>
    <n v="22.704000000000001"/>
  </r>
  <r>
    <n v="903"/>
    <x v="8"/>
    <x v="121"/>
    <x v="5"/>
    <s v="Percent of GDP"/>
    <s v="Units"/>
    <x v="0"/>
    <n v="21.734999999999999"/>
  </r>
  <r>
    <n v="903"/>
    <x v="8"/>
    <x v="121"/>
    <x v="5"/>
    <s v="Percent of GDP"/>
    <s v="Units"/>
    <x v="1"/>
    <n v="19.728000000000002"/>
  </r>
  <r>
    <n v="903"/>
    <x v="8"/>
    <x v="121"/>
    <x v="5"/>
    <s v="Percent of GDP"/>
    <s v="Units"/>
    <x v="2"/>
    <n v="23.736000000000001"/>
  </r>
  <r>
    <n v="903"/>
    <x v="8"/>
    <x v="121"/>
    <x v="5"/>
    <s v="Percent of GDP"/>
    <s v="Units"/>
    <x v="3"/>
    <n v="23.141999999999999"/>
  </r>
  <r>
    <n v="903"/>
    <x v="8"/>
    <x v="121"/>
    <x v="5"/>
    <s v="Percent of GDP"/>
    <s v="Units"/>
    <x v="4"/>
    <n v="22.195"/>
  </r>
  <r>
    <n v="903"/>
    <x v="8"/>
    <x v="121"/>
    <x v="5"/>
    <s v="Percent of GDP"/>
    <s v="Units"/>
    <x v="5"/>
    <n v="22.349"/>
  </r>
  <r>
    <n v="903"/>
    <x v="8"/>
    <x v="121"/>
    <x v="5"/>
    <s v="Percent of GDP"/>
    <s v="Units"/>
    <x v="6"/>
    <n v="22.704000000000001"/>
  </r>
  <r>
    <n v="1"/>
    <x v="2"/>
    <x v="6"/>
    <x v="5"/>
    <s v="Percent of GDP"/>
    <s v="Units"/>
    <x v="0"/>
    <n v="24.876999999999999"/>
  </r>
  <r>
    <n v="1"/>
    <x v="2"/>
    <x v="6"/>
    <x v="5"/>
    <s v="Percent of GDP"/>
    <s v="Units"/>
    <x v="1"/>
    <n v="22.468"/>
  </r>
  <r>
    <n v="1"/>
    <x v="2"/>
    <x v="6"/>
    <x v="5"/>
    <s v="Percent of GDP"/>
    <s v="Units"/>
    <x v="2"/>
    <n v="25.238"/>
  </r>
  <r>
    <n v="1"/>
    <x v="2"/>
    <x v="6"/>
    <x v="5"/>
    <s v="Percent of GDP"/>
    <s v="Units"/>
    <x v="3"/>
    <n v="25.934999999999999"/>
  </r>
  <r>
    <n v="1"/>
    <x v="2"/>
    <x v="6"/>
    <x v="5"/>
    <s v="Percent of GDP"/>
    <s v="Units"/>
    <x v="4"/>
    <n v="26.361999999999998"/>
  </r>
  <r>
    <n v="1"/>
    <x v="2"/>
    <x v="6"/>
    <x v="5"/>
    <s v="Percent of GDP"/>
    <s v="Units"/>
    <x v="5"/>
    <n v="22.347000000000001"/>
  </r>
  <r>
    <n v="1"/>
    <x v="2"/>
    <x v="6"/>
    <x v="5"/>
    <s v="Percent of GDP"/>
    <s v="Units"/>
    <x v="6"/>
    <n v="22.029"/>
  </r>
  <r>
    <n v="110"/>
    <x v="0"/>
    <x v="6"/>
    <x v="5"/>
    <s v="Percent of GDP"/>
    <s v="Units"/>
    <x v="0"/>
    <n v="24.876999999999999"/>
  </r>
  <r>
    <n v="110"/>
    <x v="0"/>
    <x v="6"/>
    <x v="5"/>
    <s v="Percent of GDP"/>
    <s v="Units"/>
    <x v="1"/>
    <n v="22.468"/>
  </r>
  <r>
    <n v="110"/>
    <x v="0"/>
    <x v="6"/>
    <x v="5"/>
    <s v="Percent of GDP"/>
    <s v="Units"/>
    <x v="2"/>
    <n v="25.238"/>
  </r>
  <r>
    <n v="110"/>
    <x v="0"/>
    <x v="6"/>
    <x v="5"/>
    <s v="Percent of GDP"/>
    <s v="Units"/>
    <x v="3"/>
    <n v="25.934999999999999"/>
  </r>
  <r>
    <n v="110"/>
    <x v="0"/>
    <x v="6"/>
    <x v="5"/>
    <s v="Percent of GDP"/>
    <s v="Units"/>
    <x v="4"/>
    <n v="26.361999999999998"/>
  </r>
  <r>
    <n v="110"/>
    <x v="0"/>
    <x v="6"/>
    <x v="5"/>
    <s v="Percent of GDP"/>
    <s v="Units"/>
    <x v="5"/>
    <n v="22.347000000000001"/>
  </r>
  <r>
    <n v="110"/>
    <x v="0"/>
    <x v="6"/>
    <x v="5"/>
    <s v="Percent of GDP"/>
    <s v="Units"/>
    <x v="6"/>
    <n v="22.029"/>
  </r>
  <r>
    <n v="163"/>
    <x v="5"/>
    <x v="6"/>
    <x v="5"/>
    <s v="Percent of GDP"/>
    <s v="Units"/>
    <x v="0"/>
    <n v="24.876999999999999"/>
  </r>
  <r>
    <n v="163"/>
    <x v="5"/>
    <x v="6"/>
    <x v="5"/>
    <s v="Percent of GDP"/>
    <s v="Units"/>
    <x v="1"/>
    <n v="22.468"/>
  </r>
  <r>
    <n v="163"/>
    <x v="5"/>
    <x v="6"/>
    <x v="5"/>
    <s v="Percent of GDP"/>
    <s v="Units"/>
    <x v="2"/>
    <n v="25.238"/>
  </r>
  <r>
    <n v="163"/>
    <x v="5"/>
    <x v="6"/>
    <x v="5"/>
    <s v="Percent of GDP"/>
    <s v="Units"/>
    <x v="3"/>
    <n v="25.934999999999999"/>
  </r>
  <r>
    <n v="163"/>
    <x v="5"/>
    <x v="6"/>
    <x v="5"/>
    <s v="Percent of GDP"/>
    <s v="Units"/>
    <x v="4"/>
    <n v="26.361999999999998"/>
  </r>
  <r>
    <n v="163"/>
    <x v="5"/>
    <x v="6"/>
    <x v="5"/>
    <s v="Percent of GDP"/>
    <s v="Units"/>
    <x v="5"/>
    <n v="22.347000000000001"/>
  </r>
  <r>
    <n v="163"/>
    <x v="5"/>
    <x v="6"/>
    <x v="5"/>
    <s v="Percent of GDP"/>
    <s v="Units"/>
    <x v="6"/>
    <n v="22.029"/>
  </r>
  <r>
    <n v="998"/>
    <x v="6"/>
    <x v="6"/>
    <x v="5"/>
    <s v="Percent of GDP"/>
    <s v="Units"/>
    <x v="0"/>
    <n v="24.876999999999999"/>
  </r>
  <r>
    <n v="998"/>
    <x v="6"/>
    <x v="6"/>
    <x v="5"/>
    <s v="Percent of GDP"/>
    <s v="Units"/>
    <x v="1"/>
    <n v="22.468"/>
  </r>
  <r>
    <n v="998"/>
    <x v="6"/>
    <x v="6"/>
    <x v="5"/>
    <s v="Percent of GDP"/>
    <s v="Units"/>
    <x v="2"/>
    <n v="25.238"/>
  </r>
  <r>
    <n v="998"/>
    <x v="6"/>
    <x v="6"/>
    <x v="5"/>
    <s v="Percent of GDP"/>
    <s v="Units"/>
    <x v="3"/>
    <n v="25.934999999999999"/>
  </r>
  <r>
    <n v="998"/>
    <x v="6"/>
    <x v="6"/>
    <x v="5"/>
    <s v="Percent of GDP"/>
    <s v="Units"/>
    <x v="4"/>
    <n v="26.361999999999998"/>
  </r>
  <r>
    <n v="998"/>
    <x v="6"/>
    <x v="6"/>
    <x v="5"/>
    <s v="Percent of GDP"/>
    <s v="Units"/>
    <x v="5"/>
    <n v="22.347000000000001"/>
  </r>
  <r>
    <n v="998"/>
    <x v="6"/>
    <x v="6"/>
    <x v="5"/>
    <s v="Percent of GDP"/>
    <s v="Units"/>
    <x v="6"/>
    <n v="22.029"/>
  </r>
  <r>
    <n v="119"/>
    <x v="1"/>
    <x v="6"/>
    <x v="5"/>
    <s v="Percent of GDP"/>
    <s v="Units"/>
    <x v="0"/>
    <n v="24.876999999999999"/>
  </r>
  <r>
    <n v="119"/>
    <x v="1"/>
    <x v="6"/>
    <x v="5"/>
    <s v="Percent of GDP"/>
    <s v="Units"/>
    <x v="1"/>
    <n v="22.468"/>
  </r>
  <r>
    <n v="119"/>
    <x v="1"/>
    <x v="6"/>
    <x v="5"/>
    <s v="Percent of GDP"/>
    <s v="Units"/>
    <x v="2"/>
    <n v="25.238"/>
  </r>
  <r>
    <n v="119"/>
    <x v="1"/>
    <x v="6"/>
    <x v="5"/>
    <s v="Percent of GDP"/>
    <s v="Units"/>
    <x v="3"/>
    <n v="25.934999999999999"/>
  </r>
  <r>
    <n v="119"/>
    <x v="1"/>
    <x v="6"/>
    <x v="5"/>
    <s v="Percent of GDP"/>
    <s v="Units"/>
    <x v="4"/>
    <n v="26.361999999999998"/>
  </r>
  <r>
    <n v="119"/>
    <x v="1"/>
    <x v="6"/>
    <x v="5"/>
    <s v="Percent of GDP"/>
    <s v="Units"/>
    <x v="5"/>
    <n v="22.347000000000001"/>
  </r>
  <r>
    <n v="119"/>
    <x v="1"/>
    <x v="6"/>
    <x v="5"/>
    <s v="Percent of GDP"/>
    <s v="Units"/>
    <x v="6"/>
    <n v="22.029"/>
  </r>
  <r>
    <n v="200"/>
    <x v="3"/>
    <x v="156"/>
    <x v="7"/>
    <s v="Percent of GDP"/>
    <s v="Units"/>
    <x v="0"/>
    <n v="22.681000000000001"/>
  </r>
  <r>
    <n v="200"/>
    <x v="3"/>
    <x v="156"/>
    <x v="7"/>
    <s v="Percent of GDP"/>
    <s v="Units"/>
    <x v="1"/>
    <n v="17.608000000000001"/>
  </r>
  <r>
    <n v="200"/>
    <x v="3"/>
    <x v="156"/>
    <x v="7"/>
    <s v="Percent of GDP"/>
    <s v="Units"/>
    <x v="2"/>
    <n v="16.95"/>
  </r>
  <r>
    <n v="200"/>
    <x v="3"/>
    <x v="156"/>
    <x v="7"/>
    <s v="Percent of GDP"/>
    <s v="Units"/>
    <x v="3"/>
    <n v="23.363"/>
  </r>
  <r>
    <n v="200"/>
    <x v="3"/>
    <x v="156"/>
    <x v="7"/>
    <s v="Percent of GDP"/>
    <s v="Units"/>
    <x v="4"/>
    <n v="27.164000000000001"/>
  </r>
  <r>
    <n v="200"/>
    <x v="3"/>
    <x v="156"/>
    <x v="7"/>
    <s v="Percent of GDP"/>
    <s v="Units"/>
    <x v="5"/>
    <n v="22.344999999999999"/>
  </r>
  <r>
    <n v="200"/>
    <x v="3"/>
    <x v="156"/>
    <x v="7"/>
    <s v="Percent of GDP"/>
    <s v="Units"/>
    <x v="6"/>
    <n v="21.446000000000002"/>
  </r>
  <r>
    <n v="1"/>
    <x v="2"/>
    <x v="156"/>
    <x v="7"/>
    <s v="Percent of GDP"/>
    <s v="Units"/>
    <x v="0"/>
    <n v="22.681000000000001"/>
  </r>
  <r>
    <n v="1"/>
    <x v="2"/>
    <x v="156"/>
    <x v="7"/>
    <s v="Percent of GDP"/>
    <s v="Units"/>
    <x v="1"/>
    <n v="17.608000000000001"/>
  </r>
  <r>
    <n v="1"/>
    <x v="2"/>
    <x v="156"/>
    <x v="7"/>
    <s v="Percent of GDP"/>
    <s v="Units"/>
    <x v="2"/>
    <n v="16.95"/>
  </r>
  <r>
    <n v="1"/>
    <x v="2"/>
    <x v="156"/>
    <x v="7"/>
    <s v="Percent of GDP"/>
    <s v="Units"/>
    <x v="3"/>
    <n v="23.363"/>
  </r>
  <r>
    <n v="1"/>
    <x v="2"/>
    <x v="156"/>
    <x v="7"/>
    <s v="Percent of GDP"/>
    <s v="Units"/>
    <x v="4"/>
    <n v="27.164000000000001"/>
  </r>
  <r>
    <n v="1"/>
    <x v="2"/>
    <x v="156"/>
    <x v="7"/>
    <s v="Percent of GDP"/>
    <s v="Units"/>
    <x v="5"/>
    <n v="22.344999999999999"/>
  </r>
  <r>
    <n v="1"/>
    <x v="2"/>
    <x v="156"/>
    <x v="7"/>
    <s v="Percent of GDP"/>
    <s v="Units"/>
    <x v="6"/>
    <n v="21.446000000000002"/>
  </r>
  <r>
    <n v="505"/>
    <x v="4"/>
    <x v="156"/>
    <x v="7"/>
    <s v="Percent of GDP"/>
    <s v="Units"/>
    <x v="0"/>
    <n v="22.681000000000001"/>
  </r>
  <r>
    <n v="505"/>
    <x v="4"/>
    <x v="156"/>
    <x v="7"/>
    <s v="Percent of GDP"/>
    <s v="Units"/>
    <x v="1"/>
    <n v="17.608000000000001"/>
  </r>
  <r>
    <n v="505"/>
    <x v="4"/>
    <x v="156"/>
    <x v="7"/>
    <s v="Percent of GDP"/>
    <s v="Units"/>
    <x v="2"/>
    <n v="16.95"/>
  </r>
  <r>
    <n v="505"/>
    <x v="4"/>
    <x v="156"/>
    <x v="7"/>
    <s v="Percent of GDP"/>
    <s v="Units"/>
    <x v="3"/>
    <n v="23.363"/>
  </r>
  <r>
    <n v="505"/>
    <x v="4"/>
    <x v="156"/>
    <x v="7"/>
    <s v="Percent of GDP"/>
    <s v="Units"/>
    <x v="4"/>
    <n v="27.164000000000001"/>
  </r>
  <r>
    <n v="505"/>
    <x v="4"/>
    <x v="156"/>
    <x v="7"/>
    <s v="Percent of GDP"/>
    <s v="Units"/>
    <x v="5"/>
    <n v="22.344999999999999"/>
  </r>
  <r>
    <n v="505"/>
    <x v="4"/>
    <x v="156"/>
    <x v="7"/>
    <s v="Percent of GDP"/>
    <s v="Units"/>
    <x v="6"/>
    <n v="21.446000000000002"/>
  </r>
  <r>
    <n v="200"/>
    <x v="3"/>
    <x v="155"/>
    <x v="7"/>
    <s v="Percent of GDP"/>
    <s v="Units"/>
    <x v="0"/>
    <n v="18.111000000000001"/>
  </r>
  <r>
    <n v="200"/>
    <x v="3"/>
    <x v="155"/>
    <x v="7"/>
    <s v="Percent of GDP"/>
    <s v="Units"/>
    <x v="1"/>
    <n v="16.713000000000001"/>
  </r>
  <r>
    <n v="200"/>
    <x v="3"/>
    <x v="155"/>
    <x v="7"/>
    <s v="Percent of GDP"/>
    <s v="Units"/>
    <x v="2"/>
    <n v="16.759"/>
  </r>
  <r>
    <n v="200"/>
    <x v="3"/>
    <x v="155"/>
    <x v="7"/>
    <s v="Percent of GDP"/>
    <s v="Units"/>
    <x v="3"/>
    <n v="17.518000000000001"/>
  </r>
  <r>
    <n v="200"/>
    <x v="3"/>
    <x v="155"/>
    <x v="7"/>
    <s v="Percent of GDP"/>
    <s v="Units"/>
    <x v="4"/>
    <n v="18.434999999999999"/>
  </r>
  <r>
    <n v="200"/>
    <x v="3"/>
    <x v="155"/>
    <x v="7"/>
    <s v="Percent of GDP"/>
    <s v="Units"/>
    <x v="5"/>
    <n v="22.317"/>
  </r>
  <r>
    <n v="200"/>
    <x v="3"/>
    <x v="155"/>
    <x v="7"/>
    <s v="Percent of GDP"/>
    <s v="Units"/>
    <x v="6"/>
    <n v="23.899000000000001"/>
  </r>
  <r>
    <n v="1"/>
    <x v="2"/>
    <x v="155"/>
    <x v="7"/>
    <s v="Percent of GDP"/>
    <s v="Units"/>
    <x v="0"/>
    <n v="18.111000000000001"/>
  </r>
  <r>
    <n v="1"/>
    <x v="2"/>
    <x v="155"/>
    <x v="7"/>
    <s v="Percent of GDP"/>
    <s v="Units"/>
    <x v="1"/>
    <n v="16.713000000000001"/>
  </r>
  <r>
    <n v="1"/>
    <x v="2"/>
    <x v="155"/>
    <x v="7"/>
    <s v="Percent of GDP"/>
    <s v="Units"/>
    <x v="2"/>
    <n v="16.759"/>
  </r>
  <r>
    <n v="1"/>
    <x v="2"/>
    <x v="155"/>
    <x v="7"/>
    <s v="Percent of GDP"/>
    <s v="Units"/>
    <x v="3"/>
    <n v="17.518000000000001"/>
  </r>
  <r>
    <n v="1"/>
    <x v="2"/>
    <x v="155"/>
    <x v="7"/>
    <s v="Percent of GDP"/>
    <s v="Units"/>
    <x v="4"/>
    <n v="18.434999999999999"/>
  </r>
  <r>
    <n v="1"/>
    <x v="2"/>
    <x v="155"/>
    <x v="7"/>
    <s v="Percent of GDP"/>
    <s v="Units"/>
    <x v="5"/>
    <n v="22.317"/>
  </r>
  <r>
    <n v="1"/>
    <x v="2"/>
    <x v="155"/>
    <x v="7"/>
    <s v="Percent of GDP"/>
    <s v="Units"/>
    <x v="6"/>
    <n v="23.899000000000001"/>
  </r>
  <r>
    <n v="400"/>
    <x v="11"/>
    <x v="155"/>
    <x v="7"/>
    <s v="Percent of GDP"/>
    <s v="Units"/>
    <x v="0"/>
    <n v="18.111000000000001"/>
  </r>
  <r>
    <n v="400"/>
    <x v="11"/>
    <x v="155"/>
    <x v="7"/>
    <s v="Percent of GDP"/>
    <s v="Units"/>
    <x v="1"/>
    <n v="16.713000000000001"/>
  </r>
  <r>
    <n v="400"/>
    <x v="11"/>
    <x v="155"/>
    <x v="7"/>
    <s v="Percent of GDP"/>
    <s v="Units"/>
    <x v="2"/>
    <n v="16.759"/>
  </r>
  <r>
    <n v="400"/>
    <x v="11"/>
    <x v="155"/>
    <x v="7"/>
    <s v="Percent of GDP"/>
    <s v="Units"/>
    <x v="3"/>
    <n v="17.518000000000001"/>
  </r>
  <r>
    <n v="400"/>
    <x v="11"/>
    <x v="155"/>
    <x v="7"/>
    <s v="Percent of GDP"/>
    <s v="Units"/>
    <x v="4"/>
    <n v="18.434999999999999"/>
  </r>
  <r>
    <n v="400"/>
    <x v="11"/>
    <x v="155"/>
    <x v="7"/>
    <s v="Percent of GDP"/>
    <s v="Units"/>
    <x v="5"/>
    <n v="22.317"/>
  </r>
  <r>
    <n v="400"/>
    <x v="11"/>
    <x v="155"/>
    <x v="7"/>
    <s v="Percent of GDP"/>
    <s v="Units"/>
    <x v="6"/>
    <n v="23.899000000000001"/>
  </r>
  <r>
    <n v="400"/>
    <x v="11"/>
    <x v="47"/>
    <x v="3"/>
    <s v="Percent of GDP"/>
    <s v="Units"/>
    <x v="0"/>
    <n v="20.248000000000001"/>
  </r>
  <r>
    <n v="400"/>
    <x v="11"/>
    <x v="47"/>
    <x v="3"/>
    <s v="Percent of GDP"/>
    <s v="Units"/>
    <x v="1"/>
    <n v="24.545999999999999"/>
  </r>
  <r>
    <n v="400"/>
    <x v="11"/>
    <x v="47"/>
    <x v="3"/>
    <s v="Percent of GDP"/>
    <s v="Units"/>
    <x v="2"/>
    <n v="22.07"/>
  </r>
  <r>
    <n v="400"/>
    <x v="11"/>
    <x v="47"/>
    <x v="3"/>
    <s v="Percent of GDP"/>
    <s v="Units"/>
    <x v="3"/>
    <n v="21.718"/>
  </r>
  <r>
    <n v="400"/>
    <x v="11"/>
    <x v="47"/>
    <x v="3"/>
    <s v="Percent of GDP"/>
    <s v="Units"/>
    <x v="4"/>
    <n v="23.43"/>
  </r>
  <r>
    <n v="400"/>
    <x v="11"/>
    <x v="47"/>
    <x v="3"/>
    <s v="Percent of GDP"/>
    <s v="Units"/>
    <x v="5"/>
    <n v="22.297000000000001"/>
  </r>
  <r>
    <n v="400"/>
    <x v="11"/>
    <x v="47"/>
    <x v="3"/>
    <s v="Percent of GDP"/>
    <s v="Units"/>
    <x v="6"/>
    <n v="21.896999999999998"/>
  </r>
  <r>
    <n v="200"/>
    <x v="3"/>
    <x v="47"/>
    <x v="3"/>
    <s v="Percent of GDP"/>
    <s v="Units"/>
    <x v="0"/>
    <n v="20.248000000000001"/>
  </r>
  <r>
    <n v="200"/>
    <x v="3"/>
    <x v="47"/>
    <x v="3"/>
    <s v="Percent of GDP"/>
    <s v="Units"/>
    <x v="1"/>
    <n v="24.545999999999999"/>
  </r>
  <r>
    <n v="200"/>
    <x v="3"/>
    <x v="47"/>
    <x v="3"/>
    <s v="Percent of GDP"/>
    <s v="Units"/>
    <x v="2"/>
    <n v="22.07"/>
  </r>
  <r>
    <n v="200"/>
    <x v="3"/>
    <x v="47"/>
    <x v="3"/>
    <s v="Percent of GDP"/>
    <s v="Units"/>
    <x v="3"/>
    <n v="21.718"/>
  </r>
  <r>
    <n v="200"/>
    <x v="3"/>
    <x v="47"/>
    <x v="3"/>
    <s v="Percent of GDP"/>
    <s v="Units"/>
    <x v="4"/>
    <n v="23.43"/>
  </r>
  <r>
    <n v="200"/>
    <x v="3"/>
    <x v="47"/>
    <x v="3"/>
    <s v="Percent of GDP"/>
    <s v="Units"/>
    <x v="5"/>
    <n v="22.297000000000001"/>
  </r>
  <r>
    <n v="200"/>
    <x v="3"/>
    <x v="47"/>
    <x v="3"/>
    <s v="Percent of GDP"/>
    <s v="Units"/>
    <x v="6"/>
    <n v="21.896999999999998"/>
  </r>
  <r>
    <n v="1"/>
    <x v="2"/>
    <x v="87"/>
    <x v="1"/>
    <s v="Percent change"/>
    <s v="Units"/>
    <x v="0"/>
    <n v="7.1440000000000001"/>
  </r>
  <r>
    <n v="1"/>
    <x v="2"/>
    <x v="87"/>
    <x v="1"/>
    <s v="Percent change"/>
    <s v="Units"/>
    <x v="1"/>
    <n v="9.8849999999999998"/>
  </r>
  <r>
    <n v="1"/>
    <x v="2"/>
    <x v="87"/>
    <x v="1"/>
    <s v="Percent change"/>
    <s v="Units"/>
    <x v="2"/>
    <n v="9.9760000000000009"/>
  </r>
  <r>
    <n v="1"/>
    <x v="2"/>
    <x v="87"/>
    <x v="1"/>
    <s v="Percent change"/>
    <s v="Units"/>
    <x v="3"/>
    <n v="31.713000000000001"/>
  </r>
  <r>
    <n v="1"/>
    <x v="2"/>
    <x v="87"/>
    <x v="1"/>
    <s v="Percent change"/>
    <s v="Units"/>
    <x v="4"/>
    <n v="37.530999999999999"/>
  </r>
  <r>
    <n v="1"/>
    <x v="2"/>
    <x v="87"/>
    <x v="1"/>
    <s v="Percent change"/>
    <s v="Units"/>
    <x v="5"/>
    <n v="22.271000000000001"/>
  </r>
  <r>
    <n v="1"/>
    <x v="2"/>
    <x v="87"/>
    <x v="1"/>
    <s v="Percent change"/>
    <s v="Units"/>
    <x v="6"/>
    <n v="11.506"/>
  </r>
  <r>
    <n v="603"/>
    <x v="12"/>
    <x v="87"/>
    <x v="1"/>
    <s v="Percent change"/>
    <s v="Units"/>
    <x v="0"/>
    <n v="7.1440000000000001"/>
  </r>
  <r>
    <n v="603"/>
    <x v="12"/>
    <x v="87"/>
    <x v="1"/>
    <s v="Percent change"/>
    <s v="Units"/>
    <x v="1"/>
    <n v="9.8849999999999998"/>
  </r>
  <r>
    <n v="603"/>
    <x v="12"/>
    <x v="87"/>
    <x v="1"/>
    <s v="Percent change"/>
    <s v="Units"/>
    <x v="2"/>
    <n v="9.9760000000000009"/>
  </r>
  <r>
    <n v="603"/>
    <x v="12"/>
    <x v="87"/>
    <x v="1"/>
    <s v="Percent change"/>
    <s v="Units"/>
    <x v="3"/>
    <n v="31.713000000000001"/>
  </r>
  <r>
    <n v="603"/>
    <x v="12"/>
    <x v="87"/>
    <x v="1"/>
    <s v="Percent change"/>
    <s v="Units"/>
    <x v="4"/>
    <n v="37.530999999999999"/>
  </r>
  <r>
    <n v="603"/>
    <x v="12"/>
    <x v="87"/>
    <x v="1"/>
    <s v="Percent change"/>
    <s v="Units"/>
    <x v="5"/>
    <n v="22.271000000000001"/>
  </r>
  <r>
    <n v="603"/>
    <x v="12"/>
    <x v="87"/>
    <x v="1"/>
    <s v="Percent change"/>
    <s v="Units"/>
    <x v="6"/>
    <n v="11.506"/>
  </r>
  <r>
    <n v="200"/>
    <x v="3"/>
    <x v="87"/>
    <x v="1"/>
    <s v="Percent change"/>
    <s v="Units"/>
    <x v="0"/>
    <n v="7.1440000000000001"/>
  </r>
  <r>
    <n v="200"/>
    <x v="3"/>
    <x v="87"/>
    <x v="1"/>
    <s v="Percent change"/>
    <s v="Units"/>
    <x v="1"/>
    <n v="9.8849999999999998"/>
  </r>
  <r>
    <n v="200"/>
    <x v="3"/>
    <x v="87"/>
    <x v="1"/>
    <s v="Percent change"/>
    <s v="Units"/>
    <x v="2"/>
    <n v="9.9760000000000009"/>
  </r>
  <r>
    <n v="200"/>
    <x v="3"/>
    <x v="87"/>
    <x v="1"/>
    <s v="Percent change"/>
    <s v="Units"/>
    <x v="3"/>
    <n v="31.713000000000001"/>
  </r>
  <r>
    <n v="200"/>
    <x v="3"/>
    <x v="87"/>
    <x v="1"/>
    <s v="Percent change"/>
    <s v="Units"/>
    <x v="4"/>
    <n v="37.530999999999999"/>
  </r>
  <r>
    <n v="200"/>
    <x v="3"/>
    <x v="87"/>
    <x v="1"/>
    <s v="Percent change"/>
    <s v="Units"/>
    <x v="5"/>
    <n v="22.271000000000001"/>
  </r>
  <r>
    <n v="200"/>
    <x v="3"/>
    <x v="87"/>
    <x v="1"/>
    <s v="Percent change"/>
    <s v="Units"/>
    <x v="6"/>
    <n v="11.506"/>
  </r>
  <r>
    <n v="110"/>
    <x v="0"/>
    <x v="118"/>
    <x v="7"/>
    <s v="Percent of GDP"/>
    <s v="Units"/>
    <x v="0"/>
    <n v="19.725999999999999"/>
  </r>
  <r>
    <n v="110"/>
    <x v="0"/>
    <x v="118"/>
    <x v="7"/>
    <s v="Percent of GDP"/>
    <s v="Units"/>
    <x v="1"/>
    <n v="20.852"/>
  </r>
  <r>
    <n v="110"/>
    <x v="0"/>
    <x v="118"/>
    <x v="7"/>
    <s v="Percent of GDP"/>
    <s v="Units"/>
    <x v="2"/>
    <n v="19.318999999999999"/>
  </r>
  <r>
    <n v="110"/>
    <x v="0"/>
    <x v="118"/>
    <x v="7"/>
    <s v="Percent of GDP"/>
    <s v="Units"/>
    <x v="3"/>
    <n v="21.276"/>
  </r>
  <r>
    <n v="110"/>
    <x v="0"/>
    <x v="118"/>
    <x v="7"/>
    <s v="Percent of GDP"/>
    <s v="Units"/>
    <x v="4"/>
    <n v="22.88"/>
  </r>
  <r>
    <n v="110"/>
    <x v="0"/>
    <x v="118"/>
    <x v="7"/>
    <s v="Percent of GDP"/>
    <s v="Units"/>
    <x v="5"/>
    <n v="22.239000000000001"/>
  </r>
  <r>
    <n v="110"/>
    <x v="0"/>
    <x v="118"/>
    <x v="7"/>
    <s v="Percent of GDP"/>
    <s v="Units"/>
    <x v="6"/>
    <n v="22.172999999999998"/>
  </r>
  <r>
    <n v="163"/>
    <x v="5"/>
    <x v="118"/>
    <x v="7"/>
    <s v="Percent of GDP"/>
    <s v="Units"/>
    <x v="0"/>
    <n v="19.725999999999999"/>
  </r>
  <r>
    <n v="163"/>
    <x v="5"/>
    <x v="118"/>
    <x v="7"/>
    <s v="Percent of GDP"/>
    <s v="Units"/>
    <x v="1"/>
    <n v="20.852"/>
  </r>
  <r>
    <n v="163"/>
    <x v="5"/>
    <x v="118"/>
    <x v="7"/>
    <s v="Percent of GDP"/>
    <s v="Units"/>
    <x v="2"/>
    <n v="19.318999999999999"/>
  </r>
  <r>
    <n v="163"/>
    <x v="5"/>
    <x v="118"/>
    <x v="7"/>
    <s v="Percent of GDP"/>
    <s v="Units"/>
    <x v="3"/>
    <n v="21.276"/>
  </r>
  <r>
    <n v="163"/>
    <x v="5"/>
    <x v="118"/>
    <x v="7"/>
    <s v="Percent of GDP"/>
    <s v="Units"/>
    <x v="4"/>
    <n v="22.88"/>
  </r>
  <r>
    <n v="163"/>
    <x v="5"/>
    <x v="118"/>
    <x v="7"/>
    <s v="Percent of GDP"/>
    <s v="Units"/>
    <x v="5"/>
    <n v="22.239000000000001"/>
  </r>
  <r>
    <n v="163"/>
    <x v="5"/>
    <x v="118"/>
    <x v="7"/>
    <s v="Percent of GDP"/>
    <s v="Units"/>
    <x v="6"/>
    <n v="22.172999999999998"/>
  </r>
  <r>
    <n v="998"/>
    <x v="6"/>
    <x v="118"/>
    <x v="7"/>
    <s v="Percent of GDP"/>
    <s v="Units"/>
    <x v="0"/>
    <n v="19.725999999999999"/>
  </r>
  <r>
    <n v="998"/>
    <x v="6"/>
    <x v="118"/>
    <x v="7"/>
    <s v="Percent of GDP"/>
    <s v="Units"/>
    <x v="1"/>
    <n v="20.852"/>
  </r>
  <r>
    <n v="998"/>
    <x v="6"/>
    <x v="118"/>
    <x v="7"/>
    <s v="Percent of GDP"/>
    <s v="Units"/>
    <x v="2"/>
    <n v="19.318999999999999"/>
  </r>
  <r>
    <n v="998"/>
    <x v="6"/>
    <x v="118"/>
    <x v="7"/>
    <s v="Percent of GDP"/>
    <s v="Units"/>
    <x v="3"/>
    <n v="21.276"/>
  </r>
  <r>
    <n v="998"/>
    <x v="6"/>
    <x v="118"/>
    <x v="7"/>
    <s v="Percent of GDP"/>
    <s v="Units"/>
    <x v="4"/>
    <n v="22.88"/>
  </r>
  <r>
    <n v="998"/>
    <x v="6"/>
    <x v="118"/>
    <x v="7"/>
    <s v="Percent of GDP"/>
    <s v="Units"/>
    <x v="5"/>
    <n v="22.239000000000001"/>
  </r>
  <r>
    <n v="998"/>
    <x v="6"/>
    <x v="118"/>
    <x v="7"/>
    <s v="Percent of GDP"/>
    <s v="Units"/>
    <x v="6"/>
    <n v="22.172999999999998"/>
  </r>
  <r>
    <n v="1"/>
    <x v="2"/>
    <x v="118"/>
    <x v="7"/>
    <s v="Percent of GDP"/>
    <s v="Units"/>
    <x v="0"/>
    <n v="19.725999999999999"/>
  </r>
  <r>
    <n v="1"/>
    <x v="2"/>
    <x v="118"/>
    <x v="7"/>
    <s v="Percent of GDP"/>
    <s v="Units"/>
    <x v="1"/>
    <n v="20.852"/>
  </r>
  <r>
    <n v="1"/>
    <x v="2"/>
    <x v="118"/>
    <x v="7"/>
    <s v="Percent of GDP"/>
    <s v="Units"/>
    <x v="2"/>
    <n v="19.318999999999999"/>
  </r>
  <r>
    <n v="1"/>
    <x v="2"/>
    <x v="118"/>
    <x v="7"/>
    <s v="Percent of GDP"/>
    <s v="Units"/>
    <x v="3"/>
    <n v="21.276"/>
  </r>
  <r>
    <n v="1"/>
    <x v="2"/>
    <x v="118"/>
    <x v="7"/>
    <s v="Percent of GDP"/>
    <s v="Units"/>
    <x v="4"/>
    <n v="22.88"/>
  </r>
  <r>
    <n v="1"/>
    <x v="2"/>
    <x v="118"/>
    <x v="7"/>
    <s v="Percent of GDP"/>
    <s v="Units"/>
    <x v="5"/>
    <n v="22.239000000000001"/>
  </r>
  <r>
    <n v="1"/>
    <x v="2"/>
    <x v="118"/>
    <x v="7"/>
    <s v="Percent of GDP"/>
    <s v="Units"/>
    <x v="6"/>
    <n v="22.172999999999998"/>
  </r>
  <r>
    <n v="110"/>
    <x v="0"/>
    <x v="78"/>
    <x v="7"/>
    <s v="Percent of GDP"/>
    <s v="Units"/>
    <x v="0"/>
    <n v="21.931000000000001"/>
  </r>
  <r>
    <n v="110"/>
    <x v="0"/>
    <x v="78"/>
    <x v="7"/>
    <s v="Percent of GDP"/>
    <s v="Units"/>
    <x v="1"/>
    <n v="23.213999999999999"/>
  </r>
  <r>
    <n v="110"/>
    <x v="0"/>
    <x v="78"/>
    <x v="7"/>
    <s v="Percent of GDP"/>
    <s v="Units"/>
    <x v="2"/>
    <n v="22.045999999999999"/>
  </r>
  <r>
    <n v="110"/>
    <x v="0"/>
    <x v="78"/>
    <x v="7"/>
    <s v="Percent of GDP"/>
    <s v="Units"/>
    <x v="3"/>
    <n v="26.315999999999999"/>
  </r>
  <r>
    <n v="110"/>
    <x v="0"/>
    <x v="78"/>
    <x v="7"/>
    <s v="Percent of GDP"/>
    <s v="Units"/>
    <x v="4"/>
    <n v="22.163"/>
  </r>
  <r>
    <n v="110"/>
    <x v="0"/>
    <x v="78"/>
    <x v="7"/>
    <s v="Percent of GDP"/>
    <s v="Units"/>
    <x v="5"/>
    <n v="22.233000000000001"/>
  </r>
  <r>
    <n v="110"/>
    <x v="0"/>
    <x v="78"/>
    <x v="7"/>
    <s v="Percent of GDP"/>
    <s v="Units"/>
    <x v="6"/>
    <n v="22.591000000000001"/>
  </r>
  <r>
    <n v="1"/>
    <x v="2"/>
    <x v="78"/>
    <x v="7"/>
    <s v="Percent of GDP"/>
    <s v="Units"/>
    <x v="0"/>
    <n v="21.931000000000001"/>
  </r>
  <r>
    <n v="1"/>
    <x v="2"/>
    <x v="78"/>
    <x v="7"/>
    <s v="Percent of GDP"/>
    <s v="Units"/>
    <x v="1"/>
    <n v="23.213999999999999"/>
  </r>
  <r>
    <n v="1"/>
    <x v="2"/>
    <x v="78"/>
    <x v="7"/>
    <s v="Percent of GDP"/>
    <s v="Units"/>
    <x v="2"/>
    <n v="22.045999999999999"/>
  </r>
  <r>
    <n v="1"/>
    <x v="2"/>
    <x v="78"/>
    <x v="7"/>
    <s v="Percent of GDP"/>
    <s v="Units"/>
    <x v="3"/>
    <n v="26.315999999999999"/>
  </r>
  <r>
    <n v="1"/>
    <x v="2"/>
    <x v="78"/>
    <x v="7"/>
    <s v="Percent of GDP"/>
    <s v="Units"/>
    <x v="4"/>
    <n v="22.163"/>
  </r>
  <r>
    <n v="1"/>
    <x v="2"/>
    <x v="78"/>
    <x v="7"/>
    <s v="Percent of GDP"/>
    <s v="Units"/>
    <x v="5"/>
    <n v="22.233000000000001"/>
  </r>
  <r>
    <n v="1"/>
    <x v="2"/>
    <x v="78"/>
    <x v="7"/>
    <s v="Percent of GDP"/>
    <s v="Units"/>
    <x v="6"/>
    <n v="22.591000000000001"/>
  </r>
  <r>
    <n v="998"/>
    <x v="6"/>
    <x v="78"/>
    <x v="7"/>
    <s v="Percent of GDP"/>
    <s v="Units"/>
    <x v="0"/>
    <n v="21.931000000000001"/>
  </r>
  <r>
    <n v="998"/>
    <x v="6"/>
    <x v="78"/>
    <x v="7"/>
    <s v="Percent of GDP"/>
    <s v="Units"/>
    <x v="1"/>
    <n v="23.213999999999999"/>
  </r>
  <r>
    <n v="998"/>
    <x v="6"/>
    <x v="78"/>
    <x v="7"/>
    <s v="Percent of GDP"/>
    <s v="Units"/>
    <x v="2"/>
    <n v="22.045999999999999"/>
  </r>
  <r>
    <n v="998"/>
    <x v="6"/>
    <x v="78"/>
    <x v="7"/>
    <s v="Percent of GDP"/>
    <s v="Units"/>
    <x v="3"/>
    <n v="26.315999999999999"/>
  </r>
  <r>
    <n v="998"/>
    <x v="6"/>
    <x v="78"/>
    <x v="7"/>
    <s v="Percent of GDP"/>
    <s v="Units"/>
    <x v="4"/>
    <n v="22.163"/>
  </r>
  <r>
    <n v="998"/>
    <x v="6"/>
    <x v="78"/>
    <x v="7"/>
    <s v="Percent of GDP"/>
    <s v="Units"/>
    <x v="5"/>
    <n v="22.233000000000001"/>
  </r>
  <r>
    <n v="998"/>
    <x v="6"/>
    <x v="78"/>
    <x v="7"/>
    <s v="Percent of GDP"/>
    <s v="Units"/>
    <x v="6"/>
    <n v="22.591000000000001"/>
  </r>
  <r>
    <n v="163"/>
    <x v="5"/>
    <x v="78"/>
    <x v="7"/>
    <s v="Percent of GDP"/>
    <s v="Units"/>
    <x v="0"/>
    <n v="21.931000000000001"/>
  </r>
  <r>
    <n v="163"/>
    <x v="5"/>
    <x v="78"/>
    <x v="7"/>
    <s v="Percent of GDP"/>
    <s v="Units"/>
    <x v="1"/>
    <n v="23.213999999999999"/>
  </r>
  <r>
    <n v="163"/>
    <x v="5"/>
    <x v="78"/>
    <x v="7"/>
    <s v="Percent of GDP"/>
    <s v="Units"/>
    <x v="2"/>
    <n v="22.045999999999999"/>
  </r>
  <r>
    <n v="163"/>
    <x v="5"/>
    <x v="78"/>
    <x v="7"/>
    <s v="Percent of GDP"/>
    <s v="Units"/>
    <x v="3"/>
    <n v="26.315999999999999"/>
  </r>
  <r>
    <n v="163"/>
    <x v="5"/>
    <x v="78"/>
    <x v="7"/>
    <s v="Percent of GDP"/>
    <s v="Units"/>
    <x v="4"/>
    <n v="22.163"/>
  </r>
  <r>
    <n v="163"/>
    <x v="5"/>
    <x v="78"/>
    <x v="7"/>
    <s v="Percent of GDP"/>
    <s v="Units"/>
    <x v="5"/>
    <n v="22.233000000000001"/>
  </r>
  <r>
    <n v="163"/>
    <x v="5"/>
    <x v="78"/>
    <x v="7"/>
    <s v="Percent of GDP"/>
    <s v="Units"/>
    <x v="6"/>
    <n v="22.591000000000001"/>
  </r>
  <r>
    <n v="998"/>
    <x v="6"/>
    <x v="90"/>
    <x v="7"/>
    <s v="Percent of GDP"/>
    <s v="Units"/>
    <x v="0"/>
    <n v="20.632000000000001"/>
  </r>
  <r>
    <n v="998"/>
    <x v="6"/>
    <x v="90"/>
    <x v="7"/>
    <s v="Percent of GDP"/>
    <s v="Units"/>
    <x v="1"/>
    <n v="20.061"/>
  </r>
  <r>
    <n v="998"/>
    <x v="6"/>
    <x v="90"/>
    <x v="7"/>
    <s v="Percent of GDP"/>
    <s v="Units"/>
    <x v="2"/>
    <n v="21.733000000000001"/>
  </r>
  <r>
    <n v="998"/>
    <x v="6"/>
    <x v="90"/>
    <x v="7"/>
    <s v="Percent of GDP"/>
    <s v="Units"/>
    <x v="3"/>
    <n v="24.28"/>
  </r>
  <r>
    <n v="998"/>
    <x v="6"/>
    <x v="90"/>
    <x v="7"/>
    <s v="Percent of GDP"/>
    <s v="Units"/>
    <x v="4"/>
    <n v="20.800999999999998"/>
  </r>
  <r>
    <n v="998"/>
    <x v="6"/>
    <x v="90"/>
    <x v="7"/>
    <s v="Percent of GDP"/>
    <s v="Units"/>
    <x v="5"/>
    <n v="22.215"/>
  </r>
  <r>
    <n v="998"/>
    <x v="6"/>
    <x v="90"/>
    <x v="7"/>
    <s v="Percent of GDP"/>
    <s v="Units"/>
    <x v="6"/>
    <n v="22.68"/>
  </r>
  <r>
    <n v="163"/>
    <x v="5"/>
    <x v="90"/>
    <x v="7"/>
    <s v="Percent of GDP"/>
    <s v="Units"/>
    <x v="0"/>
    <n v="20.632000000000001"/>
  </r>
  <r>
    <n v="163"/>
    <x v="5"/>
    <x v="90"/>
    <x v="7"/>
    <s v="Percent of GDP"/>
    <s v="Units"/>
    <x v="1"/>
    <n v="20.061"/>
  </r>
  <r>
    <n v="163"/>
    <x v="5"/>
    <x v="90"/>
    <x v="7"/>
    <s v="Percent of GDP"/>
    <s v="Units"/>
    <x v="2"/>
    <n v="21.733000000000001"/>
  </r>
  <r>
    <n v="163"/>
    <x v="5"/>
    <x v="90"/>
    <x v="7"/>
    <s v="Percent of GDP"/>
    <s v="Units"/>
    <x v="3"/>
    <n v="24.28"/>
  </r>
  <r>
    <n v="163"/>
    <x v="5"/>
    <x v="90"/>
    <x v="7"/>
    <s v="Percent of GDP"/>
    <s v="Units"/>
    <x v="4"/>
    <n v="20.800999999999998"/>
  </r>
  <r>
    <n v="163"/>
    <x v="5"/>
    <x v="90"/>
    <x v="7"/>
    <s v="Percent of GDP"/>
    <s v="Units"/>
    <x v="5"/>
    <n v="22.215"/>
  </r>
  <r>
    <n v="163"/>
    <x v="5"/>
    <x v="90"/>
    <x v="7"/>
    <s v="Percent of GDP"/>
    <s v="Units"/>
    <x v="6"/>
    <n v="22.68"/>
  </r>
  <r>
    <n v="110"/>
    <x v="0"/>
    <x v="90"/>
    <x v="7"/>
    <s v="Percent of GDP"/>
    <s v="Units"/>
    <x v="0"/>
    <n v="20.632000000000001"/>
  </r>
  <r>
    <n v="110"/>
    <x v="0"/>
    <x v="90"/>
    <x v="7"/>
    <s v="Percent of GDP"/>
    <s v="Units"/>
    <x v="1"/>
    <n v="20.061"/>
  </r>
  <r>
    <n v="110"/>
    <x v="0"/>
    <x v="90"/>
    <x v="7"/>
    <s v="Percent of GDP"/>
    <s v="Units"/>
    <x v="2"/>
    <n v="21.733000000000001"/>
  </r>
  <r>
    <n v="110"/>
    <x v="0"/>
    <x v="90"/>
    <x v="7"/>
    <s v="Percent of GDP"/>
    <s v="Units"/>
    <x v="3"/>
    <n v="24.28"/>
  </r>
  <r>
    <n v="110"/>
    <x v="0"/>
    <x v="90"/>
    <x v="7"/>
    <s v="Percent of GDP"/>
    <s v="Units"/>
    <x v="4"/>
    <n v="20.800999999999998"/>
  </r>
  <r>
    <n v="110"/>
    <x v="0"/>
    <x v="90"/>
    <x v="7"/>
    <s v="Percent of GDP"/>
    <s v="Units"/>
    <x v="5"/>
    <n v="22.215"/>
  </r>
  <r>
    <n v="110"/>
    <x v="0"/>
    <x v="90"/>
    <x v="7"/>
    <s v="Percent of GDP"/>
    <s v="Units"/>
    <x v="6"/>
    <n v="22.68"/>
  </r>
  <r>
    <n v="1"/>
    <x v="2"/>
    <x v="90"/>
    <x v="7"/>
    <s v="Percent of GDP"/>
    <s v="Units"/>
    <x v="0"/>
    <n v="20.632000000000001"/>
  </r>
  <r>
    <n v="1"/>
    <x v="2"/>
    <x v="90"/>
    <x v="7"/>
    <s v="Percent of GDP"/>
    <s v="Units"/>
    <x v="1"/>
    <n v="20.061"/>
  </r>
  <r>
    <n v="1"/>
    <x v="2"/>
    <x v="90"/>
    <x v="7"/>
    <s v="Percent of GDP"/>
    <s v="Units"/>
    <x v="2"/>
    <n v="21.733000000000001"/>
  </r>
  <r>
    <n v="1"/>
    <x v="2"/>
    <x v="90"/>
    <x v="7"/>
    <s v="Percent of GDP"/>
    <s v="Units"/>
    <x v="3"/>
    <n v="24.28"/>
  </r>
  <r>
    <n v="1"/>
    <x v="2"/>
    <x v="90"/>
    <x v="7"/>
    <s v="Percent of GDP"/>
    <s v="Units"/>
    <x v="4"/>
    <n v="20.800999999999998"/>
  </r>
  <r>
    <n v="1"/>
    <x v="2"/>
    <x v="90"/>
    <x v="7"/>
    <s v="Percent of GDP"/>
    <s v="Units"/>
    <x v="5"/>
    <n v="22.215"/>
  </r>
  <r>
    <n v="1"/>
    <x v="2"/>
    <x v="90"/>
    <x v="7"/>
    <s v="Percent of GDP"/>
    <s v="Units"/>
    <x v="6"/>
    <n v="22.68"/>
  </r>
  <r>
    <n v="200"/>
    <x v="3"/>
    <x v="148"/>
    <x v="3"/>
    <s v="Percent of GDP"/>
    <s v="Units"/>
    <x v="0"/>
    <n v="20.748000000000001"/>
  </r>
  <r>
    <n v="200"/>
    <x v="3"/>
    <x v="148"/>
    <x v="3"/>
    <s v="Percent of GDP"/>
    <s v="Units"/>
    <x v="1"/>
    <n v="23.507999999999999"/>
  </r>
  <r>
    <n v="200"/>
    <x v="3"/>
    <x v="148"/>
    <x v="3"/>
    <s v="Percent of GDP"/>
    <s v="Units"/>
    <x v="2"/>
    <n v="21.971"/>
  </r>
  <r>
    <n v="200"/>
    <x v="3"/>
    <x v="148"/>
    <x v="3"/>
    <s v="Percent of GDP"/>
    <s v="Units"/>
    <x v="3"/>
    <n v="21.925000000000001"/>
  </r>
  <r>
    <n v="200"/>
    <x v="3"/>
    <x v="148"/>
    <x v="3"/>
    <s v="Percent of GDP"/>
    <s v="Units"/>
    <x v="4"/>
    <n v="22.779"/>
  </r>
  <r>
    <n v="200"/>
    <x v="3"/>
    <x v="148"/>
    <x v="3"/>
    <s v="Percent of GDP"/>
    <s v="Units"/>
    <x v="5"/>
    <n v="22.2"/>
  </r>
  <r>
    <n v="200"/>
    <x v="3"/>
    <x v="148"/>
    <x v="3"/>
    <s v="Percent of GDP"/>
    <s v="Units"/>
    <x v="6"/>
    <n v="21.329000000000001"/>
  </r>
  <r>
    <n v="505"/>
    <x v="4"/>
    <x v="148"/>
    <x v="3"/>
    <s v="Percent of GDP"/>
    <s v="Units"/>
    <x v="0"/>
    <n v="20.748000000000001"/>
  </r>
  <r>
    <n v="505"/>
    <x v="4"/>
    <x v="148"/>
    <x v="3"/>
    <s v="Percent of GDP"/>
    <s v="Units"/>
    <x v="1"/>
    <n v="23.507999999999999"/>
  </r>
  <r>
    <n v="505"/>
    <x v="4"/>
    <x v="148"/>
    <x v="3"/>
    <s v="Percent of GDP"/>
    <s v="Units"/>
    <x v="2"/>
    <n v="21.971"/>
  </r>
  <r>
    <n v="505"/>
    <x v="4"/>
    <x v="148"/>
    <x v="3"/>
    <s v="Percent of GDP"/>
    <s v="Units"/>
    <x v="3"/>
    <n v="21.925000000000001"/>
  </r>
  <r>
    <n v="505"/>
    <x v="4"/>
    <x v="148"/>
    <x v="3"/>
    <s v="Percent of GDP"/>
    <s v="Units"/>
    <x v="4"/>
    <n v="22.779"/>
  </r>
  <r>
    <n v="505"/>
    <x v="4"/>
    <x v="148"/>
    <x v="3"/>
    <s v="Percent of GDP"/>
    <s v="Units"/>
    <x v="5"/>
    <n v="22.2"/>
  </r>
  <r>
    <n v="505"/>
    <x v="4"/>
    <x v="148"/>
    <x v="3"/>
    <s v="Percent of GDP"/>
    <s v="Units"/>
    <x v="6"/>
    <n v="21.329000000000001"/>
  </r>
  <r>
    <n v="1"/>
    <x v="2"/>
    <x v="178"/>
    <x v="7"/>
    <s v="Percent of GDP"/>
    <s v="Units"/>
    <x v="0"/>
    <n v="21.308"/>
  </r>
  <r>
    <n v="1"/>
    <x v="2"/>
    <x v="178"/>
    <x v="7"/>
    <s v="Percent of GDP"/>
    <s v="Units"/>
    <x v="1"/>
    <n v="24.242000000000001"/>
  </r>
  <r>
    <n v="1"/>
    <x v="2"/>
    <x v="178"/>
    <x v="7"/>
    <s v="Percent of GDP"/>
    <s v="Units"/>
    <x v="2"/>
    <n v="22.75"/>
  </r>
  <r>
    <n v="1"/>
    <x v="2"/>
    <x v="178"/>
    <x v="7"/>
    <s v="Percent of GDP"/>
    <s v="Units"/>
    <x v="3"/>
    <n v="21.151"/>
  </r>
  <r>
    <n v="1"/>
    <x v="2"/>
    <x v="178"/>
    <x v="7"/>
    <s v="Percent of GDP"/>
    <s v="Units"/>
    <x v="4"/>
    <n v="21.856000000000002"/>
  </r>
  <r>
    <n v="1"/>
    <x v="2"/>
    <x v="178"/>
    <x v="7"/>
    <s v="Percent of GDP"/>
    <s v="Units"/>
    <x v="5"/>
    <n v="22.148"/>
  </r>
  <r>
    <n v="1"/>
    <x v="2"/>
    <x v="178"/>
    <x v="7"/>
    <s v="Percent of GDP"/>
    <s v="Units"/>
    <x v="6"/>
    <n v="21.997"/>
  </r>
  <r>
    <n v="200"/>
    <x v="3"/>
    <x v="178"/>
    <x v="7"/>
    <s v="Percent of GDP"/>
    <s v="Units"/>
    <x v="0"/>
    <n v="21.308"/>
  </r>
  <r>
    <n v="200"/>
    <x v="3"/>
    <x v="178"/>
    <x v="7"/>
    <s v="Percent of GDP"/>
    <s v="Units"/>
    <x v="1"/>
    <n v="24.242000000000001"/>
  </r>
  <r>
    <n v="200"/>
    <x v="3"/>
    <x v="178"/>
    <x v="7"/>
    <s v="Percent of GDP"/>
    <s v="Units"/>
    <x v="2"/>
    <n v="22.75"/>
  </r>
  <r>
    <n v="200"/>
    <x v="3"/>
    <x v="178"/>
    <x v="7"/>
    <s v="Percent of GDP"/>
    <s v="Units"/>
    <x v="3"/>
    <n v="21.151"/>
  </r>
  <r>
    <n v="200"/>
    <x v="3"/>
    <x v="178"/>
    <x v="7"/>
    <s v="Percent of GDP"/>
    <s v="Units"/>
    <x v="4"/>
    <n v="21.856000000000002"/>
  </r>
  <r>
    <n v="200"/>
    <x v="3"/>
    <x v="178"/>
    <x v="7"/>
    <s v="Percent of GDP"/>
    <s v="Units"/>
    <x v="5"/>
    <n v="22.148"/>
  </r>
  <r>
    <n v="200"/>
    <x v="3"/>
    <x v="178"/>
    <x v="7"/>
    <s v="Percent of GDP"/>
    <s v="Units"/>
    <x v="6"/>
    <n v="21.997"/>
  </r>
  <r>
    <n v="205"/>
    <x v="7"/>
    <x v="178"/>
    <x v="7"/>
    <s v="Percent of GDP"/>
    <s v="Units"/>
    <x v="0"/>
    <n v="21.308"/>
  </r>
  <r>
    <n v="205"/>
    <x v="7"/>
    <x v="178"/>
    <x v="7"/>
    <s v="Percent of GDP"/>
    <s v="Units"/>
    <x v="1"/>
    <n v="24.242000000000001"/>
  </r>
  <r>
    <n v="205"/>
    <x v="7"/>
    <x v="178"/>
    <x v="7"/>
    <s v="Percent of GDP"/>
    <s v="Units"/>
    <x v="2"/>
    <n v="22.75"/>
  </r>
  <r>
    <n v="205"/>
    <x v="7"/>
    <x v="178"/>
    <x v="7"/>
    <s v="Percent of GDP"/>
    <s v="Units"/>
    <x v="3"/>
    <n v="21.151"/>
  </r>
  <r>
    <n v="205"/>
    <x v="7"/>
    <x v="178"/>
    <x v="7"/>
    <s v="Percent of GDP"/>
    <s v="Units"/>
    <x v="4"/>
    <n v="21.856000000000002"/>
  </r>
  <r>
    <n v="205"/>
    <x v="7"/>
    <x v="178"/>
    <x v="7"/>
    <s v="Percent of GDP"/>
    <s v="Units"/>
    <x v="5"/>
    <n v="22.148"/>
  </r>
  <r>
    <n v="205"/>
    <x v="7"/>
    <x v="178"/>
    <x v="7"/>
    <s v="Percent of GDP"/>
    <s v="Units"/>
    <x v="6"/>
    <n v="21.997"/>
  </r>
  <r>
    <n v="200"/>
    <x v="3"/>
    <x v="66"/>
    <x v="5"/>
    <s v="Percent of GDP"/>
    <s v="Units"/>
    <x v="0"/>
    <n v="20.847999999999999"/>
  </r>
  <r>
    <n v="200"/>
    <x v="3"/>
    <x v="66"/>
    <x v="5"/>
    <s v="Percent of GDP"/>
    <s v="Units"/>
    <x v="1"/>
    <n v="19.888000000000002"/>
  </r>
  <r>
    <n v="200"/>
    <x v="3"/>
    <x v="66"/>
    <x v="5"/>
    <s v="Percent of GDP"/>
    <s v="Units"/>
    <x v="2"/>
    <n v="23.856000000000002"/>
  </r>
  <r>
    <n v="200"/>
    <x v="3"/>
    <x v="66"/>
    <x v="5"/>
    <s v="Percent of GDP"/>
    <s v="Units"/>
    <x v="3"/>
    <n v="24.106999999999999"/>
  </r>
  <r>
    <n v="200"/>
    <x v="3"/>
    <x v="66"/>
    <x v="5"/>
    <s v="Percent of GDP"/>
    <s v="Units"/>
    <x v="4"/>
    <n v="21.635000000000002"/>
  </r>
  <r>
    <n v="200"/>
    <x v="3"/>
    <x v="66"/>
    <x v="5"/>
    <s v="Percent of GDP"/>
    <s v="Units"/>
    <x v="5"/>
    <n v="22.100999999999999"/>
  </r>
  <r>
    <n v="200"/>
    <x v="3"/>
    <x v="66"/>
    <x v="5"/>
    <s v="Percent of GDP"/>
    <s v="Units"/>
    <x v="6"/>
    <n v="24.527000000000001"/>
  </r>
  <r>
    <n v="1"/>
    <x v="2"/>
    <x v="66"/>
    <x v="5"/>
    <s v="Percent of GDP"/>
    <s v="Units"/>
    <x v="0"/>
    <n v="20.847999999999999"/>
  </r>
  <r>
    <n v="1"/>
    <x v="2"/>
    <x v="66"/>
    <x v="5"/>
    <s v="Percent of GDP"/>
    <s v="Units"/>
    <x v="1"/>
    <n v="19.888000000000002"/>
  </r>
  <r>
    <n v="1"/>
    <x v="2"/>
    <x v="66"/>
    <x v="5"/>
    <s v="Percent of GDP"/>
    <s v="Units"/>
    <x v="2"/>
    <n v="23.856000000000002"/>
  </r>
  <r>
    <n v="1"/>
    <x v="2"/>
    <x v="66"/>
    <x v="5"/>
    <s v="Percent of GDP"/>
    <s v="Units"/>
    <x v="3"/>
    <n v="24.106999999999999"/>
  </r>
  <r>
    <n v="1"/>
    <x v="2"/>
    <x v="66"/>
    <x v="5"/>
    <s v="Percent of GDP"/>
    <s v="Units"/>
    <x v="4"/>
    <n v="21.635000000000002"/>
  </r>
  <r>
    <n v="1"/>
    <x v="2"/>
    <x v="66"/>
    <x v="5"/>
    <s v="Percent of GDP"/>
    <s v="Units"/>
    <x v="5"/>
    <n v="22.100999999999999"/>
  </r>
  <r>
    <n v="1"/>
    <x v="2"/>
    <x v="66"/>
    <x v="5"/>
    <s v="Percent of GDP"/>
    <s v="Units"/>
    <x v="6"/>
    <n v="24.527000000000001"/>
  </r>
  <r>
    <n v="205"/>
    <x v="7"/>
    <x v="66"/>
    <x v="5"/>
    <s v="Percent of GDP"/>
    <s v="Units"/>
    <x v="0"/>
    <n v="20.847999999999999"/>
  </r>
  <r>
    <n v="205"/>
    <x v="7"/>
    <x v="66"/>
    <x v="5"/>
    <s v="Percent of GDP"/>
    <s v="Units"/>
    <x v="1"/>
    <n v="19.888000000000002"/>
  </r>
  <r>
    <n v="205"/>
    <x v="7"/>
    <x v="66"/>
    <x v="5"/>
    <s v="Percent of GDP"/>
    <s v="Units"/>
    <x v="2"/>
    <n v="23.856000000000002"/>
  </r>
  <r>
    <n v="205"/>
    <x v="7"/>
    <x v="66"/>
    <x v="5"/>
    <s v="Percent of GDP"/>
    <s v="Units"/>
    <x v="3"/>
    <n v="24.106999999999999"/>
  </r>
  <r>
    <n v="205"/>
    <x v="7"/>
    <x v="66"/>
    <x v="5"/>
    <s v="Percent of GDP"/>
    <s v="Units"/>
    <x v="4"/>
    <n v="21.635000000000002"/>
  </r>
  <r>
    <n v="205"/>
    <x v="7"/>
    <x v="66"/>
    <x v="5"/>
    <s v="Percent of GDP"/>
    <s v="Units"/>
    <x v="5"/>
    <n v="22.100999999999999"/>
  </r>
  <r>
    <n v="205"/>
    <x v="7"/>
    <x v="66"/>
    <x v="5"/>
    <s v="Percent of GDP"/>
    <s v="Units"/>
    <x v="6"/>
    <n v="24.527000000000001"/>
  </r>
  <r>
    <n v="163"/>
    <x v="5"/>
    <x v="53"/>
    <x v="7"/>
    <s v="Percent of GDP"/>
    <s v="Units"/>
    <x v="0"/>
    <n v="12.407999999999999"/>
  </r>
  <r>
    <n v="163"/>
    <x v="5"/>
    <x v="53"/>
    <x v="7"/>
    <s v="Percent of GDP"/>
    <s v="Units"/>
    <x v="1"/>
    <n v="14.420999999999999"/>
  </r>
  <r>
    <n v="163"/>
    <x v="5"/>
    <x v="53"/>
    <x v="7"/>
    <s v="Percent of GDP"/>
    <s v="Units"/>
    <x v="2"/>
    <n v="17.678999999999998"/>
  </r>
  <r>
    <n v="163"/>
    <x v="5"/>
    <x v="53"/>
    <x v="7"/>
    <s v="Percent of GDP"/>
    <s v="Units"/>
    <x v="3"/>
    <n v="21.117000000000001"/>
  </r>
  <r>
    <n v="163"/>
    <x v="5"/>
    <x v="53"/>
    <x v="7"/>
    <s v="Percent of GDP"/>
    <s v="Units"/>
    <x v="4"/>
    <n v="16.811"/>
  </r>
  <r>
    <n v="163"/>
    <x v="5"/>
    <x v="53"/>
    <x v="7"/>
    <s v="Percent of GDP"/>
    <s v="Units"/>
    <x v="5"/>
    <n v="22.041"/>
  </r>
  <r>
    <n v="163"/>
    <x v="5"/>
    <x v="53"/>
    <x v="7"/>
    <s v="Percent of GDP"/>
    <s v="Units"/>
    <x v="6"/>
    <n v="23.501000000000001"/>
  </r>
  <r>
    <n v="998"/>
    <x v="6"/>
    <x v="53"/>
    <x v="7"/>
    <s v="Percent of GDP"/>
    <s v="Units"/>
    <x v="0"/>
    <n v="12.407999999999999"/>
  </r>
  <r>
    <n v="998"/>
    <x v="6"/>
    <x v="53"/>
    <x v="7"/>
    <s v="Percent of GDP"/>
    <s v="Units"/>
    <x v="1"/>
    <n v="14.420999999999999"/>
  </r>
  <r>
    <n v="998"/>
    <x v="6"/>
    <x v="53"/>
    <x v="7"/>
    <s v="Percent of GDP"/>
    <s v="Units"/>
    <x v="2"/>
    <n v="17.678999999999998"/>
  </r>
  <r>
    <n v="998"/>
    <x v="6"/>
    <x v="53"/>
    <x v="7"/>
    <s v="Percent of GDP"/>
    <s v="Units"/>
    <x v="3"/>
    <n v="21.117000000000001"/>
  </r>
  <r>
    <n v="998"/>
    <x v="6"/>
    <x v="53"/>
    <x v="7"/>
    <s v="Percent of GDP"/>
    <s v="Units"/>
    <x v="4"/>
    <n v="16.811"/>
  </r>
  <r>
    <n v="998"/>
    <x v="6"/>
    <x v="53"/>
    <x v="7"/>
    <s v="Percent of GDP"/>
    <s v="Units"/>
    <x v="5"/>
    <n v="22.041"/>
  </r>
  <r>
    <n v="998"/>
    <x v="6"/>
    <x v="53"/>
    <x v="7"/>
    <s v="Percent of GDP"/>
    <s v="Units"/>
    <x v="6"/>
    <n v="23.501000000000001"/>
  </r>
  <r>
    <n v="110"/>
    <x v="0"/>
    <x v="53"/>
    <x v="7"/>
    <s v="Percent of GDP"/>
    <s v="Units"/>
    <x v="0"/>
    <n v="12.407999999999999"/>
  </r>
  <r>
    <n v="110"/>
    <x v="0"/>
    <x v="53"/>
    <x v="7"/>
    <s v="Percent of GDP"/>
    <s v="Units"/>
    <x v="1"/>
    <n v="14.420999999999999"/>
  </r>
  <r>
    <n v="110"/>
    <x v="0"/>
    <x v="53"/>
    <x v="7"/>
    <s v="Percent of GDP"/>
    <s v="Units"/>
    <x v="2"/>
    <n v="17.678999999999998"/>
  </r>
  <r>
    <n v="110"/>
    <x v="0"/>
    <x v="53"/>
    <x v="7"/>
    <s v="Percent of GDP"/>
    <s v="Units"/>
    <x v="3"/>
    <n v="21.117000000000001"/>
  </r>
  <r>
    <n v="110"/>
    <x v="0"/>
    <x v="53"/>
    <x v="7"/>
    <s v="Percent of GDP"/>
    <s v="Units"/>
    <x v="4"/>
    <n v="16.811"/>
  </r>
  <r>
    <n v="110"/>
    <x v="0"/>
    <x v="53"/>
    <x v="7"/>
    <s v="Percent of GDP"/>
    <s v="Units"/>
    <x v="5"/>
    <n v="22.041"/>
  </r>
  <r>
    <n v="110"/>
    <x v="0"/>
    <x v="53"/>
    <x v="7"/>
    <s v="Percent of GDP"/>
    <s v="Units"/>
    <x v="6"/>
    <n v="23.501000000000001"/>
  </r>
  <r>
    <n v="1"/>
    <x v="2"/>
    <x v="53"/>
    <x v="7"/>
    <s v="Percent of GDP"/>
    <s v="Units"/>
    <x v="0"/>
    <n v="12.407999999999999"/>
  </r>
  <r>
    <n v="1"/>
    <x v="2"/>
    <x v="53"/>
    <x v="7"/>
    <s v="Percent of GDP"/>
    <s v="Units"/>
    <x v="1"/>
    <n v="14.420999999999999"/>
  </r>
  <r>
    <n v="1"/>
    <x v="2"/>
    <x v="53"/>
    <x v="7"/>
    <s v="Percent of GDP"/>
    <s v="Units"/>
    <x v="2"/>
    <n v="17.678999999999998"/>
  </r>
  <r>
    <n v="1"/>
    <x v="2"/>
    <x v="53"/>
    <x v="7"/>
    <s v="Percent of GDP"/>
    <s v="Units"/>
    <x v="3"/>
    <n v="21.117000000000001"/>
  </r>
  <r>
    <n v="1"/>
    <x v="2"/>
    <x v="53"/>
    <x v="7"/>
    <s v="Percent of GDP"/>
    <s v="Units"/>
    <x v="4"/>
    <n v="16.811"/>
  </r>
  <r>
    <n v="1"/>
    <x v="2"/>
    <x v="53"/>
    <x v="7"/>
    <s v="Percent of GDP"/>
    <s v="Units"/>
    <x v="5"/>
    <n v="22.041"/>
  </r>
  <r>
    <n v="1"/>
    <x v="2"/>
    <x v="53"/>
    <x v="7"/>
    <s v="Percent of GDP"/>
    <s v="Units"/>
    <x v="6"/>
    <n v="23.501000000000001"/>
  </r>
  <r>
    <n v="200"/>
    <x v="3"/>
    <x v="169"/>
    <x v="3"/>
    <s v="Percent of GDP"/>
    <s v="Units"/>
    <x v="0"/>
    <n v="23.687999999999999"/>
  </r>
  <r>
    <n v="200"/>
    <x v="3"/>
    <x v="169"/>
    <x v="3"/>
    <s v="Percent of GDP"/>
    <s v="Units"/>
    <x v="1"/>
    <n v="40.237000000000002"/>
  </r>
  <r>
    <n v="200"/>
    <x v="3"/>
    <x v="169"/>
    <x v="3"/>
    <s v="Percent of GDP"/>
    <s v="Units"/>
    <x v="2"/>
    <n v="28.859000000000002"/>
  </r>
  <r>
    <n v="200"/>
    <x v="3"/>
    <x v="169"/>
    <x v="3"/>
    <s v="Percent of GDP"/>
    <s v="Units"/>
    <x v="3"/>
    <n v="21.678999999999998"/>
  </r>
  <r>
    <n v="200"/>
    <x v="3"/>
    <x v="169"/>
    <x v="3"/>
    <s v="Percent of GDP"/>
    <s v="Units"/>
    <x v="4"/>
    <n v="21.981000000000002"/>
  </r>
  <r>
    <n v="200"/>
    <x v="3"/>
    <x v="169"/>
    <x v="3"/>
    <s v="Percent of GDP"/>
    <s v="Units"/>
    <x v="5"/>
    <n v="22.036000000000001"/>
  </r>
  <r>
    <n v="200"/>
    <x v="3"/>
    <x v="169"/>
    <x v="3"/>
    <s v="Percent of GDP"/>
    <s v="Units"/>
    <x v="6"/>
    <n v="21.88"/>
  </r>
  <r>
    <n v="205"/>
    <x v="7"/>
    <x v="169"/>
    <x v="3"/>
    <s v="Percent of GDP"/>
    <s v="Units"/>
    <x v="0"/>
    <n v="23.687999999999999"/>
  </r>
  <r>
    <n v="205"/>
    <x v="7"/>
    <x v="169"/>
    <x v="3"/>
    <s v="Percent of GDP"/>
    <s v="Units"/>
    <x v="1"/>
    <n v="40.237000000000002"/>
  </r>
  <r>
    <n v="205"/>
    <x v="7"/>
    <x v="169"/>
    <x v="3"/>
    <s v="Percent of GDP"/>
    <s v="Units"/>
    <x v="2"/>
    <n v="28.859000000000002"/>
  </r>
  <r>
    <n v="205"/>
    <x v="7"/>
    <x v="169"/>
    <x v="3"/>
    <s v="Percent of GDP"/>
    <s v="Units"/>
    <x v="3"/>
    <n v="21.678999999999998"/>
  </r>
  <r>
    <n v="205"/>
    <x v="7"/>
    <x v="169"/>
    <x v="3"/>
    <s v="Percent of GDP"/>
    <s v="Units"/>
    <x v="4"/>
    <n v="21.981000000000002"/>
  </r>
  <r>
    <n v="205"/>
    <x v="7"/>
    <x v="169"/>
    <x v="3"/>
    <s v="Percent of GDP"/>
    <s v="Units"/>
    <x v="5"/>
    <n v="22.036000000000001"/>
  </r>
  <r>
    <n v="205"/>
    <x v="7"/>
    <x v="169"/>
    <x v="3"/>
    <s v="Percent of GDP"/>
    <s v="Units"/>
    <x v="6"/>
    <n v="21.88"/>
  </r>
  <r>
    <n v="603"/>
    <x v="12"/>
    <x v="125"/>
    <x v="2"/>
    <s v="Percent of GDP"/>
    <s v="Units"/>
    <x v="0"/>
    <n v="20.338999999999999"/>
  </r>
  <r>
    <n v="603"/>
    <x v="12"/>
    <x v="125"/>
    <x v="2"/>
    <s v="Percent of GDP"/>
    <s v="Units"/>
    <x v="1"/>
    <n v="20.158999999999999"/>
  </r>
  <r>
    <n v="603"/>
    <x v="12"/>
    <x v="125"/>
    <x v="2"/>
    <s v="Percent of GDP"/>
    <s v="Units"/>
    <x v="2"/>
    <n v="19.481999999999999"/>
  </r>
  <r>
    <n v="603"/>
    <x v="12"/>
    <x v="125"/>
    <x v="2"/>
    <s v="Percent of GDP"/>
    <s v="Units"/>
    <x v="3"/>
    <n v="19.943000000000001"/>
  </r>
  <r>
    <n v="603"/>
    <x v="12"/>
    <x v="125"/>
    <x v="2"/>
    <s v="Percent of GDP"/>
    <s v="Units"/>
    <x v="4"/>
    <n v="21.204000000000001"/>
  </r>
  <r>
    <n v="603"/>
    <x v="12"/>
    <x v="125"/>
    <x v="2"/>
    <s v="Percent of GDP"/>
    <s v="Units"/>
    <x v="5"/>
    <n v="22.027000000000001"/>
  </r>
  <r>
    <n v="603"/>
    <x v="12"/>
    <x v="125"/>
    <x v="2"/>
    <s v="Percent of GDP"/>
    <s v="Units"/>
    <x v="6"/>
    <n v="22.48"/>
  </r>
  <r>
    <n v="200"/>
    <x v="3"/>
    <x v="125"/>
    <x v="2"/>
    <s v="Percent of GDP"/>
    <s v="Units"/>
    <x v="0"/>
    <n v="20.338999999999999"/>
  </r>
  <r>
    <n v="200"/>
    <x v="3"/>
    <x v="125"/>
    <x v="2"/>
    <s v="Percent of GDP"/>
    <s v="Units"/>
    <x v="1"/>
    <n v="20.158999999999999"/>
  </r>
  <r>
    <n v="200"/>
    <x v="3"/>
    <x v="125"/>
    <x v="2"/>
    <s v="Percent of GDP"/>
    <s v="Units"/>
    <x v="2"/>
    <n v="19.481999999999999"/>
  </r>
  <r>
    <n v="200"/>
    <x v="3"/>
    <x v="125"/>
    <x v="2"/>
    <s v="Percent of GDP"/>
    <s v="Units"/>
    <x v="3"/>
    <n v="19.943000000000001"/>
  </r>
  <r>
    <n v="200"/>
    <x v="3"/>
    <x v="125"/>
    <x v="2"/>
    <s v="Percent of GDP"/>
    <s v="Units"/>
    <x v="4"/>
    <n v="21.204000000000001"/>
  </r>
  <r>
    <n v="200"/>
    <x v="3"/>
    <x v="125"/>
    <x v="2"/>
    <s v="Percent of GDP"/>
    <s v="Units"/>
    <x v="5"/>
    <n v="22.027000000000001"/>
  </r>
  <r>
    <n v="200"/>
    <x v="3"/>
    <x v="125"/>
    <x v="2"/>
    <s v="Percent of GDP"/>
    <s v="Units"/>
    <x v="6"/>
    <n v="22.48"/>
  </r>
  <r>
    <n v="1"/>
    <x v="2"/>
    <x v="75"/>
    <x v="1"/>
    <s v="Percent change"/>
    <s v="Units"/>
    <x v="0"/>
    <n v="17.079000000000001"/>
  </r>
  <r>
    <n v="1"/>
    <x v="2"/>
    <x v="75"/>
    <x v="1"/>
    <s v="Percent change"/>
    <s v="Units"/>
    <x v="1"/>
    <n v="22.277000000000001"/>
  </r>
  <r>
    <n v="1"/>
    <x v="2"/>
    <x v="75"/>
    <x v="1"/>
    <s v="Percent change"/>
    <s v="Units"/>
    <x v="2"/>
    <n v="25.765000000000001"/>
  </r>
  <r>
    <n v="1"/>
    <x v="2"/>
    <x v="75"/>
    <x v="1"/>
    <s v="Percent change"/>
    <s v="Units"/>
    <x v="3"/>
    <n v="21.36"/>
  </r>
  <r>
    <n v="1"/>
    <x v="2"/>
    <x v="75"/>
    <x v="1"/>
    <s v="Percent change"/>
    <s v="Units"/>
    <x v="4"/>
    <n v="13.638999999999999"/>
  </r>
  <r>
    <n v="1"/>
    <x v="2"/>
    <x v="75"/>
    <x v="1"/>
    <s v="Percent change"/>
    <s v="Units"/>
    <x v="5"/>
    <n v="22.004000000000001"/>
  </r>
  <r>
    <n v="1"/>
    <x v="2"/>
    <x v="75"/>
    <x v="1"/>
    <s v="Percent change"/>
    <s v="Units"/>
    <x v="6"/>
    <n v="12.818"/>
  </r>
  <r>
    <n v="200"/>
    <x v="3"/>
    <x v="75"/>
    <x v="1"/>
    <s v="Percent change"/>
    <s v="Units"/>
    <x v="0"/>
    <n v="17.079000000000001"/>
  </r>
  <r>
    <n v="200"/>
    <x v="3"/>
    <x v="75"/>
    <x v="1"/>
    <s v="Percent change"/>
    <s v="Units"/>
    <x v="1"/>
    <n v="22.277000000000001"/>
  </r>
  <r>
    <n v="200"/>
    <x v="3"/>
    <x v="75"/>
    <x v="1"/>
    <s v="Percent change"/>
    <s v="Units"/>
    <x v="2"/>
    <n v="25.765000000000001"/>
  </r>
  <r>
    <n v="200"/>
    <x v="3"/>
    <x v="75"/>
    <x v="1"/>
    <s v="Percent change"/>
    <s v="Units"/>
    <x v="3"/>
    <n v="21.36"/>
  </r>
  <r>
    <n v="200"/>
    <x v="3"/>
    <x v="75"/>
    <x v="1"/>
    <s v="Percent change"/>
    <s v="Units"/>
    <x v="4"/>
    <n v="13.638999999999999"/>
  </r>
  <r>
    <n v="200"/>
    <x v="3"/>
    <x v="75"/>
    <x v="1"/>
    <s v="Percent change"/>
    <s v="Units"/>
    <x v="5"/>
    <n v="22.004000000000001"/>
  </r>
  <r>
    <n v="200"/>
    <x v="3"/>
    <x v="75"/>
    <x v="1"/>
    <s v="Percent change"/>
    <s v="Units"/>
    <x v="6"/>
    <n v="12.818"/>
  </r>
  <r>
    <n v="603"/>
    <x v="12"/>
    <x v="75"/>
    <x v="1"/>
    <s v="Percent change"/>
    <s v="Units"/>
    <x v="0"/>
    <n v="17.079000000000001"/>
  </r>
  <r>
    <n v="603"/>
    <x v="12"/>
    <x v="75"/>
    <x v="1"/>
    <s v="Percent change"/>
    <s v="Units"/>
    <x v="1"/>
    <n v="22.277000000000001"/>
  </r>
  <r>
    <n v="603"/>
    <x v="12"/>
    <x v="75"/>
    <x v="1"/>
    <s v="Percent change"/>
    <s v="Units"/>
    <x v="2"/>
    <n v="25.765000000000001"/>
  </r>
  <r>
    <n v="603"/>
    <x v="12"/>
    <x v="75"/>
    <x v="1"/>
    <s v="Percent change"/>
    <s v="Units"/>
    <x v="3"/>
    <n v="21.36"/>
  </r>
  <r>
    <n v="603"/>
    <x v="12"/>
    <x v="75"/>
    <x v="1"/>
    <s v="Percent change"/>
    <s v="Units"/>
    <x v="4"/>
    <n v="13.638999999999999"/>
  </r>
  <r>
    <n v="603"/>
    <x v="12"/>
    <x v="75"/>
    <x v="1"/>
    <s v="Percent change"/>
    <s v="Units"/>
    <x v="5"/>
    <n v="22.004000000000001"/>
  </r>
  <r>
    <n v="603"/>
    <x v="12"/>
    <x v="75"/>
    <x v="1"/>
    <s v="Percent change"/>
    <s v="Units"/>
    <x v="6"/>
    <n v="12.818"/>
  </r>
  <r>
    <n v="603"/>
    <x v="12"/>
    <x v="158"/>
    <x v="2"/>
    <s v="Percent of GDP"/>
    <s v="Units"/>
    <x v="0"/>
    <n v="23.131"/>
  </r>
  <r>
    <n v="603"/>
    <x v="12"/>
    <x v="158"/>
    <x v="2"/>
    <s v="Percent of GDP"/>
    <s v="Units"/>
    <x v="1"/>
    <n v="23.92"/>
  </r>
  <r>
    <n v="603"/>
    <x v="12"/>
    <x v="158"/>
    <x v="2"/>
    <s v="Percent of GDP"/>
    <s v="Units"/>
    <x v="2"/>
    <n v="24.593"/>
  </r>
  <r>
    <n v="603"/>
    <x v="12"/>
    <x v="158"/>
    <x v="2"/>
    <s v="Percent of GDP"/>
    <s v="Units"/>
    <x v="3"/>
    <n v="23.925999999999998"/>
  </r>
  <r>
    <n v="603"/>
    <x v="12"/>
    <x v="158"/>
    <x v="2"/>
    <s v="Percent of GDP"/>
    <s v="Units"/>
    <x v="4"/>
    <n v="22.620999999999999"/>
  </r>
  <r>
    <n v="603"/>
    <x v="12"/>
    <x v="158"/>
    <x v="2"/>
    <s v="Percent of GDP"/>
    <s v="Units"/>
    <x v="5"/>
    <n v="21.978000000000002"/>
  </r>
  <r>
    <n v="603"/>
    <x v="12"/>
    <x v="158"/>
    <x v="2"/>
    <s v="Percent of GDP"/>
    <s v="Units"/>
    <x v="6"/>
    <n v="23.972999999999999"/>
  </r>
  <r>
    <n v="200"/>
    <x v="3"/>
    <x v="158"/>
    <x v="2"/>
    <s v="Percent of GDP"/>
    <s v="Units"/>
    <x v="0"/>
    <n v="23.131"/>
  </r>
  <r>
    <n v="200"/>
    <x v="3"/>
    <x v="158"/>
    <x v="2"/>
    <s v="Percent of GDP"/>
    <s v="Units"/>
    <x v="1"/>
    <n v="23.92"/>
  </r>
  <r>
    <n v="200"/>
    <x v="3"/>
    <x v="158"/>
    <x v="2"/>
    <s v="Percent of GDP"/>
    <s v="Units"/>
    <x v="2"/>
    <n v="24.593"/>
  </r>
  <r>
    <n v="200"/>
    <x v="3"/>
    <x v="158"/>
    <x v="2"/>
    <s v="Percent of GDP"/>
    <s v="Units"/>
    <x v="3"/>
    <n v="23.925999999999998"/>
  </r>
  <r>
    <n v="200"/>
    <x v="3"/>
    <x v="158"/>
    <x v="2"/>
    <s v="Percent of GDP"/>
    <s v="Units"/>
    <x v="4"/>
    <n v="22.620999999999999"/>
  </r>
  <r>
    <n v="200"/>
    <x v="3"/>
    <x v="158"/>
    <x v="2"/>
    <s v="Percent of GDP"/>
    <s v="Units"/>
    <x v="5"/>
    <n v="21.978000000000002"/>
  </r>
  <r>
    <n v="200"/>
    <x v="3"/>
    <x v="158"/>
    <x v="2"/>
    <s v="Percent of GDP"/>
    <s v="Units"/>
    <x v="6"/>
    <n v="23.972999999999999"/>
  </r>
  <r>
    <n v="603"/>
    <x v="12"/>
    <x v="129"/>
    <x v="1"/>
    <s v="Percent change"/>
    <s v="Units"/>
    <x v="0"/>
    <n v="-0.70899999999999996"/>
  </r>
  <r>
    <n v="603"/>
    <x v="12"/>
    <x v="129"/>
    <x v="1"/>
    <s v="Percent change"/>
    <s v="Units"/>
    <x v="1"/>
    <n v="7.3049999999999997"/>
  </r>
  <r>
    <n v="603"/>
    <x v="12"/>
    <x v="129"/>
    <x v="1"/>
    <s v="Percent change"/>
    <s v="Units"/>
    <x v="2"/>
    <n v="8.3130000000000006"/>
  </r>
  <r>
    <n v="603"/>
    <x v="12"/>
    <x v="129"/>
    <x v="1"/>
    <s v="Percent change"/>
    <s v="Units"/>
    <x v="3"/>
    <n v="18.888000000000002"/>
  </r>
  <r>
    <n v="603"/>
    <x v="12"/>
    <x v="129"/>
    <x v="1"/>
    <s v="Percent change"/>
    <s v="Units"/>
    <x v="4"/>
    <n v="26.954999999999998"/>
  </r>
  <r>
    <n v="603"/>
    <x v="12"/>
    <x v="129"/>
    <x v="1"/>
    <s v="Percent change"/>
    <s v="Units"/>
    <x v="5"/>
    <n v="21.963999999999999"/>
  </r>
  <r>
    <n v="603"/>
    <x v="12"/>
    <x v="129"/>
    <x v="1"/>
    <s v="Percent change"/>
    <s v="Units"/>
    <x v="6"/>
    <n v="19.965"/>
  </r>
  <r>
    <n v="200"/>
    <x v="3"/>
    <x v="129"/>
    <x v="1"/>
    <s v="Percent change"/>
    <s v="Units"/>
    <x v="0"/>
    <n v="-0.70899999999999996"/>
  </r>
  <r>
    <n v="200"/>
    <x v="3"/>
    <x v="129"/>
    <x v="1"/>
    <s v="Percent change"/>
    <s v="Units"/>
    <x v="1"/>
    <n v="7.3049999999999997"/>
  </r>
  <r>
    <n v="200"/>
    <x v="3"/>
    <x v="129"/>
    <x v="1"/>
    <s v="Percent change"/>
    <s v="Units"/>
    <x v="2"/>
    <n v="8.3130000000000006"/>
  </r>
  <r>
    <n v="200"/>
    <x v="3"/>
    <x v="129"/>
    <x v="1"/>
    <s v="Percent change"/>
    <s v="Units"/>
    <x v="3"/>
    <n v="18.888000000000002"/>
  </r>
  <r>
    <n v="200"/>
    <x v="3"/>
    <x v="129"/>
    <x v="1"/>
    <s v="Percent change"/>
    <s v="Units"/>
    <x v="4"/>
    <n v="26.954999999999998"/>
  </r>
  <r>
    <n v="200"/>
    <x v="3"/>
    <x v="129"/>
    <x v="1"/>
    <s v="Percent change"/>
    <s v="Units"/>
    <x v="5"/>
    <n v="21.963999999999999"/>
  </r>
  <r>
    <n v="200"/>
    <x v="3"/>
    <x v="129"/>
    <x v="1"/>
    <s v="Percent change"/>
    <s v="Units"/>
    <x v="6"/>
    <n v="19.965"/>
  </r>
  <r>
    <n v="1"/>
    <x v="2"/>
    <x v="129"/>
    <x v="1"/>
    <s v="Percent change"/>
    <s v="Units"/>
    <x v="0"/>
    <n v="-0.70899999999999996"/>
  </r>
  <r>
    <n v="1"/>
    <x v="2"/>
    <x v="129"/>
    <x v="1"/>
    <s v="Percent change"/>
    <s v="Units"/>
    <x v="1"/>
    <n v="7.3049999999999997"/>
  </r>
  <r>
    <n v="1"/>
    <x v="2"/>
    <x v="129"/>
    <x v="1"/>
    <s v="Percent change"/>
    <s v="Units"/>
    <x v="2"/>
    <n v="8.3130000000000006"/>
  </r>
  <r>
    <n v="1"/>
    <x v="2"/>
    <x v="129"/>
    <x v="1"/>
    <s v="Percent change"/>
    <s v="Units"/>
    <x v="3"/>
    <n v="18.888000000000002"/>
  </r>
  <r>
    <n v="1"/>
    <x v="2"/>
    <x v="129"/>
    <x v="1"/>
    <s v="Percent change"/>
    <s v="Units"/>
    <x v="4"/>
    <n v="26.954999999999998"/>
  </r>
  <r>
    <n v="1"/>
    <x v="2"/>
    <x v="129"/>
    <x v="1"/>
    <s v="Percent change"/>
    <s v="Units"/>
    <x v="5"/>
    <n v="21.963999999999999"/>
  </r>
  <r>
    <n v="1"/>
    <x v="2"/>
    <x v="129"/>
    <x v="1"/>
    <s v="Percent change"/>
    <s v="Units"/>
    <x v="6"/>
    <n v="19.965"/>
  </r>
  <r>
    <n v="1"/>
    <x v="2"/>
    <x v="143"/>
    <x v="0"/>
    <s v="U.S. dollars"/>
    <s v="Billions"/>
    <x v="0"/>
    <n v="14.206"/>
  </r>
  <r>
    <n v="1"/>
    <x v="2"/>
    <x v="143"/>
    <x v="0"/>
    <s v="U.S. dollars"/>
    <s v="Billions"/>
    <x v="1"/>
    <n v="13.313000000000001"/>
  </r>
  <r>
    <n v="1"/>
    <x v="2"/>
    <x v="143"/>
    <x v="0"/>
    <s v="U.S. dollars"/>
    <s v="Billions"/>
    <x v="2"/>
    <n v="15.286"/>
  </r>
  <r>
    <n v="1"/>
    <x v="2"/>
    <x v="143"/>
    <x v="0"/>
    <s v="U.S. dollars"/>
    <s v="Billions"/>
    <x v="3"/>
    <n v="17.146000000000001"/>
  </r>
  <r>
    <n v="1"/>
    <x v="2"/>
    <x v="143"/>
    <x v="0"/>
    <s v="U.S. dollars"/>
    <s v="Billions"/>
    <x v="4"/>
    <n v="19.861999999999998"/>
  </r>
  <r>
    <n v="1"/>
    <x v="2"/>
    <x v="143"/>
    <x v="0"/>
    <s v="U.S. dollars"/>
    <s v="Billions"/>
    <x v="5"/>
    <n v="21.943000000000001"/>
  </r>
  <r>
    <n v="1"/>
    <x v="2"/>
    <x v="143"/>
    <x v="0"/>
    <s v="U.S. dollars"/>
    <s v="Billions"/>
    <x v="6"/>
    <n v="23.509"/>
  </r>
  <r>
    <n v="505"/>
    <x v="4"/>
    <x v="143"/>
    <x v="0"/>
    <s v="U.S. dollars"/>
    <s v="Billions"/>
    <x v="0"/>
    <n v="14.206"/>
  </r>
  <r>
    <n v="505"/>
    <x v="4"/>
    <x v="143"/>
    <x v="0"/>
    <s v="U.S. dollars"/>
    <s v="Billions"/>
    <x v="1"/>
    <n v="13.313000000000001"/>
  </r>
  <r>
    <n v="505"/>
    <x v="4"/>
    <x v="143"/>
    <x v="0"/>
    <s v="U.S. dollars"/>
    <s v="Billions"/>
    <x v="2"/>
    <n v="15.286"/>
  </r>
  <r>
    <n v="505"/>
    <x v="4"/>
    <x v="143"/>
    <x v="0"/>
    <s v="U.S. dollars"/>
    <s v="Billions"/>
    <x v="3"/>
    <n v="17.146000000000001"/>
  </r>
  <r>
    <n v="505"/>
    <x v="4"/>
    <x v="143"/>
    <x v="0"/>
    <s v="U.S. dollars"/>
    <s v="Billions"/>
    <x v="4"/>
    <n v="19.861999999999998"/>
  </r>
  <r>
    <n v="505"/>
    <x v="4"/>
    <x v="143"/>
    <x v="0"/>
    <s v="U.S. dollars"/>
    <s v="Billions"/>
    <x v="5"/>
    <n v="21.943000000000001"/>
  </r>
  <r>
    <n v="505"/>
    <x v="4"/>
    <x v="143"/>
    <x v="0"/>
    <s v="U.S. dollars"/>
    <s v="Billions"/>
    <x v="6"/>
    <n v="23.509"/>
  </r>
  <r>
    <n v="200"/>
    <x v="3"/>
    <x v="143"/>
    <x v="0"/>
    <s v="U.S. dollars"/>
    <s v="Billions"/>
    <x v="0"/>
    <n v="14.206"/>
  </r>
  <r>
    <n v="200"/>
    <x v="3"/>
    <x v="143"/>
    <x v="0"/>
    <s v="U.S. dollars"/>
    <s v="Billions"/>
    <x v="1"/>
    <n v="13.313000000000001"/>
  </r>
  <r>
    <n v="200"/>
    <x v="3"/>
    <x v="143"/>
    <x v="0"/>
    <s v="U.S. dollars"/>
    <s v="Billions"/>
    <x v="2"/>
    <n v="15.286"/>
  </r>
  <r>
    <n v="200"/>
    <x v="3"/>
    <x v="143"/>
    <x v="0"/>
    <s v="U.S. dollars"/>
    <s v="Billions"/>
    <x v="3"/>
    <n v="17.146000000000001"/>
  </r>
  <r>
    <n v="200"/>
    <x v="3"/>
    <x v="143"/>
    <x v="0"/>
    <s v="U.S. dollars"/>
    <s v="Billions"/>
    <x v="4"/>
    <n v="19.861999999999998"/>
  </r>
  <r>
    <n v="200"/>
    <x v="3"/>
    <x v="143"/>
    <x v="0"/>
    <s v="U.S. dollars"/>
    <s v="Billions"/>
    <x v="5"/>
    <n v="21.943000000000001"/>
  </r>
  <r>
    <n v="200"/>
    <x v="3"/>
    <x v="143"/>
    <x v="0"/>
    <s v="U.S. dollars"/>
    <s v="Billions"/>
    <x v="6"/>
    <n v="23.509"/>
  </r>
  <r>
    <n v="200"/>
    <x v="3"/>
    <x v="164"/>
    <x v="0"/>
    <s v="U.S. dollars"/>
    <s v="Billions"/>
    <x v="0"/>
    <n v="16.030999999999999"/>
  </r>
  <r>
    <n v="200"/>
    <x v="3"/>
    <x v="164"/>
    <x v="0"/>
    <s v="U.S. dollars"/>
    <s v="Billions"/>
    <x v="1"/>
    <n v="17.754000000000001"/>
  </r>
  <r>
    <n v="200"/>
    <x v="3"/>
    <x v="164"/>
    <x v="0"/>
    <s v="U.S. dollars"/>
    <s v="Billions"/>
    <x v="2"/>
    <n v="19.654"/>
  </r>
  <r>
    <n v="200"/>
    <x v="3"/>
    <x v="164"/>
    <x v="0"/>
    <s v="U.S. dollars"/>
    <s v="Billions"/>
    <x v="3"/>
    <n v="18.905999999999999"/>
  </r>
  <r>
    <n v="200"/>
    <x v="3"/>
    <x v="164"/>
    <x v="0"/>
    <s v="U.S. dollars"/>
    <s v="Billions"/>
    <x v="4"/>
    <n v="20.382000000000001"/>
  </r>
  <r>
    <n v="200"/>
    <x v="3"/>
    <x v="164"/>
    <x v="0"/>
    <s v="U.S. dollars"/>
    <s v="Billions"/>
    <x v="5"/>
    <n v="21.902000000000001"/>
  </r>
  <r>
    <n v="200"/>
    <x v="3"/>
    <x v="164"/>
    <x v="0"/>
    <s v="U.S. dollars"/>
    <s v="Billions"/>
    <x v="6"/>
    <n v="23.56"/>
  </r>
  <r>
    <n v="1"/>
    <x v="2"/>
    <x v="164"/>
    <x v="0"/>
    <s v="U.S. dollars"/>
    <s v="Billions"/>
    <x v="0"/>
    <n v="16.030999999999999"/>
  </r>
  <r>
    <n v="1"/>
    <x v="2"/>
    <x v="164"/>
    <x v="0"/>
    <s v="U.S. dollars"/>
    <s v="Billions"/>
    <x v="1"/>
    <n v="17.754000000000001"/>
  </r>
  <r>
    <n v="1"/>
    <x v="2"/>
    <x v="164"/>
    <x v="0"/>
    <s v="U.S. dollars"/>
    <s v="Billions"/>
    <x v="2"/>
    <n v="19.654"/>
  </r>
  <r>
    <n v="1"/>
    <x v="2"/>
    <x v="164"/>
    <x v="0"/>
    <s v="U.S. dollars"/>
    <s v="Billions"/>
    <x v="3"/>
    <n v="18.905999999999999"/>
  </r>
  <r>
    <n v="1"/>
    <x v="2"/>
    <x v="164"/>
    <x v="0"/>
    <s v="U.S. dollars"/>
    <s v="Billions"/>
    <x v="4"/>
    <n v="20.382000000000001"/>
  </r>
  <r>
    <n v="1"/>
    <x v="2"/>
    <x v="164"/>
    <x v="0"/>
    <s v="U.S. dollars"/>
    <s v="Billions"/>
    <x v="5"/>
    <n v="21.902000000000001"/>
  </r>
  <r>
    <n v="1"/>
    <x v="2"/>
    <x v="164"/>
    <x v="0"/>
    <s v="U.S. dollars"/>
    <s v="Billions"/>
    <x v="6"/>
    <n v="23.56"/>
  </r>
  <r>
    <n v="603"/>
    <x v="12"/>
    <x v="164"/>
    <x v="0"/>
    <s v="U.S. dollars"/>
    <s v="Billions"/>
    <x v="0"/>
    <n v="16.030999999999999"/>
  </r>
  <r>
    <n v="603"/>
    <x v="12"/>
    <x v="164"/>
    <x v="0"/>
    <s v="U.S. dollars"/>
    <s v="Billions"/>
    <x v="1"/>
    <n v="17.754000000000001"/>
  </r>
  <r>
    <n v="603"/>
    <x v="12"/>
    <x v="164"/>
    <x v="0"/>
    <s v="U.S. dollars"/>
    <s v="Billions"/>
    <x v="2"/>
    <n v="19.654"/>
  </r>
  <r>
    <n v="603"/>
    <x v="12"/>
    <x v="164"/>
    <x v="0"/>
    <s v="U.S. dollars"/>
    <s v="Billions"/>
    <x v="3"/>
    <n v="18.905999999999999"/>
  </r>
  <r>
    <n v="603"/>
    <x v="12"/>
    <x v="164"/>
    <x v="0"/>
    <s v="U.S. dollars"/>
    <s v="Billions"/>
    <x v="4"/>
    <n v="20.382000000000001"/>
  </r>
  <r>
    <n v="603"/>
    <x v="12"/>
    <x v="164"/>
    <x v="0"/>
    <s v="U.S. dollars"/>
    <s v="Billions"/>
    <x v="5"/>
    <n v="21.902000000000001"/>
  </r>
  <r>
    <n v="603"/>
    <x v="12"/>
    <x v="164"/>
    <x v="0"/>
    <s v="U.S. dollars"/>
    <s v="Billions"/>
    <x v="6"/>
    <n v="23.56"/>
  </r>
  <r>
    <n v="110"/>
    <x v="0"/>
    <x v="180"/>
    <x v="3"/>
    <s v="Percent of GDP"/>
    <s v="Units"/>
    <x v="0"/>
    <n v="22.449000000000002"/>
  </r>
  <r>
    <n v="110"/>
    <x v="0"/>
    <x v="180"/>
    <x v="3"/>
    <s v="Percent of GDP"/>
    <s v="Units"/>
    <x v="1"/>
    <n v="59.177999999999997"/>
  </r>
  <r>
    <n v="110"/>
    <x v="0"/>
    <x v="180"/>
    <x v="3"/>
    <s v="Percent of GDP"/>
    <s v="Units"/>
    <x v="2"/>
    <n v="37.088000000000001"/>
  </r>
  <r>
    <n v="110"/>
    <x v="0"/>
    <x v="180"/>
    <x v="3"/>
    <s v="Percent of GDP"/>
    <s v="Units"/>
    <x v="3"/>
    <n v="22.213000000000001"/>
  </r>
  <r>
    <n v="110"/>
    <x v="0"/>
    <x v="180"/>
    <x v="3"/>
    <s v="Percent of GDP"/>
    <s v="Units"/>
    <x v="4"/>
    <n v="23.08"/>
  </r>
  <r>
    <n v="110"/>
    <x v="0"/>
    <x v="180"/>
    <x v="3"/>
    <s v="Percent of GDP"/>
    <s v="Units"/>
    <x v="5"/>
    <n v="21.895"/>
  </r>
  <r>
    <n v="110"/>
    <x v="0"/>
    <x v="180"/>
    <x v="3"/>
    <s v="Percent of GDP"/>
    <s v="Units"/>
    <x v="6"/>
    <n v="21.54"/>
  </r>
  <r>
    <n v="123"/>
    <x v="9"/>
    <x v="180"/>
    <x v="3"/>
    <s v="Percent of GDP"/>
    <s v="Units"/>
    <x v="0"/>
    <n v="22.449000000000002"/>
  </r>
  <r>
    <n v="123"/>
    <x v="9"/>
    <x v="180"/>
    <x v="3"/>
    <s v="Percent of GDP"/>
    <s v="Units"/>
    <x v="1"/>
    <n v="59.177999999999997"/>
  </r>
  <r>
    <n v="123"/>
    <x v="9"/>
    <x v="180"/>
    <x v="3"/>
    <s v="Percent of GDP"/>
    <s v="Units"/>
    <x v="2"/>
    <n v="37.088000000000001"/>
  </r>
  <r>
    <n v="123"/>
    <x v="9"/>
    <x v="180"/>
    <x v="3"/>
    <s v="Percent of GDP"/>
    <s v="Units"/>
    <x v="3"/>
    <n v="22.213000000000001"/>
  </r>
  <r>
    <n v="123"/>
    <x v="9"/>
    <x v="180"/>
    <x v="3"/>
    <s v="Percent of GDP"/>
    <s v="Units"/>
    <x v="4"/>
    <n v="23.08"/>
  </r>
  <r>
    <n v="123"/>
    <x v="9"/>
    <x v="180"/>
    <x v="3"/>
    <s v="Percent of GDP"/>
    <s v="Units"/>
    <x v="5"/>
    <n v="21.895"/>
  </r>
  <r>
    <n v="123"/>
    <x v="9"/>
    <x v="180"/>
    <x v="3"/>
    <s v="Percent of GDP"/>
    <s v="Units"/>
    <x v="6"/>
    <n v="21.54"/>
  </r>
  <r>
    <n v="603"/>
    <x v="12"/>
    <x v="94"/>
    <x v="6"/>
    <s v="Percent change"/>
    <s v="Units"/>
    <x v="0"/>
    <n v="8.1739999999999995"/>
  </r>
  <r>
    <n v="603"/>
    <x v="12"/>
    <x v="94"/>
    <x v="6"/>
    <s v="Percent change"/>
    <s v="Units"/>
    <x v="1"/>
    <n v="27.245000000000001"/>
  </r>
  <r>
    <n v="603"/>
    <x v="12"/>
    <x v="94"/>
    <x v="6"/>
    <s v="Percent change"/>
    <s v="Units"/>
    <x v="2"/>
    <n v="-3.5369999999999999"/>
  </r>
  <r>
    <n v="603"/>
    <x v="12"/>
    <x v="94"/>
    <x v="6"/>
    <s v="Percent change"/>
    <s v="Units"/>
    <x v="3"/>
    <n v="-8.1240000000000006"/>
  </r>
  <r>
    <n v="603"/>
    <x v="12"/>
    <x v="94"/>
    <x v="6"/>
    <s v="Percent change"/>
    <s v="Units"/>
    <x v="4"/>
    <n v="6.4260000000000002"/>
  </r>
  <r>
    <n v="603"/>
    <x v="12"/>
    <x v="94"/>
    <x v="6"/>
    <s v="Percent change"/>
    <s v="Units"/>
    <x v="5"/>
    <n v="21.890999999999998"/>
  </r>
  <r>
    <n v="603"/>
    <x v="12"/>
    <x v="94"/>
    <x v="6"/>
    <s v="Percent change"/>
    <s v="Units"/>
    <x v="6"/>
    <n v="7.484"/>
  </r>
  <r>
    <n v="200"/>
    <x v="3"/>
    <x v="94"/>
    <x v="6"/>
    <s v="Percent change"/>
    <s v="Units"/>
    <x v="0"/>
    <n v="8.1739999999999995"/>
  </r>
  <r>
    <n v="200"/>
    <x v="3"/>
    <x v="94"/>
    <x v="6"/>
    <s v="Percent change"/>
    <s v="Units"/>
    <x v="1"/>
    <n v="27.245000000000001"/>
  </r>
  <r>
    <n v="200"/>
    <x v="3"/>
    <x v="94"/>
    <x v="6"/>
    <s v="Percent change"/>
    <s v="Units"/>
    <x v="2"/>
    <n v="-3.5369999999999999"/>
  </r>
  <r>
    <n v="200"/>
    <x v="3"/>
    <x v="94"/>
    <x v="6"/>
    <s v="Percent change"/>
    <s v="Units"/>
    <x v="3"/>
    <n v="-8.1240000000000006"/>
  </r>
  <r>
    <n v="200"/>
    <x v="3"/>
    <x v="94"/>
    <x v="6"/>
    <s v="Percent change"/>
    <s v="Units"/>
    <x v="4"/>
    <n v="6.4260000000000002"/>
  </r>
  <r>
    <n v="200"/>
    <x v="3"/>
    <x v="94"/>
    <x v="6"/>
    <s v="Percent change"/>
    <s v="Units"/>
    <x v="5"/>
    <n v="21.890999999999998"/>
  </r>
  <r>
    <n v="200"/>
    <x v="3"/>
    <x v="94"/>
    <x v="6"/>
    <s v="Percent change"/>
    <s v="Units"/>
    <x v="6"/>
    <n v="7.484"/>
  </r>
  <r>
    <n v="1"/>
    <x v="2"/>
    <x v="94"/>
    <x v="6"/>
    <s v="Percent change"/>
    <s v="Units"/>
    <x v="0"/>
    <n v="8.1739999999999995"/>
  </r>
  <r>
    <n v="1"/>
    <x v="2"/>
    <x v="94"/>
    <x v="6"/>
    <s v="Percent change"/>
    <s v="Units"/>
    <x v="1"/>
    <n v="27.245000000000001"/>
  </r>
  <r>
    <n v="1"/>
    <x v="2"/>
    <x v="94"/>
    <x v="6"/>
    <s v="Percent change"/>
    <s v="Units"/>
    <x v="2"/>
    <n v="-3.5369999999999999"/>
  </r>
  <r>
    <n v="1"/>
    <x v="2"/>
    <x v="94"/>
    <x v="6"/>
    <s v="Percent change"/>
    <s v="Units"/>
    <x v="3"/>
    <n v="-8.1240000000000006"/>
  </r>
  <r>
    <n v="1"/>
    <x v="2"/>
    <x v="94"/>
    <x v="6"/>
    <s v="Percent change"/>
    <s v="Units"/>
    <x v="4"/>
    <n v="6.4260000000000002"/>
  </r>
  <r>
    <n v="1"/>
    <x v="2"/>
    <x v="94"/>
    <x v="6"/>
    <s v="Percent change"/>
    <s v="Units"/>
    <x v="5"/>
    <n v="21.890999999999998"/>
  </r>
  <r>
    <n v="1"/>
    <x v="2"/>
    <x v="94"/>
    <x v="6"/>
    <s v="Percent change"/>
    <s v="Units"/>
    <x v="6"/>
    <n v="7.484"/>
  </r>
  <r>
    <n v="205"/>
    <x v="7"/>
    <x v="175"/>
    <x v="2"/>
    <s v="Percent of GDP"/>
    <s v="Units"/>
    <x v="0"/>
    <n v="18.577999999999999"/>
  </r>
  <r>
    <n v="205"/>
    <x v="7"/>
    <x v="175"/>
    <x v="2"/>
    <s v="Percent of GDP"/>
    <s v="Units"/>
    <x v="1"/>
    <n v="18.498000000000001"/>
  </r>
  <r>
    <n v="205"/>
    <x v="7"/>
    <x v="175"/>
    <x v="2"/>
    <s v="Percent of GDP"/>
    <s v="Units"/>
    <x v="2"/>
    <n v="18.741"/>
  </r>
  <r>
    <n v="205"/>
    <x v="7"/>
    <x v="175"/>
    <x v="2"/>
    <s v="Percent of GDP"/>
    <s v="Units"/>
    <x v="3"/>
    <n v="21.042999999999999"/>
  </r>
  <r>
    <n v="205"/>
    <x v="7"/>
    <x v="175"/>
    <x v="2"/>
    <s v="Percent of GDP"/>
    <s v="Units"/>
    <x v="4"/>
    <n v="20.939"/>
  </r>
  <r>
    <n v="205"/>
    <x v="7"/>
    <x v="175"/>
    <x v="2"/>
    <s v="Percent of GDP"/>
    <s v="Units"/>
    <x v="5"/>
    <n v="21.873000000000001"/>
  </r>
  <r>
    <n v="205"/>
    <x v="7"/>
    <x v="175"/>
    <x v="2"/>
    <s v="Percent of GDP"/>
    <s v="Units"/>
    <x v="6"/>
    <n v="22.064"/>
  </r>
  <r>
    <n v="200"/>
    <x v="3"/>
    <x v="175"/>
    <x v="2"/>
    <s v="Percent of GDP"/>
    <s v="Units"/>
    <x v="0"/>
    <n v="18.577999999999999"/>
  </r>
  <r>
    <n v="200"/>
    <x v="3"/>
    <x v="175"/>
    <x v="2"/>
    <s v="Percent of GDP"/>
    <s v="Units"/>
    <x v="1"/>
    <n v="18.498000000000001"/>
  </r>
  <r>
    <n v="200"/>
    <x v="3"/>
    <x v="175"/>
    <x v="2"/>
    <s v="Percent of GDP"/>
    <s v="Units"/>
    <x v="2"/>
    <n v="18.741"/>
  </r>
  <r>
    <n v="200"/>
    <x v="3"/>
    <x v="175"/>
    <x v="2"/>
    <s v="Percent of GDP"/>
    <s v="Units"/>
    <x v="3"/>
    <n v="21.042999999999999"/>
  </r>
  <r>
    <n v="200"/>
    <x v="3"/>
    <x v="175"/>
    <x v="2"/>
    <s v="Percent of GDP"/>
    <s v="Units"/>
    <x v="4"/>
    <n v="20.939"/>
  </r>
  <r>
    <n v="200"/>
    <x v="3"/>
    <x v="175"/>
    <x v="2"/>
    <s v="Percent of GDP"/>
    <s v="Units"/>
    <x v="5"/>
    <n v="21.873000000000001"/>
  </r>
  <r>
    <n v="200"/>
    <x v="3"/>
    <x v="175"/>
    <x v="2"/>
    <s v="Percent of GDP"/>
    <s v="Units"/>
    <x v="6"/>
    <n v="22.064"/>
  </r>
  <r>
    <n v="1"/>
    <x v="2"/>
    <x v="86"/>
    <x v="7"/>
    <s v="Percent of GDP"/>
    <s v="Units"/>
    <x v="0"/>
    <n v="20.308"/>
  </r>
  <r>
    <n v="1"/>
    <x v="2"/>
    <x v="86"/>
    <x v="7"/>
    <s v="Percent of GDP"/>
    <s v="Units"/>
    <x v="1"/>
    <n v="23.666"/>
  </r>
  <r>
    <n v="1"/>
    <x v="2"/>
    <x v="86"/>
    <x v="7"/>
    <s v="Percent of GDP"/>
    <s v="Units"/>
    <x v="2"/>
    <n v="17.079000000000001"/>
  </r>
  <r>
    <n v="1"/>
    <x v="2"/>
    <x v="86"/>
    <x v="7"/>
    <s v="Percent of GDP"/>
    <s v="Units"/>
    <x v="3"/>
    <n v="12.646000000000001"/>
  </r>
  <r>
    <n v="1"/>
    <x v="2"/>
    <x v="86"/>
    <x v="7"/>
    <s v="Percent of GDP"/>
    <s v="Units"/>
    <x v="4"/>
    <n v="21.824999999999999"/>
  </r>
  <r>
    <n v="1"/>
    <x v="2"/>
    <x v="86"/>
    <x v="7"/>
    <s v="Percent of GDP"/>
    <s v="Units"/>
    <x v="5"/>
    <n v="21.841999999999999"/>
  </r>
  <r>
    <n v="1"/>
    <x v="2"/>
    <x v="86"/>
    <x v="7"/>
    <s v="Percent of GDP"/>
    <s v="Units"/>
    <x v="6"/>
    <n v="22.218"/>
  </r>
  <r>
    <n v="200"/>
    <x v="3"/>
    <x v="86"/>
    <x v="7"/>
    <s v="Percent of GDP"/>
    <s v="Units"/>
    <x v="0"/>
    <n v="20.308"/>
  </r>
  <r>
    <n v="200"/>
    <x v="3"/>
    <x v="86"/>
    <x v="7"/>
    <s v="Percent of GDP"/>
    <s v="Units"/>
    <x v="1"/>
    <n v="23.666"/>
  </r>
  <r>
    <n v="200"/>
    <x v="3"/>
    <x v="86"/>
    <x v="7"/>
    <s v="Percent of GDP"/>
    <s v="Units"/>
    <x v="2"/>
    <n v="17.079000000000001"/>
  </r>
  <r>
    <n v="200"/>
    <x v="3"/>
    <x v="86"/>
    <x v="7"/>
    <s v="Percent of GDP"/>
    <s v="Units"/>
    <x v="3"/>
    <n v="12.646000000000001"/>
  </r>
  <r>
    <n v="200"/>
    <x v="3"/>
    <x v="86"/>
    <x v="7"/>
    <s v="Percent of GDP"/>
    <s v="Units"/>
    <x v="4"/>
    <n v="21.824999999999999"/>
  </r>
  <r>
    <n v="200"/>
    <x v="3"/>
    <x v="86"/>
    <x v="7"/>
    <s v="Percent of GDP"/>
    <s v="Units"/>
    <x v="5"/>
    <n v="21.841999999999999"/>
  </r>
  <r>
    <n v="200"/>
    <x v="3"/>
    <x v="86"/>
    <x v="7"/>
    <s v="Percent of GDP"/>
    <s v="Units"/>
    <x v="6"/>
    <n v="22.218"/>
  </r>
  <r>
    <n v="400"/>
    <x v="11"/>
    <x v="86"/>
    <x v="7"/>
    <s v="Percent of GDP"/>
    <s v="Units"/>
    <x v="0"/>
    <n v="20.308"/>
  </r>
  <r>
    <n v="400"/>
    <x v="11"/>
    <x v="86"/>
    <x v="7"/>
    <s v="Percent of GDP"/>
    <s v="Units"/>
    <x v="1"/>
    <n v="23.666"/>
  </r>
  <r>
    <n v="400"/>
    <x v="11"/>
    <x v="86"/>
    <x v="7"/>
    <s v="Percent of GDP"/>
    <s v="Units"/>
    <x v="2"/>
    <n v="17.079000000000001"/>
  </r>
  <r>
    <n v="400"/>
    <x v="11"/>
    <x v="86"/>
    <x v="7"/>
    <s v="Percent of GDP"/>
    <s v="Units"/>
    <x v="3"/>
    <n v="12.646000000000001"/>
  </r>
  <r>
    <n v="400"/>
    <x v="11"/>
    <x v="86"/>
    <x v="7"/>
    <s v="Percent of GDP"/>
    <s v="Units"/>
    <x v="4"/>
    <n v="21.824999999999999"/>
  </r>
  <r>
    <n v="400"/>
    <x v="11"/>
    <x v="86"/>
    <x v="7"/>
    <s v="Percent of GDP"/>
    <s v="Units"/>
    <x v="5"/>
    <n v="21.841999999999999"/>
  </r>
  <r>
    <n v="400"/>
    <x v="11"/>
    <x v="86"/>
    <x v="7"/>
    <s v="Percent of GDP"/>
    <s v="Units"/>
    <x v="6"/>
    <n v="22.218"/>
  </r>
  <r>
    <n v="123"/>
    <x v="9"/>
    <x v="67"/>
    <x v="2"/>
    <s v="Percent of GDP"/>
    <s v="Units"/>
    <x v="0"/>
    <n v="22.966999999999999"/>
  </r>
  <r>
    <n v="123"/>
    <x v="9"/>
    <x v="67"/>
    <x v="2"/>
    <s v="Percent of GDP"/>
    <s v="Units"/>
    <x v="1"/>
    <n v="20.811"/>
  </r>
  <r>
    <n v="123"/>
    <x v="9"/>
    <x v="67"/>
    <x v="2"/>
    <s v="Percent of GDP"/>
    <s v="Units"/>
    <x v="2"/>
    <n v="20.98"/>
  </r>
  <r>
    <n v="123"/>
    <x v="9"/>
    <x v="67"/>
    <x v="2"/>
    <s v="Percent of GDP"/>
    <s v="Units"/>
    <x v="3"/>
    <n v="22.440999999999999"/>
  </r>
  <r>
    <n v="123"/>
    <x v="9"/>
    <x v="67"/>
    <x v="2"/>
    <s v="Percent of GDP"/>
    <s v="Units"/>
    <x v="4"/>
    <n v="23"/>
  </r>
  <r>
    <n v="123"/>
    <x v="9"/>
    <x v="67"/>
    <x v="2"/>
    <s v="Percent of GDP"/>
    <s v="Units"/>
    <x v="5"/>
    <n v="21.832000000000001"/>
  </r>
  <r>
    <n v="123"/>
    <x v="9"/>
    <x v="67"/>
    <x v="2"/>
    <s v="Percent of GDP"/>
    <s v="Units"/>
    <x v="6"/>
    <n v="20.977"/>
  </r>
  <r>
    <n v="110"/>
    <x v="0"/>
    <x v="67"/>
    <x v="2"/>
    <s v="Percent of GDP"/>
    <s v="Units"/>
    <x v="0"/>
    <n v="22.966999999999999"/>
  </r>
  <r>
    <n v="110"/>
    <x v="0"/>
    <x v="67"/>
    <x v="2"/>
    <s v="Percent of GDP"/>
    <s v="Units"/>
    <x v="1"/>
    <n v="20.811"/>
  </r>
  <r>
    <n v="110"/>
    <x v="0"/>
    <x v="67"/>
    <x v="2"/>
    <s v="Percent of GDP"/>
    <s v="Units"/>
    <x v="2"/>
    <n v="20.98"/>
  </r>
  <r>
    <n v="110"/>
    <x v="0"/>
    <x v="67"/>
    <x v="2"/>
    <s v="Percent of GDP"/>
    <s v="Units"/>
    <x v="3"/>
    <n v="22.440999999999999"/>
  </r>
  <r>
    <n v="110"/>
    <x v="0"/>
    <x v="67"/>
    <x v="2"/>
    <s v="Percent of GDP"/>
    <s v="Units"/>
    <x v="4"/>
    <n v="23"/>
  </r>
  <r>
    <n v="110"/>
    <x v="0"/>
    <x v="67"/>
    <x v="2"/>
    <s v="Percent of GDP"/>
    <s v="Units"/>
    <x v="5"/>
    <n v="21.832000000000001"/>
  </r>
  <r>
    <n v="110"/>
    <x v="0"/>
    <x v="67"/>
    <x v="2"/>
    <s v="Percent of GDP"/>
    <s v="Units"/>
    <x v="6"/>
    <n v="20.977"/>
  </r>
  <r>
    <n v="1"/>
    <x v="2"/>
    <x v="8"/>
    <x v="7"/>
    <s v="Percent of GDP"/>
    <s v="Units"/>
    <x v="0"/>
    <n v="18.239999999999998"/>
  </r>
  <r>
    <n v="1"/>
    <x v="2"/>
    <x v="8"/>
    <x v="7"/>
    <s v="Percent of GDP"/>
    <s v="Units"/>
    <x v="1"/>
    <n v="17.701000000000001"/>
  </r>
  <r>
    <n v="1"/>
    <x v="2"/>
    <x v="8"/>
    <x v="7"/>
    <s v="Percent of GDP"/>
    <s v="Units"/>
    <x v="2"/>
    <n v="21.738"/>
  </r>
  <r>
    <n v="1"/>
    <x v="2"/>
    <x v="8"/>
    <x v="7"/>
    <s v="Percent of GDP"/>
    <s v="Units"/>
    <x v="3"/>
    <n v="23.088999999999999"/>
  </r>
  <r>
    <n v="1"/>
    <x v="2"/>
    <x v="8"/>
    <x v="7"/>
    <s v="Percent of GDP"/>
    <s v="Units"/>
    <x v="4"/>
    <n v="20.917000000000002"/>
  </r>
  <r>
    <n v="1"/>
    <x v="2"/>
    <x v="8"/>
    <x v="7"/>
    <s v="Percent of GDP"/>
    <s v="Units"/>
    <x v="5"/>
    <n v="21.812000000000001"/>
  </r>
  <r>
    <n v="1"/>
    <x v="2"/>
    <x v="8"/>
    <x v="7"/>
    <s v="Percent of GDP"/>
    <s v="Units"/>
    <x v="6"/>
    <n v="21.922000000000001"/>
  </r>
  <r>
    <n v="163"/>
    <x v="5"/>
    <x v="8"/>
    <x v="7"/>
    <s v="Percent of GDP"/>
    <s v="Units"/>
    <x v="0"/>
    <n v="18.239999999999998"/>
  </r>
  <r>
    <n v="163"/>
    <x v="5"/>
    <x v="8"/>
    <x v="7"/>
    <s v="Percent of GDP"/>
    <s v="Units"/>
    <x v="1"/>
    <n v="17.701000000000001"/>
  </r>
  <r>
    <n v="163"/>
    <x v="5"/>
    <x v="8"/>
    <x v="7"/>
    <s v="Percent of GDP"/>
    <s v="Units"/>
    <x v="2"/>
    <n v="21.738"/>
  </r>
  <r>
    <n v="163"/>
    <x v="5"/>
    <x v="8"/>
    <x v="7"/>
    <s v="Percent of GDP"/>
    <s v="Units"/>
    <x v="3"/>
    <n v="23.088999999999999"/>
  </r>
  <r>
    <n v="163"/>
    <x v="5"/>
    <x v="8"/>
    <x v="7"/>
    <s v="Percent of GDP"/>
    <s v="Units"/>
    <x v="4"/>
    <n v="20.917000000000002"/>
  </r>
  <r>
    <n v="163"/>
    <x v="5"/>
    <x v="8"/>
    <x v="7"/>
    <s v="Percent of GDP"/>
    <s v="Units"/>
    <x v="5"/>
    <n v="21.812000000000001"/>
  </r>
  <r>
    <n v="163"/>
    <x v="5"/>
    <x v="8"/>
    <x v="7"/>
    <s v="Percent of GDP"/>
    <s v="Units"/>
    <x v="6"/>
    <n v="21.922000000000001"/>
  </r>
  <r>
    <n v="110"/>
    <x v="0"/>
    <x v="8"/>
    <x v="7"/>
    <s v="Percent of GDP"/>
    <s v="Units"/>
    <x v="0"/>
    <n v="18.239999999999998"/>
  </r>
  <r>
    <n v="110"/>
    <x v="0"/>
    <x v="8"/>
    <x v="7"/>
    <s v="Percent of GDP"/>
    <s v="Units"/>
    <x v="1"/>
    <n v="17.701000000000001"/>
  </r>
  <r>
    <n v="110"/>
    <x v="0"/>
    <x v="8"/>
    <x v="7"/>
    <s v="Percent of GDP"/>
    <s v="Units"/>
    <x v="2"/>
    <n v="21.738"/>
  </r>
  <r>
    <n v="110"/>
    <x v="0"/>
    <x v="8"/>
    <x v="7"/>
    <s v="Percent of GDP"/>
    <s v="Units"/>
    <x v="3"/>
    <n v="23.088999999999999"/>
  </r>
  <r>
    <n v="110"/>
    <x v="0"/>
    <x v="8"/>
    <x v="7"/>
    <s v="Percent of GDP"/>
    <s v="Units"/>
    <x v="4"/>
    <n v="20.917000000000002"/>
  </r>
  <r>
    <n v="110"/>
    <x v="0"/>
    <x v="8"/>
    <x v="7"/>
    <s v="Percent of GDP"/>
    <s v="Units"/>
    <x v="5"/>
    <n v="21.812000000000001"/>
  </r>
  <r>
    <n v="110"/>
    <x v="0"/>
    <x v="8"/>
    <x v="7"/>
    <s v="Percent of GDP"/>
    <s v="Units"/>
    <x v="6"/>
    <n v="21.922000000000001"/>
  </r>
  <r>
    <n v="119"/>
    <x v="1"/>
    <x v="8"/>
    <x v="7"/>
    <s v="Percent of GDP"/>
    <s v="Units"/>
    <x v="0"/>
    <n v="18.239999999999998"/>
  </r>
  <r>
    <n v="119"/>
    <x v="1"/>
    <x v="8"/>
    <x v="7"/>
    <s v="Percent of GDP"/>
    <s v="Units"/>
    <x v="1"/>
    <n v="17.701000000000001"/>
  </r>
  <r>
    <n v="119"/>
    <x v="1"/>
    <x v="8"/>
    <x v="7"/>
    <s v="Percent of GDP"/>
    <s v="Units"/>
    <x v="2"/>
    <n v="21.738"/>
  </r>
  <r>
    <n v="119"/>
    <x v="1"/>
    <x v="8"/>
    <x v="7"/>
    <s v="Percent of GDP"/>
    <s v="Units"/>
    <x v="3"/>
    <n v="23.088999999999999"/>
  </r>
  <r>
    <n v="119"/>
    <x v="1"/>
    <x v="8"/>
    <x v="7"/>
    <s v="Percent of GDP"/>
    <s v="Units"/>
    <x v="4"/>
    <n v="20.917000000000002"/>
  </r>
  <r>
    <n v="119"/>
    <x v="1"/>
    <x v="8"/>
    <x v="7"/>
    <s v="Percent of GDP"/>
    <s v="Units"/>
    <x v="5"/>
    <n v="21.812000000000001"/>
  </r>
  <r>
    <n v="119"/>
    <x v="1"/>
    <x v="8"/>
    <x v="7"/>
    <s v="Percent of GDP"/>
    <s v="Units"/>
    <x v="6"/>
    <n v="21.922000000000001"/>
  </r>
  <r>
    <n v="998"/>
    <x v="6"/>
    <x v="8"/>
    <x v="7"/>
    <s v="Percent of GDP"/>
    <s v="Units"/>
    <x v="0"/>
    <n v="18.239999999999998"/>
  </r>
  <r>
    <n v="998"/>
    <x v="6"/>
    <x v="8"/>
    <x v="7"/>
    <s v="Percent of GDP"/>
    <s v="Units"/>
    <x v="1"/>
    <n v="17.701000000000001"/>
  </r>
  <r>
    <n v="998"/>
    <x v="6"/>
    <x v="8"/>
    <x v="7"/>
    <s v="Percent of GDP"/>
    <s v="Units"/>
    <x v="2"/>
    <n v="21.738"/>
  </r>
  <r>
    <n v="998"/>
    <x v="6"/>
    <x v="8"/>
    <x v="7"/>
    <s v="Percent of GDP"/>
    <s v="Units"/>
    <x v="3"/>
    <n v="23.088999999999999"/>
  </r>
  <r>
    <n v="998"/>
    <x v="6"/>
    <x v="8"/>
    <x v="7"/>
    <s v="Percent of GDP"/>
    <s v="Units"/>
    <x v="4"/>
    <n v="20.917000000000002"/>
  </r>
  <r>
    <n v="998"/>
    <x v="6"/>
    <x v="8"/>
    <x v="7"/>
    <s v="Percent of GDP"/>
    <s v="Units"/>
    <x v="5"/>
    <n v="21.812000000000001"/>
  </r>
  <r>
    <n v="998"/>
    <x v="6"/>
    <x v="8"/>
    <x v="7"/>
    <s v="Percent of GDP"/>
    <s v="Units"/>
    <x v="6"/>
    <n v="21.922000000000001"/>
  </r>
  <r>
    <n v="603"/>
    <x v="12"/>
    <x v="164"/>
    <x v="2"/>
    <s v="Percent of GDP"/>
    <s v="Units"/>
    <x v="0"/>
    <n v="20.038"/>
  </r>
  <r>
    <n v="603"/>
    <x v="12"/>
    <x v="164"/>
    <x v="2"/>
    <s v="Percent of GDP"/>
    <s v="Units"/>
    <x v="1"/>
    <n v="19.358000000000001"/>
  </r>
  <r>
    <n v="603"/>
    <x v="12"/>
    <x v="164"/>
    <x v="2"/>
    <s v="Percent of GDP"/>
    <s v="Units"/>
    <x v="2"/>
    <n v="20.416"/>
  </r>
  <r>
    <n v="603"/>
    <x v="12"/>
    <x v="164"/>
    <x v="2"/>
    <s v="Percent of GDP"/>
    <s v="Units"/>
    <x v="3"/>
    <n v="21.686"/>
  </r>
  <r>
    <n v="603"/>
    <x v="12"/>
    <x v="164"/>
    <x v="2"/>
    <s v="Percent of GDP"/>
    <s v="Units"/>
    <x v="4"/>
    <n v="22.222000000000001"/>
  </r>
  <r>
    <n v="603"/>
    <x v="12"/>
    <x v="164"/>
    <x v="2"/>
    <s v="Percent of GDP"/>
    <s v="Units"/>
    <x v="5"/>
    <n v="21.763000000000002"/>
  </r>
  <r>
    <n v="603"/>
    <x v="12"/>
    <x v="164"/>
    <x v="2"/>
    <s v="Percent of GDP"/>
    <s v="Units"/>
    <x v="6"/>
    <n v="22.684000000000001"/>
  </r>
  <r>
    <n v="200"/>
    <x v="3"/>
    <x v="164"/>
    <x v="2"/>
    <s v="Percent of GDP"/>
    <s v="Units"/>
    <x v="0"/>
    <n v="20.038"/>
  </r>
  <r>
    <n v="200"/>
    <x v="3"/>
    <x v="164"/>
    <x v="2"/>
    <s v="Percent of GDP"/>
    <s v="Units"/>
    <x v="1"/>
    <n v="19.358000000000001"/>
  </r>
  <r>
    <n v="200"/>
    <x v="3"/>
    <x v="164"/>
    <x v="2"/>
    <s v="Percent of GDP"/>
    <s v="Units"/>
    <x v="2"/>
    <n v="20.416"/>
  </r>
  <r>
    <n v="200"/>
    <x v="3"/>
    <x v="164"/>
    <x v="2"/>
    <s v="Percent of GDP"/>
    <s v="Units"/>
    <x v="3"/>
    <n v="21.686"/>
  </r>
  <r>
    <n v="200"/>
    <x v="3"/>
    <x v="164"/>
    <x v="2"/>
    <s v="Percent of GDP"/>
    <s v="Units"/>
    <x v="4"/>
    <n v="22.222000000000001"/>
  </r>
  <r>
    <n v="200"/>
    <x v="3"/>
    <x v="164"/>
    <x v="2"/>
    <s v="Percent of GDP"/>
    <s v="Units"/>
    <x v="5"/>
    <n v="21.763000000000002"/>
  </r>
  <r>
    <n v="200"/>
    <x v="3"/>
    <x v="164"/>
    <x v="2"/>
    <s v="Percent of GDP"/>
    <s v="Units"/>
    <x v="6"/>
    <n v="22.684000000000001"/>
  </r>
  <r>
    <n v="200"/>
    <x v="3"/>
    <x v="79"/>
    <x v="3"/>
    <s v="Percent of GDP"/>
    <s v="Units"/>
    <x v="0"/>
    <n v="21.04"/>
  </r>
  <r>
    <n v="200"/>
    <x v="3"/>
    <x v="79"/>
    <x v="3"/>
    <s v="Percent of GDP"/>
    <s v="Units"/>
    <x v="1"/>
    <n v="27.259"/>
  </r>
  <r>
    <n v="200"/>
    <x v="3"/>
    <x v="79"/>
    <x v="3"/>
    <s v="Percent of GDP"/>
    <s v="Units"/>
    <x v="2"/>
    <n v="23.663"/>
  </r>
  <r>
    <n v="200"/>
    <x v="3"/>
    <x v="79"/>
    <x v="3"/>
    <s v="Percent of GDP"/>
    <s v="Units"/>
    <x v="3"/>
    <n v="21.399000000000001"/>
  </r>
  <r>
    <n v="200"/>
    <x v="3"/>
    <x v="79"/>
    <x v="3"/>
    <s v="Percent of GDP"/>
    <s v="Units"/>
    <x v="4"/>
    <n v="21.120999999999999"/>
  </r>
  <r>
    <n v="200"/>
    <x v="3"/>
    <x v="79"/>
    <x v="3"/>
    <s v="Percent of GDP"/>
    <s v="Units"/>
    <x v="5"/>
    <n v="21.739000000000001"/>
  </r>
  <r>
    <n v="200"/>
    <x v="3"/>
    <x v="79"/>
    <x v="3"/>
    <s v="Percent of GDP"/>
    <s v="Units"/>
    <x v="6"/>
    <n v="20.792999999999999"/>
  </r>
  <r>
    <n v="205"/>
    <x v="7"/>
    <x v="79"/>
    <x v="3"/>
    <s v="Percent of GDP"/>
    <s v="Units"/>
    <x v="0"/>
    <n v="21.04"/>
  </r>
  <r>
    <n v="205"/>
    <x v="7"/>
    <x v="79"/>
    <x v="3"/>
    <s v="Percent of GDP"/>
    <s v="Units"/>
    <x v="1"/>
    <n v="27.259"/>
  </r>
  <r>
    <n v="205"/>
    <x v="7"/>
    <x v="79"/>
    <x v="3"/>
    <s v="Percent of GDP"/>
    <s v="Units"/>
    <x v="2"/>
    <n v="23.663"/>
  </r>
  <r>
    <n v="205"/>
    <x v="7"/>
    <x v="79"/>
    <x v="3"/>
    <s v="Percent of GDP"/>
    <s v="Units"/>
    <x v="3"/>
    <n v="21.399000000000001"/>
  </r>
  <r>
    <n v="205"/>
    <x v="7"/>
    <x v="79"/>
    <x v="3"/>
    <s v="Percent of GDP"/>
    <s v="Units"/>
    <x v="4"/>
    <n v="21.120999999999999"/>
  </r>
  <r>
    <n v="205"/>
    <x v="7"/>
    <x v="79"/>
    <x v="3"/>
    <s v="Percent of GDP"/>
    <s v="Units"/>
    <x v="5"/>
    <n v="21.739000000000001"/>
  </r>
  <r>
    <n v="205"/>
    <x v="7"/>
    <x v="79"/>
    <x v="3"/>
    <s v="Percent of GDP"/>
    <s v="Units"/>
    <x v="6"/>
    <n v="20.792999999999999"/>
  </r>
  <r>
    <n v="998"/>
    <x v="6"/>
    <x v="115"/>
    <x v="5"/>
    <s v="Percent of GDP"/>
    <s v="Units"/>
    <x v="0"/>
    <n v="28.994"/>
  </r>
  <r>
    <n v="998"/>
    <x v="6"/>
    <x v="115"/>
    <x v="5"/>
    <s v="Percent of GDP"/>
    <s v="Units"/>
    <x v="1"/>
    <n v="27.797999999999998"/>
  </r>
  <r>
    <n v="998"/>
    <x v="6"/>
    <x v="115"/>
    <x v="5"/>
    <s v="Percent of GDP"/>
    <s v="Units"/>
    <x v="2"/>
    <n v="28.454000000000001"/>
  </r>
  <r>
    <n v="998"/>
    <x v="6"/>
    <x v="115"/>
    <x v="5"/>
    <s v="Percent of GDP"/>
    <s v="Units"/>
    <x v="3"/>
    <n v="27.481000000000002"/>
  </r>
  <r>
    <n v="998"/>
    <x v="6"/>
    <x v="115"/>
    <x v="5"/>
    <s v="Percent of GDP"/>
    <s v="Units"/>
    <x v="4"/>
    <n v="25.018000000000001"/>
  </r>
  <r>
    <n v="998"/>
    <x v="6"/>
    <x v="115"/>
    <x v="5"/>
    <s v="Percent of GDP"/>
    <s v="Units"/>
    <x v="5"/>
    <n v="21.734999999999999"/>
  </r>
  <r>
    <n v="998"/>
    <x v="6"/>
    <x v="115"/>
    <x v="5"/>
    <s v="Percent of GDP"/>
    <s v="Units"/>
    <x v="6"/>
    <n v="22.391999999999999"/>
  </r>
  <r>
    <n v="163"/>
    <x v="5"/>
    <x v="115"/>
    <x v="5"/>
    <s v="Percent of GDP"/>
    <s v="Units"/>
    <x v="0"/>
    <n v="28.994"/>
  </r>
  <r>
    <n v="163"/>
    <x v="5"/>
    <x v="115"/>
    <x v="5"/>
    <s v="Percent of GDP"/>
    <s v="Units"/>
    <x v="1"/>
    <n v="27.797999999999998"/>
  </r>
  <r>
    <n v="163"/>
    <x v="5"/>
    <x v="115"/>
    <x v="5"/>
    <s v="Percent of GDP"/>
    <s v="Units"/>
    <x v="2"/>
    <n v="28.454000000000001"/>
  </r>
  <r>
    <n v="163"/>
    <x v="5"/>
    <x v="115"/>
    <x v="5"/>
    <s v="Percent of GDP"/>
    <s v="Units"/>
    <x v="3"/>
    <n v="27.481000000000002"/>
  </r>
  <r>
    <n v="163"/>
    <x v="5"/>
    <x v="115"/>
    <x v="5"/>
    <s v="Percent of GDP"/>
    <s v="Units"/>
    <x v="4"/>
    <n v="25.018000000000001"/>
  </r>
  <r>
    <n v="163"/>
    <x v="5"/>
    <x v="115"/>
    <x v="5"/>
    <s v="Percent of GDP"/>
    <s v="Units"/>
    <x v="5"/>
    <n v="21.734999999999999"/>
  </r>
  <r>
    <n v="163"/>
    <x v="5"/>
    <x v="115"/>
    <x v="5"/>
    <s v="Percent of GDP"/>
    <s v="Units"/>
    <x v="6"/>
    <n v="22.391999999999999"/>
  </r>
  <r>
    <n v="110"/>
    <x v="0"/>
    <x v="115"/>
    <x v="5"/>
    <s v="Percent of GDP"/>
    <s v="Units"/>
    <x v="0"/>
    <n v="28.994"/>
  </r>
  <r>
    <n v="110"/>
    <x v="0"/>
    <x v="115"/>
    <x v="5"/>
    <s v="Percent of GDP"/>
    <s v="Units"/>
    <x v="1"/>
    <n v="27.797999999999998"/>
  </r>
  <r>
    <n v="110"/>
    <x v="0"/>
    <x v="115"/>
    <x v="5"/>
    <s v="Percent of GDP"/>
    <s v="Units"/>
    <x v="2"/>
    <n v="28.454000000000001"/>
  </r>
  <r>
    <n v="110"/>
    <x v="0"/>
    <x v="115"/>
    <x v="5"/>
    <s v="Percent of GDP"/>
    <s v="Units"/>
    <x v="3"/>
    <n v="27.481000000000002"/>
  </r>
  <r>
    <n v="110"/>
    <x v="0"/>
    <x v="115"/>
    <x v="5"/>
    <s v="Percent of GDP"/>
    <s v="Units"/>
    <x v="4"/>
    <n v="25.018000000000001"/>
  </r>
  <r>
    <n v="110"/>
    <x v="0"/>
    <x v="115"/>
    <x v="5"/>
    <s v="Percent of GDP"/>
    <s v="Units"/>
    <x v="5"/>
    <n v="21.734999999999999"/>
  </r>
  <r>
    <n v="110"/>
    <x v="0"/>
    <x v="115"/>
    <x v="5"/>
    <s v="Percent of GDP"/>
    <s v="Units"/>
    <x v="6"/>
    <n v="22.391999999999999"/>
  </r>
  <r>
    <n v="1"/>
    <x v="2"/>
    <x v="115"/>
    <x v="5"/>
    <s v="Percent of GDP"/>
    <s v="Units"/>
    <x v="0"/>
    <n v="28.994"/>
  </r>
  <r>
    <n v="1"/>
    <x v="2"/>
    <x v="115"/>
    <x v="5"/>
    <s v="Percent of GDP"/>
    <s v="Units"/>
    <x v="1"/>
    <n v="27.797999999999998"/>
  </r>
  <r>
    <n v="1"/>
    <x v="2"/>
    <x v="115"/>
    <x v="5"/>
    <s v="Percent of GDP"/>
    <s v="Units"/>
    <x v="2"/>
    <n v="28.454000000000001"/>
  </r>
  <r>
    <n v="1"/>
    <x v="2"/>
    <x v="115"/>
    <x v="5"/>
    <s v="Percent of GDP"/>
    <s v="Units"/>
    <x v="3"/>
    <n v="27.481000000000002"/>
  </r>
  <r>
    <n v="1"/>
    <x v="2"/>
    <x v="115"/>
    <x v="5"/>
    <s v="Percent of GDP"/>
    <s v="Units"/>
    <x v="4"/>
    <n v="25.018000000000001"/>
  </r>
  <r>
    <n v="1"/>
    <x v="2"/>
    <x v="115"/>
    <x v="5"/>
    <s v="Percent of GDP"/>
    <s v="Units"/>
    <x v="5"/>
    <n v="21.734999999999999"/>
  </r>
  <r>
    <n v="1"/>
    <x v="2"/>
    <x v="115"/>
    <x v="5"/>
    <s v="Percent of GDP"/>
    <s v="Units"/>
    <x v="6"/>
    <n v="22.391999999999999"/>
  </r>
  <r>
    <n v="200"/>
    <x v="3"/>
    <x v="87"/>
    <x v="3"/>
    <s v="Percent of GDP"/>
    <s v="Units"/>
    <x v="0"/>
    <n v="22.491"/>
  </r>
  <r>
    <n v="200"/>
    <x v="3"/>
    <x v="87"/>
    <x v="3"/>
    <s v="Percent of GDP"/>
    <s v="Units"/>
    <x v="1"/>
    <n v="31.510999999999999"/>
  </r>
  <r>
    <n v="200"/>
    <x v="3"/>
    <x v="87"/>
    <x v="3"/>
    <s v="Percent of GDP"/>
    <s v="Units"/>
    <x v="2"/>
    <n v="27.212"/>
  </r>
  <r>
    <n v="200"/>
    <x v="3"/>
    <x v="87"/>
    <x v="3"/>
    <s v="Percent of GDP"/>
    <s v="Units"/>
    <x v="3"/>
    <n v="27.678000000000001"/>
  </r>
  <r>
    <n v="200"/>
    <x v="3"/>
    <x v="87"/>
    <x v="3"/>
    <s v="Percent of GDP"/>
    <s v="Units"/>
    <x v="4"/>
    <n v="20.364000000000001"/>
  </r>
  <r>
    <n v="200"/>
    <x v="3"/>
    <x v="87"/>
    <x v="3"/>
    <s v="Percent of GDP"/>
    <s v="Units"/>
    <x v="5"/>
    <n v="21.686"/>
  </r>
  <r>
    <n v="200"/>
    <x v="3"/>
    <x v="87"/>
    <x v="3"/>
    <s v="Percent of GDP"/>
    <s v="Units"/>
    <x v="6"/>
    <n v="21.562999999999999"/>
  </r>
  <r>
    <n v="603"/>
    <x v="12"/>
    <x v="87"/>
    <x v="3"/>
    <s v="Percent of GDP"/>
    <s v="Units"/>
    <x v="0"/>
    <n v="22.491"/>
  </r>
  <r>
    <n v="603"/>
    <x v="12"/>
    <x v="87"/>
    <x v="3"/>
    <s v="Percent of GDP"/>
    <s v="Units"/>
    <x v="1"/>
    <n v="31.510999999999999"/>
  </r>
  <r>
    <n v="603"/>
    <x v="12"/>
    <x v="87"/>
    <x v="3"/>
    <s v="Percent of GDP"/>
    <s v="Units"/>
    <x v="2"/>
    <n v="27.212"/>
  </r>
  <r>
    <n v="603"/>
    <x v="12"/>
    <x v="87"/>
    <x v="3"/>
    <s v="Percent of GDP"/>
    <s v="Units"/>
    <x v="3"/>
    <n v="27.678000000000001"/>
  </r>
  <r>
    <n v="603"/>
    <x v="12"/>
    <x v="87"/>
    <x v="3"/>
    <s v="Percent of GDP"/>
    <s v="Units"/>
    <x v="4"/>
    <n v="20.364000000000001"/>
  </r>
  <r>
    <n v="603"/>
    <x v="12"/>
    <x v="87"/>
    <x v="3"/>
    <s v="Percent of GDP"/>
    <s v="Units"/>
    <x v="5"/>
    <n v="21.686"/>
  </r>
  <r>
    <n v="603"/>
    <x v="12"/>
    <x v="87"/>
    <x v="3"/>
    <s v="Percent of GDP"/>
    <s v="Units"/>
    <x v="6"/>
    <n v="21.562999999999999"/>
  </r>
  <r>
    <n v="603"/>
    <x v="12"/>
    <x v="170"/>
    <x v="0"/>
    <s v="U.S. dollars"/>
    <s v="Billions"/>
    <x v="0"/>
    <n v="17.280999999999999"/>
  </r>
  <r>
    <n v="603"/>
    <x v="12"/>
    <x v="170"/>
    <x v="0"/>
    <s v="U.S. dollars"/>
    <s v="Billions"/>
    <x v="1"/>
    <n v="17.643000000000001"/>
  </r>
  <r>
    <n v="603"/>
    <x v="12"/>
    <x v="170"/>
    <x v="0"/>
    <s v="U.S. dollars"/>
    <s v="Billions"/>
    <x v="2"/>
    <n v="19.786000000000001"/>
  </r>
  <r>
    <n v="603"/>
    <x v="12"/>
    <x v="170"/>
    <x v="0"/>
    <s v="U.S. dollars"/>
    <s v="Billions"/>
    <x v="3"/>
    <n v="18.724"/>
  </r>
  <r>
    <n v="603"/>
    <x v="12"/>
    <x v="170"/>
    <x v="0"/>
    <s v="U.S. dollars"/>
    <s v="Billions"/>
    <x v="4"/>
    <n v="20.684000000000001"/>
  </r>
  <r>
    <n v="603"/>
    <x v="12"/>
    <x v="170"/>
    <x v="0"/>
    <s v="U.S. dollars"/>
    <s v="Billions"/>
    <x v="5"/>
    <n v="21.661999999999999"/>
  </r>
  <r>
    <n v="603"/>
    <x v="12"/>
    <x v="170"/>
    <x v="0"/>
    <s v="U.S. dollars"/>
    <s v="Billions"/>
    <x v="6"/>
    <n v="22.984000000000002"/>
  </r>
  <r>
    <n v="123"/>
    <x v="9"/>
    <x v="31"/>
    <x v="7"/>
    <s v="Percent of GDP"/>
    <s v="Units"/>
    <x v="0"/>
    <n v="24.606999999999999"/>
  </r>
  <r>
    <n v="123"/>
    <x v="9"/>
    <x v="31"/>
    <x v="7"/>
    <s v="Percent of GDP"/>
    <s v="Units"/>
    <x v="1"/>
    <n v="22.867000000000001"/>
  </r>
  <r>
    <n v="123"/>
    <x v="9"/>
    <x v="31"/>
    <x v="7"/>
    <s v="Percent of GDP"/>
    <s v="Units"/>
    <x v="2"/>
    <n v="23.966999999999999"/>
  </r>
  <r>
    <n v="123"/>
    <x v="9"/>
    <x v="31"/>
    <x v="7"/>
    <s v="Percent of GDP"/>
    <s v="Units"/>
    <x v="3"/>
    <n v="22.318999999999999"/>
  </r>
  <r>
    <n v="123"/>
    <x v="9"/>
    <x v="31"/>
    <x v="7"/>
    <s v="Percent of GDP"/>
    <s v="Units"/>
    <x v="4"/>
    <n v="21.018999999999998"/>
  </r>
  <r>
    <n v="123"/>
    <x v="9"/>
    <x v="31"/>
    <x v="7"/>
    <s v="Percent of GDP"/>
    <s v="Units"/>
    <x v="5"/>
    <n v="21.661999999999999"/>
  </r>
  <r>
    <n v="123"/>
    <x v="9"/>
    <x v="31"/>
    <x v="7"/>
    <s v="Percent of GDP"/>
    <s v="Units"/>
    <x v="6"/>
    <n v="21.99"/>
  </r>
  <r>
    <n v="510"/>
    <x v="10"/>
    <x v="31"/>
    <x v="7"/>
    <s v="Percent of GDP"/>
    <s v="Units"/>
    <x v="0"/>
    <n v="24.606999999999999"/>
  </r>
  <r>
    <n v="510"/>
    <x v="10"/>
    <x v="31"/>
    <x v="7"/>
    <s v="Percent of GDP"/>
    <s v="Units"/>
    <x v="1"/>
    <n v="22.867000000000001"/>
  </r>
  <r>
    <n v="510"/>
    <x v="10"/>
    <x v="31"/>
    <x v="7"/>
    <s v="Percent of GDP"/>
    <s v="Units"/>
    <x v="2"/>
    <n v="23.966999999999999"/>
  </r>
  <r>
    <n v="510"/>
    <x v="10"/>
    <x v="31"/>
    <x v="7"/>
    <s v="Percent of GDP"/>
    <s v="Units"/>
    <x v="3"/>
    <n v="22.318999999999999"/>
  </r>
  <r>
    <n v="510"/>
    <x v="10"/>
    <x v="31"/>
    <x v="7"/>
    <s v="Percent of GDP"/>
    <s v="Units"/>
    <x v="4"/>
    <n v="21.018999999999998"/>
  </r>
  <r>
    <n v="510"/>
    <x v="10"/>
    <x v="31"/>
    <x v="7"/>
    <s v="Percent of GDP"/>
    <s v="Units"/>
    <x v="5"/>
    <n v="21.661999999999999"/>
  </r>
  <r>
    <n v="510"/>
    <x v="10"/>
    <x v="31"/>
    <x v="7"/>
    <s v="Percent of GDP"/>
    <s v="Units"/>
    <x v="6"/>
    <n v="21.99"/>
  </r>
  <r>
    <n v="110"/>
    <x v="0"/>
    <x v="31"/>
    <x v="7"/>
    <s v="Percent of GDP"/>
    <s v="Units"/>
    <x v="0"/>
    <n v="24.606999999999999"/>
  </r>
  <r>
    <n v="110"/>
    <x v="0"/>
    <x v="31"/>
    <x v="7"/>
    <s v="Percent of GDP"/>
    <s v="Units"/>
    <x v="1"/>
    <n v="22.867000000000001"/>
  </r>
  <r>
    <n v="110"/>
    <x v="0"/>
    <x v="31"/>
    <x v="7"/>
    <s v="Percent of GDP"/>
    <s v="Units"/>
    <x v="2"/>
    <n v="23.966999999999999"/>
  </r>
  <r>
    <n v="110"/>
    <x v="0"/>
    <x v="31"/>
    <x v="7"/>
    <s v="Percent of GDP"/>
    <s v="Units"/>
    <x v="3"/>
    <n v="22.318999999999999"/>
  </r>
  <r>
    <n v="110"/>
    <x v="0"/>
    <x v="31"/>
    <x v="7"/>
    <s v="Percent of GDP"/>
    <s v="Units"/>
    <x v="4"/>
    <n v="21.018999999999998"/>
  </r>
  <r>
    <n v="110"/>
    <x v="0"/>
    <x v="31"/>
    <x v="7"/>
    <s v="Percent of GDP"/>
    <s v="Units"/>
    <x v="5"/>
    <n v="21.661999999999999"/>
  </r>
  <r>
    <n v="110"/>
    <x v="0"/>
    <x v="31"/>
    <x v="7"/>
    <s v="Percent of GDP"/>
    <s v="Units"/>
    <x v="6"/>
    <n v="21.99"/>
  </r>
  <r>
    <n v="1"/>
    <x v="2"/>
    <x v="31"/>
    <x v="7"/>
    <s v="Percent of GDP"/>
    <s v="Units"/>
    <x v="0"/>
    <n v="24.606999999999999"/>
  </r>
  <r>
    <n v="1"/>
    <x v="2"/>
    <x v="31"/>
    <x v="7"/>
    <s v="Percent of GDP"/>
    <s v="Units"/>
    <x v="1"/>
    <n v="22.867000000000001"/>
  </r>
  <r>
    <n v="1"/>
    <x v="2"/>
    <x v="31"/>
    <x v="7"/>
    <s v="Percent of GDP"/>
    <s v="Units"/>
    <x v="2"/>
    <n v="23.966999999999999"/>
  </r>
  <r>
    <n v="1"/>
    <x v="2"/>
    <x v="31"/>
    <x v="7"/>
    <s v="Percent of GDP"/>
    <s v="Units"/>
    <x v="3"/>
    <n v="22.318999999999999"/>
  </r>
  <r>
    <n v="1"/>
    <x v="2"/>
    <x v="31"/>
    <x v="7"/>
    <s v="Percent of GDP"/>
    <s v="Units"/>
    <x v="4"/>
    <n v="21.018999999999998"/>
  </r>
  <r>
    <n v="1"/>
    <x v="2"/>
    <x v="31"/>
    <x v="7"/>
    <s v="Percent of GDP"/>
    <s v="Units"/>
    <x v="5"/>
    <n v="21.661999999999999"/>
  </r>
  <r>
    <n v="1"/>
    <x v="2"/>
    <x v="31"/>
    <x v="7"/>
    <s v="Percent of GDP"/>
    <s v="Units"/>
    <x v="6"/>
    <n v="21.99"/>
  </r>
  <r>
    <n v="200"/>
    <x v="3"/>
    <x v="170"/>
    <x v="0"/>
    <s v="U.S. dollars"/>
    <s v="Billions"/>
    <x v="0"/>
    <n v="17.280999999999999"/>
  </r>
  <r>
    <n v="200"/>
    <x v="3"/>
    <x v="170"/>
    <x v="0"/>
    <s v="U.S. dollars"/>
    <s v="Billions"/>
    <x v="1"/>
    <n v="17.643000000000001"/>
  </r>
  <r>
    <n v="200"/>
    <x v="3"/>
    <x v="170"/>
    <x v="0"/>
    <s v="U.S. dollars"/>
    <s v="Billions"/>
    <x v="2"/>
    <n v="19.786000000000001"/>
  </r>
  <r>
    <n v="200"/>
    <x v="3"/>
    <x v="170"/>
    <x v="0"/>
    <s v="U.S. dollars"/>
    <s v="Billions"/>
    <x v="3"/>
    <n v="18.724"/>
  </r>
  <r>
    <n v="200"/>
    <x v="3"/>
    <x v="170"/>
    <x v="0"/>
    <s v="U.S. dollars"/>
    <s v="Billions"/>
    <x v="4"/>
    <n v="20.684000000000001"/>
  </r>
  <r>
    <n v="200"/>
    <x v="3"/>
    <x v="170"/>
    <x v="0"/>
    <s v="U.S. dollars"/>
    <s v="Billions"/>
    <x v="5"/>
    <n v="21.661999999999999"/>
  </r>
  <r>
    <n v="200"/>
    <x v="3"/>
    <x v="170"/>
    <x v="0"/>
    <s v="U.S. dollars"/>
    <s v="Billions"/>
    <x v="6"/>
    <n v="22.984000000000002"/>
  </r>
  <r>
    <n v="1"/>
    <x v="2"/>
    <x v="170"/>
    <x v="0"/>
    <s v="U.S. dollars"/>
    <s v="Billions"/>
    <x v="0"/>
    <n v="17.280999999999999"/>
  </r>
  <r>
    <n v="1"/>
    <x v="2"/>
    <x v="170"/>
    <x v="0"/>
    <s v="U.S. dollars"/>
    <s v="Billions"/>
    <x v="1"/>
    <n v="17.643000000000001"/>
  </r>
  <r>
    <n v="1"/>
    <x v="2"/>
    <x v="170"/>
    <x v="0"/>
    <s v="U.S. dollars"/>
    <s v="Billions"/>
    <x v="2"/>
    <n v="19.786000000000001"/>
  </r>
  <r>
    <n v="1"/>
    <x v="2"/>
    <x v="170"/>
    <x v="0"/>
    <s v="U.S. dollars"/>
    <s v="Billions"/>
    <x v="3"/>
    <n v="18.724"/>
  </r>
  <r>
    <n v="1"/>
    <x v="2"/>
    <x v="170"/>
    <x v="0"/>
    <s v="U.S. dollars"/>
    <s v="Billions"/>
    <x v="4"/>
    <n v="20.684000000000001"/>
  </r>
  <r>
    <n v="1"/>
    <x v="2"/>
    <x v="170"/>
    <x v="0"/>
    <s v="U.S. dollars"/>
    <s v="Billions"/>
    <x v="5"/>
    <n v="21.661999999999999"/>
  </r>
  <r>
    <n v="1"/>
    <x v="2"/>
    <x v="170"/>
    <x v="0"/>
    <s v="U.S. dollars"/>
    <s v="Billions"/>
    <x v="6"/>
    <n v="22.984000000000002"/>
  </r>
  <r>
    <n v="200"/>
    <x v="3"/>
    <x v="153"/>
    <x v="3"/>
    <s v="Percent of GDP"/>
    <s v="Units"/>
    <x v="0"/>
    <n v="20.152999999999999"/>
  </r>
  <r>
    <n v="200"/>
    <x v="3"/>
    <x v="153"/>
    <x v="3"/>
    <s v="Percent of GDP"/>
    <s v="Units"/>
    <x v="1"/>
    <n v="21.108000000000001"/>
  </r>
  <r>
    <n v="200"/>
    <x v="3"/>
    <x v="153"/>
    <x v="3"/>
    <s v="Percent of GDP"/>
    <s v="Units"/>
    <x v="2"/>
    <n v="20.934999999999999"/>
  </r>
  <r>
    <n v="200"/>
    <x v="3"/>
    <x v="153"/>
    <x v="3"/>
    <s v="Percent of GDP"/>
    <s v="Units"/>
    <x v="3"/>
    <n v="22.846"/>
  </r>
  <r>
    <n v="200"/>
    <x v="3"/>
    <x v="153"/>
    <x v="3"/>
    <s v="Percent of GDP"/>
    <s v="Units"/>
    <x v="4"/>
    <n v="22.962"/>
  </r>
  <r>
    <n v="200"/>
    <x v="3"/>
    <x v="153"/>
    <x v="3"/>
    <s v="Percent of GDP"/>
    <s v="Units"/>
    <x v="5"/>
    <n v="21.632999999999999"/>
  </r>
  <r>
    <n v="200"/>
    <x v="3"/>
    <x v="153"/>
    <x v="3"/>
    <s v="Percent of GDP"/>
    <s v="Units"/>
    <x v="6"/>
    <n v="22.239000000000001"/>
  </r>
  <r>
    <n v="603"/>
    <x v="12"/>
    <x v="153"/>
    <x v="3"/>
    <s v="Percent of GDP"/>
    <s v="Units"/>
    <x v="0"/>
    <n v="20.152999999999999"/>
  </r>
  <r>
    <n v="603"/>
    <x v="12"/>
    <x v="153"/>
    <x v="3"/>
    <s v="Percent of GDP"/>
    <s v="Units"/>
    <x v="1"/>
    <n v="21.108000000000001"/>
  </r>
  <r>
    <n v="603"/>
    <x v="12"/>
    <x v="153"/>
    <x v="3"/>
    <s v="Percent of GDP"/>
    <s v="Units"/>
    <x v="2"/>
    <n v="20.934999999999999"/>
  </r>
  <r>
    <n v="603"/>
    <x v="12"/>
    <x v="153"/>
    <x v="3"/>
    <s v="Percent of GDP"/>
    <s v="Units"/>
    <x v="3"/>
    <n v="22.846"/>
  </r>
  <r>
    <n v="603"/>
    <x v="12"/>
    <x v="153"/>
    <x v="3"/>
    <s v="Percent of GDP"/>
    <s v="Units"/>
    <x v="4"/>
    <n v="22.962"/>
  </r>
  <r>
    <n v="603"/>
    <x v="12"/>
    <x v="153"/>
    <x v="3"/>
    <s v="Percent of GDP"/>
    <s v="Units"/>
    <x v="5"/>
    <n v="21.632999999999999"/>
  </r>
  <r>
    <n v="603"/>
    <x v="12"/>
    <x v="153"/>
    <x v="3"/>
    <s v="Percent of GDP"/>
    <s v="Units"/>
    <x v="6"/>
    <n v="22.239000000000001"/>
  </r>
  <r>
    <n v="110"/>
    <x v="0"/>
    <x v="67"/>
    <x v="3"/>
    <s v="Percent of GDP"/>
    <s v="Units"/>
    <x v="0"/>
    <n v="21.068000000000001"/>
  </r>
  <r>
    <n v="110"/>
    <x v="0"/>
    <x v="67"/>
    <x v="3"/>
    <s v="Percent of GDP"/>
    <s v="Units"/>
    <x v="1"/>
    <n v="21.361999999999998"/>
  </r>
  <r>
    <n v="110"/>
    <x v="0"/>
    <x v="67"/>
    <x v="3"/>
    <s v="Percent of GDP"/>
    <s v="Units"/>
    <x v="2"/>
    <n v="21.236999999999998"/>
  </r>
  <r>
    <n v="110"/>
    <x v="0"/>
    <x v="67"/>
    <x v="3"/>
    <s v="Percent of GDP"/>
    <s v="Units"/>
    <x v="3"/>
    <n v="20.645"/>
  </r>
  <r>
    <n v="110"/>
    <x v="0"/>
    <x v="67"/>
    <x v="3"/>
    <s v="Percent of GDP"/>
    <s v="Units"/>
    <x v="4"/>
    <n v="22.666"/>
  </r>
  <r>
    <n v="110"/>
    <x v="0"/>
    <x v="67"/>
    <x v="3"/>
    <s v="Percent of GDP"/>
    <s v="Units"/>
    <x v="5"/>
    <n v="21.617999999999999"/>
  </r>
  <r>
    <n v="110"/>
    <x v="0"/>
    <x v="67"/>
    <x v="3"/>
    <s v="Percent of GDP"/>
    <s v="Units"/>
    <x v="6"/>
    <n v="20.721"/>
  </r>
  <r>
    <n v="123"/>
    <x v="9"/>
    <x v="67"/>
    <x v="3"/>
    <s v="Percent of GDP"/>
    <s v="Units"/>
    <x v="0"/>
    <n v="21.068000000000001"/>
  </r>
  <r>
    <n v="123"/>
    <x v="9"/>
    <x v="67"/>
    <x v="3"/>
    <s v="Percent of GDP"/>
    <s v="Units"/>
    <x v="1"/>
    <n v="21.361999999999998"/>
  </r>
  <r>
    <n v="123"/>
    <x v="9"/>
    <x v="67"/>
    <x v="3"/>
    <s v="Percent of GDP"/>
    <s v="Units"/>
    <x v="2"/>
    <n v="21.236999999999998"/>
  </r>
  <r>
    <n v="123"/>
    <x v="9"/>
    <x v="67"/>
    <x v="3"/>
    <s v="Percent of GDP"/>
    <s v="Units"/>
    <x v="3"/>
    <n v="20.645"/>
  </r>
  <r>
    <n v="123"/>
    <x v="9"/>
    <x v="67"/>
    <x v="3"/>
    <s v="Percent of GDP"/>
    <s v="Units"/>
    <x v="4"/>
    <n v="22.666"/>
  </r>
  <r>
    <n v="123"/>
    <x v="9"/>
    <x v="67"/>
    <x v="3"/>
    <s v="Percent of GDP"/>
    <s v="Units"/>
    <x v="5"/>
    <n v="21.617999999999999"/>
  </r>
  <r>
    <n v="123"/>
    <x v="9"/>
    <x v="67"/>
    <x v="3"/>
    <s v="Percent of GDP"/>
    <s v="Units"/>
    <x v="6"/>
    <n v="20.721"/>
  </r>
  <r>
    <n v="200"/>
    <x v="3"/>
    <x v="170"/>
    <x v="2"/>
    <s v="Percent of GDP"/>
    <s v="Units"/>
    <x v="0"/>
    <n v="21.465"/>
  </r>
  <r>
    <n v="200"/>
    <x v="3"/>
    <x v="170"/>
    <x v="2"/>
    <s v="Percent of GDP"/>
    <s v="Units"/>
    <x v="1"/>
    <n v="20.515999999999998"/>
  </r>
  <r>
    <n v="200"/>
    <x v="3"/>
    <x v="170"/>
    <x v="2"/>
    <s v="Percent of GDP"/>
    <s v="Units"/>
    <x v="2"/>
    <n v="21.475000000000001"/>
  </r>
  <r>
    <n v="200"/>
    <x v="3"/>
    <x v="170"/>
    <x v="2"/>
    <s v="Percent of GDP"/>
    <s v="Units"/>
    <x v="3"/>
    <n v="20.253"/>
  </r>
  <r>
    <n v="200"/>
    <x v="3"/>
    <x v="170"/>
    <x v="2"/>
    <s v="Percent of GDP"/>
    <s v="Units"/>
    <x v="4"/>
    <n v="21.478000000000002"/>
  </r>
  <r>
    <n v="200"/>
    <x v="3"/>
    <x v="170"/>
    <x v="2"/>
    <s v="Percent of GDP"/>
    <s v="Units"/>
    <x v="5"/>
    <n v="21.582000000000001"/>
  </r>
  <r>
    <n v="200"/>
    <x v="3"/>
    <x v="170"/>
    <x v="2"/>
    <s v="Percent of GDP"/>
    <s v="Units"/>
    <x v="6"/>
    <n v="21.856999999999999"/>
  </r>
  <r>
    <n v="603"/>
    <x v="12"/>
    <x v="170"/>
    <x v="2"/>
    <s v="Percent of GDP"/>
    <s v="Units"/>
    <x v="0"/>
    <n v="21.465"/>
  </r>
  <r>
    <n v="603"/>
    <x v="12"/>
    <x v="170"/>
    <x v="2"/>
    <s v="Percent of GDP"/>
    <s v="Units"/>
    <x v="1"/>
    <n v="20.515999999999998"/>
  </r>
  <r>
    <n v="603"/>
    <x v="12"/>
    <x v="170"/>
    <x v="2"/>
    <s v="Percent of GDP"/>
    <s v="Units"/>
    <x v="2"/>
    <n v="21.475000000000001"/>
  </r>
  <r>
    <n v="603"/>
    <x v="12"/>
    <x v="170"/>
    <x v="2"/>
    <s v="Percent of GDP"/>
    <s v="Units"/>
    <x v="3"/>
    <n v="20.253"/>
  </r>
  <r>
    <n v="603"/>
    <x v="12"/>
    <x v="170"/>
    <x v="2"/>
    <s v="Percent of GDP"/>
    <s v="Units"/>
    <x v="4"/>
    <n v="21.478000000000002"/>
  </r>
  <r>
    <n v="603"/>
    <x v="12"/>
    <x v="170"/>
    <x v="2"/>
    <s v="Percent of GDP"/>
    <s v="Units"/>
    <x v="5"/>
    <n v="21.582000000000001"/>
  </r>
  <r>
    <n v="603"/>
    <x v="12"/>
    <x v="170"/>
    <x v="2"/>
    <s v="Percent of GDP"/>
    <s v="Units"/>
    <x v="6"/>
    <n v="21.856999999999999"/>
  </r>
  <r>
    <n v="200"/>
    <x v="3"/>
    <x v="132"/>
    <x v="3"/>
    <s v="Percent of GDP"/>
    <s v="Units"/>
    <x v="0"/>
    <n v="22.783000000000001"/>
  </r>
  <r>
    <n v="200"/>
    <x v="3"/>
    <x v="132"/>
    <x v="3"/>
    <s v="Percent of GDP"/>
    <s v="Units"/>
    <x v="1"/>
    <n v="25.890999999999998"/>
  </r>
  <r>
    <n v="200"/>
    <x v="3"/>
    <x v="132"/>
    <x v="3"/>
    <s v="Percent of GDP"/>
    <s v="Units"/>
    <x v="2"/>
    <n v="24.009"/>
  </r>
  <r>
    <n v="200"/>
    <x v="3"/>
    <x v="132"/>
    <x v="3"/>
    <s v="Percent of GDP"/>
    <s v="Units"/>
    <x v="3"/>
    <n v="23.513999999999999"/>
  </r>
  <r>
    <n v="200"/>
    <x v="3"/>
    <x v="132"/>
    <x v="3"/>
    <s v="Percent of GDP"/>
    <s v="Units"/>
    <x v="4"/>
    <n v="22.218"/>
  </r>
  <r>
    <n v="200"/>
    <x v="3"/>
    <x v="132"/>
    <x v="3"/>
    <s v="Percent of GDP"/>
    <s v="Units"/>
    <x v="5"/>
    <n v="21.542999999999999"/>
  </r>
  <r>
    <n v="200"/>
    <x v="3"/>
    <x v="132"/>
    <x v="3"/>
    <s v="Percent of GDP"/>
    <s v="Units"/>
    <x v="6"/>
    <n v="21.559000000000001"/>
  </r>
  <r>
    <n v="205"/>
    <x v="7"/>
    <x v="132"/>
    <x v="3"/>
    <s v="Percent of GDP"/>
    <s v="Units"/>
    <x v="0"/>
    <n v="22.783000000000001"/>
  </r>
  <r>
    <n v="205"/>
    <x v="7"/>
    <x v="132"/>
    <x v="3"/>
    <s v="Percent of GDP"/>
    <s v="Units"/>
    <x v="1"/>
    <n v="25.890999999999998"/>
  </r>
  <r>
    <n v="205"/>
    <x v="7"/>
    <x v="132"/>
    <x v="3"/>
    <s v="Percent of GDP"/>
    <s v="Units"/>
    <x v="2"/>
    <n v="24.009"/>
  </r>
  <r>
    <n v="205"/>
    <x v="7"/>
    <x v="132"/>
    <x v="3"/>
    <s v="Percent of GDP"/>
    <s v="Units"/>
    <x v="3"/>
    <n v="23.513999999999999"/>
  </r>
  <r>
    <n v="205"/>
    <x v="7"/>
    <x v="132"/>
    <x v="3"/>
    <s v="Percent of GDP"/>
    <s v="Units"/>
    <x v="4"/>
    <n v="22.218"/>
  </r>
  <r>
    <n v="205"/>
    <x v="7"/>
    <x v="132"/>
    <x v="3"/>
    <s v="Percent of GDP"/>
    <s v="Units"/>
    <x v="5"/>
    <n v="21.542999999999999"/>
  </r>
  <r>
    <n v="205"/>
    <x v="7"/>
    <x v="132"/>
    <x v="3"/>
    <s v="Percent of GDP"/>
    <s v="Units"/>
    <x v="6"/>
    <n v="21.559000000000001"/>
  </r>
  <r>
    <n v="110"/>
    <x v="0"/>
    <x v="84"/>
    <x v="7"/>
    <s v="Percent of GDP"/>
    <s v="Units"/>
    <x v="0"/>
    <n v="17.783999999999999"/>
  </r>
  <r>
    <n v="110"/>
    <x v="0"/>
    <x v="84"/>
    <x v="7"/>
    <s v="Percent of GDP"/>
    <s v="Units"/>
    <x v="1"/>
    <n v="14.58"/>
  </r>
  <r>
    <n v="110"/>
    <x v="0"/>
    <x v="84"/>
    <x v="7"/>
    <s v="Percent of GDP"/>
    <s v="Units"/>
    <x v="2"/>
    <n v="20.37"/>
  </r>
  <r>
    <n v="110"/>
    <x v="0"/>
    <x v="84"/>
    <x v="7"/>
    <s v="Percent of GDP"/>
    <s v="Units"/>
    <x v="3"/>
    <n v="26.873000000000001"/>
  </r>
  <r>
    <n v="110"/>
    <x v="0"/>
    <x v="84"/>
    <x v="7"/>
    <s v="Percent of GDP"/>
    <s v="Units"/>
    <x v="4"/>
    <n v="19.564"/>
  </r>
  <r>
    <n v="110"/>
    <x v="0"/>
    <x v="84"/>
    <x v="7"/>
    <s v="Percent of GDP"/>
    <s v="Units"/>
    <x v="5"/>
    <n v="21.510999999999999"/>
  </r>
  <r>
    <n v="110"/>
    <x v="0"/>
    <x v="84"/>
    <x v="7"/>
    <s v="Percent of GDP"/>
    <s v="Units"/>
    <x v="6"/>
    <n v="21.527999999999999"/>
  </r>
  <r>
    <n v="163"/>
    <x v="5"/>
    <x v="84"/>
    <x v="7"/>
    <s v="Percent of GDP"/>
    <s v="Units"/>
    <x v="0"/>
    <n v="17.783999999999999"/>
  </r>
  <r>
    <n v="163"/>
    <x v="5"/>
    <x v="84"/>
    <x v="7"/>
    <s v="Percent of GDP"/>
    <s v="Units"/>
    <x v="1"/>
    <n v="14.58"/>
  </r>
  <r>
    <n v="163"/>
    <x v="5"/>
    <x v="84"/>
    <x v="7"/>
    <s v="Percent of GDP"/>
    <s v="Units"/>
    <x v="2"/>
    <n v="20.37"/>
  </r>
  <r>
    <n v="163"/>
    <x v="5"/>
    <x v="84"/>
    <x v="7"/>
    <s v="Percent of GDP"/>
    <s v="Units"/>
    <x v="3"/>
    <n v="26.873000000000001"/>
  </r>
  <r>
    <n v="163"/>
    <x v="5"/>
    <x v="84"/>
    <x v="7"/>
    <s v="Percent of GDP"/>
    <s v="Units"/>
    <x v="4"/>
    <n v="19.564"/>
  </r>
  <r>
    <n v="163"/>
    <x v="5"/>
    <x v="84"/>
    <x v="7"/>
    <s v="Percent of GDP"/>
    <s v="Units"/>
    <x v="5"/>
    <n v="21.510999999999999"/>
  </r>
  <r>
    <n v="163"/>
    <x v="5"/>
    <x v="84"/>
    <x v="7"/>
    <s v="Percent of GDP"/>
    <s v="Units"/>
    <x v="6"/>
    <n v="21.527999999999999"/>
  </r>
  <r>
    <n v="998"/>
    <x v="6"/>
    <x v="84"/>
    <x v="7"/>
    <s v="Percent of GDP"/>
    <s v="Units"/>
    <x v="0"/>
    <n v="17.783999999999999"/>
  </r>
  <r>
    <n v="998"/>
    <x v="6"/>
    <x v="84"/>
    <x v="7"/>
    <s v="Percent of GDP"/>
    <s v="Units"/>
    <x v="1"/>
    <n v="14.58"/>
  </r>
  <r>
    <n v="998"/>
    <x v="6"/>
    <x v="84"/>
    <x v="7"/>
    <s v="Percent of GDP"/>
    <s v="Units"/>
    <x v="2"/>
    <n v="20.37"/>
  </r>
  <r>
    <n v="998"/>
    <x v="6"/>
    <x v="84"/>
    <x v="7"/>
    <s v="Percent of GDP"/>
    <s v="Units"/>
    <x v="3"/>
    <n v="26.873000000000001"/>
  </r>
  <r>
    <n v="998"/>
    <x v="6"/>
    <x v="84"/>
    <x v="7"/>
    <s v="Percent of GDP"/>
    <s v="Units"/>
    <x v="4"/>
    <n v="19.564"/>
  </r>
  <r>
    <n v="998"/>
    <x v="6"/>
    <x v="84"/>
    <x v="7"/>
    <s v="Percent of GDP"/>
    <s v="Units"/>
    <x v="5"/>
    <n v="21.510999999999999"/>
  </r>
  <r>
    <n v="998"/>
    <x v="6"/>
    <x v="84"/>
    <x v="7"/>
    <s v="Percent of GDP"/>
    <s v="Units"/>
    <x v="6"/>
    <n v="21.527999999999999"/>
  </r>
  <r>
    <n v="1"/>
    <x v="2"/>
    <x v="84"/>
    <x v="7"/>
    <s v="Percent of GDP"/>
    <s v="Units"/>
    <x v="0"/>
    <n v="17.783999999999999"/>
  </r>
  <r>
    <n v="1"/>
    <x v="2"/>
    <x v="84"/>
    <x v="7"/>
    <s v="Percent of GDP"/>
    <s v="Units"/>
    <x v="1"/>
    <n v="14.58"/>
  </r>
  <r>
    <n v="1"/>
    <x v="2"/>
    <x v="84"/>
    <x v="7"/>
    <s v="Percent of GDP"/>
    <s v="Units"/>
    <x v="2"/>
    <n v="20.37"/>
  </r>
  <r>
    <n v="1"/>
    <x v="2"/>
    <x v="84"/>
    <x v="7"/>
    <s v="Percent of GDP"/>
    <s v="Units"/>
    <x v="3"/>
    <n v="26.873000000000001"/>
  </r>
  <r>
    <n v="1"/>
    <x v="2"/>
    <x v="84"/>
    <x v="7"/>
    <s v="Percent of GDP"/>
    <s v="Units"/>
    <x v="4"/>
    <n v="19.564"/>
  </r>
  <r>
    <n v="1"/>
    <x v="2"/>
    <x v="84"/>
    <x v="7"/>
    <s v="Percent of GDP"/>
    <s v="Units"/>
    <x v="5"/>
    <n v="21.510999999999999"/>
  </r>
  <r>
    <n v="1"/>
    <x v="2"/>
    <x v="84"/>
    <x v="7"/>
    <s v="Percent of GDP"/>
    <s v="Units"/>
    <x v="6"/>
    <n v="21.527999999999999"/>
  </r>
  <r>
    <n v="200"/>
    <x v="3"/>
    <x v="181"/>
    <x v="1"/>
    <s v="Percent change"/>
    <s v="Units"/>
    <x v="0"/>
    <n v="3.323"/>
  </r>
  <r>
    <n v="200"/>
    <x v="3"/>
    <x v="181"/>
    <x v="1"/>
    <s v="Percent change"/>
    <s v="Units"/>
    <x v="1"/>
    <n v="5.1040000000000001"/>
  </r>
  <r>
    <n v="200"/>
    <x v="3"/>
    <x v="181"/>
    <x v="1"/>
    <s v="Percent change"/>
    <s v="Units"/>
    <x v="2"/>
    <n v="3.754"/>
  </r>
  <r>
    <n v="200"/>
    <x v="3"/>
    <x v="181"/>
    <x v="1"/>
    <s v="Percent change"/>
    <s v="Units"/>
    <x v="3"/>
    <n v="22.959"/>
  </r>
  <r>
    <n v="200"/>
    <x v="3"/>
    <x v="181"/>
    <x v="1"/>
    <s v="Percent change"/>
    <s v="Units"/>
    <x v="4"/>
    <n v="31.23"/>
  </r>
  <r>
    <n v="200"/>
    <x v="3"/>
    <x v="181"/>
    <x v="1"/>
    <s v="Percent change"/>
    <s v="Units"/>
    <x v="5"/>
    <n v="21.5"/>
  </r>
  <r>
    <n v="200"/>
    <x v="3"/>
    <x v="181"/>
    <x v="1"/>
    <s v="Percent change"/>
    <s v="Units"/>
    <x v="6"/>
    <n v="14.75"/>
  </r>
  <r>
    <n v="505"/>
    <x v="4"/>
    <x v="181"/>
    <x v="1"/>
    <s v="Percent change"/>
    <s v="Units"/>
    <x v="0"/>
    <n v="3.323"/>
  </r>
  <r>
    <n v="505"/>
    <x v="4"/>
    <x v="181"/>
    <x v="1"/>
    <s v="Percent change"/>
    <s v="Units"/>
    <x v="1"/>
    <n v="5.1040000000000001"/>
  </r>
  <r>
    <n v="505"/>
    <x v="4"/>
    <x v="181"/>
    <x v="1"/>
    <s v="Percent change"/>
    <s v="Units"/>
    <x v="2"/>
    <n v="3.754"/>
  </r>
  <r>
    <n v="505"/>
    <x v="4"/>
    <x v="181"/>
    <x v="1"/>
    <s v="Percent change"/>
    <s v="Units"/>
    <x v="3"/>
    <n v="22.959"/>
  </r>
  <r>
    <n v="505"/>
    <x v="4"/>
    <x v="181"/>
    <x v="1"/>
    <s v="Percent change"/>
    <s v="Units"/>
    <x v="4"/>
    <n v="31.23"/>
  </r>
  <r>
    <n v="505"/>
    <x v="4"/>
    <x v="181"/>
    <x v="1"/>
    <s v="Percent change"/>
    <s v="Units"/>
    <x v="5"/>
    <n v="21.5"/>
  </r>
  <r>
    <n v="505"/>
    <x v="4"/>
    <x v="181"/>
    <x v="1"/>
    <s v="Percent change"/>
    <s v="Units"/>
    <x v="6"/>
    <n v="14.75"/>
  </r>
  <r>
    <n v="1"/>
    <x v="2"/>
    <x v="181"/>
    <x v="1"/>
    <s v="Percent change"/>
    <s v="Units"/>
    <x v="0"/>
    <n v="3.323"/>
  </r>
  <r>
    <n v="1"/>
    <x v="2"/>
    <x v="181"/>
    <x v="1"/>
    <s v="Percent change"/>
    <s v="Units"/>
    <x v="1"/>
    <n v="5.1040000000000001"/>
  </r>
  <r>
    <n v="1"/>
    <x v="2"/>
    <x v="181"/>
    <x v="1"/>
    <s v="Percent change"/>
    <s v="Units"/>
    <x v="2"/>
    <n v="3.754"/>
  </r>
  <r>
    <n v="1"/>
    <x v="2"/>
    <x v="181"/>
    <x v="1"/>
    <s v="Percent change"/>
    <s v="Units"/>
    <x v="3"/>
    <n v="22.959"/>
  </r>
  <r>
    <n v="1"/>
    <x v="2"/>
    <x v="181"/>
    <x v="1"/>
    <s v="Percent change"/>
    <s v="Units"/>
    <x v="4"/>
    <n v="31.23"/>
  </r>
  <r>
    <n v="1"/>
    <x v="2"/>
    <x v="181"/>
    <x v="1"/>
    <s v="Percent change"/>
    <s v="Units"/>
    <x v="5"/>
    <n v="21.5"/>
  </r>
  <r>
    <n v="1"/>
    <x v="2"/>
    <x v="181"/>
    <x v="1"/>
    <s v="Percent change"/>
    <s v="Units"/>
    <x v="6"/>
    <n v="14.75"/>
  </r>
  <r>
    <n v="110"/>
    <x v="0"/>
    <x v="0"/>
    <x v="7"/>
    <s v="Percent of GDP"/>
    <s v="Units"/>
    <x v="0"/>
    <n v="21.687000000000001"/>
  </r>
  <r>
    <n v="110"/>
    <x v="0"/>
    <x v="0"/>
    <x v="7"/>
    <s v="Percent of GDP"/>
    <s v="Units"/>
    <x v="1"/>
    <n v="21.408000000000001"/>
  </r>
  <r>
    <n v="110"/>
    <x v="0"/>
    <x v="0"/>
    <x v="7"/>
    <s v="Percent of GDP"/>
    <s v="Units"/>
    <x v="2"/>
    <n v="21.373999999999999"/>
  </r>
  <r>
    <n v="110"/>
    <x v="0"/>
    <x v="0"/>
    <x v="7"/>
    <s v="Percent of GDP"/>
    <s v="Units"/>
    <x v="3"/>
    <n v="21.882000000000001"/>
  </r>
  <r>
    <n v="110"/>
    <x v="0"/>
    <x v="0"/>
    <x v="7"/>
    <s v="Percent of GDP"/>
    <s v="Units"/>
    <x v="4"/>
    <n v="21.331"/>
  </r>
  <r>
    <n v="110"/>
    <x v="0"/>
    <x v="0"/>
    <x v="7"/>
    <s v="Percent of GDP"/>
    <s v="Units"/>
    <x v="5"/>
    <n v="21.466999999999999"/>
  </r>
  <r>
    <n v="110"/>
    <x v="0"/>
    <x v="0"/>
    <x v="7"/>
    <s v="Percent of GDP"/>
    <s v="Units"/>
    <x v="6"/>
    <n v="21.609000000000002"/>
  </r>
  <r>
    <n v="1"/>
    <x v="2"/>
    <x v="0"/>
    <x v="7"/>
    <s v="Percent of GDP"/>
    <s v="Units"/>
    <x v="0"/>
    <n v="21.687000000000001"/>
  </r>
  <r>
    <n v="1"/>
    <x v="2"/>
    <x v="0"/>
    <x v="7"/>
    <s v="Percent of GDP"/>
    <s v="Units"/>
    <x v="1"/>
    <n v="21.408000000000001"/>
  </r>
  <r>
    <n v="1"/>
    <x v="2"/>
    <x v="0"/>
    <x v="7"/>
    <s v="Percent of GDP"/>
    <s v="Units"/>
    <x v="2"/>
    <n v="21.373999999999999"/>
  </r>
  <r>
    <n v="1"/>
    <x v="2"/>
    <x v="0"/>
    <x v="7"/>
    <s v="Percent of GDP"/>
    <s v="Units"/>
    <x v="3"/>
    <n v="21.882000000000001"/>
  </r>
  <r>
    <n v="1"/>
    <x v="2"/>
    <x v="0"/>
    <x v="7"/>
    <s v="Percent of GDP"/>
    <s v="Units"/>
    <x v="4"/>
    <n v="21.331"/>
  </r>
  <r>
    <n v="1"/>
    <x v="2"/>
    <x v="0"/>
    <x v="7"/>
    <s v="Percent of GDP"/>
    <s v="Units"/>
    <x v="5"/>
    <n v="21.466999999999999"/>
  </r>
  <r>
    <n v="1"/>
    <x v="2"/>
    <x v="0"/>
    <x v="7"/>
    <s v="Percent of GDP"/>
    <s v="Units"/>
    <x v="6"/>
    <n v="21.609000000000002"/>
  </r>
  <r>
    <n v="119"/>
    <x v="1"/>
    <x v="0"/>
    <x v="7"/>
    <s v="Percent of GDP"/>
    <s v="Units"/>
    <x v="0"/>
    <n v="21.687000000000001"/>
  </r>
  <r>
    <n v="119"/>
    <x v="1"/>
    <x v="0"/>
    <x v="7"/>
    <s v="Percent of GDP"/>
    <s v="Units"/>
    <x v="1"/>
    <n v="21.408000000000001"/>
  </r>
  <r>
    <n v="119"/>
    <x v="1"/>
    <x v="0"/>
    <x v="7"/>
    <s v="Percent of GDP"/>
    <s v="Units"/>
    <x v="2"/>
    <n v="21.373999999999999"/>
  </r>
  <r>
    <n v="119"/>
    <x v="1"/>
    <x v="0"/>
    <x v="7"/>
    <s v="Percent of GDP"/>
    <s v="Units"/>
    <x v="3"/>
    <n v="21.882000000000001"/>
  </r>
  <r>
    <n v="119"/>
    <x v="1"/>
    <x v="0"/>
    <x v="7"/>
    <s v="Percent of GDP"/>
    <s v="Units"/>
    <x v="4"/>
    <n v="21.331"/>
  </r>
  <r>
    <n v="119"/>
    <x v="1"/>
    <x v="0"/>
    <x v="7"/>
    <s v="Percent of GDP"/>
    <s v="Units"/>
    <x v="5"/>
    <n v="21.466999999999999"/>
  </r>
  <r>
    <n v="119"/>
    <x v="1"/>
    <x v="0"/>
    <x v="7"/>
    <s v="Percent of GDP"/>
    <s v="Units"/>
    <x v="6"/>
    <n v="21.609000000000002"/>
  </r>
  <r>
    <n v="400"/>
    <x v="11"/>
    <x v="58"/>
    <x v="7"/>
    <s v="Percent of GDP"/>
    <s v="Units"/>
    <x v="0"/>
    <n v="24.567"/>
  </r>
  <r>
    <n v="400"/>
    <x v="11"/>
    <x v="58"/>
    <x v="7"/>
    <s v="Percent of GDP"/>
    <s v="Units"/>
    <x v="1"/>
    <n v="29.882999999999999"/>
  </r>
  <r>
    <n v="400"/>
    <x v="11"/>
    <x v="58"/>
    <x v="7"/>
    <s v="Percent of GDP"/>
    <s v="Units"/>
    <x v="2"/>
    <n v="28.835999999999999"/>
  </r>
  <r>
    <n v="400"/>
    <x v="11"/>
    <x v="58"/>
    <x v="7"/>
    <s v="Percent of GDP"/>
    <s v="Units"/>
    <x v="3"/>
    <n v="19.369"/>
  </r>
  <r>
    <n v="400"/>
    <x v="11"/>
    <x v="58"/>
    <x v="7"/>
    <s v="Percent of GDP"/>
    <s v="Units"/>
    <x v="4"/>
    <n v="20.399000000000001"/>
  </r>
  <r>
    <n v="400"/>
    <x v="11"/>
    <x v="58"/>
    <x v="7"/>
    <s v="Percent of GDP"/>
    <s v="Units"/>
    <x v="5"/>
    <n v="21.431000000000001"/>
  </r>
  <r>
    <n v="400"/>
    <x v="11"/>
    <x v="58"/>
    <x v="7"/>
    <s v="Percent of GDP"/>
    <s v="Units"/>
    <x v="6"/>
    <n v="21.975000000000001"/>
  </r>
  <r>
    <n v="200"/>
    <x v="3"/>
    <x v="58"/>
    <x v="7"/>
    <s v="Percent of GDP"/>
    <s v="Units"/>
    <x v="0"/>
    <n v="24.567"/>
  </r>
  <r>
    <n v="200"/>
    <x v="3"/>
    <x v="58"/>
    <x v="7"/>
    <s v="Percent of GDP"/>
    <s v="Units"/>
    <x v="1"/>
    <n v="29.882999999999999"/>
  </r>
  <r>
    <n v="200"/>
    <x v="3"/>
    <x v="58"/>
    <x v="7"/>
    <s v="Percent of GDP"/>
    <s v="Units"/>
    <x v="2"/>
    <n v="28.835999999999999"/>
  </r>
  <r>
    <n v="200"/>
    <x v="3"/>
    <x v="58"/>
    <x v="7"/>
    <s v="Percent of GDP"/>
    <s v="Units"/>
    <x v="3"/>
    <n v="19.369"/>
  </r>
  <r>
    <n v="200"/>
    <x v="3"/>
    <x v="58"/>
    <x v="7"/>
    <s v="Percent of GDP"/>
    <s v="Units"/>
    <x v="4"/>
    <n v="20.399000000000001"/>
  </r>
  <r>
    <n v="200"/>
    <x v="3"/>
    <x v="58"/>
    <x v="7"/>
    <s v="Percent of GDP"/>
    <s v="Units"/>
    <x v="5"/>
    <n v="21.431000000000001"/>
  </r>
  <r>
    <n v="200"/>
    <x v="3"/>
    <x v="58"/>
    <x v="7"/>
    <s v="Percent of GDP"/>
    <s v="Units"/>
    <x v="6"/>
    <n v="21.975000000000001"/>
  </r>
  <r>
    <n v="1"/>
    <x v="2"/>
    <x v="58"/>
    <x v="7"/>
    <s v="Percent of GDP"/>
    <s v="Units"/>
    <x v="0"/>
    <n v="24.567"/>
  </r>
  <r>
    <n v="1"/>
    <x v="2"/>
    <x v="58"/>
    <x v="7"/>
    <s v="Percent of GDP"/>
    <s v="Units"/>
    <x v="1"/>
    <n v="29.882999999999999"/>
  </r>
  <r>
    <n v="1"/>
    <x v="2"/>
    <x v="58"/>
    <x v="7"/>
    <s v="Percent of GDP"/>
    <s v="Units"/>
    <x v="2"/>
    <n v="28.835999999999999"/>
  </r>
  <r>
    <n v="1"/>
    <x v="2"/>
    <x v="58"/>
    <x v="7"/>
    <s v="Percent of GDP"/>
    <s v="Units"/>
    <x v="3"/>
    <n v="19.369"/>
  </r>
  <r>
    <n v="1"/>
    <x v="2"/>
    <x v="58"/>
    <x v="7"/>
    <s v="Percent of GDP"/>
    <s v="Units"/>
    <x v="4"/>
    <n v="20.399000000000001"/>
  </r>
  <r>
    <n v="1"/>
    <x v="2"/>
    <x v="58"/>
    <x v="7"/>
    <s v="Percent of GDP"/>
    <s v="Units"/>
    <x v="5"/>
    <n v="21.431000000000001"/>
  </r>
  <r>
    <n v="1"/>
    <x v="2"/>
    <x v="58"/>
    <x v="7"/>
    <s v="Percent of GDP"/>
    <s v="Units"/>
    <x v="6"/>
    <n v="21.975000000000001"/>
  </r>
  <r>
    <n v="1"/>
    <x v="2"/>
    <x v="146"/>
    <x v="0"/>
    <s v="U.S. dollars"/>
    <s v="Billions"/>
    <x v="0"/>
    <n v="16.696000000000002"/>
  </r>
  <r>
    <n v="1"/>
    <x v="2"/>
    <x v="146"/>
    <x v="0"/>
    <s v="U.S. dollars"/>
    <s v="Billions"/>
    <x v="1"/>
    <n v="14.93"/>
  </r>
  <r>
    <n v="1"/>
    <x v="2"/>
    <x v="146"/>
    <x v="0"/>
    <s v="U.S. dollars"/>
    <s v="Billions"/>
    <x v="2"/>
    <n v="18.736999999999998"/>
  </r>
  <r>
    <n v="1"/>
    <x v="2"/>
    <x v="146"/>
    <x v="0"/>
    <s v="U.S. dollars"/>
    <s v="Billions"/>
    <x v="3"/>
    <n v="20.352"/>
  </r>
  <r>
    <n v="1"/>
    <x v="2"/>
    <x v="146"/>
    <x v="0"/>
    <s v="U.S. dollars"/>
    <s v="Billions"/>
    <x v="4"/>
    <n v="20.445"/>
  </r>
  <r>
    <n v="1"/>
    <x v="2"/>
    <x v="146"/>
    <x v="0"/>
    <s v="U.S. dollars"/>
    <s v="Billions"/>
    <x v="5"/>
    <n v="21.417999999999999"/>
  </r>
  <r>
    <n v="1"/>
    <x v="2"/>
    <x v="146"/>
    <x v="0"/>
    <s v="U.S. dollars"/>
    <s v="Billions"/>
    <x v="6"/>
    <n v="22.779"/>
  </r>
  <r>
    <n v="200"/>
    <x v="3"/>
    <x v="146"/>
    <x v="0"/>
    <s v="U.S. dollars"/>
    <s v="Billions"/>
    <x v="0"/>
    <n v="16.696000000000002"/>
  </r>
  <r>
    <n v="200"/>
    <x v="3"/>
    <x v="146"/>
    <x v="0"/>
    <s v="U.S. dollars"/>
    <s v="Billions"/>
    <x v="1"/>
    <n v="14.93"/>
  </r>
  <r>
    <n v="200"/>
    <x v="3"/>
    <x v="146"/>
    <x v="0"/>
    <s v="U.S. dollars"/>
    <s v="Billions"/>
    <x v="2"/>
    <n v="18.736999999999998"/>
  </r>
  <r>
    <n v="200"/>
    <x v="3"/>
    <x v="146"/>
    <x v="0"/>
    <s v="U.S. dollars"/>
    <s v="Billions"/>
    <x v="3"/>
    <n v="20.352"/>
  </r>
  <r>
    <n v="200"/>
    <x v="3"/>
    <x v="146"/>
    <x v="0"/>
    <s v="U.S. dollars"/>
    <s v="Billions"/>
    <x v="4"/>
    <n v="20.445"/>
  </r>
  <r>
    <n v="200"/>
    <x v="3"/>
    <x v="146"/>
    <x v="0"/>
    <s v="U.S. dollars"/>
    <s v="Billions"/>
    <x v="5"/>
    <n v="21.417999999999999"/>
  </r>
  <r>
    <n v="200"/>
    <x v="3"/>
    <x v="146"/>
    <x v="0"/>
    <s v="U.S. dollars"/>
    <s v="Billions"/>
    <x v="6"/>
    <n v="22.779"/>
  </r>
  <r>
    <n v="603"/>
    <x v="12"/>
    <x v="146"/>
    <x v="0"/>
    <s v="U.S. dollars"/>
    <s v="Billions"/>
    <x v="0"/>
    <n v="16.696000000000002"/>
  </r>
  <r>
    <n v="603"/>
    <x v="12"/>
    <x v="146"/>
    <x v="0"/>
    <s v="U.S. dollars"/>
    <s v="Billions"/>
    <x v="1"/>
    <n v="14.93"/>
  </r>
  <r>
    <n v="603"/>
    <x v="12"/>
    <x v="146"/>
    <x v="0"/>
    <s v="U.S. dollars"/>
    <s v="Billions"/>
    <x v="2"/>
    <n v="18.736999999999998"/>
  </r>
  <r>
    <n v="603"/>
    <x v="12"/>
    <x v="146"/>
    <x v="0"/>
    <s v="U.S. dollars"/>
    <s v="Billions"/>
    <x v="3"/>
    <n v="20.352"/>
  </r>
  <r>
    <n v="603"/>
    <x v="12"/>
    <x v="146"/>
    <x v="0"/>
    <s v="U.S. dollars"/>
    <s v="Billions"/>
    <x v="4"/>
    <n v="20.445"/>
  </r>
  <r>
    <n v="603"/>
    <x v="12"/>
    <x v="146"/>
    <x v="0"/>
    <s v="U.S. dollars"/>
    <s v="Billions"/>
    <x v="5"/>
    <n v="21.417999999999999"/>
  </r>
  <r>
    <n v="603"/>
    <x v="12"/>
    <x v="146"/>
    <x v="0"/>
    <s v="U.S. dollars"/>
    <s v="Billions"/>
    <x v="6"/>
    <n v="22.779"/>
  </r>
  <r>
    <n v="603"/>
    <x v="12"/>
    <x v="144"/>
    <x v="0"/>
    <s v="U.S. dollars"/>
    <s v="Billions"/>
    <x v="0"/>
    <n v="14.391999999999999"/>
  </r>
  <r>
    <n v="603"/>
    <x v="12"/>
    <x v="144"/>
    <x v="0"/>
    <s v="U.S. dollars"/>
    <s v="Billions"/>
    <x v="1"/>
    <n v="15.673999999999999"/>
  </r>
  <r>
    <n v="603"/>
    <x v="12"/>
    <x v="144"/>
    <x v="0"/>
    <s v="U.S. dollars"/>
    <s v="Billions"/>
    <x v="2"/>
    <n v="17.699000000000002"/>
  </r>
  <r>
    <n v="603"/>
    <x v="12"/>
    <x v="144"/>
    <x v="0"/>
    <s v="U.S. dollars"/>
    <s v="Billions"/>
    <x v="3"/>
    <n v="17.439"/>
  </r>
  <r>
    <n v="603"/>
    <x v="12"/>
    <x v="144"/>
    <x v="0"/>
    <s v="U.S. dollars"/>
    <s v="Billions"/>
    <x v="4"/>
    <n v="19.398"/>
  </r>
  <r>
    <n v="603"/>
    <x v="12"/>
    <x v="144"/>
    <x v="0"/>
    <s v="U.S. dollars"/>
    <s v="Billions"/>
    <x v="5"/>
    <n v="21.370999999999999"/>
  </r>
  <r>
    <n v="603"/>
    <x v="12"/>
    <x v="144"/>
    <x v="0"/>
    <s v="U.S. dollars"/>
    <s v="Billions"/>
    <x v="6"/>
    <n v="23.106999999999999"/>
  </r>
  <r>
    <n v="200"/>
    <x v="3"/>
    <x v="144"/>
    <x v="0"/>
    <s v="U.S. dollars"/>
    <s v="Billions"/>
    <x v="0"/>
    <n v="14.391999999999999"/>
  </r>
  <r>
    <n v="200"/>
    <x v="3"/>
    <x v="144"/>
    <x v="0"/>
    <s v="U.S. dollars"/>
    <s v="Billions"/>
    <x v="1"/>
    <n v="15.673999999999999"/>
  </r>
  <r>
    <n v="200"/>
    <x v="3"/>
    <x v="144"/>
    <x v="0"/>
    <s v="U.S. dollars"/>
    <s v="Billions"/>
    <x v="2"/>
    <n v="17.699000000000002"/>
  </r>
  <r>
    <n v="200"/>
    <x v="3"/>
    <x v="144"/>
    <x v="0"/>
    <s v="U.S. dollars"/>
    <s v="Billions"/>
    <x v="3"/>
    <n v="17.439"/>
  </r>
  <r>
    <n v="200"/>
    <x v="3"/>
    <x v="144"/>
    <x v="0"/>
    <s v="U.S. dollars"/>
    <s v="Billions"/>
    <x v="4"/>
    <n v="19.398"/>
  </r>
  <r>
    <n v="200"/>
    <x v="3"/>
    <x v="144"/>
    <x v="0"/>
    <s v="U.S. dollars"/>
    <s v="Billions"/>
    <x v="5"/>
    <n v="21.370999999999999"/>
  </r>
  <r>
    <n v="200"/>
    <x v="3"/>
    <x v="144"/>
    <x v="0"/>
    <s v="U.S. dollars"/>
    <s v="Billions"/>
    <x v="6"/>
    <n v="23.106999999999999"/>
  </r>
  <r>
    <n v="1"/>
    <x v="2"/>
    <x v="144"/>
    <x v="0"/>
    <s v="U.S. dollars"/>
    <s v="Billions"/>
    <x v="0"/>
    <n v="14.391999999999999"/>
  </r>
  <r>
    <n v="1"/>
    <x v="2"/>
    <x v="144"/>
    <x v="0"/>
    <s v="U.S. dollars"/>
    <s v="Billions"/>
    <x v="1"/>
    <n v="15.673999999999999"/>
  </r>
  <r>
    <n v="1"/>
    <x v="2"/>
    <x v="144"/>
    <x v="0"/>
    <s v="U.S. dollars"/>
    <s v="Billions"/>
    <x v="2"/>
    <n v="17.699000000000002"/>
  </r>
  <r>
    <n v="1"/>
    <x v="2"/>
    <x v="144"/>
    <x v="0"/>
    <s v="U.S. dollars"/>
    <s v="Billions"/>
    <x v="3"/>
    <n v="17.439"/>
  </r>
  <r>
    <n v="1"/>
    <x v="2"/>
    <x v="144"/>
    <x v="0"/>
    <s v="U.S. dollars"/>
    <s v="Billions"/>
    <x v="4"/>
    <n v="19.398"/>
  </r>
  <r>
    <n v="1"/>
    <x v="2"/>
    <x v="144"/>
    <x v="0"/>
    <s v="U.S. dollars"/>
    <s v="Billions"/>
    <x v="5"/>
    <n v="21.370999999999999"/>
  </r>
  <r>
    <n v="1"/>
    <x v="2"/>
    <x v="144"/>
    <x v="0"/>
    <s v="U.S. dollars"/>
    <s v="Billions"/>
    <x v="6"/>
    <n v="23.106999999999999"/>
  </r>
  <r>
    <n v="110"/>
    <x v="0"/>
    <x v="37"/>
    <x v="7"/>
    <s v="Percent of GDP"/>
    <s v="Units"/>
    <x v="0"/>
    <n v="21.853000000000002"/>
  </r>
  <r>
    <n v="110"/>
    <x v="0"/>
    <x v="37"/>
    <x v="7"/>
    <s v="Percent of GDP"/>
    <s v="Units"/>
    <x v="1"/>
    <n v="22.504999999999999"/>
  </r>
  <r>
    <n v="110"/>
    <x v="0"/>
    <x v="37"/>
    <x v="7"/>
    <s v="Percent of GDP"/>
    <s v="Units"/>
    <x v="2"/>
    <n v="23.984999999999999"/>
  </r>
  <r>
    <n v="110"/>
    <x v="0"/>
    <x v="37"/>
    <x v="7"/>
    <s v="Percent of GDP"/>
    <s v="Units"/>
    <x v="3"/>
    <n v="23.881"/>
  </r>
  <r>
    <n v="110"/>
    <x v="0"/>
    <x v="37"/>
    <x v="7"/>
    <s v="Percent of GDP"/>
    <s v="Units"/>
    <x v="4"/>
    <n v="21.902000000000001"/>
  </r>
  <r>
    <n v="110"/>
    <x v="0"/>
    <x v="37"/>
    <x v="7"/>
    <s v="Percent of GDP"/>
    <s v="Units"/>
    <x v="5"/>
    <n v="21.338000000000001"/>
  </r>
  <r>
    <n v="110"/>
    <x v="0"/>
    <x v="37"/>
    <x v="7"/>
    <s v="Percent of GDP"/>
    <s v="Units"/>
    <x v="6"/>
    <n v="21.382000000000001"/>
  </r>
  <r>
    <n v="123"/>
    <x v="9"/>
    <x v="37"/>
    <x v="7"/>
    <s v="Percent of GDP"/>
    <s v="Units"/>
    <x v="0"/>
    <n v="21.853000000000002"/>
  </r>
  <r>
    <n v="123"/>
    <x v="9"/>
    <x v="37"/>
    <x v="7"/>
    <s v="Percent of GDP"/>
    <s v="Units"/>
    <x v="1"/>
    <n v="22.504999999999999"/>
  </r>
  <r>
    <n v="123"/>
    <x v="9"/>
    <x v="37"/>
    <x v="7"/>
    <s v="Percent of GDP"/>
    <s v="Units"/>
    <x v="2"/>
    <n v="23.984999999999999"/>
  </r>
  <r>
    <n v="123"/>
    <x v="9"/>
    <x v="37"/>
    <x v="7"/>
    <s v="Percent of GDP"/>
    <s v="Units"/>
    <x v="3"/>
    <n v="23.881"/>
  </r>
  <r>
    <n v="123"/>
    <x v="9"/>
    <x v="37"/>
    <x v="7"/>
    <s v="Percent of GDP"/>
    <s v="Units"/>
    <x v="4"/>
    <n v="21.902000000000001"/>
  </r>
  <r>
    <n v="123"/>
    <x v="9"/>
    <x v="37"/>
    <x v="7"/>
    <s v="Percent of GDP"/>
    <s v="Units"/>
    <x v="5"/>
    <n v="21.338000000000001"/>
  </r>
  <r>
    <n v="123"/>
    <x v="9"/>
    <x v="37"/>
    <x v="7"/>
    <s v="Percent of GDP"/>
    <s v="Units"/>
    <x v="6"/>
    <n v="21.382000000000001"/>
  </r>
  <r>
    <n v="1"/>
    <x v="2"/>
    <x v="37"/>
    <x v="7"/>
    <s v="Percent of GDP"/>
    <s v="Units"/>
    <x v="0"/>
    <n v="21.853000000000002"/>
  </r>
  <r>
    <n v="1"/>
    <x v="2"/>
    <x v="37"/>
    <x v="7"/>
    <s v="Percent of GDP"/>
    <s v="Units"/>
    <x v="1"/>
    <n v="22.504999999999999"/>
  </r>
  <r>
    <n v="1"/>
    <x v="2"/>
    <x v="37"/>
    <x v="7"/>
    <s v="Percent of GDP"/>
    <s v="Units"/>
    <x v="2"/>
    <n v="23.984999999999999"/>
  </r>
  <r>
    <n v="1"/>
    <x v="2"/>
    <x v="37"/>
    <x v="7"/>
    <s v="Percent of GDP"/>
    <s v="Units"/>
    <x v="3"/>
    <n v="23.881"/>
  </r>
  <r>
    <n v="1"/>
    <x v="2"/>
    <x v="37"/>
    <x v="7"/>
    <s v="Percent of GDP"/>
    <s v="Units"/>
    <x v="4"/>
    <n v="21.902000000000001"/>
  </r>
  <r>
    <n v="1"/>
    <x v="2"/>
    <x v="37"/>
    <x v="7"/>
    <s v="Percent of GDP"/>
    <s v="Units"/>
    <x v="5"/>
    <n v="21.338000000000001"/>
  </r>
  <r>
    <n v="1"/>
    <x v="2"/>
    <x v="37"/>
    <x v="7"/>
    <s v="Percent of GDP"/>
    <s v="Units"/>
    <x v="6"/>
    <n v="21.382000000000001"/>
  </r>
  <r>
    <n v="998"/>
    <x v="6"/>
    <x v="37"/>
    <x v="7"/>
    <s v="Percent of GDP"/>
    <s v="Units"/>
    <x v="0"/>
    <n v="21.853000000000002"/>
  </r>
  <r>
    <n v="998"/>
    <x v="6"/>
    <x v="37"/>
    <x v="7"/>
    <s v="Percent of GDP"/>
    <s v="Units"/>
    <x v="1"/>
    <n v="22.504999999999999"/>
  </r>
  <r>
    <n v="998"/>
    <x v="6"/>
    <x v="37"/>
    <x v="7"/>
    <s v="Percent of GDP"/>
    <s v="Units"/>
    <x v="2"/>
    <n v="23.984999999999999"/>
  </r>
  <r>
    <n v="998"/>
    <x v="6"/>
    <x v="37"/>
    <x v="7"/>
    <s v="Percent of GDP"/>
    <s v="Units"/>
    <x v="3"/>
    <n v="23.881"/>
  </r>
  <r>
    <n v="998"/>
    <x v="6"/>
    <x v="37"/>
    <x v="7"/>
    <s v="Percent of GDP"/>
    <s v="Units"/>
    <x v="4"/>
    <n v="21.902000000000001"/>
  </r>
  <r>
    <n v="998"/>
    <x v="6"/>
    <x v="37"/>
    <x v="7"/>
    <s v="Percent of GDP"/>
    <s v="Units"/>
    <x v="5"/>
    <n v="21.338000000000001"/>
  </r>
  <r>
    <n v="998"/>
    <x v="6"/>
    <x v="37"/>
    <x v="7"/>
    <s v="Percent of GDP"/>
    <s v="Units"/>
    <x v="6"/>
    <n v="21.382000000000001"/>
  </r>
  <r>
    <n v="603"/>
    <x v="12"/>
    <x v="97"/>
    <x v="5"/>
    <s v="Percent of GDP"/>
    <s v="Units"/>
    <x v="0"/>
    <n v="19.398"/>
  </r>
  <r>
    <n v="603"/>
    <x v="12"/>
    <x v="97"/>
    <x v="5"/>
    <s v="Percent of GDP"/>
    <s v="Units"/>
    <x v="1"/>
    <n v="17.859000000000002"/>
  </r>
  <r>
    <n v="603"/>
    <x v="12"/>
    <x v="97"/>
    <x v="5"/>
    <s v="Percent of GDP"/>
    <s v="Units"/>
    <x v="2"/>
    <n v="17.459"/>
  </r>
  <r>
    <n v="603"/>
    <x v="12"/>
    <x v="97"/>
    <x v="5"/>
    <s v="Percent of GDP"/>
    <s v="Units"/>
    <x v="3"/>
    <n v="18.359000000000002"/>
  </r>
  <r>
    <n v="603"/>
    <x v="12"/>
    <x v="97"/>
    <x v="5"/>
    <s v="Percent of GDP"/>
    <s v="Units"/>
    <x v="4"/>
    <n v="20.47"/>
  </r>
  <r>
    <n v="603"/>
    <x v="12"/>
    <x v="97"/>
    <x v="5"/>
    <s v="Percent of GDP"/>
    <s v="Units"/>
    <x v="5"/>
    <n v="21.297999999999998"/>
  </r>
  <r>
    <n v="603"/>
    <x v="12"/>
    <x v="97"/>
    <x v="5"/>
    <s v="Percent of GDP"/>
    <s v="Units"/>
    <x v="6"/>
    <n v="22.038"/>
  </r>
  <r>
    <n v="1"/>
    <x v="2"/>
    <x v="97"/>
    <x v="5"/>
    <s v="Percent of GDP"/>
    <s v="Units"/>
    <x v="0"/>
    <n v="19.398"/>
  </r>
  <r>
    <n v="1"/>
    <x v="2"/>
    <x v="97"/>
    <x v="5"/>
    <s v="Percent of GDP"/>
    <s v="Units"/>
    <x v="1"/>
    <n v="17.859000000000002"/>
  </r>
  <r>
    <n v="1"/>
    <x v="2"/>
    <x v="97"/>
    <x v="5"/>
    <s v="Percent of GDP"/>
    <s v="Units"/>
    <x v="2"/>
    <n v="17.459"/>
  </r>
  <r>
    <n v="1"/>
    <x v="2"/>
    <x v="97"/>
    <x v="5"/>
    <s v="Percent of GDP"/>
    <s v="Units"/>
    <x v="3"/>
    <n v="18.359000000000002"/>
  </r>
  <r>
    <n v="1"/>
    <x v="2"/>
    <x v="97"/>
    <x v="5"/>
    <s v="Percent of GDP"/>
    <s v="Units"/>
    <x v="4"/>
    <n v="20.47"/>
  </r>
  <r>
    <n v="1"/>
    <x v="2"/>
    <x v="97"/>
    <x v="5"/>
    <s v="Percent of GDP"/>
    <s v="Units"/>
    <x v="5"/>
    <n v="21.297999999999998"/>
  </r>
  <r>
    <n v="1"/>
    <x v="2"/>
    <x v="97"/>
    <x v="5"/>
    <s v="Percent of GDP"/>
    <s v="Units"/>
    <x v="6"/>
    <n v="22.038"/>
  </r>
  <r>
    <n v="200"/>
    <x v="3"/>
    <x v="97"/>
    <x v="5"/>
    <s v="Percent of GDP"/>
    <s v="Units"/>
    <x v="0"/>
    <n v="19.398"/>
  </r>
  <r>
    <n v="200"/>
    <x v="3"/>
    <x v="97"/>
    <x v="5"/>
    <s v="Percent of GDP"/>
    <s v="Units"/>
    <x v="1"/>
    <n v="17.859000000000002"/>
  </r>
  <r>
    <n v="200"/>
    <x v="3"/>
    <x v="97"/>
    <x v="5"/>
    <s v="Percent of GDP"/>
    <s v="Units"/>
    <x v="2"/>
    <n v="17.459"/>
  </r>
  <r>
    <n v="200"/>
    <x v="3"/>
    <x v="97"/>
    <x v="5"/>
    <s v="Percent of GDP"/>
    <s v="Units"/>
    <x v="3"/>
    <n v="18.359000000000002"/>
  </r>
  <r>
    <n v="200"/>
    <x v="3"/>
    <x v="97"/>
    <x v="5"/>
    <s v="Percent of GDP"/>
    <s v="Units"/>
    <x v="4"/>
    <n v="20.47"/>
  </r>
  <r>
    <n v="200"/>
    <x v="3"/>
    <x v="97"/>
    <x v="5"/>
    <s v="Percent of GDP"/>
    <s v="Units"/>
    <x v="5"/>
    <n v="21.297999999999998"/>
  </r>
  <r>
    <n v="200"/>
    <x v="3"/>
    <x v="97"/>
    <x v="5"/>
    <s v="Percent of GDP"/>
    <s v="Units"/>
    <x v="6"/>
    <n v="22.038"/>
  </r>
  <r>
    <n v="1"/>
    <x v="2"/>
    <x v="46"/>
    <x v="5"/>
    <s v="Percent of GDP"/>
    <s v="Units"/>
    <x v="0"/>
    <n v="18.625"/>
  </r>
  <r>
    <n v="1"/>
    <x v="2"/>
    <x v="46"/>
    <x v="5"/>
    <s v="Percent of GDP"/>
    <s v="Units"/>
    <x v="1"/>
    <n v="17.879000000000001"/>
  </r>
  <r>
    <n v="1"/>
    <x v="2"/>
    <x v="46"/>
    <x v="5"/>
    <s v="Percent of GDP"/>
    <s v="Units"/>
    <x v="2"/>
    <n v="19.87"/>
  </r>
  <r>
    <n v="1"/>
    <x v="2"/>
    <x v="46"/>
    <x v="5"/>
    <s v="Percent of GDP"/>
    <s v="Units"/>
    <x v="3"/>
    <n v="19.503"/>
  </r>
  <r>
    <n v="1"/>
    <x v="2"/>
    <x v="46"/>
    <x v="5"/>
    <s v="Percent of GDP"/>
    <s v="Units"/>
    <x v="4"/>
    <n v="20.914999999999999"/>
  </r>
  <r>
    <n v="1"/>
    <x v="2"/>
    <x v="46"/>
    <x v="5"/>
    <s v="Percent of GDP"/>
    <s v="Units"/>
    <x v="5"/>
    <n v="21.27"/>
  </r>
  <r>
    <n v="1"/>
    <x v="2"/>
    <x v="46"/>
    <x v="5"/>
    <s v="Percent of GDP"/>
    <s v="Units"/>
    <x v="6"/>
    <n v="21.635000000000002"/>
  </r>
  <r>
    <n v="110"/>
    <x v="0"/>
    <x v="46"/>
    <x v="5"/>
    <s v="Percent of GDP"/>
    <s v="Units"/>
    <x v="0"/>
    <n v="18.625"/>
  </r>
  <r>
    <n v="110"/>
    <x v="0"/>
    <x v="46"/>
    <x v="5"/>
    <s v="Percent of GDP"/>
    <s v="Units"/>
    <x v="1"/>
    <n v="17.879000000000001"/>
  </r>
  <r>
    <n v="110"/>
    <x v="0"/>
    <x v="46"/>
    <x v="5"/>
    <s v="Percent of GDP"/>
    <s v="Units"/>
    <x v="2"/>
    <n v="19.87"/>
  </r>
  <r>
    <n v="110"/>
    <x v="0"/>
    <x v="46"/>
    <x v="5"/>
    <s v="Percent of GDP"/>
    <s v="Units"/>
    <x v="3"/>
    <n v="19.503"/>
  </r>
  <r>
    <n v="110"/>
    <x v="0"/>
    <x v="46"/>
    <x v="5"/>
    <s v="Percent of GDP"/>
    <s v="Units"/>
    <x v="4"/>
    <n v="20.914999999999999"/>
  </r>
  <r>
    <n v="110"/>
    <x v="0"/>
    <x v="46"/>
    <x v="5"/>
    <s v="Percent of GDP"/>
    <s v="Units"/>
    <x v="5"/>
    <n v="21.27"/>
  </r>
  <r>
    <n v="110"/>
    <x v="0"/>
    <x v="46"/>
    <x v="5"/>
    <s v="Percent of GDP"/>
    <s v="Units"/>
    <x v="6"/>
    <n v="21.635000000000002"/>
  </r>
  <r>
    <n v="163"/>
    <x v="5"/>
    <x v="46"/>
    <x v="5"/>
    <s v="Percent of GDP"/>
    <s v="Units"/>
    <x v="0"/>
    <n v="18.625"/>
  </r>
  <r>
    <n v="163"/>
    <x v="5"/>
    <x v="46"/>
    <x v="5"/>
    <s v="Percent of GDP"/>
    <s v="Units"/>
    <x v="1"/>
    <n v="17.879000000000001"/>
  </r>
  <r>
    <n v="163"/>
    <x v="5"/>
    <x v="46"/>
    <x v="5"/>
    <s v="Percent of GDP"/>
    <s v="Units"/>
    <x v="2"/>
    <n v="19.87"/>
  </r>
  <r>
    <n v="163"/>
    <x v="5"/>
    <x v="46"/>
    <x v="5"/>
    <s v="Percent of GDP"/>
    <s v="Units"/>
    <x v="3"/>
    <n v="19.503"/>
  </r>
  <r>
    <n v="163"/>
    <x v="5"/>
    <x v="46"/>
    <x v="5"/>
    <s v="Percent of GDP"/>
    <s v="Units"/>
    <x v="4"/>
    <n v="20.914999999999999"/>
  </r>
  <r>
    <n v="163"/>
    <x v="5"/>
    <x v="46"/>
    <x v="5"/>
    <s v="Percent of GDP"/>
    <s v="Units"/>
    <x v="5"/>
    <n v="21.27"/>
  </r>
  <r>
    <n v="163"/>
    <x v="5"/>
    <x v="46"/>
    <x v="5"/>
    <s v="Percent of GDP"/>
    <s v="Units"/>
    <x v="6"/>
    <n v="21.635000000000002"/>
  </r>
  <r>
    <n v="998"/>
    <x v="6"/>
    <x v="46"/>
    <x v="5"/>
    <s v="Percent of GDP"/>
    <s v="Units"/>
    <x v="0"/>
    <n v="18.625"/>
  </r>
  <r>
    <n v="998"/>
    <x v="6"/>
    <x v="46"/>
    <x v="5"/>
    <s v="Percent of GDP"/>
    <s v="Units"/>
    <x v="1"/>
    <n v="17.879000000000001"/>
  </r>
  <r>
    <n v="998"/>
    <x v="6"/>
    <x v="46"/>
    <x v="5"/>
    <s v="Percent of GDP"/>
    <s v="Units"/>
    <x v="2"/>
    <n v="19.87"/>
  </r>
  <r>
    <n v="998"/>
    <x v="6"/>
    <x v="46"/>
    <x v="5"/>
    <s v="Percent of GDP"/>
    <s v="Units"/>
    <x v="3"/>
    <n v="19.503"/>
  </r>
  <r>
    <n v="998"/>
    <x v="6"/>
    <x v="46"/>
    <x v="5"/>
    <s v="Percent of GDP"/>
    <s v="Units"/>
    <x v="4"/>
    <n v="20.914999999999999"/>
  </r>
  <r>
    <n v="998"/>
    <x v="6"/>
    <x v="46"/>
    <x v="5"/>
    <s v="Percent of GDP"/>
    <s v="Units"/>
    <x v="5"/>
    <n v="21.27"/>
  </r>
  <r>
    <n v="998"/>
    <x v="6"/>
    <x v="46"/>
    <x v="5"/>
    <s v="Percent of GDP"/>
    <s v="Units"/>
    <x v="6"/>
    <n v="21.635000000000002"/>
  </r>
  <r>
    <n v="205"/>
    <x v="7"/>
    <x v="177"/>
    <x v="7"/>
    <s v="Percent of GDP"/>
    <s v="Units"/>
    <x v="0"/>
    <n v="17.172999999999998"/>
  </r>
  <r>
    <n v="205"/>
    <x v="7"/>
    <x v="177"/>
    <x v="7"/>
    <s v="Percent of GDP"/>
    <s v="Units"/>
    <x v="1"/>
    <n v="25.49"/>
  </r>
  <r>
    <n v="205"/>
    <x v="7"/>
    <x v="177"/>
    <x v="7"/>
    <s v="Percent of GDP"/>
    <s v="Units"/>
    <x v="2"/>
    <n v="23.594000000000001"/>
  </r>
  <r>
    <n v="205"/>
    <x v="7"/>
    <x v="177"/>
    <x v="7"/>
    <s v="Percent of GDP"/>
    <s v="Units"/>
    <x v="3"/>
    <n v="23.236000000000001"/>
  </r>
  <r>
    <n v="205"/>
    <x v="7"/>
    <x v="177"/>
    <x v="7"/>
    <s v="Percent of GDP"/>
    <s v="Units"/>
    <x v="4"/>
    <n v="21.573"/>
  </r>
  <r>
    <n v="205"/>
    <x v="7"/>
    <x v="177"/>
    <x v="7"/>
    <s v="Percent of GDP"/>
    <s v="Units"/>
    <x v="5"/>
    <n v="21.24"/>
  </r>
  <r>
    <n v="205"/>
    <x v="7"/>
    <x v="177"/>
    <x v="7"/>
    <s v="Percent of GDP"/>
    <s v="Units"/>
    <x v="6"/>
    <n v="21.22"/>
  </r>
  <r>
    <n v="1"/>
    <x v="2"/>
    <x v="177"/>
    <x v="7"/>
    <s v="Percent of GDP"/>
    <s v="Units"/>
    <x v="0"/>
    <n v="17.172999999999998"/>
  </r>
  <r>
    <n v="1"/>
    <x v="2"/>
    <x v="177"/>
    <x v="7"/>
    <s v="Percent of GDP"/>
    <s v="Units"/>
    <x v="1"/>
    <n v="25.49"/>
  </r>
  <r>
    <n v="1"/>
    <x v="2"/>
    <x v="177"/>
    <x v="7"/>
    <s v="Percent of GDP"/>
    <s v="Units"/>
    <x v="2"/>
    <n v="23.594000000000001"/>
  </r>
  <r>
    <n v="1"/>
    <x v="2"/>
    <x v="177"/>
    <x v="7"/>
    <s v="Percent of GDP"/>
    <s v="Units"/>
    <x v="3"/>
    <n v="23.236000000000001"/>
  </r>
  <r>
    <n v="1"/>
    <x v="2"/>
    <x v="177"/>
    <x v="7"/>
    <s v="Percent of GDP"/>
    <s v="Units"/>
    <x v="4"/>
    <n v="21.573"/>
  </r>
  <r>
    <n v="1"/>
    <x v="2"/>
    <x v="177"/>
    <x v="7"/>
    <s v="Percent of GDP"/>
    <s v="Units"/>
    <x v="5"/>
    <n v="21.24"/>
  </r>
  <r>
    <n v="1"/>
    <x v="2"/>
    <x v="177"/>
    <x v="7"/>
    <s v="Percent of GDP"/>
    <s v="Units"/>
    <x v="6"/>
    <n v="21.22"/>
  </r>
  <r>
    <n v="200"/>
    <x v="3"/>
    <x v="177"/>
    <x v="7"/>
    <s v="Percent of GDP"/>
    <s v="Units"/>
    <x v="0"/>
    <n v="17.172999999999998"/>
  </r>
  <r>
    <n v="200"/>
    <x v="3"/>
    <x v="177"/>
    <x v="7"/>
    <s v="Percent of GDP"/>
    <s v="Units"/>
    <x v="1"/>
    <n v="25.49"/>
  </r>
  <r>
    <n v="200"/>
    <x v="3"/>
    <x v="177"/>
    <x v="7"/>
    <s v="Percent of GDP"/>
    <s v="Units"/>
    <x v="2"/>
    <n v="23.594000000000001"/>
  </r>
  <r>
    <n v="200"/>
    <x v="3"/>
    <x v="177"/>
    <x v="7"/>
    <s v="Percent of GDP"/>
    <s v="Units"/>
    <x v="3"/>
    <n v="23.236000000000001"/>
  </r>
  <r>
    <n v="200"/>
    <x v="3"/>
    <x v="177"/>
    <x v="7"/>
    <s v="Percent of GDP"/>
    <s v="Units"/>
    <x v="4"/>
    <n v="21.573"/>
  </r>
  <r>
    <n v="200"/>
    <x v="3"/>
    <x v="177"/>
    <x v="7"/>
    <s v="Percent of GDP"/>
    <s v="Units"/>
    <x v="5"/>
    <n v="21.24"/>
  </r>
  <r>
    <n v="200"/>
    <x v="3"/>
    <x v="177"/>
    <x v="7"/>
    <s v="Percent of GDP"/>
    <s v="Units"/>
    <x v="6"/>
    <n v="21.22"/>
  </r>
  <r>
    <n v="200"/>
    <x v="3"/>
    <x v="139"/>
    <x v="2"/>
    <s v="Percent of GDP"/>
    <s v="Units"/>
    <x v="0"/>
    <n v="20.413"/>
  </r>
  <r>
    <n v="200"/>
    <x v="3"/>
    <x v="139"/>
    <x v="2"/>
    <s v="Percent of GDP"/>
    <s v="Units"/>
    <x v="1"/>
    <n v="20.268000000000001"/>
  </r>
  <r>
    <n v="200"/>
    <x v="3"/>
    <x v="139"/>
    <x v="2"/>
    <s v="Percent of GDP"/>
    <s v="Units"/>
    <x v="2"/>
    <n v="22.369"/>
  </r>
  <r>
    <n v="200"/>
    <x v="3"/>
    <x v="139"/>
    <x v="2"/>
    <s v="Percent of GDP"/>
    <s v="Units"/>
    <x v="3"/>
    <n v="20.382999999999999"/>
  </r>
  <r>
    <n v="200"/>
    <x v="3"/>
    <x v="139"/>
    <x v="2"/>
    <s v="Percent of GDP"/>
    <s v="Units"/>
    <x v="4"/>
    <n v="20.94"/>
  </r>
  <r>
    <n v="200"/>
    <x v="3"/>
    <x v="139"/>
    <x v="2"/>
    <s v="Percent of GDP"/>
    <s v="Units"/>
    <x v="5"/>
    <n v="21.224"/>
  </r>
  <r>
    <n v="200"/>
    <x v="3"/>
    <x v="139"/>
    <x v="2"/>
    <s v="Percent of GDP"/>
    <s v="Units"/>
    <x v="6"/>
    <n v="21.863"/>
  </r>
  <r>
    <n v="603"/>
    <x v="12"/>
    <x v="139"/>
    <x v="2"/>
    <s v="Percent of GDP"/>
    <s v="Units"/>
    <x v="0"/>
    <n v="20.413"/>
  </r>
  <r>
    <n v="603"/>
    <x v="12"/>
    <x v="139"/>
    <x v="2"/>
    <s v="Percent of GDP"/>
    <s v="Units"/>
    <x v="1"/>
    <n v="20.268000000000001"/>
  </r>
  <r>
    <n v="603"/>
    <x v="12"/>
    <x v="139"/>
    <x v="2"/>
    <s v="Percent of GDP"/>
    <s v="Units"/>
    <x v="2"/>
    <n v="22.369"/>
  </r>
  <r>
    <n v="603"/>
    <x v="12"/>
    <x v="139"/>
    <x v="2"/>
    <s v="Percent of GDP"/>
    <s v="Units"/>
    <x v="3"/>
    <n v="20.382999999999999"/>
  </r>
  <r>
    <n v="603"/>
    <x v="12"/>
    <x v="139"/>
    <x v="2"/>
    <s v="Percent of GDP"/>
    <s v="Units"/>
    <x v="4"/>
    <n v="20.94"/>
  </r>
  <r>
    <n v="603"/>
    <x v="12"/>
    <x v="139"/>
    <x v="2"/>
    <s v="Percent of GDP"/>
    <s v="Units"/>
    <x v="5"/>
    <n v="21.224"/>
  </r>
  <r>
    <n v="603"/>
    <x v="12"/>
    <x v="139"/>
    <x v="2"/>
    <s v="Percent of GDP"/>
    <s v="Units"/>
    <x v="6"/>
    <n v="21.863"/>
  </r>
  <r>
    <n v="998"/>
    <x v="6"/>
    <x v="128"/>
    <x v="5"/>
    <s v="Percent of GDP"/>
    <s v="Units"/>
    <x v="0"/>
    <n v="29.596"/>
  </r>
  <r>
    <n v="998"/>
    <x v="6"/>
    <x v="128"/>
    <x v="5"/>
    <s v="Percent of GDP"/>
    <s v="Units"/>
    <x v="1"/>
    <n v="23.722999999999999"/>
  </r>
  <r>
    <n v="998"/>
    <x v="6"/>
    <x v="128"/>
    <x v="5"/>
    <s v="Percent of GDP"/>
    <s v="Units"/>
    <x v="2"/>
    <n v="22.643000000000001"/>
  </r>
  <r>
    <n v="998"/>
    <x v="6"/>
    <x v="128"/>
    <x v="5"/>
    <s v="Percent of GDP"/>
    <s v="Units"/>
    <x v="3"/>
    <n v="23.042999999999999"/>
  </r>
  <r>
    <n v="998"/>
    <x v="6"/>
    <x v="128"/>
    <x v="5"/>
    <s v="Percent of GDP"/>
    <s v="Units"/>
    <x v="4"/>
    <n v="21.402999999999999"/>
  </r>
  <r>
    <n v="998"/>
    <x v="6"/>
    <x v="128"/>
    <x v="5"/>
    <s v="Percent of GDP"/>
    <s v="Units"/>
    <x v="5"/>
    <n v="21.219000000000001"/>
  </r>
  <r>
    <n v="998"/>
    <x v="6"/>
    <x v="128"/>
    <x v="5"/>
    <s v="Percent of GDP"/>
    <s v="Units"/>
    <x v="6"/>
    <n v="21.07"/>
  </r>
  <r>
    <n v="110"/>
    <x v="0"/>
    <x v="128"/>
    <x v="5"/>
    <s v="Percent of GDP"/>
    <s v="Units"/>
    <x v="0"/>
    <n v="29.596"/>
  </r>
  <r>
    <n v="110"/>
    <x v="0"/>
    <x v="128"/>
    <x v="5"/>
    <s v="Percent of GDP"/>
    <s v="Units"/>
    <x v="1"/>
    <n v="23.722999999999999"/>
  </r>
  <r>
    <n v="110"/>
    <x v="0"/>
    <x v="128"/>
    <x v="5"/>
    <s v="Percent of GDP"/>
    <s v="Units"/>
    <x v="2"/>
    <n v="22.643000000000001"/>
  </r>
  <r>
    <n v="110"/>
    <x v="0"/>
    <x v="128"/>
    <x v="5"/>
    <s v="Percent of GDP"/>
    <s v="Units"/>
    <x v="3"/>
    <n v="23.042999999999999"/>
  </r>
  <r>
    <n v="110"/>
    <x v="0"/>
    <x v="128"/>
    <x v="5"/>
    <s v="Percent of GDP"/>
    <s v="Units"/>
    <x v="4"/>
    <n v="21.402999999999999"/>
  </r>
  <r>
    <n v="110"/>
    <x v="0"/>
    <x v="128"/>
    <x v="5"/>
    <s v="Percent of GDP"/>
    <s v="Units"/>
    <x v="5"/>
    <n v="21.219000000000001"/>
  </r>
  <r>
    <n v="110"/>
    <x v="0"/>
    <x v="128"/>
    <x v="5"/>
    <s v="Percent of GDP"/>
    <s v="Units"/>
    <x v="6"/>
    <n v="21.07"/>
  </r>
  <r>
    <n v="1"/>
    <x v="2"/>
    <x v="128"/>
    <x v="5"/>
    <s v="Percent of GDP"/>
    <s v="Units"/>
    <x v="0"/>
    <n v="29.596"/>
  </r>
  <r>
    <n v="1"/>
    <x v="2"/>
    <x v="128"/>
    <x v="5"/>
    <s v="Percent of GDP"/>
    <s v="Units"/>
    <x v="1"/>
    <n v="23.722999999999999"/>
  </r>
  <r>
    <n v="1"/>
    <x v="2"/>
    <x v="128"/>
    <x v="5"/>
    <s v="Percent of GDP"/>
    <s v="Units"/>
    <x v="2"/>
    <n v="22.643000000000001"/>
  </r>
  <r>
    <n v="1"/>
    <x v="2"/>
    <x v="128"/>
    <x v="5"/>
    <s v="Percent of GDP"/>
    <s v="Units"/>
    <x v="3"/>
    <n v="23.042999999999999"/>
  </r>
  <r>
    <n v="1"/>
    <x v="2"/>
    <x v="128"/>
    <x v="5"/>
    <s v="Percent of GDP"/>
    <s v="Units"/>
    <x v="4"/>
    <n v="21.402999999999999"/>
  </r>
  <r>
    <n v="1"/>
    <x v="2"/>
    <x v="128"/>
    <x v="5"/>
    <s v="Percent of GDP"/>
    <s v="Units"/>
    <x v="5"/>
    <n v="21.219000000000001"/>
  </r>
  <r>
    <n v="1"/>
    <x v="2"/>
    <x v="128"/>
    <x v="5"/>
    <s v="Percent of GDP"/>
    <s v="Units"/>
    <x v="6"/>
    <n v="21.07"/>
  </r>
  <r>
    <n v="163"/>
    <x v="5"/>
    <x v="128"/>
    <x v="5"/>
    <s v="Percent of GDP"/>
    <s v="Units"/>
    <x v="0"/>
    <n v="29.596"/>
  </r>
  <r>
    <n v="163"/>
    <x v="5"/>
    <x v="128"/>
    <x v="5"/>
    <s v="Percent of GDP"/>
    <s v="Units"/>
    <x v="1"/>
    <n v="23.722999999999999"/>
  </r>
  <r>
    <n v="163"/>
    <x v="5"/>
    <x v="128"/>
    <x v="5"/>
    <s v="Percent of GDP"/>
    <s v="Units"/>
    <x v="2"/>
    <n v="22.643000000000001"/>
  </r>
  <r>
    <n v="163"/>
    <x v="5"/>
    <x v="128"/>
    <x v="5"/>
    <s v="Percent of GDP"/>
    <s v="Units"/>
    <x v="3"/>
    <n v="23.042999999999999"/>
  </r>
  <r>
    <n v="163"/>
    <x v="5"/>
    <x v="128"/>
    <x v="5"/>
    <s v="Percent of GDP"/>
    <s v="Units"/>
    <x v="4"/>
    <n v="21.402999999999999"/>
  </r>
  <r>
    <n v="163"/>
    <x v="5"/>
    <x v="128"/>
    <x v="5"/>
    <s v="Percent of GDP"/>
    <s v="Units"/>
    <x v="5"/>
    <n v="21.219000000000001"/>
  </r>
  <r>
    <n v="163"/>
    <x v="5"/>
    <x v="128"/>
    <x v="5"/>
    <s v="Percent of GDP"/>
    <s v="Units"/>
    <x v="6"/>
    <n v="21.07"/>
  </r>
  <r>
    <n v="200"/>
    <x v="3"/>
    <x v="32"/>
    <x v="5"/>
    <s v="Percent of GDP"/>
    <s v="Units"/>
    <x v="0"/>
    <n v="25.593"/>
  </r>
  <r>
    <n v="200"/>
    <x v="3"/>
    <x v="32"/>
    <x v="5"/>
    <s v="Percent of GDP"/>
    <s v="Units"/>
    <x v="1"/>
    <n v="20.634"/>
  </r>
  <r>
    <n v="200"/>
    <x v="3"/>
    <x v="32"/>
    <x v="5"/>
    <s v="Percent of GDP"/>
    <s v="Units"/>
    <x v="2"/>
    <n v="19.632999999999999"/>
  </r>
  <r>
    <n v="200"/>
    <x v="3"/>
    <x v="32"/>
    <x v="5"/>
    <s v="Percent of GDP"/>
    <s v="Units"/>
    <x v="3"/>
    <n v="20.181000000000001"/>
  </r>
  <r>
    <n v="200"/>
    <x v="3"/>
    <x v="32"/>
    <x v="5"/>
    <s v="Percent of GDP"/>
    <s v="Units"/>
    <x v="4"/>
    <n v="20.882000000000001"/>
  </r>
  <r>
    <n v="200"/>
    <x v="3"/>
    <x v="32"/>
    <x v="5"/>
    <s v="Percent of GDP"/>
    <s v="Units"/>
    <x v="5"/>
    <n v="21.204000000000001"/>
  </r>
  <r>
    <n v="200"/>
    <x v="3"/>
    <x v="32"/>
    <x v="5"/>
    <s v="Percent of GDP"/>
    <s v="Units"/>
    <x v="6"/>
    <n v="22.396999999999998"/>
  </r>
  <r>
    <n v="510"/>
    <x v="10"/>
    <x v="32"/>
    <x v="5"/>
    <s v="Percent of GDP"/>
    <s v="Units"/>
    <x v="0"/>
    <n v="25.593"/>
  </r>
  <r>
    <n v="510"/>
    <x v="10"/>
    <x v="32"/>
    <x v="5"/>
    <s v="Percent of GDP"/>
    <s v="Units"/>
    <x v="1"/>
    <n v="20.634"/>
  </r>
  <r>
    <n v="510"/>
    <x v="10"/>
    <x v="32"/>
    <x v="5"/>
    <s v="Percent of GDP"/>
    <s v="Units"/>
    <x v="2"/>
    <n v="19.632999999999999"/>
  </r>
  <r>
    <n v="510"/>
    <x v="10"/>
    <x v="32"/>
    <x v="5"/>
    <s v="Percent of GDP"/>
    <s v="Units"/>
    <x v="3"/>
    <n v="20.181000000000001"/>
  </r>
  <r>
    <n v="510"/>
    <x v="10"/>
    <x v="32"/>
    <x v="5"/>
    <s v="Percent of GDP"/>
    <s v="Units"/>
    <x v="4"/>
    <n v="20.882000000000001"/>
  </r>
  <r>
    <n v="510"/>
    <x v="10"/>
    <x v="32"/>
    <x v="5"/>
    <s v="Percent of GDP"/>
    <s v="Units"/>
    <x v="5"/>
    <n v="21.204000000000001"/>
  </r>
  <r>
    <n v="510"/>
    <x v="10"/>
    <x v="32"/>
    <x v="5"/>
    <s v="Percent of GDP"/>
    <s v="Units"/>
    <x v="6"/>
    <n v="22.396999999999998"/>
  </r>
  <r>
    <n v="1"/>
    <x v="2"/>
    <x v="32"/>
    <x v="5"/>
    <s v="Percent of GDP"/>
    <s v="Units"/>
    <x v="0"/>
    <n v="25.593"/>
  </r>
  <r>
    <n v="1"/>
    <x v="2"/>
    <x v="32"/>
    <x v="5"/>
    <s v="Percent of GDP"/>
    <s v="Units"/>
    <x v="1"/>
    <n v="20.634"/>
  </r>
  <r>
    <n v="1"/>
    <x v="2"/>
    <x v="32"/>
    <x v="5"/>
    <s v="Percent of GDP"/>
    <s v="Units"/>
    <x v="2"/>
    <n v="19.632999999999999"/>
  </r>
  <r>
    <n v="1"/>
    <x v="2"/>
    <x v="32"/>
    <x v="5"/>
    <s v="Percent of GDP"/>
    <s v="Units"/>
    <x v="3"/>
    <n v="20.181000000000001"/>
  </r>
  <r>
    <n v="1"/>
    <x v="2"/>
    <x v="32"/>
    <x v="5"/>
    <s v="Percent of GDP"/>
    <s v="Units"/>
    <x v="4"/>
    <n v="20.882000000000001"/>
  </r>
  <r>
    <n v="1"/>
    <x v="2"/>
    <x v="32"/>
    <x v="5"/>
    <s v="Percent of GDP"/>
    <s v="Units"/>
    <x v="5"/>
    <n v="21.204000000000001"/>
  </r>
  <r>
    <n v="1"/>
    <x v="2"/>
    <x v="32"/>
    <x v="5"/>
    <s v="Percent of GDP"/>
    <s v="Units"/>
    <x v="6"/>
    <n v="22.396999999999998"/>
  </r>
  <r>
    <n v="505"/>
    <x v="4"/>
    <x v="32"/>
    <x v="5"/>
    <s v="Percent of GDP"/>
    <s v="Units"/>
    <x v="0"/>
    <n v="25.593"/>
  </r>
  <r>
    <n v="505"/>
    <x v="4"/>
    <x v="32"/>
    <x v="5"/>
    <s v="Percent of GDP"/>
    <s v="Units"/>
    <x v="1"/>
    <n v="20.634"/>
  </r>
  <r>
    <n v="505"/>
    <x v="4"/>
    <x v="32"/>
    <x v="5"/>
    <s v="Percent of GDP"/>
    <s v="Units"/>
    <x v="2"/>
    <n v="19.632999999999999"/>
  </r>
  <r>
    <n v="505"/>
    <x v="4"/>
    <x v="32"/>
    <x v="5"/>
    <s v="Percent of GDP"/>
    <s v="Units"/>
    <x v="3"/>
    <n v="20.181000000000001"/>
  </r>
  <r>
    <n v="505"/>
    <x v="4"/>
    <x v="32"/>
    <x v="5"/>
    <s v="Percent of GDP"/>
    <s v="Units"/>
    <x v="4"/>
    <n v="20.882000000000001"/>
  </r>
  <r>
    <n v="505"/>
    <x v="4"/>
    <x v="32"/>
    <x v="5"/>
    <s v="Percent of GDP"/>
    <s v="Units"/>
    <x v="5"/>
    <n v="21.204000000000001"/>
  </r>
  <r>
    <n v="505"/>
    <x v="4"/>
    <x v="32"/>
    <x v="5"/>
    <s v="Percent of GDP"/>
    <s v="Units"/>
    <x v="6"/>
    <n v="22.396999999999998"/>
  </r>
  <r>
    <n v="205"/>
    <x v="7"/>
    <x v="66"/>
    <x v="7"/>
    <s v="Percent of GDP"/>
    <s v="Units"/>
    <x v="0"/>
    <n v="21.048999999999999"/>
  </r>
  <r>
    <n v="205"/>
    <x v="7"/>
    <x v="66"/>
    <x v="7"/>
    <s v="Percent of GDP"/>
    <s v="Units"/>
    <x v="1"/>
    <n v="17.585000000000001"/>
  </r>
  <r>
    <n v="205"/>
    <x v="7"/>
    <x v="66"/>
    <x v="7"/>
    <s v="Percent of GDP"/>
    <s v="Units"/>
    <x v="2"/>
    <n v="20.972999999999999"/>
  </r>
  <r>
    <n v="205"/>
    <x v="7"/>
    <x v="66"/>
    <x v="7"/>
    <s v="Percent of GDP"/>
    <s v="Units"/>
    <x v="3"/>
    <n v="22.294"/>
  </r>
  <r>
    <n v="205"/>
    <x v="7"/>
    <x v="66"/>
    <x v="7"/>
    <s v="Percent of GDP"/>
    <s v="Units"/>
    <x v="4"/>
    <n v="20.425000000000001"/>
  </r>
  <r>
    <n v="205"/>
    <x v="7"/>
    <x v="66"/>
    <x v="7"/>
    <s v="Percent of GDP"/>
    <s v="Units"/>
    <x v="5"/>
    <n v="21.184999999999999"/>
  </r>
  <r>
    <n v="205"/>
    <x v="7"/>
    <x v="66"/>
    <x v="7"/>
    <s v="Percent of GDP"/>
    <s v="Units"/>
    <x v="6"/>
    <n v="23.327999999999999"/>
  </r>
  <r>
    <n v="200"/>
    <x v="3"/>
    <x v="66"/>
    <x v="7"/>
    <s v="Percent of GDP"/>
    <s v="Units"/>
    <x v="0"/>
    <n v="21.048999999999999"/>
  </r>
  <r>
    <n v="200"/>
    <x v="3"/>
    <x v="66"/>
    <x v="7"/>
    <s v="Percent of GDP"/>
    <s v="Units"/>
    <x v="1"/>
    <n v="17.585000000000001"/>
  </r>
  <r>
    <n v="200"/>
    <x v="3"/>
    <x v="66"/>
    <x v="7"/>
    <s v="Percent of GDP"/>
    <s v="Units"/>
    <x v="2"/>
    <n v="20.972999999999999"/>
  </r>
  <r>
    <n v="200"/>
    <x v="3"/>
    <x v="66"/>
    <x v="7"/>
    <s v="Percent of GDP"/>
    <s v="Units"/>
    <x v="3"/>
    <n v="22.294"/>
  </r>
  <r>
    <n v="200"/>
    <x v="3"/>
    <x v="66"/>
    <x v="7"/>
    <s v="Percent of GDP"/>
    <s v="Units"/>
    <x v="4"/>
    <n v="20.425000000000001"/>
  </r>
  <r>
    <n v="200"/>
    <x v="3"/>
    <x v="66"/>
    <x v="7"/>
    <s v="Percent of GDP"/>
    <s v="Units"/>
    <x v="5"/>
    <n v="21.184999999999999"/>
  </r>
  <r>
    <n v="200"/>
    <x v="3"/>
    <x v="66"/>
    <x v="7"/>
    <s v="Percent of GDP"/>
    <s v="Units"/>
    <x v="6"/>
    <n v="23.327999999999999"/>
  </r>
  <r>
    <n v="1"/>
    <x v="2"/>
    <x v="66"/>
    <x v="7"/>
    <s v="Percent of GDP"/>
    <s v="Units"/>
    <x v="0"/>
    <n v="21.048999999999999"/>
  </r>
  <r>
    <n v="1"/>
    <x v="2"/>
    <x v="66"/>
    <x v="7"/>
    <s v="Percent of GDP"/>
    <s v="Units"/>
    <x v="1"/>
    <n v="17.585000000000001"/>
  </r>
  <r>
    <n v="1"/>
    <x v="2"/>
    <x v="66"/>
    <x v="7"/>
    <s v="Percent of GDP"/>
    <s v="Units"/>
    <x v="2"/>
    <n v="20.972999999999999"/>
  </r>
  <r>
    <n v="1"/>
    <x v="2"/>
    <x v="66"/>
    <x v="7"/>
    <s v="Percent of GDP"/>
    <s v="Units"/>
    <x v="3"/>
    <n v="22.294"/>
  </r>
  <r>
    <n v="1"/>
    <x v="2"/>
    <x v="66"/>
    <x v="7"/>
    <s v="Percent of GDP"/>
    <s v="Units"/>
    <x v="4"/>
    <n v="20.425000000000001"/>
  </r>
  <r>
    <n v="1"/>
    <x v="2"/>
    <x v="66"/>
    <x v="7"/>
    <s v="Percent of GDP"/>
    <s v="Units"/>
    <x v="5"/>
    <n v="21.184999999999999"/>
  </r>
  <r>
    <n v="1"/>
    <x v="2"/>
    <x v="66"/>
    <x v="7"/>
    <s v="Percent of GDP"/>
    <s v="Units"/>
    <x v="6"/>
    <n v="23.327999999999999"/>
  </r>
  <r>
    <n v="603"/>
    <x v="12"/>
    <x v="126"/>
    <x v="3"/>
    <s v="Percent of GDP"/>
    <s v="Units"/>
    <x v="0"/>
    <n v="21.274000000000001"/>
  </r>
  <r>
    <n v="603"/>
    <x v="12"/>
    <x v="126"/>
    <x v="3"/>
    <s v="Percent of GDP"/>
    <s v="Units"/>
    <x v="1"/>
    <n v="25.725999999999999"/>
  </r>
  <r>
    <n v="603"/>
    <x v="12"/>
    <x v="126"/>
    <x v="3"/>
    <s v="Percent of GDP"/>
    <s v="Units"/>
    <x v="2"/>
    <n v="28.254000000000001"/>
  </r>
  <r>
    <n v="603"/>
    <x v="12"/>
    <x v="126"/>
    <x v="3"/>
    <s v="Percent of GDP"/>
    <s v="Units"/>
    <x v="3"/>
    <n v="29.071999999999999"/>
  </r>
  <r>
    <n v="603"/>
    <x v="12"/>
    <x v="126"/>
    <x v="3"/>
    <s v="Percent of GDP"/>
    <s v="Units"/>
    <x v="4"/>
    <n v="24.384"/>
  </r>
  <r>
    <n v="603"/>
    <x v="12"/>
    <x v="126"/>
    <x v="3"/>
    <s v="Percent of GDP"/>
    <s v="Units"/>
    <x v="5"/>
    <n v="21.178999999999998"/>
  </r>
  <r>
    <n v="603"/>
    <x v="12"/>
    <x v="126"/>
    <x v="3"/>
    <s v="Percent of GDP"/>
    <s v="Units"/>
    <x v="6"/>
    <n v="22.402999999999999"/>
  </r>
  <r>
    <n v="200"/>
    <x v="3"/>
    <x v="126"/>
    <x v="3"/>
    <s v="Percent of GDP"/>
    <s v="Units"/>
    <x v="0"/>
    <n v="21.274000000000001"/>
  </r>
  <r>
    <n v="200"/>
    <x v="3"/>
    <x v="126"/>
    <x v="3"/>
    <s v="Percent of GDP"/>
    <s v="Units"/>
    <x v="1"/>
    <n v="25.725999999999999"/>
  </r>
  <r>
    <n v="200"/>
    <x v="3"/>
    <x v="126"/>
    <x v="3"/>
    <s v="Percent of GDP"/>
    <s v="Units"/>
    <x v="2"/>
    <n v="28.254000000000001"/>
  </r>
  <r>
    <n v="200"/>
    <x v="3"/>
    <x v="126"/>
    <x v="3"/>
    <s v="Percent of GDP"/>
    <s v="Units"/>
    <x v="3"/>
    <n v="29.071999999999999"/>
  </r>
  <r>
    <n v="200"/>
    <x v="3"/>
    <x v="126"/>
    <x v="3"/>
    <s v="Percent of GDP"/>
    <s v="Units"/>
    <x v="4"/>
    <n v="24.384"/>
  </r>
  <r>
    <n v="200"/>
    <x v="3"/>
    <x v="126"/>
    <x v="3"/>
    <s v="Percent of GDP"/>
    <s v="Units"/>
    <x v="5"/>
    <n v="21.178999999999998"/>
  </r>
  <r>
    <n v="200"/>
    <x v="3"/>
    <x v="126"/>
    <x v="3"/>
    <s v="Percent of GDP"/>
    <s v="Units"/>
    <x v="6"/>
    <n v="22.402999999999999"/>
  </r>
  <r>
    <n v="205"/>
    <x v="7"/>
    <x v="120"/>
    <x v="0"/>
    <s v="U.S. dollars"/>
    <s v="Billions"/>
    <x v="0"/>
    <n v="5.1740000000000004"/>
  </r>
  <r>
    <n v="205"/>
    <x v="7"/>
    <x v="120"/>
    <x v="0"/>
    <s v="U.S. dollars"/>
    <s v="Billions"/>
    <x v="1"/>
    <n v="5.4710000000000001"/>
  </r>
  <r>
    <n v="205"/>
    <x v="7"/>
    <x v="120"/>
    <x v="0"/>
    <s v="U.S. dollars"/>
    <s v="Billions"/>
    <x v="2"/>
    <n v="7.6619999999999999"/>
  </r>
  <r>
    <n v="205"/>
    <x v="7"/>
    <x v="120"/>
    <x v="0"/>
    <s v="U.S. dollars"/>
    <s v="Billions"/>
    <x v="3"/>
    <n v="14.529"/>
  </r>
  <r>
    <n v="205"/>
    <x v="7"/>
    <x v="120"/>
    <x v="0"/>
    <s v="U.S. dollars"/>
    <s v="Billions"/>
    <x v="4"/>
    <n v="17.05"/>
  </r>
  <r>
    <n v="205"/>
    <x v="7"/>
    <x v="120"/>
    <x v="0"/>
    <s v="U.S. dollars"/>
    <s v="Billions"/>
    <x v="5"/>
    <n v="21.178000000000001"/>
  </r>
  <r>
    <n v="205"/>
    <x v="7"/>
    <x v="120"/>
    <x v="0"/>
    <s v="U.S. dollars"/>
    <s v="Billions"/>
    <x v="6"/>
    <n v="23.684999999999999"/>
  </r>
  <r>
    <n v="200"/>
    <x v="3"/>
    <x v="120"/>
    <x v="0"/>
    <s v="U.S. dollars"/>
    <s v="Billions"/>
    <x v="0"/>
    <n v="5.1740000000000004"/>
  </r>
  <r>
    <n v="200"/>
    <x v="3"/>
    <x v="120"/>
    <x v="0"/>
    <s v="U.S. dollars"/>
    <s v="Billions"/>
    <x v="1"/>
    <n v="5.4710000000000001"/>
  </r>
  <r>
    <n v="200"/>
    <x v="3"/>
    <x v="120"/>
    <x v="0"/>
    <s v="U.S. dollars"/>
    <s v="Billions"/>
    <x v="2"/>
    <n v="7.6619999999999999"/>
  </r>
  <r>
    <n v="200"/>
    <x v="3"/>
    <x v="120"/>
    <x v="0"/>
    <s v="U.S. dollars"/>
    <s v="Billions"/>
    <x v="3"/>
    <n v="14.529"/>
  </r>
  <r>
    <n v="200"/>
    <x v="3"/>
    <x v="120"/>
    <x v="0"/>
    <s v="U.S. dollars"/>
    <s v="Billions"/>
    <x v="4"/>
    <n v="17.05"/>
  </r>
  <r>
    <n v="200"/>
    <x v="3"/>
    <x v="120"/>
    <x v="0"/>
    <s v="U.S. dollars"/>
    <s v="Billions"/>
    <x v="5"/>
    <n v="21.178000000000001"/>
  </r>
  <r>
    <n v="200"/>
    <x v="3"/>
    <x v="120"/>
    <x v="0"/>
    <s v="U.S. dollars"/>
    <s v="Billions"/>
    <x v="6"/>
    <n v="23.684999999999999"/>
  </r>
  <r>
    <n v="1"/>
    <x v="2"/>
    <x v="120"/>
    <x v="0"/>
    <s v="U.S. dollars"/>
    <s v="Billions"/>
    <x v="0"/>
    <n v="5.1740000000000004"/>
  </r>
  <r>
    <n v="1"/>
    <x v="2"/>
    <x v="120"/>
    <x v="0"/>
    <s v="U.S. dollars"/>
    <s v="Billions"/>
    <x v="1"/>
    <n v="5.4710000000000001"/>
  </r>
  <r>
    <n v="1"/>
    <x v="2"/>
    <x v="120"/>
    <x v="0"/>
    <s v="U.S. dollars"/>
    <s v="Billions"/>
    <x v="2"/>
    <n v="7.6619999999999999"/>
  </r>
  <r>
    <n v="1"/>
    <x v="2"/>
    <x v="120"/>
    <x v="0"/>
    <s v="U.S. dollars"/>
    <s v="Billions"/>
    <x v="3"/>
    <n v="14.529"/>
  </r>
  <r>
    <n v="1"/>
    <x v="2"/>
    <x v="120"/>
    <x v="0"/>
    <s v="U.S. dollars"/>
    <s v="Billions"/>
    <x v="4"/>
    <n v="17.05"/>
  </r>
  <r>
    <n v="1"/>
    <x v="2"/>
    <x v="120"/>
    <x v="0"/>
    <s v="U.S. dollars"/>
    <s v="Billions"/>
    <x v="5"/>
    <n v="21.178000000000001"/>
  </r>
  <r>
    <n v="1"/>
    <x v="2"/>
    <x v="120"/>
    <x v="0"/>
    <s v="U.S. dollars"/>
    <s v="Billions"/>
    <x v="6"/>
    <n v="23.684999999999999"/>
  </r>
  <r>
    <n v="200"/>
    <x v="3"/>
    <x v="36"/>
    <x v="3"/>
    <s v="Percent of GDP"/>
    <s v="Units"/>
    <x v="0"/>
    <n v="23.574999999999999"/>
  </r>
  <r>
    <n v="200"/>
    <x v="3"/>
    <x v="36"/>
    <x v="3"/>
    <s v="Percent of GDP"/>
    <s v="Units"/>
    <x v="1"/>
    <n v="25.04"/>
  </r>
  <r>
    <n v="200"/>
    <x v="3"/>
    <x v="36"/>
    <x v="3"/>
    <s v="Percent of GDP"/>
    <s v="Units"/>
    <x v="2"/>
    <n v="24.448"/>
  </r>
  <r>
    <n v="200"/>
    <x v="3"/>
    <x v="36"/>
    <x v="3"/>
    <s v="Percent of GDP"/>
    <s v="Units"/>
    <x v="3"/>
    <n v="24.681999999999999"/>
  </r>
  <r>
    <n v="200"/>
    <x v="3"/>
    <x v="36"/>
    <x v="3"/>
    <s v="Percent of GDP"/>
    <s v="Units"/>
    <x v="4"/>
    <n v="23.25"/>
  </r>
  <r>
    <n v="200"/>
    <x v="3"/>
    <x v="36"/>
    <x v="3"/>
    <s v="Percent of GDP"/>
    <s v="Units"/>
    <x v="5"/>
    <n v="21.116"/>
  </r>
  <r>
    <n v="200"/>
    <x v="3"/>
    <x v="36"/>
    <x v="3"/>
    <s v="Percent of GDP"/>
    <s v="Units"/>
    <x v="6"/>
    <n v="20.489000000000001"/>
  </r>
  <r>
    <n v="510"/>
    <x v="10"/>
    <x v="36"/>
    <x v="3"/>
    <s v="Percent of GDP"/>
    <s v="Units"/>
    <x v="0"/>
    <n v="23.574999999999999"/>
  </r>
  <r>
    <n v="510"/>
    <x v="10"/>
    <x v="36"/>
    <x v="3"/>
    <s v="Percent of GDP"/>
    <s v="Units"/>
    <x v="1"/>
    <n v="25.04"/>
  </r>
  <r>
    <n v="510"/>
    <x v="10"/>
    <x v="36"/>
    <x v="3"/>
    <s v="Percent of GDP"/>
    <s v="Units"/>
    <x v="2"/>
    <n v="24.448"/>
  </r>
  <r>
    <n v="510"/>
    <x v="10"/>
    <x v="36"/>
    <x v="3"/>
    <s v="Percent of GDP"/>
    <s v="Units"/>
    <x v="3"/>
    <n v="24.681999999999999"/>
  </r>
  <r>
    <n v="510"/>
    <x v="10"/>
    <x v="36"/>
    <x v="3"/>
    <s v="Percent of GDP"/>
    <s v="Units"/>
    <x v="4"/>
    <n v="23.25"/>
  </r>
  <r>
    <n v="510"/>
    <x v="10"/>
    <x v="36"/>
    <x v="3"/>
    <s v="Percent of GDP"/>
    <s v="Units"/>
    <x v="5"/>
    <n v="21.116"/>
  </r>
  <r>
    <n v="510"/>
    <x v="10"/>
    <x v="36"/>
    <x v="3"/>
    <s v="Percent of GDP"/>
    <s v="Units"/>
    <x v="6"/>
    <n v="20.489000000000001"/>
  </r>
  <r>
    <n v="505"/>
    <x v="4"/>
    <x v="36"/>
    <x v="3"/>
    <s v="Percent of GDP"/>
    <s v="Units"/>
    <x v="0"/>
    <n v="23.574999999999999"/>
  </r>
  <r>
    <n v="505"/>
    <x v="4"/>
    <x v="36"/>
    <x v="3"/>
    <s v="Percent of GDP"/>
    <s v="Units"/>
    <x v="1"/>
    <n v="25.04"/>
  </r>
  <r>
    <n v="505"/>
    <x v="4"/>
    <x v="36"/>
    <x v="3"/>
    <s v="Percent of GDP"/>
    <s v="Units"/>
    <x v="2"/>
    <n v="24.448"/>
  </r>
  <r>
    <n v="505"/>
    <x v="4"/>
    <x v="36"/>
    <x v="3"/>
    <s v="Percent of GDP"/>
    <s v="Units"/>
    <x v="3"/>
    <n v="24.681999999999999"/>
  </r>
  <r>
    <n v="505"/>
    <x v="4"/>
    <x v="36"/>
    <x v="3"/>
    <s v="Percent of GDP"/>
    <s v="Units"/>
    <x v="4"/>
    <n v="23.25"/>
  </r>
  <r>
    <n v="505"/>
    <x v="4"/>
    <x v="36"/>
    <x v="3"/>
    <s v="Percent of GDP"/>
    <s v="Units"/>
    <x v="5"/>
    <n v="21.116"/>
  </r>
  <r>
    <n v="505"/>
    <x v="4"/>
    <x v="36"/>
    <x v="3"/>
    <s v="Percent of GDP"/>
    <s v="Units"/>
    <x v="6"/>
    <n v="20.489000000000001"/>
  </r>
  <r>
    <n v="200"/>
    <x v="3"/>
    <x v="178"/>
    <x v="2"/>
    <s v="Percent of GDP"/>
    <s v="Units"/>
    <x v="0"/>
    <n v="21.538"/>
  </r>
  <r>
    <n v="200"/>
    <x v="3"/>
    <x v="178"/>
    <x v="2"/>
    <s v="Percent of GDP"/>
    <s v="Units"/>
    <x v="1"/>
    <n v="21.56"/>
  </r>
  <r>
    <n v="200"/>
    <x v="3"/>
    <x v="178"/>
    <x v="2"/>
    <s v="Percent of GDP"/>
    <s v="Units"/>
    <x v="2"/>
    <n v="21.594000000000001"/>
  </r>
  <r>
    <n v="200"/>
    <x v="3"/>
    <x v="178"/>
    <x v="2"/>
    <s v="Percent of GDP"/>
    <s v="Units"/>
    <x v="3"/>
    <n v="21.834"/>
  </r>
  <r>
    <n v="200"/>
    <x v="3"/>
    <x v="178"/>
    <x v="2"/>
    <s v="Percent of GDP"/>
    <s v="Units"/>
    <x v="4"/>
    <n v="21.452000000000002"/>
  </r>
  <r>
    <n v="200"/>
    <x v="3"/>
    <x v="178"/>
    <x v="2"/>
    <s v="Percent of GDP"/>
    <s v="Units"/>
    <x v="5"/>
    <n v="21.077000000000002"/>
  </r>
  <r>
    <n v="200"/>
    <x v="3"/>
    <x v="178"/>
    <x v="2"/>
    <s v="Percent of GDP"/>
    <s v="Units"/>
    <x v="6"/>
    <n v="21.015000000000001"/>
  </r>
  <r>
    <n v="205"/>
    <x v="7"/>
    <x v="178"/>
    <x v="2"/>
    <s v="Percent of GDP"/>
    <s v="Units"/>
    <x v="0"/>
    <n v="21.538"/>
  </r>
  <r>
    <n v="205"/>
    <x v="7"/>
    <x v="178"/>
    <x v="2"/>
    <s v="Percent of GDP"/>
    <s v="Units"/>
    <x v="1"/>
    <n v="21.56"/>
  </r>
  <r>
    <n v="205"/>
    <x v="7"/>
    <x v="178"/>
    <x v="2"/>
    <s v="Percent of GDP"/>
    <s v="Units"/>
    <x v="2"/>
    <n v="21.594000000000001"/>
  </r>
  <r>
    <n v="205"/>
    <x v="7"/>
    <x v="178"/>
    <x v="2"/>
    <s v="Percent of GDP"/>
    <s v="Units"/>
    <x v="3"/>
    <n v="21.834"/>
  </r>
  <r>
    <n v="205"/>
    <x v="7"/>
    <x v="178"/>
    <x v="2"/>
    <s v="Percent of GDP"/>
    <s v="Units"/>
    <x v="4"/>
    <n v="21.452000000000002"/>
  </r>
  <r>
    <n v="205"/>
    <x v="7"/>
    <x v="178"/>
    <x v="2"/>
    <s v="Percent of GDP"/>
    <s v="Units"/>
    <x v="5"/>
    <n v="21.077000000000002"/>
  </r>
  <r>
    <n v="205"/>
    <x v="7"/>
    <x v="178"/>
    <x v="2"/>
    <s v="Percent of GDP"/>
    <s v="Units"/>
    <x v="6"/>
    <n v="21.015000000000001"/>
  </r>
  <r>
    <n v="505"/>
    <x v="4"/>
    <x v="26"/>
    <x v="7"/>
    <s v="Percent of GDP"/>
    <s v="Units"/>
    <x v="0"/>
    <n v="23.815000000000001"/>
  </r>
  <r>
    <n v="505"/>
    <x v="4"/>
    <x v="26"/>
    <x v="7"/>
    <s v="Percent of GDP"/>
    <s v="Units"/>
    <x v="1"/>
    <n v="23.754999999999999"/>
  </r>
  <r>
    <n v="505"/>
    <x v="4"/>
    <x v="26"/>
    <x v="7"/>
    <s v="Percent of GDP"/>
    <s v="Units"/>
    <x v="2"/>
    <n v="28.626000000000001"/>
  </r>
  <r>
    <n v="505"/>
    <x v="4"/>
    <x v="26"/>
    <x v="7"/>
    <s v="Percent of GDP"/>
    <s v="Units"/>
    <x v="3"/>
    <n v="27.829000000000001"/>
  </r>
  <r>
    <n v="505"/>
    <x v="4"/>
    <x v="26"/>
    <x v="7"/>
    <s v="Percent of GDP"/>
    <s v="Units"/>
    <x v="4"/>
    <n v="22.565999999999999"/>
  </r>
  <r>
    <n v="505"/>
    <x v="4"/>
    <x v="26"/>
    <x v="7"/>
    <s v="Percent of GDP"/>
    <s v="Units"/>
    <x v="5"/>
    <n v="21.07"/>
  </r>
  <r>
    <n v="505"/>
    <x v="4"/>
    <x v="26"/>
    <x v="7"/>
    <s v="Percent of GDP"/>
    <s v="Units"/>
    <x v="6"/>
    <n v="21.032"/>
  </r>
  <r>
    <n v="1"/>
    <x v="2"/>
    <x v="26"/>
    <x v="7"/>
    <s v="Percent of GDP"/>
    <s v="Units"/>
    <x v="0"/>
    <n v="23.815000000000001"/>
  </r>
  <r>
    <n v="1"/>
    <x v="2"/>
    <x v="26"/>
    <x v="7"/>
    <s v="Percent of GDP"/>
    <s v="Units"/>
    <x v="1"/>
    <n v="23.754999999999999"/>
  </r>
  <r>
    <n v="1"/>
    <x v="2"/>
    <x v="26"/>
    <x v="7"/>
    <s v="Percent of GDP"/>
    <s v="Units"/>
    <x v="2"/>
    <n v="28.626000000000001"/>
  </r>
  <r>
    <n v="1"/>
    <x v="2"/>
    <x v="26"/>
    <x v="7"/>
    <s v="Percent of GDP"/>
    <s v="Units"/>
    <x v="3"/>
    <n v="27.829000000000001"/>
  </r>
  <r>
    <n v="1"/>
    <x v="2"/>
    <x v="26"/>
    <x v="7"/>
    <s v="Percent of GDP"/>
    <s v="Units"/>
    <x v="4"/>
    <n v="22.565999999999999"/>
  </r>
  <r>
    <n v="1"/>
    <x v="2"/>
    <x v="26"/>
    <x v="7"/>
    <s v="Percent of GDP"/>
    <s v="Units"/>
    <x v="5"/>
    <n v="21.07"/>
  </r>
  <r>
    <n v="1"/>
    <x v="2"/>
    <x v="26"/>
    <x v="7"/>
    <s v="Percent of GDP"/>
    <s v="Units"/>
    <x v="6"/>
    <n v="21.032"/>
  </r>
  <r>
    <n v="510"/>
    <x v="10"/>
    <x v="26"/>
    <x v="7"/>
    <s v="Percent of GDP"/>
    <s v="Units"/>
    <x v="0"/>
    <n v="23.815000000000001"/>
  </r>
  <r>
    <n v="510"/>
    <x v="10"/>
    <x v="26"/>
    <x v="7"/>
    <s v="Percent of GDP"/>
    <s v="Units"/>
    <x v="1"/>
    <n v="23.754999999999999"/>
  </r>
  <r>
    <n v="510"/>
    <x v="10"/>
    <x v="26"/>
    <x v="7"/>
    <s v="Percent of GDP"/>
    <s v="Units"/>
    <x v="2"/>
    <n v="28.626000000000001"/>
  </r>
  <r>
    <n v="510"/>
    <x v="10"/>
    <x v="26"/>
    <x v="7"/>
    <s v="Percent of GDP"/>
    <s v="Units"/>
    <x v="3"/>
    <n v="27.829000000000001"/>
  </r>
  <r>
    <n v="510"/>
    <x v="10"/>
    <x v="26"/>
    <x v="7"/>
    <s v="Percent of GDP"/>
    <s v="Units"/>
    <x v="4"/>
    <n v="22.565999999999999"/>
  </r>
  <r>
    <n v="510"/>
    <x v="10"/>
    <x v="26"/>
    <x v="7"/>
    <s v="Percent of GDP"/>
    <s v="Units"/>
    <x v="5"/>
    <n v="21.07"/>
  </r>
  <r>
    <n v="510"/>
    <x v="10"/>
    <x v="26"/>
    <x v="7"/>
    <s v="Percent of GDP"/>
    <s v="Units"/>
    <x v="6"/>
    <n v="21.032"/>
  </r>
  <r>
    <n v="200"/>
    <x v="3"/>
    <x v="26"/>
    <x v="7"/>
    <s v="Percent of GDP"/>
    <s v="Units"/>
    <x v="0"/>
    <n v="23.815000000000001"/>
  </r>
  <r>
    <n v="200"/>
    <x v="3"/>
    <x v="26"/>
    <x v="7"/>
    <s v="Percent of GDP"/>
    <s v="Units"/>
    <x v="1"/>
    <n v="23.754999999999999"/>
  </r>
  <r>
    <n v="200"/>
    <x v="3"/>
    <x v="26"/>
    <x v="7"/>
    <s v="Percent of GDP"/>
    <s v="Units"/>
    <x v="2"/>
    <n v="28.626000000000001"/>
  </r>
  <r>
    <n v="200"/>
    <x v="3"/>
    <x v="26"/>
    <x v="7"/>
    <s v="Percent of GDP"/>
    <s v="Units"/>
    <x v="3"/>
    <n v="27.829000000000001"/>
  </r>
  <r>
    <n v="200"/>
    <x v="3"/>
    <x v="26"/>
    <x v="7"/>
    <s v="Percent of GDP"/>
    <s v="Units"/>
    <x v="4"/>
    <n v="22.565999999999999"/>
  </r>
  <r>
    <n v="200"/>
    <x v="3"/>
    <x v="26"/>
    <x v="7"/>
    <s v="Percent of GDP"/>
    <s v="Units"/>
    <x v="5"/>
    <n v="21.07"/>
  </r>
  <r>
    <n v="200"/>
    <x v="3"/>
    <x v="26"/>
    <x v="7"/>
    <s v="Percent of GDP"/>
    <s v="Units"/>
    <x v="6"/>
    <n v="21.032"/>
  </r>
  <r>
    <n v="400"/>
    <x v="11"/>
    <x v="157"/>
    <x v="7"/>
    <s v="Percent of GDP"/>
    <s v="Units"/>
    <x v="0"/>
    <n v="17.408999999999999"/>
  </r>
  <r>
    <n v="400"/>
    <x v="11"/>
    <x v="157"/>
    <x v="7"/>
    <s v="Percent of GDP"/>
    <s v="Units"/>
    <x v="1"/>
    <n v="19.664000000000001"/>
  </r>
  <r>
    <n v="400"/>
    <x v="11"/>
    <x v="157"/>
    <x v="7"/>
    <s v="Percent of GDP"/>
    <s v="Units"/>
    <x v="2"/>
    <n v="22.963999999999999"/>
  </r>
  <r>
    <n v="400"/>
    <x v="11"/>
    <x v="157"/>
    <x v="7"/>
    <s v="Percent of GDP"/>
    <s v="Units"/>
    <x v="3"/>
    <n v="21.634"/>
  </r>
  <r>
    <n v="400"/>
    <x v="11"/>
    <x v="157"/>
    <x v="7"/>
    <s v="Percent of GDP"/>
    <s v="Units"/>
    <x v="4"/>
    <n v="21.329000000000001"/>
  </r>
  <r>
    <n v="400"/>
    <x v="11"/>
    <x v="157"/>
    <x v="7"/>
    <s v="Percent of GDP"/>
    <s v="Units"/>
    <x v="5"/>
    <n v="21.047999999999998"/>
  </r>
  <r>
    <n v="400"/>
    <x v="11"/>
    <x v="157"/>
    <x v="7"/>
    <s v="Percent of GDP"/>
    <s v="Units"/>
    <x v="6"/>
    <n v="21.393999999999998"/>
  </r>
  <r>
    <n v="1"/>
    <x v="2"/>
    <x v="157"/>
    <x v="7"/>
    <s v="Percent of GDP"/>
    <s v="Units"/>
    <x v="0"/>
    <n v="17.408999999999999"/>
  </r>
  <r>
    <n v="1"/>
    <x v="2"/>
    <x v="157"/>
    <x v="7"/>
    <s v="Percent of GDP"/>
    <s v="Units"/>
    <x v="1"/>
    <n v="19.664000000000001"/>
  </r>
  <r>
    <n v="1"/>
    <x v="2"/>
    <x v="157"/>
    <x v="7"/>
    <s v="Percent of GDP"/>
    <s v="Units"/>
    <x v="2"/>
    <n v="22.963999999999999"/>
  </r>
  <r>
    <n v="1"/>
    <x v="2"/>
    <x v="157"/>
    <x v="7"/>
    <s v="Percent of GDP"/>
    <s v="Units"/>
    <x v="3"/>
    <n v="21.634"/>
  </r>
  <r>
    <n v="1"/>
    <x v="2"/>
    <x v="157"/>
    <x v="7"/>
    <s v="Percent of GDP"/>
    <s v="Units"/>
    <x v="4"/>
    <n v="21.329000000000001"/>
  </r>
  <r>
    <n v="1"/>
    <x v="2"/>
    <x v="157"/>
    <x v="7"/>
    <s v="Percent of GDP"/>
    <s v="Units"/>
    <x v="5"/>
    <n v="21.047999999999998"/>
  </r>
  <r>
    <n v="1"/>
    <x v="2"/>
    <x v="157"/>
    <x v="7"/>
    <s v="Percent of GDP"/>
    <s v="Units"/>
    <x v="6"/>
    <n v="21.393999999999998"/>
  </r>
  <r>
    <n v="200"/>
    <x v="3"/>
    <x v="157"/>
    <x v="7"/>
    <s v="Percent of GDP"/>
    <s v="Units"/>
    <x v="0"/>
    <n v="17.408999999999999"/>
  </r>
  <r>
    <n v="200"/>
    <x v="3"/>
    <x v="157"/>
    <x v="7"/>
    <s v="Percent of GDP"/>
    <s v="Units"/>
    <x v="1"/>
    <n v="19.664000000000001"/>
  </r>
  <r>
    <n v="200"/>
    <x v="3"/>
    <x v="157"/>
    <x v="7"/>
    <s v="Percent of GDP"/>
    <s v="Units"/>
    <x v="2"/>
    <n v="22.963999999999999"/>
  </r>
  <r>
    <n v="200"/>
    <x v="3"/>
    <x v="157"/>
    <x v="7"/>
    <s v="Percent of GDP"/>
    <s v="Units"/>
    <x v="3"/>
    <n v="21.634"/>
  </r>
  <r>
    <n v="200"/>
    <x v="3"/>
    <x v="157"/>
    <x v="7"/>
    <s v="Percent of GDP"/>
    <s v="Units"/>
    <x v="4"/>
    <n v="21.329000000000001"/>
  </r>
  <r>
    <n v="200"/>
    <x v="3"/>
    <x v="157"/>
    <x v="7"/>
    <s v="Percent of GDP"/>
    <s v="Units"/>
    <x v="5"/>
    <n v="21.047999999999998"/>
  </r>
  <r>
    <n v="200"/>
    <x v="3"/>
    <x v="157"/>
    <x v="7"/>
    <s v="Percent of GDP"/>
    <s v="Units"/>
    <x v="6"/>
    <n v="21.393999999999998"/>
  </r>
  <r>
    <n v="1"/>
    <x v="2"/>
    <x v="112"/>
    <x v="5"/>
    <s v="Percent of GDP"/>
    <s v="Units"/>
    <x v="0"/>
    <n v="23.401"/>
  </r>
  <r>
    <n v="1"/>
    <x v="2"/>
    <x v="112"/>
    <x v="5"/>
    <s v="Percent of GDP"/>
    <s v="Units"/>
    <x v="1"/>
    <n v="28.843"/>
  </r>
  <r>
    <n v="1"/>
    <x v="2"/>
    <x v="112"/>
    <x v="5"/>
    <s v="Percent of GDP"/>
    <s v="Units"/>
    <x v="2"/>
    <n v="-0.59099999999999997"/>
  </r>
  <r>
    <n v="1"/>
    <x v="2"/>
    <x v="112"/>
    <x v="5"/>
    <s v="Percent of GDP"/>
    <s v="Units"/>
    <x v="3"/>
    <n v="15.409000000000001"/>
  </r>
  <r>
    <n v="1"/>
    <x v="2"/>
    <x v="112"/>
    <x v="5"/>
    <s v="Percent of GDP"/>
    <s v="Units"/>
    <x v="4"/>
    <n v="25.82"/>
  </r>
  <r>
    <n v="1"/>
    <x v="2"/>
    <x v="112"/>
    <x v="5"/>
    <s v="Percent of GDP"/>
    <s v="Units"/>
    <x v="5"/>
    <n v="21.038"/>
  </r>
  <r>
    <n v="1"/>
    <x v="2"/>
    <x v="112"/>
    <x v="5"/>
    <s v="Percent of GDP"/>
    <s v="Units"/>
    <x v="6"/>
    <n v="20.370999999999999"/>
  </r>
  <r>
    <n v="200"/>
    <x v="3"/>
    <x v="112"/>
    <x v="5"/>
    <s v="Percent of GDP"/>
    <s v="Units"/>
    <x v="0"/>
    <n v="23.401"/>
  </r>
  <r>
    <n v="200"/>
    <x v="3"/>
    <x v="112"/>
    <x v="5"/>
    <s v="Percent of GDP"/>
    <s v="Units"/>
    <x v="1"/>
    <n v="28.843"/>
  </r>
  <r>
    <n v="200"/>
    <x v="3"/>
    <x v="112"/>
    <x v="5"/>
    <s v="Percent of GDP"/>
    <s v="Units"/>
    <x v="2"/>
    <n v="-0.59099999999999997"/>
  </r>
  <r>
    <n v="200"/>
    <x v="3"/>
    <x v="112"/>
    <x v="5"/>
    <s v="Percent of GDP"/>
    <s v="Units"/>
    <x v="3"/>
    <n v="15.409000000000001"/>
  </r>
  <r>
    <n v="200"/>
    <x v="3"/>
    <x v="112"/>
    <x v="5"/>
    <s v="Percent of GDP"/>
    <s v="Units"/>
    <x v="4"/>
    <n v="25.82"/>
  </r>
  <r>
    <n v="200"/>
    <x v="3"/>
    <x v="112"/>
    <x v="5"/>
    <s v="Percent of GDP"/>
    <s v="Units"/>
    <x v="5"/>
    <n v="21.038"/>
  </r>
  <r>
    <n v="200"/>
    <x v="3"/>
    <x v="112"/>
    <x v="5"/>
    <s v="Percent of GDP"/>
    <s v="Units"/>
    <x v="6"/>
    <n v="20.370999999999999"/>
  </r>
  <r>
    <n v="505"/>
    <x v="4"/>
    <x v="112"/>
    <x v="5"/>
    <s v="Percent of GDP"/>
    <s v="Units"/>
    <x v="0"/>
    <n v="23.401"/>
  </r>
  <r>
    <n v="505"/>
    <x v="4"/>
    <x v="112"/>
    <x v="5"/>
    <s v="Percent of GDP"/>
    <s v="Units"/>
    <x v="1"/>
    <n v="28.843"/>
  </r>
  <r>
    <n v="505"/>
    <x v="4"/>
    <x v="112"/>
    <x v="5"/>
    <s v="Percent of GDP"/>
    <s v="Units"/>
    <x v="2"/>
    <n v="-0.59099999999999997"/>
  </r>
  <r>
    <n v="505"/>
    <x v="4"/>
    <x v="112"/>
    <x v="5"/>
    <s v="Percent of GDP"/>
    <s v="Units"/>
    <x v="3"/>
    <n v="15.409000000000001"/>
  </r>
  <r>
    <n v="505"/>
    <x v="4"/>
    <x v="112"/>
    <x v="5"/>
    <s v="Percent of GDP"/>
    <s v="Units"/>
    <x v="4"/>
    <n v="25.82"/>
  </r>
  <r>
    <n v="505"/>
    <x v="4"/>
    <x v="112"/>
    <x v="5"/>
    <s v="Percent of GDP"/>
    <s v="Units"/>
    <x v="5"/>
    <n v="21.038"/>
  </r>
  <r>
    <n v="505"/>
    <x v="4"/>
    <x v="112"/>
    <x v="5"/>
    <s v="Percent of GDP"/>
    <s v="Units"/>
    <x v="6"/>
    <n v="20.370999999999999"/>
  </r>
  <r>
    <n v="1"/>
    <x v="2"/>
    <x v="138"/>
    <x v="0"/>
    <s v="U.S. dollars"/>
    <s v="Billions"/>
    <x v="0"/>
    <n v="16.824000000000002"/>
  </r>
  <r>
    <n v="1"/>
    <x v="2"/>
    <x v="138"/>
    <x v="0"/>
    <s v="U.S. dollars"/>
    <s v="Billions"/>
    <x v="1"/>
    <n v="15.337"/>
  </r>
  <r>
    <n v="1"/>
    <x v="2"/>
    <x v="138"/>
    <x v="0"/>
    <s v="U.S. dollars"/>
    <s v="Billions"/>
    <x v="2"/>
    <n v="20.228999999999999"/>
  </r>
  <r>
    <n v="1"/>
    <x v="2"/>
    <x v="138"/>
    <x v="0"/>
    <s v="U.S. dollars"/>
    <s v="Billions"/>
    <x v="3"/>
    <n v="21.076000000000001"/>
  </r>
  <r>
    <n v="1"/>
    <x v="2"/>
    <x v="138"/>
    <x v="0"/>
    <s v="U.S. dollars"/>
    <s v="Billions"/>
    <x v="4"/>
    <n v="20.524000000000001"/>
  </r>
  <r>
    <n v="1"/>
    <x v="2"/>
    <x v="138"/>
    <x v="0"/>
    <s v="U.S. dollars"/>
    <s v="Billions"/>
    <x v="5"/>
    <n v="21.013000000000002"/>
  </r>
  <r>
    <n v="1"/>
    <x v="2"/>
    <x v="138"/>
    <x v="0"/>
    <s v="U.S. dollars"/>
    <s v="Billions"/>
    <x v="6"/>
    <n v="21.099"/>
  </r>
  <r>
    <n v="200"/>
    <x v="3"/>
    <x v="138"/>
    <x v="0"/>
    <s v="U.S. dollars"/>
    <s v="Billions"/>
    <x v="0"/>
    <n v="16.824000000000002"/>
  </r>
  <r>
    <n v="200"/>
    <x v="3"/>
    <x v="138"/>
    <x v="0"/>
    <s v="U.S. dollars"/>
    <s v="Billions"/>
    <x v="1"/>
    <n v="15.337"/>
  </r>
  <r>
    <n v="200"/>
    <x v="3"/>
    <x v="138"/>
    <x v="0"/>
    <s v="U.S. dollars"/>
    <s v="Billions"/>
    <x v="2"/>
    <n v="20.228999999999999"/>
  </r>
  <r>
    <n v="200"/>
    <x v="3"/>
    <x v="138"/>
    <x v="0"/>
    <s v="U.S. dollars"/>
    <s v="Billions"/>
    <x v="3"/>
    <n v="21.076000000000001"/>
  </r>
  <r>
    <n v="200"/>
    <x v="3"/>
    <x v="138"/>
    <x v="0"/>
    <s v="U.S. dollars"/>
    <s v="Billions"/>
    <x v="4"/>
    <n v="20.524000000000001"/>
  </r>
  <r>
    <n v="200"/>
    <x v="3"/>
    <x v="138"/>
    <x v="0"/>
    <s v="U.S. dollars"/>
    <s v="Billions"/>
    <x v="5"/>
    <n v="21.013000000000002"/>
  </r>
  <r>
    <n v="200"/>
    <x v="3"/>
    <x v="138"/>
    <x v="0"/>
    <s v="U.S. dollars"/>
    <s v="Billions"/>
    <x v="6"/>
    <n v="21.099"/>
  </r>
  <r>
    <n v="603"/>
    <x v="12"/>
    <x v="138"/>
    <x v="0"/>
    <s v="U.S. dollars"/>
    <s v="Billions"/>
    <x v="0"/>
    <n v="16.824000000000002"/>
  </r>
  <r>
    <n v="603"/>
    <x v="12"/>
    <x v="138"/>
    <x v="0"/>
    <s v="U.S. dollars"/>
    <s v="Billions"/>
    <x v="1"/>
    <n v="15.337"/>
  </r>
  <r>
    <n v="603"/>
    <x v="12"/>
    <x v="138"/>
    <x v="0"/>
    <s v="U.S. dollars"/>
    <s v="Billions"/>
    <x v="2"/>
    <n v="20.228999999999999"/>
  </r>
  <r>
    <n v="603"/>
    <x v="12"/>
    <x v="138"/>
    <x v="0"/>
    <s v="U.S. dollars"/>
    <s v="Billions"/>
    <x v="3"/>
    <n v="21.076000000000001"/>
  </r>
  <r>
    <n v="603"/>
    <x v="12"/>
    <x v="138"/>
    <x v="0"/>
    <s v="U.S. dollars"/>
    <s v="Billions"/>
    <x v="4"/>
    <n v="20.524000000000001"/>
  </r>
  <r>
    <n v="603"/>
    <x v="12"/>
    <x v="138"/>
    <x v="0"/>
    <s v="U.S. dollars"/>
    <s v="Billions"/>
    <x v="5"/>
    <n v="21.013000000000002"/>
  </r>
  <r>
    <n v="603"/>
    <x v="12"/>
    <x v="138"/>
    <x v="0"/>
    <s v="U.S. dollars"/>
    <s v="Billions"/>
    <x v="6"/>
    <n v="21.099"/>
  </r>
  <r>
    <n v="200"/>
    <x v="3"/>
    <x v="33"/>
    <x v="3"/>
    <s v="Percent of GDP"/>
    <s v="Units"/>
    <x v="0"/>
    <n v="19.811"/>
  </r>
  <r>
    <n v="200"/>
    <x v="3"/>
    <x v="33"/>
    <x v="3"/>
    <s v="Percent of GDP"/>
    <s v="Units"/>
    <x v="1"/>
    <n v="21.251000000000001"/>
  </r>
  <r>
    <n v="200"/>
    <x v="3"/>
    <x v="33"/>
    <x v="3"/>
    <s v="Percent of GDP"/>
    <s v="Units"/>
    <x v="2"/>
    <n v="20.125"/>
  </r>
  <r>
    <n v="200"/>
    <x v="3"/>
    <x v="33"/>
    <x v="3"/>
    <s v="Percent of GDP"/>
    <s v="Units"/>
    <x v="3"/>
    <n v="18.704000000000001"/>
  </r>
  <r>
    <n v="200"/>
    <x v="3"/>
    <x v="33"/>
    <x v="3"/>
    <s v="Percent of GDP"/>
    <s v="Units"/>
    <x v="4"/>
    <n v="19.850000000000001"/>
  </r>
  <r>
    <n v="200"/>
    <x v="3"/>
    <x v="33"/>
    <x v="3"/>
    <s v="Percent of GDP"/>
    <s v="Units"/>
    <x v="5"/>
    <n v="20.838999999999999"/>
  </r>
  <r>
    <n v="200"/>
    <x v="3"/>
    <x v="33"/>
    <x v="3"/>
    <s v="Percent of GDP"/>
    <s v="Units"/>
    <x v="6"/>
    <n v="21.04"/>
  </r>
  <r>
    <n v="505"/>
    <x v="4"/>
    <x v="33"/>
    <x v="3"/>
    <s v="Percent of GDP"/>
    <s v="Units"/>
    <x v="0"/>
    <n v="19.811"/>
  </r>
  <r>
    <n v="505"/>
    <x v="4"/>
    <x v="33"/>
    <x v="3"/>
    <s v="Percent of GDP"/>
    <s v="Units"/>
    <x v="1"/>
    <n v="21.251000000000001"/>
  </r>
  <r>
    <n v="505"/>
    <x v="4"/>
    <x v="33"/>
    <x v="3"/>
    <s v="Percent of GDP"/>
    <s v="Units"/>
    <x v="2"/>
    <n v="20.125"/>
  </r>
  <r>
    <n v="505"/>
    <x v="4"/>
    <x v="33"/>
    <x v="3"/>
    <s v="Percent of GDP"/>
    <s v="Units"/>
    <x v="3"/>
    <n v="18.704000000000001"/>
  </r>
  <r>
    <n v="505"/>
    <x v="4"/>
    <x v="33"/>
    <x v="3"/>
    <s v="Percent of GDP"/>
    <s v="Units"/>
    <x v="4"/>
    <n v="19.850000000000001"/>
  </r>
  <r>
    <n v="505"/>
    <x v="4"/>
    <x v="33"/>
    <x v="3"/>
    <s v="Percent of GDP"/>
    <s v="Units"/>
    <x v="5"/>
    <n v="20.838999999999999"/>
  </r>
  <r>
    <n v="505"/>
    <x v="4"/>
    <x v="33"/>
    <x v="3"/>
    <s v="Percent of GDP"/>
    <s v="Units"/>
    <x v="6"/>
    <n v="21.04"/>
  </r>
  <r>
    <n v="603"/>
    <x v="12"/>
    <x v="75"/>
    <x v="2"/>
    <s v="Percent of GDP"/>
    <s v="Units"/>
    <x v="0"/>
    <n v="21.178999999999998"/>
  </r>
  <r>
    <n v="603"/>
    <x v="12"/>
    <x v="75"/>
    <x v="2"/>
    <s v="Percent of GDP"/>
    <s v="Units"/>
    <x v="1"/>
    <n v="21.344999999999999"/>
  </r>
  <r>
    <n v="603"/>
    <x v="12"/>
    <x v="75"/>
    <x v="2"/>
    <s v="Percent of GDP"/>
    <s v="Units"/>
    <x v="2"/>
    <n v="23.306999999999999"/>
  </r>
  <r>
    <n v="603"/>
    <x v="12"/>
    <x v="75"/>
    <x v="2"/>
    <s v="Percent of GDP"/>
    <s v="Units"/>
    <x v="3"/>
    <n v="23.222000000000001"/>
  </r>
  <r>
    <n v="603"/>
    <x v="12"/>
    <x v="75"/>
    <x v="2"/>
    <s v="Percent of GDP"/>
    <s v="Units"/>
    <x v="4"/>
    <n v="20.018999999999998"/>
  </r>
  <r>
    <n v="603"/>
    <x v="12"/>
    <x v="75"/>
    <x v="2"/>
    <s v="Percent of GDP"/>
    <s v="Units"/>
    <x v="5"/>
    <n v="20.832999999999998"/>
  </r>
  <r>
    <n v="603"/>
    <x v="12"/>
    <x v="75"/>
    <x v="2"/>
    <s v="Percent of GDP"/>
    <s v="Units"/>
    <x v="6"/>
    <n v="20.105"/>
  </r>
  <r>
    <n v="200"/>
    <x v="3"/>
    <x v="75"/>
    <x v="2"/>
    <s v="Percent of GDP"/>
    <s v="Units"/>
    <x v="0"/>
    <n v="21.178999999999998"/>
  </r>
  <r>
    <n v="200"/>
    <x v="3"/>
    <x v="75"/>
    <x v="2"/>
    <s v="Percent of GDP"/>
    <s v="Units"/>
    <x v="1"/>
    <n v="21.344999999999999"/>
  </r>
  <r>
    <n v="200"/>
    <x v="3"/>
    <x v="75"/>
    <x v="2"/>
    <s v="Percent of GDP"/>
    <s v="Units"/>
    <x v="2"/>
    <n v="23.306999999999999"/>
  </r>
  <r>
    <n v="200"/>
    <x v="3"/>
    <x v="75"/>
    <x v="2"/>
    <s v="Percent of GDP"/>
    <s v="Units"/>
    <x v="3"/>
    <n v="23.222000000000001"/>
  </r>
  <r>
    <n v="200"/>
    <x v="3"/>
    <x v="75"/>
    <x v="2"/>
    <s v="Percent of GDP"/>
    <s v="Units"/>
    <x v="4"/>
    <n v="20.018999999999998"/>
  </r>
  <r>
    <n v="200"/>
    <x v="3"/>
    <x v="75"/>
    <x v="2"/>
    <s v="Percent of GDP"/>
    <s v="Units"/>
    <x v="5"/>
    <n v="20.832999999999998"/>
  </r>
  <r>
    <n v="200"/>
    <x v="3"/>
    <x v="75"/>
    <x v="2"/>
    <s v="Percent of GDP"/>
    <s v="Units"/>
    <x v="6"/>
    <n v="20.105"/>
  </r>
  <r>
    <n v="200"/>
    <x v="3"/>
    <x v="108"/>
    <x v="2"/>
    <s v="Percent of GDP"/>
    <s v="Units"/>
    <x v="0"/>
    <n v="23.716999999999999"/>
  </r>
  <r>
    <n v="200"/>
    <x v="3"/>
    <x v="108"/>
    <x v="2"/>
    <s v="Percent of GDP"/>
    <s v="Units"/>
    <x v="1"/>
    <n v="17.89"/>
  </r>
  <r>
    <n v="200"/>
    <x v="3"/>
    <x v="108"/>
    <x v="2"/>
    <s v="Percent of GDP"/>
    <s v="Units"/>
    <x v="2"/>
    <n v="20.850999999999999"/>
  </r>
  <r>
    <n v="200"/>
    <x v="3"/>
    <x v="108"/>
    <x v="2"/>
    <s v="Percent of GDP"/>
    <s v="Units"/>
    <x v="3"/>
    <n v="23.428999999999998"/>
  </r>
  <r>
    <n v="200"/>
    <x v="3"/>
    <x v="108"/>
    <x v="2"/>
    <s v="Percent of GDP"/>
    <s v="Units"/>
    <x v="4"/>
    <n v="20.827000000000002"/>
  </r>
  <r>
    <n v="200"/>
    <x v="3"/>
    <x v="108"/>
    <x v="2"/>
    <s v="Percent of GDP"/>
    <s v="Units"/>
    <x v="5"/>
    <n v="20.785"/>
  </r>
  <r>
    <n v="200"/>
    <x v="3"/>
    <x v="108"/>
    <x v="2"/>
    <s v="Percent of GDP"/>
    <s v="Units"/>
    <x v="6"/>
    <n v="19.239999999999998"/>
  </r>
  <r>
    <n v="400"/>
    <x v="11"/>
    <x v="108"/>
    <x v="2"/>
    <s v="Percent of GDP"/>
    <s v="Units"/>
    <x v="0"/>
    <n v="23.716999999999999"/>
  </r>
  <r>
    <n v="400"/>
    <x v="11"/>
    <x v="108"/>
    <x v="2"/>
    <s v="Percent of GDP"/>
    <s v="Units"/>
    <x v="1"/>
    <n v="17.89"/>
  </r>
  <r>
    <n v="400"/>
    <x v="11"/>
    <x v="108"/>
    <x v="2"/>
    <s v="Percent of GDP"/>
    <s v="Units"/>
    <x v="2"/>
    <n v="20.850999999999999"/>
  </r>
  <r>
    <n v="400"/>
    <x v="11"/>
    <x v="108"/>
    <x v="2"/>
    <s v="Percent of GDP"/>
    <s v="Units"/>
    <x v="3"/>
    <n v="23.428999999999998"/>
  </r>
  <r>
    <n v="400"/>
    <x v="11"/>
    <x v="108"/>
    <x v="2"/>
    <s v="Percent of GDP"/>
    <s v="Units"/>
    <x v="4"/>
    <n v="20.827000000000002"/>
  </r>
  <r>
    <n v="400"/>
    <x v="11"/>
    <x v="108"/>
    <x v="2"/>
    <s v="Percent of GDP"/>
    <s v="Units"/>
    <x v="5"/>
    <n v="20.785"/>
  </r>
  <r>
    <n v="400"/>
    <x v="11"/>
    <x v="108"/>
    <x v="2"/>
    <s v="Percent of GDP"/>
    <s v="Units"/>
    <x v="6"/>
    <n v="19.239999999999998"/>
  </r>
  <r>
    <n v="205"/>
    <x v="7"/>
    <x v="105"/>
    <x v="1"/>
    <s v="Percent change"/>
    <s v="Units"/>
    <x v="0"/>
    <n v="4.3920000000000003"/>
  </r>
  <r>
    <n v="205"/>
    <x v="7"/>
    <x v="105"/>
    <x v="1"/>
    <s v="Percent change"/>
    <s v="Units"/>
    <x v="1"/>
    <n v="34.89"/>
  </r>
  <r>
    <n v="205"/>
    <x v="7"/>
    <x v="105"/>
    <x v="1"/>
    <s v="Percent change"/>
    <s v="Units"/>
    <x v="2"/>
    <n v="59.12"/>
  </r>
  <r>
    <n v="205"/>
    <x v="7"/>
    <x v="105"/>
    <x v="1"/>
    <s v="Percent change"/>
    <s v="Units"/>
    <x v="3"/>
    <n v="52.448"/>
  </r>
  <r>
    <n v="205"/>
    <x v="7"/>
    <x v="105"/>
    <x v="1"/>
    <s v="Percent change"/>
    <s v="Units"/>
    <x v="4"/>
    <n v="51.582000000000001"/>
  </r>
  <r>
    <n v="205"/>
    <x v="7"/>
    <x v="105"/>
    <x v="1"/>
    <s v="Percent change"/>
    <s v="Units"/>
    <x v="5"/>
    <n v="20.741"/>
  </r>
  <r>
    <n v="205"/>
    <x v="7"/>
    <x v="105"/>
    <x v="1"/>
    <s v="Percent change"/>
    <s v="Units"/>
    <x v="6"/>
    <n v="14.814"/>
  </r>
  <r>
    <n v="200"/>
    <x v="3"/>
    <x v="105"/>
    <x v="1"/>
    <s v="Percent change"/>
    <s v="Units"/>
    <x v="0"/>
    <n v="4.3920000000000003"/>
  </r>
  <r>
    <n v="200"/>
    <x v="3"/>
    <x v="105"/>
    <x v="1"/>
    <s v="Percent change"/>
    <s v="Units"/>
    <x v="1"/>
    <n v="34.89"/>
  </r>
  <r>
    <n v="200"/>
    <x v="3"/>
    <x v="105"/>
    <x v="1"/>
    <s v="Percent change"/>
    <s v="Units"/>
    <x v="2"/>
    <n v="59.12"/>
  </r>
  <r>
    <n v="200"/>
    <x v="3"/>
    <x v="105"/>
    <x v="1"/>
    <s v="Percent change"/>
    <s v="Units"/>
    <x v="3"/>
    <n v="52.448"/>
  </r>
  <r>
    <n v="200"/>
    <x v="3"/>
    <x v="105"/>
    <x v="1"/>
    <s v="Percent change"/>
    <s v="Units"/>
    <x v="4"/>
    <n v="51.582000000000001"/>
  </r>
  <r>
    <n v="200"/>
    <x v="3"/>
    <x v="105"/>
    <x v="1"/>
    <s v="Percent change"/>
    <s v="Units"/>
    <x v="5"/>
    <n v="20.741"/>
  </r>
  <r>
    <n v="200"/>
    <x v="3"/>
    <x v="105"/>
    <x v="1"/>
    <s v="Percent change"/>
    <s v="Units"/>
    <x v="6"/>
    <n v="14.814"/>
  </r>
  <r>
    <n v="1"/>
    <x v="2"/>
    <x v="105"/>
    <x v="1"/>
    <s v="Percent change"/>
    <s v="Units"/>
    <x v="0"/>
    <n v="4.3920000000000003"/>
  </r>
  <r>
    <n v="1"/>
    <x v="2"/>
    <x v="105"/>
    <x v="1"/>
    <s v="Percent change"/>
    <s v="Units"/>
    <x v="1"/>
    <n v="34.89"/>
  </r>
  <r>
    <n v="1"/>
    <x v="2"/>
    <x v="105"/>
    <x v="1"/>
    <s v="Percent change"/>
    <s v="Units"/>
    <x v="2"/>
    <n v="59.12"/>
  </r>
  <r>
    <n v="1"/>
    <x v="2"/>
    <x v="105"/>
    <x v="1"/>
    <s v="Percent change"/>
    <s v="Units"/>
    <x v="3"/>
    <n v="52.448"/>
  </r>
  <r>
    <n v="1"/>
    <x v="2"/>
    <x v="105"/>
    <x v="1"/>
    <s v="Percent change"/>
    <s v="Units"/>
    <x v="4"/>
    <n v="51.582000000000001"/>
  </r>
  <r>
    <n v="1"/>
    <x v="2"/>
    <x v="105"/>
    <x v="1"/>
    <s v="Percent change"/>
    <s v="Units"/>
    <x v="5"/>
    <n v="20.741"/>
  </r>
  <r>
    <n v="1"/>
    <x v="2"/>
    <x v="105"/>
    <x v="1"/>
    <s v="Percent change"/>
    <s v="Units"/>
    <x v="6"/>
    <n v="14.814"/>
  </r>
  <r>
    <n v="400"/>
    <x v="11"/>
    <x v="47"/>
    <x v="5"/>
    <s v="Percent of GDP"/>
    <s v="Units"/>
    <x v="0"/>
    <n v="23.759"/>
  </r>
  <r>
    <n v="400"/>
    <x v="11"/>
    <x v="47"/>
    <x v="5"/>
    <s v="Percent of GDP"/>
    <s v="Units"/>
    <x v="1"/>
    <n v="22.401"/>
  </r>
  <r>
    <n v="400"/>
    <x v="11"/>
    <x v="47"/>
    <x v="5"/>
    <s v="Percent of GDP"/>
    <s v="Units"/>
    <x v="2"/>
    <n v="25.178000000000001"/>
  </r>
  <r>
    <n v="400"/>
    <x v="11"/>
    <x v="47"/>
    <x v="5"/>
    <s v="Percent of GDP"/>
    <s v="Units"/>
    <x v="3"/>
    <n v="28.062999999999999"/>
  </r>
  <r>
    <n v="400"/>
    <x v="11"/>
    <x v="47"/>
    <x v="5"/>
    <s v="Percent of GDP"/>
    <s v="Units"/>
    <x v="4"/>
    <n v="22.099"/>
  </r>
  <r>
    <n v="400"/>
    <x v="11"/>
    <x v="47"/>
    <x v="5"/>
    <s v="Percent of GDP"/>
    <s v="Units"/>
    <x v="5"/>
    <n v="20.710999999999999"/>
  </r>
  <r>
    <n v="400"/>
    <x v="11"/>
    <x v="47"/>
    <x v="5"/>
    <s v="Percent of GDP"/>
    <s v="Units"/>
    <x v="6"/>
    <n v="21.733000000000001"/>
  </r>
  <r>
    <n v="200"/>
    <x v="3"/>
    <x v="47"/>
    <x v="5"/>
    <s v="Percent of GDP"/>
    <s v="Units"/>
    <x v="0"/>
    <n v="23.759"/>
  </r>
  <r>
    <n v="200"/>
    <x v="3"/>
    <x v="47"/>
    <x v="5"/>
    <s v="Percent of GDP"/>
    <s v="Units"/>
    <x v="1"/>
    <n v="22.401"/>
  </r>
  <r>
    <n v="200"/>
    <x v="3"/>
    <x v="47"/>
    <x v="5"/>
    <s v="Percent of GDP"/>
    <s v="Units"/>
    <x v="2"/>
    <n v="25.178000000000001"/>
  </r>
  <r>
    <n v="200"/>
    <x v="3"/>
    <x v="47"/>
    <x v="5"/>
    <s v="Percent of GDP"/>
    <s v="Units"/>
    <x v="3"/>
    <n v="28.062999999999999"/>
  </r>
  <r>
    <n v="200"/>
    <x v="3"/>
    <x v="47"/>
    <x v="5"/>
    <s v="Percent of GDP"/>
    <s v="Units"/>
    <x v="4"/>
    <n v="22.099"/>
  </r>
  <r>
    <n v="200"/>
    <x v="3"/>
    <x v="47"/>
    <x v="5"/>
    <s v="Percent of GDP"/>
    <s v="Units"/>
    <x v="5"/>
    <n v="20.710999999999999"/>
  </r>
  <r>
    <n v="200"/>
    <x v="3"/>
    <x v="47"/>
    <x v="5"/>
    <s v="Percent of GDP"/>
    <s v="Units"/>
    <x v="6"/>
    <n v="21.733000000000001"/>
  </r>
  <r>
    <n v="1"/>
    <x v="2"/>
    <x v="47"/>
    <x v="5"/>
    <s v="Percent of GDP"/>
    <s v="Units"/>
    <x v="0"/>
    <n v="23.759"/>
  </r>
  <r>
    <n v="1"/>
    <x v="2"/>
    <x v="47"/>
    <x v="5"/>
    <s v="Percent of GDP"/>
    <s v="Units"/>
    <x v="1"/>
    <n v="22.401"/>
  </r>
  <r>
    <n v="1"/>
    <x v="2"/>
    <x v="47"/>
    <x v="5"/>
    <s v="Percent of GDP"/>
    <s v="Units"/>
    <x v="2"/>
    <n v="25.178000000000001"/>
  </r>
  <r>
    <n v="1"/>
    <x v="2"/>
    <x v="47"/>
    <x v="5"/>
    <s v="Percent of GDP"/>
    <s v="Units"/>
    <x v="3"/>
    <n v="28.062999999999999"/>
  </r>
  <r>
    <n v="1"/>
    <x v="2"/>
    <x v="47"/>
    <x v="5"/>
    <s v="Percent of GDP"/>
    <s v="Units"/>
    <x v="4"/>
    <n v="22.099"/>
  </r>
  <r>
    <n v="1"/>
    <x v="2"/>
    <x v="47"/>
    <x v="5"/>
    <s v="Percent of GDP"/>
    <s v="Units"/>
    <x v="5"/>
    <n v="20.710999999999999"/>
  </r>
  <r>
    <n v="1"/>
    <x v="2"/>
    <x v="47"/>
    <x v="5"/>
    <s v="Percent of GDP"/>
    <s v="Units"/>
    <x v="6"/>
    <n v="21.733000000000001"/>
  </r>
  <r>
    <n v="510"/>
    <x v="10"/>
    <x v="32"/>
    <x v="2"/>
    <s v="Percent of GDP"/>
    <s v="Units"/>
    <x v="0"/>
    <n v="20.218"/>
  </r>
  <r>
    <n v="510"/>
    <x v="10"/>
    <x v="32"/>
    <x v="2"/>
    <s v="Percent of GDP"/>
    <s v="Units"/>
    <x v="1"/>
    <n v="20.376000000000001"/>
  </r>
  <r>
    <n v="510"/>
    <x v="10"/>
    <x v="32"/>
    <x v="2"/>
    <s v="Percent of GDP"/>
    <s v="Units"/>
    <x v="2"/>
    <n v="20.969000000000001"/>
  </r>
  <r>
    <n v="510"/>
    <x v="10"/>
    <x v="32"/>
    <x v="2"/>
    <s v="Percent of GDP"/>
    <s v="Units"/>
    <x v="3"/>
    <n v="20.414000000000001"/>
  </r>
  <r>
    <n v="510"/>
    <x v="10"/>
    <x v="32"/>
    <x v="2"/>
    <s v="Percent of GDP"/>
    <s v="Units"/>
    <x v="4"/>
    <n v="20.064"/>
  </r>
  <r>
    <n v="510"/>
    <x v="10"/>
    <x v="32"/>
    <x v="2"/>
    <s v="Percent of GDP"/>
    <s v="Units"/>
    <x v="5"/>
    <n v="20.696000000000002"/>
  </r>
  <r>
    <n v="510"/>
    <x v="10"/>
    <x v="32"/>
    <x v="2"/>
    <s v="Percent of GDP"/>
    <s v="Units"/>
    <x v="6"/>
    <n v="21.273"/>
  </r>
  <r>
    <n v="200"/>
    <x v="3"/>
    <x v="32"/>
    <x v="2"/>
    <s v="Percent of GDP"/>
    <s v="Units"/>
    <x v="0"/>
    <n v="20.218"/>
  </r>
  <r>
    <n v="200"/>
    <x v="3"/>
    <x v="32"/>
    <x v="2"/>
    <s v="Percent of GDP"/>
    <s v="Units"/>
    <x v="1"/>
    <n v="20.376000000000001"/>
  </r>
  <r>
    <n v="200"/>
    <x v="3"/>
    <x v="32"/>
    <x v="2"/>
    <s v="Percent of GDP"/>
    <s v="Units"/>
    <x v="2"/>
    <n v="20.969000000000001"/>
  </r>
  <r>
    <n v="200"/>
    <x v="3"/>
    <x v="32"/>
    <x v="2"/>
    <s v="Percent of GDP"/>
    <s v="Units"/>
    <x v="3"/>
    <n v="20.414000000000001"/>
  </r>
  <r>
    <n v="200"/>
    <x v="3"/>
    <x v="32"/>
    <x v="2"/>
    <s v="Percent of GDP"/>
    <s v="Units"/>
    <x v="4"/>
    <n v="20.064"/>
  </r>
  <r>
    <n v="200"/>
    <x v="3"/>
    <x v="32"/>
    <x v="2"/>
    <s v="Percent of GDP"/>
    <s v="Units"/>
    <x v="5"/>
    <n v="20.696000000000002"/>
  </r>
  <r>
    <n v="200"/>
    <x v="3"/>
    <x v="32"/>
    <x v="2"/>
    <s v="Percent of GDP"/>
    <s v="Units"/>
    <x v="6"/>
    <n v="21.273"/>
  </r>
  <r>
    <n v="505"/>
    <x v="4"/>
    <x v="32"/>
    <x v="2"/>
    <s v="Percent of GDP"/>
    <s v="Units"/>
    <x v="0"/>
    <n v="20.218"/>
  </r>
  <r>
    <n v="505"/>
    <x v="4"/>
    <x v="32"/>
    <x v="2"/>
    <s v="Percent of GDP"/>
    <s v="Units"/>
    <x v="1"/>
    <n v="20.376000000000001"/>
  </r>
  <r>
    <n v="505"/>
    <x v="4"/>
    <x v="32"/>
    <x v="2"/>
    <s v="Percent of GDP"/>
    <s v="Units"/>
    <x v="2"/>
    <n v="20.969000000000001"/>
  </r>
  <r>
    <n v="505"/>
    <x v="4"/>
    <x v="32"/>
    <x v="2"/>
    <s v="Percent of GDP"/>
    <s v="Units"/>
    <x v="3"/>
    <n v="20.414000000000001"/>
  </r>
  <r>
    <n v="505"/>
    <x v="4"/>
    <x v="32"/>
    <x v="2"/>
    <s v="Percent of GDP"/>
    <s v="Units"/>
    <x v="4"/>
    <n v="20.064"/>
  </r>
  <r>
    <n v="505"/>
    <x v="4"/>
    <x v="32"/>
    <x v="2"/>
    <s v="Percent of GDP"/>
    <s v="Units"/>
    <x v="5"/>
    <n v="20.696000000000002"/>
  </r>
  <r>
    <n v="505"/>
    <x v="4"/>
    <x v="32"/>
    <x v="2"/>
    <s v="Percent of GDP"/>
    <s v="Units"/>
    <x v="6"/>
    <n v="21.273"/>
  </r>
  <r>
    <n v="998"/>
    <x v="6"/>
    <x v="14"/>
    <x v="7"/>
    <s v="Percent of GDP"/>
    <s v="Units"/>
    <x v="0"/>
    <n v="20.829000000000001"/>
  </r>
  <r>
    <n v="998"/>
    <x v="6"/>
    <x v="14"/>
    <x v="7"/>
    <s v="Percent of GDP"/>
    <s v="Units"/>
    <x v="1"/>
    <n v="20.47"/>
  </r>
  <r>
    <n v="998"/>
    <x v="6"/>
    <x v="14"/>
    <x v="7"/>
    <s v="Percent of GDP"/>
    <s v="Units"/>
    <x v="2"/>
    <n v="21.59"/>
  </r>
  <r>
    <n v="998"/>
    <x v="6"/>
    <x v="14"/>
    <x v="7"/>
    <s v="Percent of GDP"/>
    <s v="Units"/>
    <x v="3"/>
    <n v="21.481000000000002"/>
  </r>
  <r>
    <n v="998"/>
    <x v="6"/>
    <x v="14"/>
    <x v="7"/>
    <s v="Percent of GDP"/>
    <s v="Units"/>
    <x v="4"/>
    <n v="20.309999999999999"/>
  </r>
  <r>
    <n v="998"/>
    <x v="6"/>
    <x v="14"/>
    <x v="7"/>
    <s v="Percent of GDP"/>
    <s v="Units"/>
    <x v="5"/>
    <n v="20.606000000000002"/>
  </r>
  <r>
    <n v="998"/>
    <x v="6"/>
    <x v="14"/>
    <x v="7"/>
    <s v="Percent of GDP"/>
    <s v="Units"/>
    <x v="6"/>
    <n v="21.265999999999998"/>
  </r>
  <r>
    <n v="163"/>
    <x v="5"/>
    <x v="14"/>
    <x v="7"/>
    <s v="Percent of GDP"/>
    <s v="Units"/>
    <x v="0"/>
    <n v="20.829000000000001"/>
  </r>
  <r>
    <n v="163"/>
    <x v="5"/>
    <x v="14"/>
    <x v="7"/>
    <s v="Percent of GDP"/>
    <s v="Units"/>
    <x v="1"/>
    <n v="20.47"/>
  </r>
  <r>
    <n v="163"/>
    <x v="5"/>
    <x v="14"/>
    <x v="7"/>
    <s v="Percent of GDP"/>
    <s v="Units"/>
    <x v="2"/>
    <n v="21.59"/>
  </r>
  <r>
    <n v="163"/>
    <x v="5"/>
    <x v="14"/>
    <x v="7"/>
    <s v="Percent of GDP"/>
    <s v="Units"/>
    <x v="3"/>
    <n v="21.481000000000002"/>
  </r>
  <r>
    <n v="163"/>
    <x v="5"/>
    <x v="14"/>
    <x v="7"/>
    <s v="Percent of GDP"/>
    <s v="Units"/>
    <x v="4"/>
    <n v="20.309999999999999"/>
  </r>
  <r>
    <n v="163"/>
    <x v="5"/>
    <x v="14"/>
    <x v="7"/>
    <s v="Percent of GDP"/>
    <s v="Units"/>
    <x v="5"/>
    <n v="20.606000000000002"/>
  </r>
  <r>
    <n v="163"/>
    <x v="5"/>
    <x v="14"/>
    <x v="7"/>
    <s v="Percent of GDP"/>
    <s v="Units"/>
    <x v="6"/>
    <n v="21.265999999999998"/>
  </r>
  <r>
    <n v="110"/>
    <x v="0"/>
    <x v="14"/>
    <x v="7"/>
    <s v="Percent of GDP"/>
    <s v="Units"/>
    <x v="0"/>
    <n v="20.829000000000001"/>
  </r>
  <r>
    <n v="110"/>
    <x v="0"/>
    <x v="14"/>
    <x v="7"/>
    <s v="Percent of GDP"/>
    <s v="Units"/>
    <x v="1"/>
    <n v="20.47"/>
  </r>
  <r>
    <n v="110"/>
    <x v="0"/>
    <x v="14"/>
    <x v="7"/>
    <s v="Percent of GDP"/>
    <s v="Units"/>
    <x v="2"/>
    <n v="21.59"/>
  </r>
  <r>
    <n v="110"/>
    <x v="0"/>
    <x v="14"/>
    <x v="7"/>
    <s v="Percent of GDP"/>
    <s v="Units"/>
    <x v="3"/>
    <n v="21.481000000000002"/>
  </r>
  <r>
    <n v="110"/>
    <x v="0"/>
    <x v="14"/>
    <x v="7"/>
    <s v="Percent of GDP"/>
    <s v="Units"/>
    <x v="4"/>
    <n v="20.309999999999999"/>
  </r>
  <r>
    <n v="110"/>
    <x v="0"/>
    <x v="14"/>
    <x v="7"/>
    <s v="Percent of GDP"/>
    <s v="Units"/>
    <x v="5"/>
    <n v="20.606000000000002"/>
  </r>
  <r>
    <n v="110"/>
    <x v="0"/>
    <x v="14"/>
    <x v="7"/>
    <s v="Percent of GDP"/>
    <s v="Units"/>
    <x v="6"/>
    <n v="21.265999999999998"/>
  </r>
  <r>
    <n v="1"/>
    <x v="2"/>
    <x v="14"/>
    <x v="7"/>
    <s v="Percent of GDP"/>
    <s v="Units"/>
    <x v="0"/>
    <n v="20.829000000000001"/>
  </r>
  <r>
    <n v="1"/>
    <x v="2"/>
    <x v="14"/>
    <x v="7"/>
    <s v="Percent of GDP"/>
    <s v="Units"/>
    <x v="1"/>
    <n v="20.47"/>
  </r>
  <r>
    <n v="1"/>
    <x v="2"/>
    <x v="14"/>
    <x v="7"/>
    <s v="Percent of GDP"/>
    <s v="Units"/>
    <x v="2"/>
    <n v="21.59"/>
  </r>
  <r>
    <n v="1"/>
    <x v="2"/>
    <x v="14"/>
    <x v="7"/>
    <s v="Percent of GDP"/>
    <s v="Units"/>
    <x v="3"/>
    <n v="21.481000000000002"/>
  </r>
  <r>
    <n v="1"/>
    <x v="2"/>
    <x v="14"/>
    <x v="7"/>
    <s v="Percent of GDP"/>
    <s v="Units"/>
    <x v="4"/>
    <n v="20.309999999999999"/>
  </r>
  <r>
    <n v="1"/>
    <x v="2"/>
    <x v="14"/>
    <x v="7"/>
    <s v="Percent of GDP"/>
    <s v="Units"/>
    <x v="5"/>
    <n v="20.606000000000002"/>
  </r>
  <r>
    <n v="1"/>
    <x v="2"/>
    <x v="14"/>
    <x v="7"/>
    <s v="Percent of GDP"/>
    <s v="Units"/>
    <x v="6"/>
    <n v="21.265999999999998"/>
  </r>
  <r>
    <n v="603"/>
    <x v="12"/>
    <x v="182"/>
    <x v="3"/>
    <s v="Percent of GDP"/>
    <s v="Units"/>
    <x v="0"/>
    <n v="20.138999999999999"/>
  </r>
  <r>
    <n v="603"/>
    <x v="12"/>
    <x v="182"/>
    <x v="3"/>
    <s v="Percent of GDP"/>
    <s v="Units"/>
    <x v="1"/>
    <n v="18.766999999999999"/>
  </r>
  <r>
    <n v="603"/>
    <x v="12"/>
    <x v="182"/>
    <x v="3"/>
    <s v="Percent of GDP"/>
    <s v="Units"/>
    <x v="2"/>
    <n v="19.952000000000002"/>
  </r>
  <r>
    <n v="603"/>
    <x v="12"/>
    <x v="182"/>
    <x v="3"/>
    <s v="Percent of GDP"/>
    <s v="Units"/>
    <x v="3"/>
    <n v="18.277999999999999"/>
  </r>
  <r>
    <n v="603"/>
    <x v="12"/>
    <x v="182"/>
    <x v="3"/>
    <s v="Percent of GDP"/>
    <s v="Units"/>
    <x v="4"/>
    <n v="21.821000000000002"/>
  </r>
  <r>
    <n v="603"/>
    <x v="12"/>
    <x v="182"/>
    <x v="3"/>
    <s v="Percent of GDP"/>
    <s v="Units"/>
    <x v="5"/>
    <n v="20.581"/>
  </r>
  <r>
    <n v="603"/>
    <x v="12"/>
    <x v="182"/>
    <x v="3"/>
    <s v="Percent of GDP"/>
    <s v="Units"/>
    <x v="6"/>
    <n v="18.181000000000001"/>
  </r>
  <r>
    <n v="200"/>
    <x v="3"/>
    <x v="182"/>
    <x v="3"/>
    <s v="Percent of GDP"/>
    <s v="Units"/>
    <x v="0"/>
    <n v="20.138999999999999"/>
  </r>
  <r>
    <n v="200"/>
    <x v="3"/>
    <x v="182"/>
    <x v="3"/>
    <s v="Percent of GDP"/>
    <s v="Units"/>
    <x v="1"/>
    <n v="18.766999999999999"/>
  </r>
  <r>
    <n v="200"/>
    <x v="3"/>
    <x v="182"/>
    <x v="3"/>
    <s v="Percent of GDP"/>
    <s v="Units"/>
    <x v="2"/>
    <n v="19.952000000000002"/>
  </r>
  <r>
    <n v="200"/>
    <x v="3"/>
    <x v="182"/>
    <x v="3"/>
    <s v="Percent of GDP"/>
    <s v="Units"/>
    <x v="3"/>
    <n v="18.277999999999999"/>
  </r>
  <r>
    <n v="200"/>
    <x v="3"/>
    <x v="182"/>
    <x v="3"/>
    <s v="Percent of GDP"/>
    <s v="Units"/>
    <x v="4"/>
    <n v="21.821000000000002"/>
  </r>
  <r>
    <n v="200"/>
    <x v="3"/>
    <x v="182"/>
    <x v="3"/>
    <s v="Percent of GDP"/>
    <s v="Units"/>
    <x v="5"/>
    <n v="20.581"/>
  </r>
  <r>
    <n v="200"/>
    <x v="3"/>
    <x v="182"/>
    <x v="3"/>
    <s v="Percent of GDP"/>
    <s v="Units"/>
    <x v="6"/>
    <n v="18.181000000000001"/>
  </r>
  <r>
    <n v="200"/>
    <x v="3"/>
    <x v="132"/>
    <x v="2"/>
    <s v="Percent of GDP"/>
    <s v="Units"/>
    <x v="0"/>
    <n v="18.771000000000001"/>
  </r>
  <r>
    <n v="200"/>
    <x v="3"/>
    <x v="132"/>
    <x v="2"/>
    <s v="Percent of GDP"/>
    <s v="Units"/>
    <x v="1"/>
    <n v="19.734999999999999"/>
  </r>
  <r>
    <n v="200"/>
    <x v="3"/>
    <x v="132"/>
    <x v="2"/>
    <s v="Percent of GDP"/>
    <s v="Units"/>
    <x v="2"/>
    <n v="19.369"/>
  </r>
  <r>
    <n v="200"/>
    <x v="3"/>
    <x v="132"/>
    <x v="2"/>
    <s v="Percent of GDP"/>
    <s v="Units"/>
    <x v="3"/>
    <n v="19.346"/>
  </r>
  <r>
    <n v="200"/>
    <x v="3"/>
    <x v="132"/>
    <x v="2"/>
    <s v="Percent of GDP"/>
    <s v="Units"/>
    <x v="4"/>
    <n v="20.177"/>
  </r>
  <r>
    <n v="200"/>
    <x v="3"/>
    <x v="132"/>
    <x v="2"/>
    <s v="Percent of GDP"/>
    <s v="Units"/>
    <x v="5"/>
    <n v="20.545000000000002"/>
  </r>
  <r>
    <n v="200"/>
    <x v="3"/>
    <x v="132"/>
    <x v="2"/>
    <s v="Percent of GDP"/>
    <s v="Units"/>
    <x v="6"/>
    <n v="20.597000000000001"/>
  </r>
  <r>
    <n v="205"/>
    <x v="7"/>
    <x v="132"/>
    <x v="2"/>
    <s v="Percent of GDP"/>
    <s v="Units"/>
    <x v="0"/>
    <n v="18.771000000000001"/>
  </r>
  <r>
    <n v="205"/>
    <x v="7"/>
    <x v="132"/>
    <x v="2"/>
    <s v="Percent of GDP"/>
    <s v="Units"/>
    <x v="1"/>
    <n v="19.734999999999999"/>
  </r>
  <r>
    <n v="205"/>
    <x v="7"/>
    <x v="132"/>
    <x v="2"/>
    <s v="Percent of GDP"/>
    <s v="Units"/>
    <x v="2"/>
    <n v="19.369"/>
  </r>
  <r>
    <n v="205"/>
    <x v="7"/>
    <x v="132"/>
    <x v="2"/>
    <s v="Percent of GDP"/>
    <s v="Units"/>
    <x v="3"/>
    <n v="19.346"/>
  </r>
  <r>
    <n v="205"/>
    <x v="7"/>
    <x v="132"/>
    <x v="2"/>
    <s v="Percent of GDP"/>
    <s v="Units"/>
    <x v="4"/>
    <n v="20.177"/>
  </r>
  <r>
    <n v="205"/>
    <x v="7"/>
    <x v="132"/>
    <x v="2"/>
    <s v="Percent of GDP"/>
    <s v="Units"/>
    <x v="5"/>
    <n v="20.545000000000002"/>
  </r>
  <r>
    <n v="205"/>
    <x v="7"/>
    <x v="132"/>
    <x v="2"/>
    <s v="Percent of GDP"/>
    <s v="Units"/>
    <x v="6"/>
    <n v="20.597000000000001"/>
  </r>
  <r>
    <n v="603"/>
    <x v="12"/>
    <x v="80"/>
    <x v="7"/>
    <s v="Percent of GDP"/>
    <s v="Units"/>
    <x v="0"/>
    <n v="21.99"/>
  </r>
  <r>
    <n v="603"/>
    <x v="12"/>
    <x v="80"/>
    <x v="7"/>
    <s v="Percent of GDP"/>
    <s v="Units"/>
    <x v="1"/>
    <n v="21.742999999999999"/>
  </r>
  <r>
    <n v="603"/>
    <x v="12"/>
    <x v="80"/>
    <x v="7"/>
    <s v="Percent of GDP"/>
    <s v="Units"/>
    <x v="2"/>
    <n v="23.574999999999999"/>
  </r>
  <r>
    <n v="603"/>
    <x v="12"/>
    <x v="80"/>
    <x v="7"/>
    <s v="Percent of GDP"/>
    <s v="Units"/>
    <x v="3"/>
    <n v="25.884"/>
  </r>
  <r>
    <n v="603"/>
    <x v="12"/>
    <x v="80"/>
    <x v="7"/>
    <s v="Percent of GDP"/>
    <s v="Units"/>
    <x v="4"/>
    <n v="19.138000000000002"/>
  </r>
  <r>
    <n v="603"/>
    <x v="12"/>
    <x v="80"/>
    <x v="7"/>
    <s v="Percent of GDP"/>
    <s v="Units"/>
    <x v="5"/>
    <n v="20.495999999999999"/>
  </r>
  <r>
    <n v="603"/>
    <x v="12"/>
    <x v="80"/>
    <x v="7"/>
    <s v="Percent of GDP"/>
    <s v="Units"/>
    <x v="6"/>
    <n v="20.356999999999999"/>
  </r>
  <r>
    <n v="200"/>
    <x v="3"/>
    <x v="80"/>
    <x v="7"/>
    <s v="Percent of GDP"/>
    <s v="Units"/>
    <x v="0"/>
    <n v="21.99"/>
  </r>
  <r>
    <n v="200"/>
    <x v="3"/>
    <x v="80"/>
    <x v="7"/>
    <s v="Percent of GDP"/>
    <s v="Units"/>
    <x v="1"/>
    <n v="21.742999999999999"/>
  </r>
  <r>
    <n v="200"/>
    <x v="3"/>
    <x v="80"/>
    <x v="7"/>
    <s v="Percent of GDP"/>
    <s v="Units"/>
    <x v="2"/>
    <n v="23.574999999999999"/>
  </r>
  <r>
    <n v="200"/>
    <x v="3"/>
    <x v="80"/>
    <x v="7"/>
    <s v="Percent of GDP"/>
    <s v="Units"/>
    <x v="3"/>
    <n v="25.884"/>
  </r>
  <r>
    <n v="200"/>
    <x v="3"/>
    <x v="80"/>
    <x v="7"/>
    <s v="Percent of GDP"/>
    <s v="Units"/>
    <x v="4"/>
    <n v="19.138000000000002"/>
  </r>
  <r>
    <n v="200"/>
    <x v="3"/>
    <x v="80"/>
    <x v="7"/>
    <s v="Percent of GDP"/>
    <s v="Units"/>
    <x v="5"/>
    <n v="20.495999999999999"/>
  </r>
  <r>
    <n v="200"/>
    <x v="3"/>
    <x v="80"/>
    <x v="7"/>
    <s v="Percent of GDP"/>
    <s v="Units"/>
    <x v="6"/>
    <n v="20.356999999999999"/>
  </r>
  <r>
    <n v="1"/>
    <x v="2"/>
    <x v="80"/>
    <x v="7"/>
    <s v="Percent of GDP"/>
    <s v="Units"/>
    <x v="0"/>
    <n v="21.99"/>
  </r>
  <r>
    <n v="1"/>
    <x v="2"/>
    <x v="80"/>
    <x v="7"/>
    <s v="Percent of GDP"/>
    <s v="Units"/>
    <x v="1"/>
    <n v="21.742999999999999"/>
  </r>
  <r>
    <n v="1"/>
    <x v="2"/>
    <x v="80"/>
    <x v="7"/>
    <s v="Percent of GDP"/>
    <s v="Units"/>
    <x v="2"/>
    <n v="23.574999999999999"/>
  </r>
  <r>
    <n v="1"/>
    <x v="2"/>
    <x v="80"/>
    <x v="7"/>
    <s v="Percent of GDP"/>
    <s v="Units"/>
    <x v="3"/>
    <n v="25.884"/>
  </r>
  <r>
    <n v="1"/>
    <x v="2"/>
    <x v="80"/>
    <x v="7"/>
    <s v="Percent of GDP"/>
    <s v="Units"/>
    <x v="4"/>
    <n v="19.138000000000002"/>
  </r>
  <r>
    <n v="1"/>
    <x v="2"/>
    <x v="80"/>
    <x v="7"/>
    <s v="Percent of GDP"/>
    <s v="Units"/>
    <x v="5"/>
    <n v="20.495999999999999"/>
  </r>
  <r>
    <n v="1"/>
    <x v="2"/>
    <x v="80"/>
    <x v="7"/>
    <s v="Percent of GDP"/>
    <s v="Units"/>
    <x v="6"/>
    <n v="20.356999999999999"/>
  </r>
  <r>
    <n v="200"/>
    <x v="3"/>
    <x v="172"/>
    <x v="2"/>
    <s v="Percent of GDP"/>
    <s v="Units"/>
    <x v="0"/>
    <n v="27.388999999999999"/>
  </r>
  <r>
    <n v="200"/>
    <x v="3"/>
    <x v="172"/>
    <x v="2"/>
    <s v="Percent of GDP"/>
    <s v="Units"/>
    <x v="1"/>
    <n v="31.265999999999998"/>
  </r>
  <r>
    <n v="200"/>
    <x v="3"/>
    <x v="172"/>
    <x v="2"/>
    <s v="Percent of GDP"/>
    <s v="Units"/>
    <x v="2"/>
    <n v="27.283999999999999"/>
  </r>
  <r>
    <n v="200"/>
    <x v="3"/>
    <x v="172"/>
    <x v="2"/>
    <s v="Percent of GDP"/>
    <s v="Units"/>
    <x v="3"/>
    <n v="21.599"/>
  </r>
  <r>
    <n v="200"/>
    <x v="3"/>
    <x v="172"/>
    <x v="2"/>
    <s v="Percent of GDP"/>
    <s v="Units"/>
    <x v="4"/>
    <n v="18.855"/>
  </r>
  <r>
    <n v="200"/>
    <x v="3"/>
    <x v="172"/>
    <x v="2"/>
    <s v="Percent of GDP"/>
    <s v="Units"/>
    <x v="5"/>
    <n v="20.478999999999999"/>
  </r>
  <r>
    <n v="200"/>
    <x v="3"/>
    <x v="172"/>
    <x v="2"/>
    <s v="Percent of GDP"/>
    <s v="Units"/>
    <x v="6"/>
    <n v="20.936"/>
  </r>
  <r>
    <n v="603"/>
    <x v="12"/>
    <x v="172"/>
    <x v="2"/>
    <s v="Percent of GDP"/>
    <s v="Units"/>
    <x v="0"/>
    <n v="27.388999999999999"/>
  </r>
  <r>
    <n v="603"/>
    <x v="12"/>
    <x v="172"/>
    <x v="2"/>
    <s v="Percent of GDP"/>
    <s v="Units"/>
    <x v="1"/>
    <n v="31.265999999999998"/>
  </r>
  <r>
    <n v="603"/>
    <x v="12"/>
    <x v="172"/>
    <x v="2"/>
    <s v="Percent of GDP"/>
    <s v="Units"/>
    <x v="2"/>
    <n v="27.283999999999999"/>
  </r>
  <r>
    <n v="603"/>
    <x v="12"/>
    <x v="172"/>
    <x v="2"/>
    <s v="Percent of GDP"/>
    <s v="Units"/>
    <x v="3"/>
    <n v="21.599"/>
  </r>
  <r>
    <n v="603"/>
    <x v="12"/>
    <x v="172"/>
    <x v="2"/>
    <s v="Percent of GDP"/>
    <s v="Units"/>
    <x v="4"/>
    <n v="18.855"/>
  </r>
  <r>
    <n v="603"/>
    <x v="12"/>
    <x v="172"/>
    <x v="2"/>
    <s v="Percent of GDP"/>
    <s v="Units"/>
    <x v="5"/>
    <n v="20.478999999999999"/>
  </r>
  <r>
    <n v="603"/>
    <x v="12"/>
    <x v="172"/>
    <x v="2"/>
    <s v="Percent of GDP"/>
    <s v="Units"/>
    <x v="6"/>
    <n v="20.936"/>
  </r>
  <r>
    <n v="1"/>
    <x v="2"/>
    <x v="124"/>
    <x v="5"/>
    <s v="Percent of GDP"/>
    <s v="Units"/>
    <x v="0"/>
    <n v="25.212"/>
  </r>
  <r>
    <n v="1"/>
    <x v="2"/>
    <x v="124"/>
    <x v="5"/>
    <s v="Percent of GDP"/>
    <s v="Units"/>
    <x v="1"/>
    <n v="19.161999999999999"/>
  </r>
  <r>
    <n v="1"/>
    <x v="2"/>
    <x v="124"/>
    <x v="5"/>
    <s v="Percent of GDP"/>
    <s v="Units"/>
    <x v="2"/>
    <n v="24.907"/>
  </r>
  <r>
    <n v="1"/>
    <x v="2"/>
    <x v="124"/>
    <x v="5"/>
    <s v="Percent of GDP"/>
    <s v="Units"/>
    <x v="3"/>
    <n v="16.135999999999999"/>
  </r>
  <r>
    <n v="1"/>
    <x v="2"/>
    <x v="124"/>
    <x v="5"/>
    <s v="Percent of GDP"/>
    <s v="Units"/>
    <x v="4"/>
    <n v="21.643000000000001"/>
  </r>
  <r>
    <n v="1"/>
    <x v="2"/>
    <x v="124"/>
    <x v="5"/>
    <s v="Percent of GDP"/>
    <s v="Units"/>
    <x v="5"/>
    <n v="20.471"/>
  </r>
  <r>
    <n v="1"/>
    <x v="2"/>
    <x v="124"/>
    <x v="5"/>
    <s v="Percent of GDP"/>
    <s v="Units"/>
    <x v="6"/>
    <n v="18.446000000000002"/>
  </r>
  <r>
    <n v="200"/>
    <x v="3"/>
    <x v="183"/>
    <x v="3"/>
    <s v="Percent of GDP"/>
    <s v="Units"/>
    <x v="0"/>
    <n v="24.911000000000001"/>
  </r>
  <r>
    <n v="200"/>
    <x v="3"/>
    <x v="183"/>
    <x v="3"/>
    <s v="Percent of GDP"/>
    <s v="Units"/>
    <x v="1"/>
    <n v="25.463000000000001"/>
  </r>
  <r>
    <n v="200"/>
    <x v="3"/>
    <x v="183"/>
    <x v="3"/>
    <s v="Percent of GDP"/>
    <s v="Units"/>
    <x v="2"/>
    <n v="23.172000000000001"/>
  </r>
  <r>
    <n v="200"/>
    <x v="3"/>
    <x v="183"/>
    <x v="3"/>
    <s v="Percent of GDP"/>
    <s v="Units"/>
    <x v="3"/>
    <n v="20.045999999999999"/>
  </r>
  <r>
    <n v="200"/>
    <x v="3"/>
    <x v="183"/>
    <x v="3"/>
    <s v="Percent of GDP"/>
    <s v="Units"/>
    <x v="4"/>
    <n v="20.154"/>
  </r>
  <r>
    <n v="200"/>
    <x v="3"/>
    <x v="183"/>
    <x v="3"/>
    <s v="Percent of GDP"/>
    <s v="Units"/>
    <x v="5"/>
    <n v="20.471"/>
  </r>
  <r>
    <n v="200"/>
    <x v="3"/>
    <x v="183"/>
    <x v="3"/>
    <s v="Percent of GDP"/>
    <s v="Units"/>
    <x v="6"/>
    <n v="20.11"/>
  </r>
  <r>
    <n v="400"/>
    <x v="11"/>
    <x v="183"/>
    <x v="3"/>
    <s v="Percent of GDP"/>
    <s v="Units"/>
    <x v="0"/>
    <n v="24.911000000000001"/>
  </r>
  <r>
    <n v="400"/>
    <x v="11"/>
    <x v="183"/>
    <x v="3"/>
    <s v="Percent of GDP"/>
    <s v="Units"/>
    <x v="1"/>
    <n v="25.463000000000001"/>
  </r>
  <r>
    <n v="400"/>
    <x v="11"/>
    <x v="183"/>
    <x v="3"/>
    <s v="Percent of GDP"/>
    <s v="Units"/>
    <x v="2"/>
    <n v="23.172000000000001"/>
  </r>
  <r>
    <n v="400"/>
    <x v="11"/>
    <x v="183"/>
    <x v="3"/>
    <s v="Percent of GDP"/>
    <s v="Units"/>
    <x v="3"/>
    <n v="20.045999999999999"/>
  </r>
  <r>
    <n v="400"/>
    <x v="11"/>
    <x v="183"/>
    <x v="3"/>
    <s v="Percent of GDP"/>
    <s v="Units"/>
    <x v="4"/>
    <n v="20.154"/>
  </r>
  <r>
    <n v="400"/>
    <x v="11"/>
    <x v="183"/>
    <x v="3"/>
    <s v="Percent of GDP"/>
    <s v="Units"/>
    <x v="5"/>
    <n v="20.471"/>
  </r>
  <r>
    <n v="400"/>
    <x v="11"/>
    <x v="183"/>
    <x v="3"/>
    <s v="Percent of GDP"/>
    <s v="Units"/>
    <x v="6"/>
    <n v="20.11"/>
  </r>
  <r>
    <n v="205"/>
    <x v="7"/>
    <x v="124"/>
    <x v="5"/>
    <s v="Percent of GDP"/>
    <s v="Units"/>
    <x v="0"/>
    <n v="25.212"/>
  </r>
  <r>
    <n v="205"/>
    <x v="7"/>
    <x v="124"/>
    <x v="5"/>
    <s v="Percent of GDP"/>
    <s v="Units"/>
    <x v="1"/>
    <n v="19.161999999999999"/>
  </r>
  <r>
    <n v="205"/>
    <x v="7"/>
    <x v="124"/>
    <x v="5"/>
    <s v="Percent of GDP"/>
    <s v="Units"/>
    <x v="2"/>
    <n v="24.907"/>
  </r>
  <r>
    <n v="205"/>
    <x v="7"/>
    <x v="124"/>
    <x v="5"/>
    <s v="Percent of GDP"/>
    <s v="Units"/>
    <x v="3"/>
    <n v="16.135999999999999"/>
  </r>
  <r>
    <n v="205"/>
    <x v="7"/>
    <x v="124"/>
    <x v="5"/>
    <s v="Percent of GDP"/>
    <s v="Units"/>
    <x v="4"/>
    <n v="21.643000000000001"/>
  </r>
  <r>
    <n v="205"/>
    <x v="7"/>
    <x v="124"/>
    <x v="5"/>
    <s v="Percent of GDP"/>
    <s v="Units"/>
    <x v="5"/>
    <n v="20.471"/>
  </r>
  <r>
    <n v="205"/>
    <x v="7"/>
    <x v="124"/>
    <x v="5"/>
    <s v="Percent of GDP"/>
    <s v="Units"/>
    <x v="6"/>
    <n v="18.446000000000002"/>
  </r>
  <r>
    <n v="200"/>
    <x v="3"/>
    <x v="124"/>
    <x v="5"/>
    <s v="Percent of GDP"/>
    <s v="Units"/>
    <x v="0"/>
    <n v="25.212"/>
  </r>
  <r>
    <n v="200"/>
    <x v="3"/>
    <x v="124"/>
    <x v="5"/>
    <s v="Percent of GDP"/>
    <s v="Units"/>
    <x v="1"/>
    <n v="19.161999999999999"/>
  </r>
  <r>
    <n v="200"/>
    <x v="3"/>
    <x v="124"/>
    <x v="5"/>
    <s v="Percent of GDP"/>
    <s v="Units"/>
    <x v="2"/>
    <n v="24.907"/>
  </r>
  <r>
    <n v="200"/>
    <x v="3"/>
    <x v="124"/>
    <x v="5"/>
    <s v="Percent of GDP"/>
    <s v="Units"/>
    <x v="3"/>
    <n v="16.135999999999999"/>
  </r>
  <r>
    <n v="200"/>
    <x v="3"/>
    <x v="124"/>
    <x v="5"/>
    <s v="Percent of GDP"/>
    <s v="Units"/>
    <x v="4"/>
    <n v="21.643000000000001"/>
  </r>
  <r>
    <n v="200"/>
    <x v="3"/>
    <x v="124"/>
    <x v="5"/>
    <s v="Percent of GDP"/>
    <s v="Units"/>
    <x v="5"/>
    <n v="20.471"/>
  </r>
  <r>
    <n v="200"/>
    <x v="3"/>
    <x v="124"/>
    <x v="5"/>
    <s v="Percent of GDP"/>
    <s v="Units"/>
    <x v="6"/>
    <n v="18.446000000000002"/>
  </r>
  <r>
    <n v="603"/>
    <x v="12"/>
    <x v="80"/>
    <x v="3"/>
    <s v="Percent of GDP"/>
    <s v="Units"/>
    <x v="0"/>
    <n v="17.198"/>
  </r>
  <r>
    <n v="603"/>
    <x v="12"/>
    <x v="80"/>
    <x v="3"/>
    <s v="Percent of GDP"/>
    <s v="Units"/>
    <x v="1"/>
    <n v="20.37"/>
  </r>
  <r>
    <n v="603"/>
    <x v="12"/>
    <x v="80"/>
    <x v="3"/>
    <s v="Percent of GDP"/>
    <s v="Units"/>
    <x v="2"/>
    <n v="20.454000000000001"/>
  </r>
  <r>
    <n v="603"/>
    <x v="12"/>
    <x v="80"/>
    <x v="3"/>
    <s v="Percent of GDP"/>
    <s v="Units"/>
    <x v="3"/>
    <n v="21.556000000000001"/>
  </r>
  <r>
    <n v="603"/>
    <x v="12"/>
    <x v="80"/>
    <x v="3"/>
    <s v="Percent of GDP"/>
    <s v="Units"/>
    <x v="4"/>
    <n v="21.192"/>
  </r>
  <r>
    <n v="603"/>
    <x v="12"/>
    <x v="80"/>
    <x v="3"/>
    <s v="Percent of GDP"/>
    <s v="Units"/>
    <x v="5"/>
    <n v="20.443999999999999"/>
  </r>
  <r>
    <n v="603"/>
    <x v="12"/>
    <x v="80"/>
    <x v="3"/>
    <s v="Percent of GDP"/>
    <s v="Units"/>
    <x v="6"/>
    <n v="19.928999999999998"/>
  </r>
  <r>
    <n v="200"/>
    <x v="3"/>
    <x v="80"/>
    <x v="3"/>
    <s v="Percent of GDP"/>
    <s v="Units"/>
    <x v="0"/>
    <n v="17.198"/>
  </r>
  <r>
    <n v="200"/>
    <x v="3"/>
    <x v="80"/>
    <x v="3"/>
    <s v="Percent of GDP"/>
    <s v="Units"/>
    <x v="1"/>
    <n v="20.37"/>
  </r>
  <r>
    <n v="200"/>
    <x v="3"/>
    <x v="80"/>
    <x v="3"/>
    <s v="Percent of GDP"/>
    <s v="Units"/>
    <x v="2"/>
    <n v="20.454000000000001"/>
  </r>
  <r>
    <n v="200"/>
    <x v="3"/>
    <x v="80"/>
    <x v="3"/>
    <s v="Percent of GDP"/>
    <s v="Units"/>
    <x v="3"/>
    <n v="21.556000000000001"/>
  </r>
  <r>
    <n v="200"/>
    <x v="3"/>
    <x v="80"/>
    <x v="3"/>
    <s v="Percent of GDP"/>
    <s v="Units"/>
    <x v="4"/>
    <n v="21.192"/>
  </r>
  <r>
    <n v="200"/>
    <x v="3"/>
    <x v="80"/>
    <x v="3"/>
    <s v="Percent of GDP"/>
    <s v="Units"/>
    <x v="5"/>
    <n v="20.443999999999999"/>
  </r>
  <r>
    <n v="200"/>
    <x v="3"/>
    <x v="80"/>
    <x v="3"/>
    <s v="Percent of GDP"/>
    <s v="Units"/>
    <x v="6"/>
    <n v="19.928999999999998"/>
  </r>
  <r>
    <n v="200"/>
    <x v="3"/>
    <x v="48"/>
    <x v="7"/>
    <s v="Percent of GDP"/>
    <s v="Units"/>
    <x v="0"/>
    <n v="21.823"/>
  </r>
  <r>
    <n v="200"/>
    <x v="3"/>
    <x v="48"/>
    <x v="7"/>
    <s v="Percent of GDP"/>
    <s v="Units"/>
    <x v="1"/>
    <n v="19.928999999999998"/>
  </r>
  <r>
    <n v="200"/>
    <x v="3"/>
    <x v="48"/>
    <x v="7"/>
    <s v="Percent of GDP"/>
    <s v="Units"/>
    <x v="2"/>
    <n v="21.73"/>
  </r>
  <r>
    <n v="200"/>
    <x v="3"/>
    <x v="48"/>
    <x v="7"/>
    <s v="Percent of GDP"/>
    <s v="Units"/>
    <x v="3"/>
    <n v="22.114999999999998"/>
  </r>
  <r>
    <n v="200"/>
    <x v="3"/>
    <x v="48"/>
    <x v="7"/>
    <s v="Percent of GDP"/>
    <s v="Units"/>
    <x v="4"/>
    <n v="19.158000000000001"/>
  </r>
  <r>
    <n v="200"/>
    <x v="3"/>
    <x v="48"/>
    <x v="7"/>
    <s v="Percent of GDP"/>
    <s v="Units"/>
    <x v="5"/>
    <n v="20.382999999999999"/>
  </r>
  <r>
    <n v="200"/>
    <x v="3"/>
    <x v="48"/>
    <x v="7"/>
    <s v="Percent of GDP"/>
    <s v="Units"/>
    <x v="6"/>
    <n v="20.827999999999999"/>
  </r>
  <r>
    <n v="1"/>
    <x v="2"/>
    <x v="48"/>
    <x v="7"/>
    <s v="Percent of GDP"/>
    <s v="Units"/>
    <x v="0"/>
    <n v="21.823"/>
  </r>
  <r>
    <n v="1"/>
    <x v="2"/>
    <x v="48"/>
    <x v="7"/>
    <s v="Percent of GDP"/>
    <s v="Units"/>
    <x v="1"/>
    <n v="19.928999999999998"/>
  </r>
  <r>
    <n v="1"/>
    <x v="2"/>
    <x v="48"/>
    <x v="7"/>
    <s v="Percent of GDP"/>
    <s v="Units"/>
    <x v="2"/>
    <n v="21.73"/>
  </r>
  <r>
    <n v="1"/>
    <x v="2"/>
    <x v="48"/>
    <x v="7"/>
    <s v="Percent of GDP"/>
    <s v="Units"/>
    <x v="3"/>
    <n v="22.114999999999998"/>
  </r>
  <r>
    <n v="1"/>
    <x v="2"/>
    <x v="48"/>
    <x v="7"/>
    <s v="Percent of GDP"/>
    <s v="Units"/>
    <x v="4"/>
    <n v="19.158000000000001"/>
  </r>
  <r>
    <n v="1"/>
    <x v="2"/>
    <x v="48"/>
    <x v="7"/>
    <s v="Percent of GDP"/>
    <s v="Units"/>
    <x v="5"/>
    <n v="20.382999999999999"/>
  </r>
  <r>
    <n v="1"/>
    <x v="2"/>
    <x v="48"/>
    <x v="7"/>
    <s v="Percent of GDP"/>
    <s v="Units"/>
    <x v="6"/>
    <n v="20.827999999999999"/>
  </r>
  <r>
    <n v="205"/>
    <x v="7"/>
    <x v="48"/>
    <x v="7"/>
    <s v="Percent of GDP"/>
    <s v="Units"/>
    <x v="0"/>
    <n v="21.823"/>
  </r>
  <r>
    <n v="205"/>
    <x v="7"/>
    <x v="48"/>
    <x v="7"/>
    <s v="Percent of GDP"/>
    <s v="Units"/>
    <x v="1"/>
    <n v="19.928999999999998"/>
  </r>
  <r>
    <n v="205"/>
    <x v="7"/>
    <x v="48"/>
    <x v="7"/>
    <s v="Percent of GDP"/>
    <s v="Units"/>
    <x v="2"/>
    <n v="21.73"/>
  </r>
  <r>
    <n v="205"/>
    <x v="7"/>
    <x v="48"/>
    <x v="7"/>
    <s v="Percent of GDP"/>
    <s v="Units"/>
    <x v="3"/>
    <n v="22.114999999999998"/>
  </r>
  <r>
    <n v="205"/>
    <x v="7"/>
    <x v="48"/>
    <x v="7"/>
    <s v="Percent of GDP"/>
    <s v="Units"/>
    <x v="4"/>
    <n v="19.158000000000001"/>
  </r>
  <r>
    <n v="205"/>
    <x v="7"/>
    <x v="48"/>
    <x v="7"/>
    <s v="Percent of GDP"/>
    <s v="Units"/>
    <x v="5"/>
    <n v="20.382999999999999"/>
  </r>
  <r>
    <n v="205"/>
    <x v="7"/>
    <x v="48"/>
    <x v="7"/>
    <s v="Percent of GDP"/>
    <s v="Units"/>
    <x v="6"/>
    <n v="20.827999999999999"/>
  </r>
  <r>
    <n v="603"/>
    <x v="12"/>
    <x v="184"/>
    <x v="3"/>
    <s v="Percent of GDP"/>
    <s v="Units"/>
    <x v="0"/>
    <n v="18.797000000000001"/>
  </r>
  <r>
    <n v="603"/>
    <x v="12"/>
    <x v="184"/>
    <x v="3"/>
    <s v="Percent of GDP"/>
    <s v="Units"/>
    <x v="1"/>
    <n v="25.033999999999999"/>
  </r>
  <r>
    <n v="603"/>
    <x v="12"/>
    <x v="184"/>
    <x v="3"/>
    <s v="Percent of GDP"/>
    <s v="Units"/>
    <x v="2"/>
    <n v="24.957000000000001"/>
  </r>
  <r>
    <n v="603"/>
    <x v="12"/>
    <x v="184"/>
    <x v="3"/>
    <s v="Percent of GDP"/>
    <s v="Units"/>
    <x v="3"/>
    <n v="21.306000000000001"/>
  </r>
  <r>
    <n v="603"/>
    <x v="12"/>
    <x v="184"/>
    <x v="3"/>
    <s v="Percent of GDP"/>
    <s v="Units"/>
    <x v="4"/>
    <n v="21.518000000000001"/>
  </r>
  <r>
    <n v="603"/>
    <x v="12"/>
    <x v="184"/>
    <x v="3"/>
    <s v="Percent of GDP"/>
    <s v="Units"/>
    <x v="5"/>
    <n v="20.29"/>
  </r>
  <r>
    <n v="603"/>
    <x v="12"/>
    <x v="184"/>
    <x v="3"/>
    <s v="Percent of GDP"/>
    <s v="Units"/>
    <x v="6"/>
    <n v="19.196000000000002"/>
  </r>
  <r>
    <n v="200"/>
    <x v="3"/>
    <x v="184"/>
    <x v="3"/>
    <s v="Percent of GDP"/>
    <s v="Units"/>
    <x v="0"/>
    <n v="18.797000000000001"/>
  </r>
  <r>
    <n v="200"/>
    <x v="3"/>
    <x v="184"/>
    <x v="3"/>
    <s v="Percent of GDP"/>
    <s v="Units"/>
    <x v="1"/>
    <n v="25.033999999999999"/>
  </r>
  <r>
    <n v="200"/>
    <x v="3"/>
    <x v="184"/>
    <x v="3"/>
    <s v="Percent of GDP"/>
    <s v="Units"/>
    <x v="2"/>
    <n v="24.957000000000001"/>
  </r>
  <r>
    <n v="200"/>
    <x v="3"/>
    <x v="184"/>
    <x v="3"/>
    <s v="Percent of GDP"/>
    <s v="Units"/>
    <x v="3"/>
    <n v="21.306000000000001"/>
  </r>
  <r>
    <n v="200"/>
    <x v="3"/>
    <x v="184"/>
    <x v="3"/>
    <s v="Percent of GDP"/>
    <s v="Units"/>
    <x v="4"/>
    <n v="21.518000000000001"/>
  </r>
  <r>
    <n v="200"/>
    <x v="3"/>
    <x v="184"/>
    <x v="3"/>
    <s v="Percent of GDP"/>
    <s v="Units"/>
    <x v="5"/>
    <n v="20.29"/>
  </r>
  <r>
    <n v="200"/>
    <x v="3"/>
    <x v="184"/>
    <x v="3"/>
    <s v="Percent of GDP"/>
    <s v="Units"/>
    <x v="6"/>
    <n v="19.196000000000002"/>
  </r>
  <r>
    <n v="200"/>
    <x v="3"/>
    <x v="154"/>
    <x v="5"/>
    <s v="Percent of GDP"/>
    <s v="Units"/>
    <x v="0"/>
    <n v="14.742000000000001"/>
  </r>
  <r>
    <n v="200"/>
    <x v="3"/>
    <x v="154"/>
    <x v="5"/>
    <s v="Percent of GDP"/>
    <s v="Units"/>
    <x v="1"/>
    <n v="13.991"/>
  </r>
  <r>
    <n v="200"/>
    <x v="3"/>
    <x v="154"/>
    <x v="5"/>
    <s v="Percent of GDP"/>
    <s v="Units"/>
    <x v="2"/>
    <n v="16.661000000000001"/>
  </r>
  <r>
    <n v="200"/>
    <x v="3"/>
    <x v="154"/>
    <x v="5"/>
    <s v="Percent of GDP"/>
    <s v="Units"/>
    <x v="3"/>
    <n v="17.896999999999998"/>
  </r>
  <r>
    <n v="200"/>
    <x v="3"/>
    <x v="154"/>
    <x v="5"/>
    <s v="Percent of GDP"/>
    <s v="Units"/>
    <x v="4"/>
    <n v="20.228999999999999"/>
  </r>
  <r>
    <n v="200"/>
    <x v="3"/>
    <x v="154"/>
    <x v="5"/>
    <s v="Percent of GDP"/>
    <s v="Units"/>
    <x v="5"/>
    <n v="20.271999999999998"/>
  </r>
  <r>
    <n v="200"/>
    <x v="3"/>
    <x v="154"/>
    <x v="5"/>
    <s v="Percent of GDP"/>
    <s v="Units"/>
    <x v="6"/>
    <n v="19.614000000000001"/>
  </r>
  <r>
    <n v="903"/>
    <x v="8"/>
    <x v="154"/>
    <x v="5"/>
    <s v="Percent of GDP"/>
    <s v="Units"/>
    <x v="0"/>
    <n v="14.742000000000001"/>
  </r>
  <r>
    <n v="903"/>
    <x v="8"/>
    <x v="154"/>
    <x v="5"/>
    <s v="Percent of GDP"/>
    <s v="Units"/>
    <x v="1"/>
    <n v="13.991"/>
  </r>
  <r>
    <n v="903"/>
    <x v="8"/>
    <x v="154"/>
    <x v="5"/>
    <s v="Percent of GDP"/>
    <s v="Units"/>
    <x v="2"/>
    <n v="16.661000000000001"/>
  </r>
  <r>
    <n v="903"/>
    <x v="8"/>
    <x v="154"/>
    <x v="5"/>
    <s v="Percent of GDP"/>
    <s v="Units"/>
    <x v="3"/>
    <n v="17.896999999999998"/>
  </r>
  <r>
    <n v="903"/>
    <x v="8"/>
    <x v="154"/>
    <x v="5"/>
    <s v="Percent of GDP"/>
    <s v="Units"/>
    <x v="4"/>
    <n v="20.228999999999999"/>
  </r>
  <r>
    <n v="903"/>
    <x v="8"/>
    <x v="154"/>
    <x v="5"/>
    <s v="Percent of GDP"/>
    <s v="Units"/>
    <x v="5"/>
    <n v="20.271999999999998"/>
  </r>
  <r>
    <n v="903"/>
    <x v="8"/>
    <x v="154"/>
    <x v="5"/>
    <s v="Percent of GDP"/>
    <s v="Units"/>
    <x v="6"/>
    <n v="19.614000000000001"/>
  </r>
  <r>
    <n v="1"/>
    <x v="2"/>
    <x v="154"/>
    <x v="5"/>
    <s v="Percent of GDP"/>
    <s v="Units"/>
    <x v="0"/>
    <n v="14.742000000000001"/>
  </r>
  <r>
    <n v="1"/>
    <x v="2"/>
    <x v="154"/>
    <x v="5"/>
    <s v="Percent of GDP"/>
    <s v="Units"/>
    <x v="1"/>
    <n v="13.991"/>
  </r>
  <r>
    <n v="1"/>
    <x v="2"/>
    <x v="154"/>
    <x v="5"/>
    <s v="Percent of GDP"/>
    <s v="Units"/>
    <x v="2"/>
    <n v="16.661000000000001"/>
  </r>
  <r>
    <n v="1"/>
    <x v="2"/>
    <x v="154"/>
    <x v="5"/>
    <s v="Percent of GDP"/>
    <s v="Units"/>
    <x v="3"/>
    <n v="17.896999999999998"/>
  </r>
  <r>
    <n v="1"/>
    <x v="2"/>
    <x v="154"/>
    <x v="5"/>
    <s v="Percent of GDP"/>
    <s v="Units"/>
    <x v="4"/>
    <n v="20.228999999999999"/>
  </r>
  <r>
    <n v="1"/>
    <x v="2"/>
    <x v="154"/>
    <x v="5"/>
    <s v="Percent of GDP"/>
    <s v="Units"/>
    <x v="5"/>
    <n v="20.271999999999998"/>
  </r>
  <r>
    <n v="1"/>
    <x v="2"/>
    <x v="154"/>
    <x v="5"/>
    <s v="Percent of GDP"/>
    <s v="Units"/>
    <x v="6"/>
    <n v="19.614000000000001"/>
  </r>
  <r>
    <n v="1"/>
    <x v="2"/>
    <x v="155"/>
    <x v="5"/>
    <s v="Percent of GDP"/>
    <s v="Units"/>
    <x v="0"/>
    <n v="15.878"/>
  </r>
  <r>
    <n v="1"/>
    <x v="2"/>
    <x v="155"/>
    <x v="5"/>
    <s v="Percent of GDP"/>
    <s v="Units"/>
    <x v="1"/>
    <n v="20.841999999999999"/>
  </r>
  <r>
    <n v="1"/>
    <x v="2"/>
    <x v="155"/>
    <x v="5"/>
    <s v="Percent of GDP"/>
    <s v="Units"/>
    <x v="2"/>
    <n v="24.984000000000002"/>
  </r>
  <r>
    <n v="1"/>
    <x v="2"/>
    <x v="155"/>
    <x v="5"/>
    <s v="Percent of GDP"/>
    <s v="Units"/>
    <x v="3"/>
    <n v="33.095999999999997"/>
  </r>
  <r>
    <n v="1"/>
    <x v="2"/>
    <x v="155"/>
    <x v="5"/>
    <s v="Percent of GDP"/>
    <s v="Units"/>
    <x v="4"/>
    <n v="17.692"/>
  </r>
  <r>
    <n v="1"/>
    <x v="2"/>
    <x v="155"/>
    <x v="5"/>
    <s v="Percent of GDP"/>
    <s v="Units"/>
    <x v="5"/>
    <n v="20.193999999999999"/>
  </r>
  <r>
    <n v="1"/>
    <x v="2"/>
    <x v="155"/>
    <x v="5"/>
    <s v="Percent of GDP"/>
    <s v="Units"/>
    <x v="6"/>
    <n v="21.692"/>
  </r>
  <r>
    <n v="400"/>
    <x v="11"/>
    <x v="155"/>
    <x v="5"/>
    <s v="Percent of GDP"/>
    <s v="Units"/>
    <x v="0"/>
    <n v="15.878"/>
  </r>
  <r>
    <n v="400"/>
    <x v="11"/>
    <x v="155"/>
    <x v="5"/>
    <s v="Percent of GDP"/>
    <s v="Units"/>
    <x v="1"/>
    <n v="20.841999999999999"/>
  </r>
  <r>
    <n v="400"/>
    <x v="11"/>
    <x v="155"/>
    <x v="5"/>
    <s v="Percent of GDP"/>
    <s v="Units"/>
    <x v="2"/>
    <n v="24.984000000000002"/>
  </r>
  <r>
    <n v="400"/>
    <x v="11"/>
    <x v="155"/>
    <x v="5"/>
    <s v="Percent of GDP"/>
    <s v="Units"/>
    <x v="3"/>
    <n v="33.095999999999997"/>
  </r>
  <r>
    <n v="400"/>
    <x v="11"/>
    <x v="155"/>
    <x v="5"/>
    <s v="Percent of GDP"/>
    <s v="Units"/>
    <x v="4"/>
    <n v="17.692"/>
  </r>
  <r>
    <n v="400"/>
    <x v="11"/>
    <x v="155"/>
    <x v="5"/>
    <s v="Percent of GDP"/>
    <s v="Units"/>
    <x v="5"/>
    <n v="20.193999999999999"/>
  </r>
  <r>
    <n v="400"/>
    <x v="11"/>
    <x v="155"/>
    <x v="5"/>
    <s v="Percent of GDP"/>
    <s v="Units"/>
    <x v="6"/>
    <n v="21.692"/>
  </r>
  <r>
    <n v="200"/>
    <x v="3"/>
    <x v="155"/>
    <x v="5"/>
    <s v="Percent of GDP"/>
    <s v="Units"/>
    <x v="0"/>
    <n v="15.878"/>
  </r>
  <r>
    <n v="200"/>
    <x v="3"/>
    <x v="155"/>
    <x v="5"/>
    <s v="Percent of GDP"/>
    <s v="Units"/>
    <x v="1"/>
    <n v="20.841999999999999"/>
  </r>
  <r>
    <n v="200"/>
    <x v="3"/>
    <x v="155"/>
    <x v="5"/>
    <s v="Percent of GDP"/>
    <s v="Units"/>
    <x v="2"/>
    <n v="24.984000000000002"/>
  </r>
  <r>
    <n v="200"/>
    <x v="3"/>
    <x v="155"/>
    <x v="5"/>
    <s v="Percent of GDP"/>
    <s v="Units"/>
    <x v="3"/>
    <n v="33.095999999999997"/>
  </r>
  <r>
    <n v="200"/>
    <x v="3"/>
    <x v="155"/>
    <x v="5"/>
    <s v="Percent of GDP"/>
    <s v="Units"/>
    <x v="4"/>
    <n v="17.692"/>
  </r>
  <r>
    <n v="200"/>
    <x v="3"/>
    <x v="155"/>
    <x v="5"/>
    <s v="Percent of GDP"/>
    <s v="Units"/>
    <x v="5"/>
    <n v="20.193999999999999"/>
  </r>
  <r>
    <n v="200"/>
    <x v="3"/>
    <x v="155"/>
    <x v="5"/>
    <s v="Percent of GDP"/>
    <s v="Units"/>
    <x v="6"/>
    <n v="21.692"/>
  </r>
  <r>
    <n v="505"/>
    <x v="4"/>
    <x v="4"/>
    <x v="2"/>
    <s v="Percent of GDP"/>
    <s v="Units"/>
    <x v="0"/>
    <n v="19.152000000000001"/>
  </r>
  <r>
    <n v="505"/>
    <x v="4"/>
    <x v="4"/>
    <x v="2"/>
    <s v="Percent of GDP"/>
    <s v="Units"/>
    <x v="1"/>
    <n v="18.155000000000001"/>
  </r>
  <r>
    <n v="505"/>
    <x v="4"/>
    <x v="4"/>
    <x v="2"/>
    <s v="Percent of GDP"/>
    <s v="Units"/>
    <x v="2"/>
    <n v="20.437999999999999"/>
  </r>
  <r>
    <n v="505"/>
    <x v="4"/>
    <x v="4"/>
    <x v="2"/>
    <s v="Percent of GDP"/>
    <s v="Units"/>
    <x v="3"/>
    <n v="19.785"/>
  </r>
  <r>
    <n v="505"/>
    <x v="4"/>
    <x v="4"/>
    <x v="2"/>
    <s v="Percent of GDP"/>
    <s v="Units"/>
    <x v="4"/>
    <n v="20.155999999999999"/>
  </r>
  <r>
    <n v="505"/>
    <x v="4"/>
    <x v="4"/>
    <x v="2"/>
    <s v="Percent of GDP"/>
    <s v="Units"/>
    <x v="5"/>
    <n v="20.123999999999999"/>
  </r>
  <r>
    <n v="505"/>
    <x v="4"/>
    <x v="4"/>
    <x v="2"/>
    <s v="Percent of GDP"/>
    <s v="Units"/>
    <x v="6"/>
    <n v="20.202999999999999"/>
  </r>
  <r>
    <n v="200"/>
    <x v="3"/>
    <x v="4"/>
    <x v="2"/>
    <s v="Percent of GDP"/>
    <s v="Units"/>
    <x v="0"/>
    <n v="19.152000000000001"/>
  </r>
  <r>
    <n v="200"/>
    <x v="3"/>
    <x v="4"/>
    <x v="2"/>
    <s v="Percent of GDP"/>
    <s v="Units"/>
    <x v="1"/>
    <n v="18.155000000000001"/>
  </r>
  <r>
    <n v="200"/>
    <x v="3"/>
    <x v="4"/>
    <x v="2"/>
    <s v="Percent of GDP"/>
    <s v="Units"/>
    <x v="2"/>
    <n v="20.437999999999999"/>
  </r>
  <r>
    <n v="200"/>
    <x v="3"/>
    <x v="4"/>
    <x v="2"/>
    <s v="Percent of GDP"/>
    <s v="Units"/>
    <x v="3"/>
    <n v="19.785"/>
  </r>
  <r>
    <n v="200"/>
    <x v="3"/>
    <x v="4"/>
    <x v="2"/>
    <s v="Percent of GDP"/>
    <s v="Units"/>
    <x v="4"/>
    <n v="20.155999999999999"/>
  </r>
  <r>
    <n v="200"/>
    <x v="3"/>
    <x v="4"/>
    <x v="2"/>
    <s v="Percent of GDP"/>
    <s v="Units"/>
    <x v="5"/>
    <n v="20.123999999999999"/>
  </r>
  <r>
    <n v="200"/>
    <x v="3"/>
    <x v="4"/>
    <x v="2"/>
    <s v="Percent of GDP"/>
    <s v="Units"/>
    <x v="6"/>
    <n v="20.202999999999999"/>
  </r>
  <r>
    <n v="205"/>
    <x v="7"/>
    <x v="151"/>
    <x v="0"/>
    <s v="U.S. dollars"/>
    <s v="Billions"/>
    <x v="0"/>
    <n v="15.808"/>
  </r>
  <r>
    <n v="205"/>
    <x v="7"/>
    <x v="151"/>
    <x v="0"/>
    <s v="U.S. dollars"/>
    <s v="Billions"/>
    <x v="1"/>
    <n v="13.885"/>
  </r>
  <r>
    <n v="205"/>
    <x v="7"/>
    <x v="151"/>
    <x v="0"/>
    <s v="U.S. dollars"/>
    <s v="Billions"/>
    <x v="2"/>
    <n v="14.673999999999999"/>
  </r>
  <r>
    <n v="205"/>
    <x v="7"/>
    <x v="151"/>
    <x v="0"/>
    <s v="U.S. dollars"/>
    <s v="Billions"/>
    <x v="3"/>
    <n v="17.003"/>
  </r>
  <r>
    <n v="205"/>
    <x v="7"/>
    <x v="151"/>
    <x v="0"/>
    <s v="U.S. dollars"/>
    <s v="Billions"/>
    <x v="4"/>
    <n v="18.884"/>
  </r>
  <r>
    <n v="205"/>
    <x v="7"/>
    <x v="151"/>
    <x v="0"/>
    <s v="U.S. dollars"/>
    <s v="Billions"/>
    <x v="5"/>
    <n v="20.097999999999999"/>
  </r>
  <r>
    <n v="205"/>
    <x v="7"/>
    <x v="151"/>
    <x v="0"/>
    <s v="U.S. dollars"/>
    <s v="Billions"/>
    <x v="6"/>
    <n v="20.856000000000002"/>
  </r>
  <r>
    <n v="200"/>
    <x v="3"/>
    <x v="151"/>
    <x v="0"/>
    <s v="U.S. dollars"/>
    <s v="Billions"/>
    <x v="0"/>
    <n v="15.808"/>
  </r>
  <r>
    <n v="200"/>
    <x v="3"/>
    <x v="151"/>
    <x v="0"/>
    <s v="U.S. dollars"/>
    <s v="Billions"/>
    <x v="1"/>
    <n v="13.885"/>
  </r>
  <r>
    <n v="200"/>
    <x v="3"/>
    <x v="151"/>
    <x v="0"/>
    <s v="U.S. dollars"/>
    <s v="Billions"/>
    <x v="2"/>
    <n v="14.673999999999999"/>
  </r>
  <r>
    <n v="200"/>
    <x v="3"/>
    <x v="151"/>
    <x v="0"/>
    <s v="U.S. dollars"/>
    <s v="Billions"/>
    <x v="3"/>
    <n v="17.003"/>
  </r>
  <r>
    <n v="200"/>
    <x v="3"/>
    <x v="151"/>
    <x v="0"/>
    <s v="U.S. dollars"/>
    <s v="Billions"/>
    <x v="4"/>
    <n v="18.884"/>
  </r>
  <r>
    <n v="200"/>
    <x v="3"/>
    <x v="151"/>
    <x v="0"/>
    <s v="U.S. dollars"/>
    <s v="Billions"/>
    <x v="5"/>
    <n v="20.097999999999999"/>
  </r>
  <r>
    <n v="200"/>
    <x v="3"/>
    <x v="151"/>
    <x v="0"/>
    <s v="U.S. dollars"/>
    <s v="Billions"/>
    <x v="6"/>
    <n v="20.856000000000002"/>
  </r>
  <r>
    <n v="1"/>
    <x v="2"/>
    <x v="151"/>
    <x v="0"/>
    <s v="U.S. dollars"/>
    <s v="Billions"/>
    <x v="0"/>
    <n v="15.808"/>
  </r>
  <r>
    <n v="1"/>
    <x v="2"/>
    <x v="151"/>
    <x v="0"/>
    <s v="U.S. dollars"/>
    <s v="Billions"/>
    <x v="1"/>
    <n v="13.885"/>
  </r>
  <r>
    <n v="1"/>
    <x v="2"/>
    <x v="151"/>
    <x v="0"/>
    <s v="U.S. dollars"/>
    <s v="Billions"/>
    <x v="2"/>
    <n v="14.673999999999999"/>
  </r>
  <r>
    <n v="1"/>
    <x v="2"/>
    <x v="151"/>
    <x v="0"/>
    <s v="U.S. dollars"/>
    <s v="Billions"/>
    <x v="3"/>
    <n v="17.003"/>
  </r>
  <r>
    <n v="1"/>
    <x v="2"/>
    <x v="151"/>
    <x v="0"/>
    <s v="U.S. dollars"/>
    <s v="Billions"/>
    <x v="4"/>
    <n v="18.884"/>
  </r>
  <r>
    <n v="1"/>
    <x v="2"/>
    <x v="151"/>
    <x v="0"/>
    <s v="U.S. dollars"/>
    <s v="Billions"/>
    <x v="5"/>
    <n v="20.097999999999999"/>
  </r>
  <r>
    <n v="1"/>
    <x v="2"/>
    <x v="151"/>
    <x v="0"/>
    <s v="U.S. dollars"/>
    <s v="Billions"/>
    <x v="6"/>
    <n v="20.856000000000002"/>
  </r>
  <r>
    <n v="603"/>
    <x v="12"/>
    <x v="168"/>
    <x v="2"/>
    <s v="Percent of GDP"/>
    <s v="Units"/>
    <x v="0"/>
    <n v="21.189"/>
  </r>
  <r>
    <n v="603"/>
    <x v="12"/>
    <x v="168"/>
    <x v="2"/>
    <s v="Percent of GDP"/>
    <s v="Units"/>
    <x v="1"/>
    <n v="22.978999999999999"/>
  </r>
  <r>
    <n v="603"/>
    <x v="12"/>
    <x v="168"/>
    <x v="2"/>
    <s v="Percent of GDP"/>
    <s v="Units"/>
    <x v="2"/>
    <n v="16.73"/>
  </r>
  <r>
    <n v="603"/>
    <x v="12"/>
    <x v="168"/>
    <x v="2"/>
    <s v="Percent of GDP"/>
    <s v="Units"/>
    <x v="3"/>
    <n v="17.372"/>
  </r>
  <r>
    <n v="603"/>
    <x v="12"/>
    <x v="168"/>
    <x v="2"/>
    <s v="Percent of GDP"/>
    <s v="Units"/>
    <x v="4"/>
    <n v="21.61"/>
  </r>
  <r>
    <n v="603"/>
    <x v="12"/>
    <x v="168"/>
    <x v="2"/>
    <s v="Percent of GDP"/>
    <s v="Units"/>
    <x v="5"/>
    <n v="20.091999999999999"/>
  </r>
  <r>
    <n v="603"/>
    <x v="12"/>
    <x v="168"/>
    <x v="2"/>
    <s v="Percent of GDP"/>
    <s v="Units"/>
    <x v="6"/>
    <n v="19.585000000000001"/>
  </r>
  <r>
    <n v="200"/>
    <x v="3"/>
    <x v="168"/>
    <x v="2"/>
    <s v="Percent of GDP"/>
    <s v="Units"/>
    <x v="0"/>
    <n v="21.189"/>
  </r>
  <r>
    <n v="200"/>
    <x v="3"/>
    <x v="168"/>
    <x v="2"/>
    <s v="Percent of GDP"/>
    <s v="Units"/>
    <x v="1"/>
    <n v="22.978999999999999"/>
  </r>
  <r>
    <n v="200"/>
    <x v="3"/>
    <x v="168"/>
    <x v="2"/>
    <s v="Percent of GDP"/>
    <s v="Units"/>
    <x v="2"/>
    <n v="16.73"/>
  </r>
  <r>
    <n v="200"/>
    <x v="3"/>
    <x v="168"/>
    <x v="2"/>
    <s v="Percent of GDP"/>
    <s v="Units"/>
    <x v="3"/>
    <n v="17.372"/>
  </r>
  <r>
    <n v="200"/>
    <x v="3"/>
    <x v="168"/>
    <x v="2"/>
    <s v="Percent of GDP"/>
    <s v="Units"/>
    <x v="4"/>
    <n v="21.61"/>
  </r>
  <r>
    <n v="200"/>
    <x v="3"/>
    <x v="168"/>
    <x v="2"/>
    <s v="Percent of GDP"/>
    <s v="Units"/>
    <x v="5"/>
    <n v="20.091999999999999"/>
  </r>
  <r>
    <n v="200"/>
    <x v="3"/>
    <x v="168"/>
    <x v="2"/>
    <s v="Percent of GDP"/>
    <s v="Units"/>
    <x v="6"/>
    <n v="19.585000000000001"/>
  </r>
  <r>
    <n v="505"/>
    <x v="4"/>
    <x v="26"/>
    <x v="2"/>
    <s v="Percent of GDP"/>
    <s v="Units"/>
    <x v="0"/>
    <n v="20.981000000000002"/>
  </r>
  <r>
    <n v="505"/>
    <x v="4"/>
    <x v="26"/>
    <x v="2"/>
    <s v="Percent of GDP"/>
    <s v="Units"/>
    <x v="1"/>
    <n v="20.43"/>
  </r>
  <r>
    <n v="505"/>
    <x v="4"/>
    <x v="26"/>
    <x v="2"/>
    <s v="Percent of GDP"/>
    <s v="Units"/>
    <x v="2"/>
    <n v="20.021000000000001"/>
  </r>
  <r>
    <n v="505"/>
    <x v="4"/>
    <x v="26"/>
    <x v="2"/>
    <s v="Percent of GDP"/>
    <s v="Units"/>
    <x v="3"/>
    <n v="20.056000000000001"/>
  </r>
  <r>
    <n v="505"/>
    <x v="4"/>
    <x v="26"/>
    <x v="2"/>
    <s v="Percent of GDP"/>
    <s v="Units"/>
    <x v="4"/>
    <n v="19.988"/>
  </r>
  <r>
    <n v="505"/>
    <x v="4"/>
    <x v="26"/>
    <x v="2"/>
    <s v="Percent of GDP"/>
    <s v="Units"/>
    <x v="5"/>
    <n v="20.091000000000001"/>
  </r>
  <r>
    <n v="505"/>
    <x v="4"/>
    <x v="26"/>
    <x v="2"/>
    <s v="Percent of GDP"/>
    <s v="Units"/>
    <x v="6"/>
    <n v="20.265999999999998"/>
  </r>
  <r>
    <n v="510"/>
    <x v="10"/>
    <x v="26"/>
    <x v="2"/>
    <s v="Percent of GDP"/>
    <s v="Units"/>
    <x v="0"/>
    <n v="20.981000000000002"/>
  </r>
  <r>
    <n v="510"/>
    <x v="10"/>
    <x v="26"/>
    <x v="2"/>
    <s v="Percent of GDP"/>
    <s v="Units"/>
    <x v="1"/>
    <n v="20.43"/>
  </r>
  <r>
    <n v="510"/>
    <x v="10"/>
    <x v="26"/>
    <x v="2"/>
    <s v="Percent of GDP"/>
    <s v="Units"/>
    <x v="2"/>
    <n v="20.021000000000001"/>
  </r>
  <r>
    <n v="510"/>
    <x v="10"/>
    <x v="26"/>
    <x v="2"/>
    <s v="Percent of GDP"/>
    <s v="Units"/>
    <x v="3"/>
    <n v="20.056000000000001"/>
  </r>
  <r>
    <n v="510"/>
    <x v="10"/>
    <x v="26"/>
    <x v="2"/>
    <s v="Percent of GDP"/>
    <s v="Units"/>
    <x v="4"/>
    <n v="19.988"/>
  </r>
  <r>
    <n v="510"/>
    <x v="10"/>
    <x v="26"/>
    <x v="2"/>
    <s v="Percent of GDP"/>
    <s v="Units"/>
    <x v="5"/>
    <n v="20.091000000000001"/>
  </r>
  <r>
    <n v="510"/>
    <x v="10"/>
    <x v="26"/>
    <x v="2"/>
    <s v="Percent of GDP"/>
    <s v="Units"/>
    <x v="6"/>
    <n v="20.265999999999998"/>
  </r>
  <r>
    <n v="200"/>
    <x v="3"/>
    <x v="26"/>
    <x v="2"/>
    <s v="Percent of GDP"/>
    <s v="Units"/>
    <x v="0"/>
    <n v="20.981000000000002"/>
  </r>
  <r>
    <n v="200"/>
    <x v="3"/>
    <x v="26"/>
    <x v="2"/>
    <s v="Percent of GDP"/>
    <s v="Units"/>
    <x v="1"/>
    <n v="20.43"/>
  </r>
  <r>
    <n v="200"/>
    <x v="3"/>
    <x v="26"/>
    <x v="2"/>
    <s v="Percent of GDP"/>
    <s v="Units"/>
    <x v="2"/>
    <n v="20.021000000000001"/>
  </r>
  <r>
    <n v="200"/>
    <x v="3"/>
    <x v="26"/>
    <x v="2"/>
    <s v="Percent of GDP"/>
    <s v="Units"/>
    <x v="3"/>
    <n v="20.056000000000001"/>
  </r>
  <r>
    <n v="200"/>
    <x v="3"/>
    <x v="26"/>
    <x v="2"/>
    <s v="Percent of GDP"/>
    <s v="Units"/>
    <x v="4"/>
    <n v="19.988"/>
  </r>
  <r>
    <n v="200"/>
    <x v="3"/>
    <x v="26"/>
    <x v="2"/>
    <s v="Percent of GDP"/>
    <s v="Units"/>
    <x v="5"/>
    <n v="20.091000000000001"/>
  </r>
  <r>
    <n v="200"/>
    <x v="3"/>
    <x v="26"/>
    <x v="2"/>
    <s v="Percent of GDP"/>
    <s v="Units"/>
    <x v="6"/>
    <n v="20.265999999999998"/>
  </r>
  <r>
    <n v="200"/>
    <x v="3"/>
    <x v="167"/>
    <x v="7"/>
    <s v="Percent of GDP"/>
    <s v="Units"/>
    <x v="0"/>
    <n v="17.831"/>
  </r>
  <r>
    <n v="200"/>
    <x v="3"/>
    <x v="167"/>
    <x v="7"/>
    <s v="Percent of GDP"/>
    <s v="Units"/>
    <x v="1"/>
    <n v="19.422999999999998"/>
  </r>
  <r>
    <n v="200"/>
    <x v="3"/>
    <x v="167"/>
    <x v="7"/>
    <s v="Percent of GDP"/>
    <s v="Units"/>
    <x v="2"/>
    <n v="23.364999999999998"/>
  </r>
  <r>
    <n v="200"/>
    <x v="3"/>
    <x v="167"/>
    <x v="7"/>
    <s v="Percent of GDP"/>
    <s v="Units"/>
    <x v="3"/>
    <n v="21.928000000000001"/>
  </r>
  <r>
    <n v="200"/>
    <x v="3"/>
    <x v="167"/>
    <x v="7"/>
    <s v="Percent of GDP"/>
    <s v="Units"/>
    <x v="4"/>
    <n v="20.597000000000001"/>
  </r>
  <r>
    <n v="200"/>
    <x v="3"/>
    <x v="167"/>
    <x v="7"/>
    <s v="Percent of GDP"/>
    <s v="Units"/>
    <x v="5"/>
    <n v="20.074000000000002"/>
  </r>
  <r>
    <n v="200"/>
    <x v="3"/>
    <x v="167"/>
    <x v="7"/>
    <s v="Percent of GDP"/>
    <s v="Units"/>
    <x v="6"/>
    <n v="20.251000000000001"/>
  </r>
  <r>
    <n v="205"/>
    <x v="7"/>
    <x v="167"/>
    <x v="7"/>
    <s v="Percent of GDP"/>
    <s v="Units"/>
    <x v="0"/>
    <n v="17.831"/>
  </r>
  <r>
    <n v="205"/>
    <x v="7"/>
    <x v="167"/>
    <x v="7"/>
    <s v="Percent of GDP"/>
    <s v="Units"/>
    <x v="1"/>
    <n v="19.422999999999998"/>
  </r>
  <r>
    <n v="205"/>
    <x v="7"/>
    <x v="167"/>
    <x v="7"/>
    <s v="Percent of GDP"/>
    <s v="Units"/>
    <x v="2"/>
    <n v="23.364999999999998"/>
  </r>
  <r>
    <n v="205"/>
    <x v="7"/>
    <x v="167"/>
    <x v="7"/>
    <s v="Percent of GDP"/>
    <s v="Units"/>
    <x v="3"/>
    <n v="21.928000000000001"/>
  </r>
  <r>
    <n v="205"/>
    <x v="7"/>
    <x v="167"/>
    <x v="7"/>
    <s v="Percent of GDP"/>
    <s v="Units"/>
    <x v="4"/>
    <n v="20.597000000000001"/>
  </r>
  <r>
    <n v="205"/>
    <x v="7"/>
    <x v="167"/>
    <x v="7"/>
    <s v="Percent of GDP"/>
    <s v="Units"/>
    <x v="5"/>
    <n v="20.074000000000002"/>
  </r>
  <r>
    <n v="205"/>
    <x v="7"/>
    <x v="167"/>
    <x v="7"/>
    <s v="Percent of GDP"/>
    <s v="Units"/>
    <x v="6"/>
    <n v="20.251000000000001"/>
  </r>
  <r>
    <n v="1"/>
    <x v="2"/>
    <x v="167"/>
    <x v="7"/>
    <s v="Percent of GDP"/>
    <s v="Units"/>
    <x v="0"/>
    <n v="17.831"/>
  </r>
  <r>
    <n v="1"/>
    <x v="2"/>
    <x v="167"/>
    <x v="7"/>
    <s v="Percent of GDP"/>
    <s v="Units"/>
    <x v="1"/>
    <n v="19.422999999999998"/>
  </r>
  <r>
    <n v="1"/>
    <x v="2"/>
    <x v="167"/>
    <x v="7"/>
    <s v="Percent of GDP"/>
    <s v="Units"/>
    <x v="2"/>
    <n v="23.364999999999998"/>
  </r>
  <r>
    <n v="1"/>
    <x v="2"/>
    <x v="167"/>
    <x v="7"/>
    <s v="Percent of GDP"/>
    <s v="Units"/>
    <x v="3"/>
    <n v="21.928000000000001"/>
  </r>
  <r>
    <n v="1"/>
    <x v="2"/>
    <x v="167"/>
    <x v="7"/>
    <s v="Percent of GDP"/>
    <s v="Units"/>
    <x v="4"/>
    <n v="20.597000000000001"/>
  </r>
  <r>
    <n v="1"/>
    <x v="2"/>
    <x v="167"/>
    <x v="7"/>
    <s v="Percent of GDP"/>
    <s v="Units"/>
    <x v="5"/>
    <n v="20.074000000000002"/>
  </r>
  <r>
    <n v="1"/>
    <x v="2"/>
    <x v="167"/>
    <x v="7"/>
    <s v="Percent of GDP"/>
    <s v="Units"/>
    <x v="6"/>
    <n v="20.251000000000001"/>
  </r>
  <r>
    <n v="200"/>
    <x v="3"/>
    <x v="47"/>
    <x v="2"/>
    <s v="Percent of GDP"/>
    <s v="Units"/>
    <x v="0"/>
    <n v="19.678999999999998"/>
  </r>
  <r>
    <n v="200"/>
    <x v="3"/>
    <x v="47"/>
    <x v="2"/>
    <s v="Percent of GDP"/>
    <s v="Units"/>
    <x v="1"/>
    <n v="17.509"/>
  </r>
  <r>
    <n v="200"/>
    <x v="3"/>
    <x v="47"/>
    <x v="2"/>
    <s v="Percent of GDP"/>
    <s v="Units"/>
    <x v="2"/>
    <n v="17.103999999999999"/>
  </r>
  <r>
    <n v="200"/>
    <x v="3"/>
    <x v="47"/>
    <x v="2"/>
    <s v="Percent of GDP"/>
    <s v="Units"/>
    <x v="3"/>
    <n v="21.823"/>
  </r>
  <r>
    <n v="200"/>
    <x v="3"/>
    <x v="47"/>
    <x v="2"/>
    <s v="Percent of GDP"/>
    <s v="Units"/>
    <x v="4"/>
    <n v="21.905000000000001"/>
  </r>
  <r>
    <n v="200"/>
    <x v="3"/>
    <x v="47"/>
    <x v="2"/>
    <s v="Percent of GDP"/>
    <s v="Units"/>
    <x v="5"/>
    <n v="20.073"/>
  </r>
  <r>
    <n v="200"/>
    <x v="3"/>
    <x v="47"/>
    <x v="2"/>
    <s v="Percent of GDP"/>
    <s v="Units"/>
    <x v="6"/>
    <n v="19.989999999999998"/>
  </r>
  <r>
    <n v="400"/>
    <x v="11"/>
    <x v="47"/>
    <x v="2"/>
    <s v="Percent of GDP"/>
    <s v="Units"/>
    <x v="0"/>
    <n v="19.678999999999998"/>
  </r>
  <r>
    <n v="400"/>
    <x v="11"/>
    <x v="47"/>
    <x v="2"/>
    <s v="Percent of GDP"/>
    <s v="Units"/>
    <x v="1"/>
    <n v="17.509"/>
  </r>
  <r>
    <n v="400"/>
    <x v="11"/>
    <x v="47"/>
    <x v="2"/>
    <s v="Percent of GDP"/>
    <s v="Units"/>
    <x v="2"/>
    <n v="17.103999999999999"/>
  </r>
  <r>
    <n v="400"/>
    <x v="11"/>
    <x v="47"/>
    <x v="2"/>
    <s v="Percent of GDP"/>
    <s v="Units"/>
    <x v="3"/>
    <n v="21.823"/>
  </r>
  <r>
    <n v="400"/>
    <x v="11"/>
    <x v="47"/>
    <x v="2"/>
    <s v="Percent of GDP"/>
    <s v="Units"/>
    <x v="4"/>
    <n v="21.905000000000001"/>
  </r>
  <r>
    <n v="400"/>
    <x v="11"/>
    <x v="47"/>
    <x v="2"/>
    <s v="Percent of GDP"/>
    <s v="Units"/>
    <x v="5"/>
    <n v="20.073"/>
  </r>
  <r>
    <n v="400"/>
    <x v="11"/>
    <x v="47"/>
    <x v="2"/>
    <s v="Percent of GDP"/>
    <s v="Units"/>
    <x v="6"/>
    <n v="19.989999999999998"/>
  </r>
  <r>
    <n v="200"/>
    <x v="3"/>
    <x v="48"/>
    <x v="2"/>
    <s v="Percent of GDP"/>
    <s v="Units"/>
    <x v="0"/>
    <n v="19.786000000000001"/>
  </r>
  <r>
    <n v="200"/>
    <x v="3"/>
    <x v="48"/>
    <x v="2"/>
    <s v="Percent of GDP"/>
    <s v="Units"/>
    <x v="1"/>
    <n v="17.806000000000001"/>
  </r>
  <r>
    <n v="200"/>
    <x v="3"/>
    <x v="48"/>
    <x v="2"/>
    <s v="Percent of GDP"/>
    <s v="Units"/>
    <x v="2"/>
    <n v="20.975999999999999"/>
  </r>
  <r>
    <n v="200"/>
    <x v="3"/>
    <x v="48"/>
    <x v="2"/>
    <s v="Percent of GDP"/>
    <s v="Units"/>
    <x v="3"/>
    <n v="22.016999999999999"/>
  </r>
  <r>
    <n v="200"/>
    <x v="3"/>
    <x v="48"/>
    <x v="2"/>
    <s v="Percent of GDP"/>
    <s v="Units"/>
    <x v="4"/>
    <n v="19.658999999999999"/>
  </r>
  <r>
    <n v="200"/>
    <x v="3"/>
    <x v="48"/>
    <x v="2"/>
    <s v="Percent of GDP"/>
    <s v="Units"/>
    <x v="5"/>
    <n v="20.039000000000001"/>
  </r>
  <r>
    <n v="200"/>
    <x v="3"/>
    <x v="48"/>
    <x v="2"/>
    <s v="Percent of GDP"/>
    <s v="Units"/>
    <x v="6"/>
    <n v="20.100999999999999"/>
  </r>
  <r>
    <n v="205"/>
    <x v="7"/>
    <x v="48"/>
    <x v="2"/>
    <s v="Percent of GDP"/>
    <s v="Units"/>
    <x v="0"/>
    <n v="19.786000000000001"/>
  </r>
  <r>
    <n v="205"/>
    <x v="7"/>
    <x v="48"/>
    <x v="2"/>
    <s v="Percent of GDP"/>
    <s v="Units"/>
    <x v="1"/>
    <n v="17.806000000000001"/>
  </r>
  <r>
    <n v="205"/>
    <x v="7"/>
    <x v="48"/>
    <x v="2"/>
    <s v="Percent of GDP"/>
    <s v="Units"/>
    <x v="2"/>
    <n v="20.975999999999999"/>
  </r>
  <r>
    <n v="205"/>
    <x v="7"/>
    <x v="48"/>
    <x v="2"/>
    <s v="Percent of GDP"/>
    <s v="Units"/>
    <x v="3"/>
    <n v="22.016999999999999"/>
  </r>
  <r>
    <n v="205"/>
    <x v="7"/>
    <x v="48"/>
    <x v="2"/>
    <s v="Percent of GDP"/>
    <s v="Units"/>
    <x v="4"/>
    <n v="19.658999999999999"/>
  </r>
  <r>
    <n v="205"/>
    <x v="7"/>
    <x v="48"/>
    <x v="2"/>
    <s v="Percent of GDP"/>
    <s v="Units"/>
    <x v="5"/>
    <n v="20.039000000000001"/>
  </r>
  <r>
    <n v="205"/>
    <x v="7"/>
    <x v="48"/>
    <x v="2"/>
    <s v="Percent of GDP"/>
    <s v="Units"/>
    <x v="6"/>
    <n v="20.100999999999999"/>
  </r>
  <r>
    <n v="505"/>
    <x v="4"/>
    <x v="123"/>
    <x v="7"/>
    <s v="Percent of GDP"/>
    <s v="Units"/>
    <x v="0"/>
    <n v="20"/>
  </r>
  <r>
    <n v="505"/>
    <x v="4"/>
    <x v="123"/>
    <x v="7"/>
    <s v="Percent of GDP"/>
    <s v="Units"/>
    <x v="1"/>
    <n v="20"/>
  </r>
  <r>
    <n v="505"/>
    <x v="4"/>
    <x v="123"/>
    <x v="7"/>
    <s v="Percent of GDP"/>
    <s v="Units"/>
    <x v="2"/>
    <n v="20"/>
  </r>
  <r>
    <n v="505"/>
    <x v="4"/>
    <x v="123"/>
    <x v="7"/>
    <s v="Percent of GDP"/>
    <s v="Units"/>
    <x v="3"/>
    <n v="20"/>
  </r>
  <r>
    <n v="505"/>
    <x v="4"/>
    <x v="123"/>
    <x v="7"/>
    <s v="Percent of GDP"/>
    <s v="Units"/>
    <x v="4"/>
    <n v="20"/>
  </r>
  <r>
    <n v="505"/>
    <x v="4"/>
    <x v="123"/>
    <x v="7"/>
    <s v="Percent of GDP"/>
    <s v="Units"/>
    <x v="5"/>
    <n v="20"/>
  </r>
  <r>
    <n v="505"/>
    <x v="4"/>
    <x v="123"/>
    <x v="7"/>
    <s v="Percent of GDP"/>
    <s v="Units"/>
    <x v="6"/>
    <n v="20"/>
  </r>
  <r>
    <n v="200"/>
    <x v="3"/>
    <x v="123"/>
    <x v="7"/>
    <s v="Percent of GDP"/>
    <s v="Units"/>
    <x v="0"/>
    <n v="20"/>
  </r>
  <r>
    <n v="200"/>
    <x v="3"/>
    <x v="123"/>
    <x v="7"/>
    <s v="Percent of GDP"/>
    <s v="Units"/>
    <x v="1"/>
    <n v="20"/>
  </r>
  <r>
    <n v="200"/>
    <x v="3"/>
    <x v="123"/>
    <x v="7"/>
    <s v="Percent of GDP"/>
    <s v="Units"/>
    <x v="2"/>
    <n v="20"/>
  </r>
  <r>
    <n v="200"/>
    <x v="3"/>
    <x v="123"/>
    <x v="7"/>
    <s v="Percent of GDP"/>
    <s v="Units"/>
    <x v="3"/>
    <n v="20"/>
  </r>
  <r>
    <n v="200"/>
    <x v="3"/>
    <x v="123"/>
    <x v="7"/>
    <s v="Percent of GDP"/>
    <s v="Units"/>
    <x v="4"/>
    <n v="20"/>
  </r>
  <r>
    <n v="200"/>
    <x v="3"/>
    <x v="123"/>
    <x v="7"/>
    <s v="Percent of GDP"/>
    <s v="Units"/>
    <x v="5"/>
    <n v="20"/>
  </r>
  <r>
    <n v="200"/>
    <x v="3"/>
    <x v="123"/>
    <x v="7"/>
    <s v="Percent of GDP"/>
    <s v="Units"/>
    <x v="6"/>
    <n v="20"/>
  </r>
  <r>
    <n v="1"/>
    <x v="2"/>
    <x v="123"/>
    <x v="7"/>
    <s v="Percent of GDP"/>
    <s v="Units"/>
    <x v="0"/>
    <n v="20"/>
  </r>
  <r>
    <n v="1"/>
    <x v="2"/>
    <x v="123"/>
    <x v="7"/>
    <s v="Percent of GDP"/>
    <s v="Units"/>
    <x v="1"/>
    <n v="20"/>
  </r>
  <r>
    <n v="1"/>
    <x v="2"/>
    <x v="123"/>
    <x v="7"/>
    <s v="Percent of GDP"/>
    <s v="Units"/>
    <x v="2"/>
    <n v="20"/>
  </r>
  <r>
    <n v="1"/>
    <x v="2"/>
    <x v="123"/>
    <x v="7"/>
    <s v="Percent of GDP"/>
    <s v="Units"/>
    <x v="3"/>
    <n v="20"/>
  </r>
  <r>
    <n v="1"/>
    <x v="2"/>
    <x v="123"/>
    <x v="7"/>
    <s v="Percent of GDP"/>
    <s v="Units"/>
    <x v="4"/>
    <n v="20"/>
  </r>
  <r>
    <n v="1"/>
    <x v="2"/>
    <x v="123"/>
    <x v="7"/>
    <s v="Percent of GDP"/>
    <s v="Units"/>
    <x v="5"/>
    <n v="20"/>
  </r>
  <r>
    <n v="1"/>
    <x v="2"/>
    <x v="123"/>
    <x v="7"/>
    <s v="Percent of GDP"/>
    <s v="Units"/>
    <x v="6"/>
    <n v="20"/>
  </r>
  <r>
    <n v="123"/>
    <x v="9"/>
    <x v="180"/>
    <x v="2"/>
    <s v="Percent of GDP"/>
    <s v="Units"/>
    <x v="0"/>
    <n v="22.341000000000001"/>
  </r>
  <r>
    <n v="123"/>
    <x v="9"/>
    <x v="180"/>
    <x v="2"/>
    <s v="Percent of GDP"/>
    <s v="Units"/>
    <x v="1"/>
    <n v="21.585999999999999"/>
  </r>
  <r>
    <n v="123"/>
    <x v="9"/>
    <x v="180"/>
    <x v="2"/>
    <s v="Percent of GDP"/>
    <s v="Units"/>
    <x v="2"/>
    <n v="20.67"/>
  </r>
  <r>
    <n v="123"/>
    <x v="9"/>
    <x v="180"/>
    <x v="2"/>
    <s v="Percent of GDP"/>
    <s v="Units"/>
    <x v="3"/>
    <n v="22.646999999999998"/>
  </r>
  <r>
    <n v="123"/>
    <x v="9"/>
    <x v="180"/>
    <x v="2"/>
    <s v="Percent of GDP"/>
    <s v="Units"/>
    <x v="4"/>
    <n v="20.800999999999998"/>
  </r>
  <r>
    <n v="123"/>
    <x v="9"/>
    <x v="180"/>
    <x v="2"/>
    <s v="Percent of GDP"/>
    <s v="Units"/>
    <x v="5"/>
    <n v="19.978999999999999"/>
  </r>
  <r>
    <n v="123"/>
    <x v="9"/>
    <x v="180"/>
    <x v="2"/>
    <s v="Percent of GDP"/>
    <s v="Units"/>
    <x v="6"/>
    <n v="19.934000000000001"/>
  </r>
  <r>
    <n v="110"/>
    <x v="0"/>
    <x v="180"/>
    <x v="2"/>
    <s v="Percent of GDP"/>
    <s v="Units"/>
    <x v="0"/>
    <n v="22.341000000000001"/>
  </r>
  <r>
    <n v="110"/>
    <x v="0"/>
    <x v="180"/>
    <x v="2"/>
    <s v="Percent of GDP"/>
    <s v="Units"/>
    <x v="1"/>
    <n v="21.585999999999999"/>
  </r>
  <r>
    <n v="110"/>
    <x v="0"/>
    <x v="180"/>
    <x v="2"/>
    <s v="Percent of GDP"/>
    <s v="Units"/>
    <x v="2"/>
    <n v="20.67"/>
  </r>
  <r>
    <n v="110"/>
    <x v="0"/>
    <x v="180"/>
    <x v="2"/>
    <s v="Percent of GDP"/>
    <s v="Units"/>
    <x v="3"/>
    <n v="22.646999999999998"/>
  </r>
  <r>
    <n v="110"/>
    <x v="0"/>
    <x v="180"/>
    <x v="2"/>
    <s v="Percent of GDP"/>
    <s v="Units"/>
    <x v="4"/>
    <n v="20.800999999999998"/>
  </r>
  <r>
    <n v="110"/>
    <x v="0"/>
    <x v="180"/>
    <x v="2"/>
    <s v="Percent of GDP"/>
    <s v="Units"/>
    <x v="5"/>
    <n v="19.978999999999999"/>
  </r>
  <r>
    <n v="110"/>
    <x v="0"/>
    <x v="180"/>
    <x v="2"/>
    <s v="Percent of GDP"/>
    <s v="Units"/>
    <x v="6"/>
    <n v="19.934000000000001"/>
  </r>
  <r>
    <n v="400"/>
    <x v="11"/>
    <x v="174"/>
    <x v="3"/>
    <s v="Percent of GDP"/>
    <s v="Units"/>
    <x v="0"/>
    <n v="19.053999999999998"/>
  </r>
  <r>
    <n v="400"/>
    <x v="11"/>
    <x v="174"/>
    <x v="3"/>
    <s v="Percent of GDP"/>
    <s v="Units"/>
    <x v="1"/>
    <n v="20.295999999999999"/>
  </r>
  <r>
    <n v="400"/>
    <x v="11"/>
    <x v="174"/>
    <x v="3"/>
    <s v="Percent of GDP"/>
    <s v="Units"/>
    <x v="2"/>
    <n v="18.457999999999998"/>
  </r>
  <r>
    <n v="400"/>
    <x v="11"/>
    <x v="174"/>
    <x v="3"/>
    <s v="Percent of GDP"/>
    <s v="Units"/>
    <x v="3"/>
    <n v="19.959"/>
  </r>
  <r>
    <n v="400"/>
    <x v="11"/>
    <x v="174"/>
    <x v="3"/>
    <s v="Percent of GDP"/>
    <s v="Units"/>
    <x v="4"/>
    <n v="19.195"/>
  </r>
  <r>
    <n v="400"/>
    <x v="11"/>
    <x v="174"/>
    <x v="3"/>
    <s v="Percent of GDP"/>
    <s v="Units"/>
    <x v="5"/>
    <n v="19.879000000000001"/>
  </r>
  <r>
    <n v="400"/>
    <x v="11"/>
    <x v="174"/>
    <x v="3"/>
    <s v="Percent of GDP"/>
    <s v="Units"/>
    <x v="6"/>
    <n v="19.63"/>
  </r>
  <r>
    <n v="200"/>
    <x v="3"/>
    <x v="174"/>
    <x v="3"/>
    <s v="Percent of GDP"/>
    <s v="Units"/>
    <x v="0"/>
    <n v="19.053999999999998"/>
  </r>
  <r>
    <n v="200"/>
    <x v="3"/>
    <x v="174"/>
    <x v="3"/>
    <s v="Percent of GDP"/>
    <s v="Units"/>
    <x v="1"/>
    <n v="20.295999999999999"/>
  </r>
  <r>
    <n v="200"/>
    <x v="3"/>
    <x v="174"/>
    <x v="3"/>
    <s v="Percent of GDP"/>
    <s v="Units"/>
    <x v="2"/>
    <n v="18.457999999999998"/>
  </r>
  <r>
    <n v="200"/>
    <x v="3"/>
    <x v="174"/>
    <x v="3"/>
    <s v="Percent of GDP"/>
    <s v="Units"/>
    <x v="3"/>
    <n v="19.959"/>
  </r>
  <r>
    <n v="200"/>
    <x v="3"/>
    <x v="174"/>
    <x v="3"/>
    <s v="Percent of GDP"/>
    <s v="Units"/>
    <x v="4"/>
    <n v="19.195"/>
  </r>
  <r>
    <n v="200"/>
    <x v="3"/>
    <x v="174"/>
    <x v="3"/>
    <s v="Percent of GDP"/>
    <s v="Units"/>
    <x v="5"/>
    <n v="19.879000000000001"/>
  </r>
  <r>
    <n v="200"/>
    <x v="3"/>
    <x v="174"/>
    <x v="3"/>
    <s v="Percent of GDP"/>
    <s v="Units"/>
    <x v="6"/>
    <n v="19.63"/>
  </r>
  <r>
    <n v="205"/>
    <x v="7"/>
    <x v="109"/>
    <x v="2"/>
    <s v="Percent of GDP"/>
    <s v="Units"/>
    <x v="0"/>
    <n v="19.212"/>
  </r>
  <r>
    <n v="205"/>
    <x v="7"/>
    <x v="109"/>
    <x v="2"/>
    <s v="Percent of GDP"/>
    <s v="Units"/>
    <x v="1"/>
    <n v="18.702000000000002"/>
  </r>
  <r>
    <n v="205"/>
    <x v="7"/>
    <x v="109"/>
    <x v="2"/>
    <s v="Percent of GDP"/>
    <s v="Units"/>
    <x v="2"/>
    <n v="18.478000000000002"/>
  </r>
  <r>
    <n v="205"/>
    <x v="7"/>
    <x v="109"/>
    <x v="2"/>
    <s v="Percent of GDP"/>
    <s v="Units"/>
    <x v="3"/>
    <n v="20.53"/>
  </r>
  <r>
    <n v="205"/>
    <x v="7"/>
    <x v="109"/>
    <x v="2"/>
    <s v="Percent of GDP"/>
    <s v="Units"/>
    <x v="4"/>
    <n v="19.186"/>
  </r>
  <r>
    <n v="205"/>
    <x v="7"/>
    <x v="109"/>
    <x v="2"/>
    <s v="Percent of GDP"/>
    <s v="Units"/>
    <x v="5"/>
    <n v="19.869"/>
  </r>
  <r>
    <n v="205"/>
    <x v="7"/>
    <x v="109"/>
    <x v="2"/>
    <s v="Percent of GDP"/>
    <s v="Units"/>
    <x v="6"/>
    <n v="19.838999999999999"/>
  </r>
  <r>
    <n v="200"/>
    <x v="3"/>
    <x v="109"/>
    <x v="2"/>
    <s v="Percent of GDP"/>
    <s v="Units"/>
    <x v="0"/>
    <n v="19.212"/>
  </r>
  <r>
    <n v="200"/>
    <x v="3"/>
    <x v="109"/>
    <x v="2"/>
    <s v="Percent of GDP"/>
    <s v="Units"/>
    <x v="1"/>
    <n v="18.702000000000002"/>
  </r>
  <r>
    <n v="200"/>
    <x v="3"/>
    <x v="109"/>
    <x v="2"/>
    <s v="Percent of GDP"/>
    <s v="Units"/>
    <x v="2"/>
    <n v="18.478000000000002"/>
  </r>
  <r>
    <n v="200"/>
    <x v="3"/>
    <x v="109"/>
    <x v="2"/>
    <s v="Percent of GDP"/>
    <s v="Units"/>
    <x v="3"/>
    <n v="20.53"/>
  </r>
  <r>
    <n v="200"/>
    <x v="3"/>
    <x v="109"/>
    <x v="2"/>
    <s v="Percent of GDP"/>
    <s v="Units"/>
    <x v="4"/>
    <n v="19.186"/>
  </r>
  <r>
    <n v="200"/>
    <x v="3"/>
    <x v="109"/>
    <x v="2"/>
    <s v="Percent of GDP"/>
    <s v="Units"/>
    <x v="5"/>
    <n v="19.869"/>
  </r>
  <r>
    <n v="200"/>
    <x v="3"/>
    <x v="109"/>
    <x v="2"/>
    <s v="Percent of GDP"/>
    <s v="Units"/>
    <x v="6"/>
    <n v="19.838999999999999"/>
  </r>
  <r>
    <n v="1"/>
    <x v="2"/>
    <x v="137"/>
    <x v="5"/>
    <s v="Percent of GDP"/>
    <s v="Units"/>
    <x v="0"/>
    <n v="23.181000000000001"/>
  </r>
  <r>
    <n v="1"/>
    <x v="2"/>
    <x v="137"/>
    <x v="5"/>
    <s v="Percent of GDP"/>
    <s v="Units"/>
    <x v="1"/>
    <n v="12.432"/>
  </r>
  <r>
    <n v="1"/>
    <x v="2"/>
    <x v="137"/>
    <x v="5"/>
    <s v="Percent of GDP"/>
    <s v="Units"/>
    <x v="2"/>
    <n v="11.114000000000001"/>
  </r>
  <r>
    <n v="1"/>
    <x v="2"/>
    <x v="137"/>
    <x v="5"/>
    <s v="Percent of GDP"/>
    <s v="Units"/>
    <x v="3"/>
    <n v="17.712"/>
  </r>
  <r>
    <n v="1"/>
    <x v="2"/>
    <x v="137"/>
    <x v="5"/>
    <s v="Percent of GDP"/>
    <s v="Units"/>
    <x v="4"/>
    <n v="19.768999999999998"/>
  </r>
  <r>
    <n v="1"/>
    <x v="2"/>
    <x v="137"/>
    <x v="5"/>
    <s v="Percent of GDP"/>
    <s v="Units"/>
    <x v="5"/>
    <n v="19.824000000000002"/>
  </r>
  <r>
    <n v="1"/>
    <x v="2"/>
    <x v="137"/>
    <x v="5"/>
    <s v="Percent of GDP"/>
    <s v="Units"/>
    <x v="6"/>
    <n v="13.871"/>
  </r>
  <r>
    <n v="200"/>
    <x v="3"/>
    <x v="137"/>
    <x v="5"/>
    <s v="Percent of GDP"/>
    <s v="Units"/>
    <x v="0"/>
    <n v="23.181000000000001"/>
  </r>
  <r>
    <n v="200"/>
    <x v="3"/>
    <x v="137"/>
    <x v="5"/>
    <s v="Percent of GDP"/>
    <s v="Units"/>
    <x v="1"/>
    <n v="12.432"/>
  </r>
  <r>
    <n v="200"/>
    <x v="3"/>
    <x v="137"/>
    <x v="5"/>
    <s v="Percent of GDP"/>
    <s v="Units"/>
    <x v="2"/>
    <n v="11.114000000000001"/>
  </r>
  <r>
    <n v="200"/>
    <x v="3"/>
    <x v="137"/>
    <x v="5"/>
    <s v="Percent of GDP"/>
    <s v="Units"/>
    <x v="3"/>
    <n v="17.712"/>
  </r>
  <r>
    <n v="200"/>
    <x v="3"/>
    <x v="137"/>
    <x v="5"/>
    <s v="Percent of GDP"/>
    <s v="Units"/>
    <x v="4"/>
    <n v="19.768999999999998"/>
  </r>
  <r>
    <n v="200"/>
    <x v="3"/>
    <x v="137"/>
    <x v="5"/>
    <s v="Percent of GDP"/>
    <s v="Units"/>
    <x v="5"/>
    <n v="19.824000000000002"/>
  </r>
  <r>
    <n v="200"/>
    <x v="3"/>
    <x v="137"/>
    <x v="5"/>
    <s v="Percent of GDP"/>
    <s v="Units"/>
    <x v="6"/>
    <n v="13.871"/>
  </r>
  <r>
    <n v="205"/>
    <x v="7"/>
    <x v="137"/>
    <x v="5"/>
    <s v="Percent of GDP"/>
    <s v="Units"/>
    <x v="0"/>
    <n v="23.181000000000001"/>
  </r>
  <r>
    <n v="205"/>
    <x v="7"/>
    <x v="137"/>
    <x v="5"/>
    <s v="Percent of GDP"/>
    <s v="Units"/>
    <x v="1"/>
    <n v="12.432"/>
  </r>
  <r>
    <n v="205"/>
    <x v="7"/>
    <x v="137"/>
    <x v="5"/>
    <s v="Percent of GDP"/>
    <s v="Units"/>
    <x v="2"/>
    <n v="11.114000000000001"/>
  </r>
  <r>
    <n v="205"/>
    <x v="7"/>
    <x v="137"/>
    <x v="5"/>
    <s v="Percent of GDP"/>
    <s v="Units"/>
    <x v="3"/>
    <n v="17.712"/>
  </r>
  <r>
    <n v="205"/>
    <x v="7"/>
    <x v="137"/>
    <x v="5"/>
    <s v="Percent of GDP"/>
    <s v="Units"/>
    <x v="4"/>
    <n v="19.768999999999998"/>
  </r>
  <r>
    <n v="205"/>
    <x v="7"/>
    <x v="137"/>
    <x v="5"/>
    <s v="Percent of GDP"/>
    <s v="Units"/>
    <x v="5"/>
    <n v="19.824000000000002"/>
  </r>
  <r>
    <n v="205"/>
    <x v="7"/>
    <x v="137"/>
    <x v="5"/>
    <s v="Percent of GDP"/>
    <s v="Units"/>
    <x v="6"/>
    <n v="13.871"/>
  </r>
  <r>
    <n v="603"/>
    <x v="12"/>
    <x v="179"/>
    <x v="4"/>
    <s v="Percent change"/>
    <s v="Units"/>
    <x v="0"/>
    <n v="14.754"/>
  </r>
  <r>
    <n v="603"/>
    <x v="12"/>
    <x v="179"/>
    <x v="4"/>
    <s v="Percent change"/>
    <s v="Units"/>
    <x v="1"/>
    <n v="-30.628"/>
  </r>
  <r>
    <n v="603"/>
    <x v="12"/>
    <x v="179"/>
    <x v="4"/>
    <s v="Percent change"/>
    <s v="Units"/>
    <x v="2"/>
    <n v="30.152000000000001"/>
  </r>
  <r>
    <n v="603"/>
    <x v="12"/>
    <x v="179"/>
    <x v="4"/>
    <s v="Percent change"/>
    <s v="Units"/>
    <x v="3"/>
    <n v="21.611999999999998"/>
  </r>
  <r>
    <n v="603"/>
    <x v="12"/>
    <x v="179"/>
    <x v="4"/>
    <s v="Percent change"/>
    <s v="Units"/>
    <x v="4"/>
    <n v="11.962"/>
  </r>
  <r>
    <n v="603"/>
    <x v="12"/>
    <x v="179"/>
    <x v="4"/>
    <s v="Percent change"/>
    <s v="Units"/>
    <x v="5"/>
    <n v="19.789000000000001"/>
  </r>
  <r>
    <n v="603"/>
    <x v="12"/>
    <x v="179"/>
    <x v="4"/>
    <s v="Percent change"/>
    <s v="Units"/>
    <x v="6"/>
    <n v="7.1029999999999998"/>
  </r>
  <r>
    <n v="1"/>
    <x v="2"/>
    <x v="179"/>
    <x v="4"/>
    <s v="Percent change"/>
    <s v="Units"/>
    <x v="0"/>
    <n v="14.754"/>
  </r>
  <r>
    <n v="1"/>
    <x v="2"/>
    <x v="179"/>
    <x v="4"/>
    <s v="Percent change"/>
    <s v="Units"/>
    <x v="1"/>
    <n v="-30.628"/>
  </r>
  <r>
    <n v="1"/>
    <x v="2"/>
    <x v="179"/>
    <x v="4"/>
    <s v="Percent change"/>
    <s v="Units"/>
    <x v="2"/>
    <n v="30.152000000000001"/>
  </r>
  <r>
    <n v="1"/>
    <x v="2"/>
    <x v="179"/>
    <x v="4"/>
    <s v="Percent change"/>
    <s v="Units"/>
    <x v="3"/>
    <n v="21.611999999999998"/>
  </r>
  <r>
    <n v="1"/>
    <x v="2"/>
    <x v="179"/>
    <x v="4"/>
    <s v="Percent change"/>
    <s v="Units"/>
    <x v="4"/>
    <n v="11.962"/>
  </r>
  <r>
    <n v="1"/>
    <x v="2"/>
    <x v="179"/>
    <x v="4"/>
    <s v="Percent change"/>
    <s v="Units"/>
    <x v="5"/>
    <n v="19.789000000000001"/>
  </r>
  <r>
    <n v="1"/>
    <x v="2"/>
    <x v="179"/>
    <x v="4"/>
    <s v="Percent change"/>
    <s v="Units"/>
    <x v="6"/>
    <n v="7.1029999999999998"/>
  </r>
  <r>
    <n v="200"/>
    <x v="3"/>
    <x v="179"/>
    <x v="4"/>
    <s v="Percent change"/>
    <s v="Units"/>
    <x v="0"/>
    <n v="14.754"/>
  </r>
  <r>
    <n v="200"/>
    <x v="3"/>
    <x v="179"/>
    <x v="4"/>
    <s v="Percent change"/>
    <s v="Units"/>
    <x v="1"/>
    <n v="-30.628"/>
  </r>
  <r>
    <n v="200"/>
    <x v="3"/>
    <x v="179"/>
    <x v="4"/>
    <s v="Percent change"/>
    <s v="Units"/>
    <x v="2"/>
    <n v="30.152000000000001"/>
  </r>
  <r>
    <n v="200"/>
    <x v="3"/>
    <x v="179"/>
    <x v="4"/>
    <s v="Percent change"/>
    <s v="Units"/>
    <x v="3"/>
    <n v="21.611999999999998"/>
  </r>
  <r>
    <n v="200"/>
    <x v="3"/>
    <x v="179"/>
    <x v="4"/>
    <s v="Percent change"/>
    <s v="Units"/>
    <x v="4"/>
    <n v="11.962"/>
  </r>
  <r>
    <n v="200"/>
    <x v="3"/>
    <x v="179"/>
    <x v="4"/>
    <s v="Percent change"/>
    <s v="Units"/>
    <x v="5"/>
    <n v="19.789000000000001"/>
  </r>
  <r>
    <n v="200"/>
    <x v="3"/>
    <x v="179"/>
    <x v="4"/>
    <s v="Percent change"/>
    <s v="Units"/>
    <x v="6"/>
    <n v="7.1029999999999998"/>
  </r>
  <r>
    <n v="1"/>
    <x v="2"/>
    <x v="180"/>
    <x v="7"/>
    <s v="Percent of GDP"/>
    <s v="Units"/>
    <x v="0"/>
    <n v="24.024000000000001"/>
  </r>
  <r>
    <n v="1"/>
    <x v="2"/>
    <x v="180"/>
    <x v="7"/>
    <s v="Percent of GDP"/>
    <s v="Units"/>
    <x v="1"/>
    <n v="18.050999999999998"/>
  </r>
  <r>
    <n v="1"/>
    <x v="2"/>
    <x v="180"/>
    <x v="7"/>
    <s v="Percent of GDP"/>
    <s v="Units"/>
    <x v="2"/>
    <n v="16.968"/>
  </r>
  <r>
    <n v="1"/>
    <x v="2"/>
    <x v="180"/>
    <x v="7"/>
    <s v="Percent of GDP"/>
    <s v="Units"/>
    <x v="3"/>
    <n v="17.126000000000001"/>
  </r>
  <r>
    <n v="1"/>
    <x v="2"/>
    <x v="180"/>
    <x v="7"/>
    <s v="Percent of GDP"/>
    <s v="Units"/>
    <x v="4"/>
    <n v="19.285"/>
  </r>
  <r>
    <n v="1"/>
    <x v="2"/>
    <x v="180"/>
    <x v="7"/>
    <s v="Percent of GDP"/>
    <s v="Units"/>
    <x v="5"/>
    <n v="19.760000000000002"/>
  </r>
  <r>
    <n v="1"/>
    <x v="2"/>
    <x v="180"/>
    <x v="7"/>
    <s v="Percent of GDP"/>
    <s v="Units"/>
    <x v="6"/>
    <n v="19.79"/>
  </r>
  <r>
    <n v="123"/>
    <x v="9"/>
    <x v="180"/>
    <x v="7"/>
    <s v="Percent of GDP"/>
    <s v="Units"/>
    <x v="0"/>
    <n v="24.024000000000001"/>
  </r>
  <r>
    <n v="123"/>
    <x v="9"/>
    <x v="180"/>
    <x v="7"/>
    <s v="Percent of GDP"/>
    <s v="Units"/>
    <x v="1"/>
    <n v="18.050999999999998"/>
  </r>
  <r>
    <n v="123"/>
    <x v="9"/>
    <x v="180"/>
    <x v="7"/>
    <s v="Percent of GDP"/>
    <s v="Units"/>
    <x v="2"/>
    <n v="16.968"/>
  </r>
  <r>
    <n v="123"/>
    <x v="9"/>
    <x v="180"/>
    <x v="7"/>
    <s v="Percent of GDP"/>
    <s v="Units"/>
    <x v="3"/>
    <n v="17.126000000000001"/>
  </r>
  <r>
    <n v="123"/>
    <x v="9"/>
    <x v="180"/>
    <x v="7"/>
    <s v="Percent of GDP"/>
    <s v="Units"/>
    <x v="4"/>
    <n v="19.285"/>
  </r>
  <r>
    <n v="123"/>
    <x v="9"/>
    <x v="180"/>
    <x v="7"/>
    <s v="Percent of GDP"/>
    <s v="Units"/>
    <x v="5"/>
    <n v="19.760000000000002"/>
  </r>
  <r>
    <n v="123"/>
    <x v="9"/>
    <x v="180"/>
    <x v="7"/>
    <s v="Percent of GDP"/>
    <s v="Units"/>
    <x v="6"/>
    <n v="19.79"/>
  </r>
  <r>
    <n v="110"/>
    <x v="0"/>
    <x v="180"/>
    <x v="7"/>
    <s v="Percent of GDP"/>
    <s v="Units"/>
    <x v="0"/>
    <n v="24.024000000000001"/>
  </r>
  <r>
    <n v="110"/>
    <x v="0"/>
    <x v="180"/>
    <x v="7"/>
    <s v="Percent of GDP"/>
    <s v="Units"/>
    <x v="1"/>
    <n v="18.050999999999998"/>
  </r>
  <r>
    <n v="110"/>
    <x v="0"/>
    <x v="180"/>
    <x v="7"/>
    <s v="Percent of GDP"/>
    <s v="Units"/>
    <x v="2"/>
    <n v="16.968"/>
  </r>
  <r>
    <n v="110"/>
    <x v="0"/>
    <x v="180"/>
    <x v="7"/>
    <s v="Percent of GDP"/>
    <s v="Units"/>
    <x v="3"/>
    <n v="17.126000000000001"/>
  </r>
  <r>
    <n v="110"/>
    <x v="0"/>
    <x v="180"/>
    <x v="7"/>
    <s v="Percent of GDP"/>
    <s v="Units"/>
    <x v="4"/>
    <n v="19.285"/>
  </r>
  <r>
    <n v="110"/>
    <x v="0"/>
    <x v="180"/>
    <x v="7"/>
    <s v="Percent of GDP"/>
    <s v="Units"/>
    <x v="5"/>
    <n v="19.760000000000002"/>
  </r>
  <r>
    <n v="110"/>
    <x v="0"/>
    <x v="180"/>
    <x v="7"/>
    <s v="Percent of GDP"/>
    <s v="Units"/>
    <x v="6"/>
    <n v="19.79"/>
  </r>
  <r>
    <n v="1"/>
    <x v="2"/>
    <x v="46"/>
    <x v="7"/>
    <s v="Percent of GDP"/>
    <s v="Units"/>
    <x v="0"/>
    <n v="18.492999999999999"/>
  </r>
  <r>
    <n v="1"/>
    <x v="2"/>
    <x v="46"/>
    <x v="7"/>
    <s v="Percent of GDP"/>
    <s v="Units"/>
    <x v="1"/>
    <n v="19.117000000000001"/>
  </r>
  <r>
    <n v="1"/>
    <x v="2"/>
    <x v="46"/>
    <x v="7"/>
    <s v="Percent of GDP"/>
    <s v="Units"/>
    <x v="2"/>
    <n v="20.626999999999999"/>
  </r>
  <r>
    <n v="1"/>
    <x v="2"/>
    <x v="46"/>
    <x v="7"/>
    <s v="Percent of GDP"/>
    <s v="Units"/>
    <x v="3"/>
    <n v="20.651"/>
  </r>
  <r>
    <n v="1"/>
    <x v="2"/>
    <x v="46"/>
    <x v="7"/>
    <s v="Percent of GDP"/>
    <s v="Units"/>
    <x v="4"/>
    <n v="19.544"/>
  </r>
  <r>
    <n v="1"/>
    <x v="2"/>
    <x v="46"/>
    <x v="7"/>
    <s v="Percent of GDP"/>
    <s v="Units"/>
    <x v="5"/>
    <n v="19.658999999999999"/>
  </r>
  <r>
    <n v="1"/>
    <x v="2"/>
    <x v="46"/>
    <x v="7"/>
    <s v="Percent of GDP"/>
    <s v="Units"/>
    <x v="6"/>
    <n v="20.048999999999999"/>
  </r>
  <r>
    <n v="163"/>
    <x v="5"/>
    <x v="46"/>
    <x v="7"/>
    <s v="Percent of GDP"/>
    <s v="Units"/>
    <x v="0"/>
    <n v="18.492999999999999"/>
  </r>
  <r>
    <n v="163"/>
    <x v="5"/>
    <x v="46"/>
    <x v="7"/>
    <s v="Percent of GDP"/>
    <s v="Units"/>
    <x v="1"/>
    <n v="19.117000000000001"/>
  </r>
  <r>
    <n v="163"/>
    <x v="5"/>
    <x v="46"/>
    <x v="7"/>
    <s v="Percent of GDP"/>
    <s v="Units"/>
    <x v="2"/>
    <n v="20.626999999999999"/>
  </r>
  <r>
    <n v="163"/>
    <x v="5"/>
    <x v="46"/>
    <x v="7"/>
    <s v="Percent of GDP"/>
    <s v="Units"/>
    <x v="3"/>
    <n v="20.651"/>
  </r>
  <r>
    <n v="163"/>
    <x v="5"/>
    <x v="46"/>
    <x v="7"/>
    <s v="Percent of GDP"/>
    <s v="Units"/>
    <x v="4"/>
    <n v="19.544"/>
  </r>
  <r>
    <n v="163"/>
    <x v="5"/>
    <x v="46"/>
    <x v="7"/>
    <s v="Percent of GDP"/>
    <s v="Units"/>
    <x v="5"/>
    <n v="19.658999999999999"/>
  </r>
  <r>
    <n v="163"/>
    <x v="5"/>
    <x v="46"/>
    <x v="7"/>
    <s v="Percent of GDP"/>
    <s v="Units"/>
    <x v="6"/>
    <n v="20.048999999999999"/>
  </r>
  <r>
    <n v="110"/>
    <x v="0"/>
    <x v="46"/>
    <x v="7"/>
    <s v="Percent of GDP"/>
    <s v="Units"/>
    <x v="0"/>
    <n v="18.492999999999999"/>
  </r>
  <r>
    <n v="110"/>
    <x v="0"/>
    <x v="46"/>
    <x v="7"/>
    <s v="Percent of GDP"/>
    <s v="Units"/>
    <x v="1"/>
    <n v="19.117000000000001"/>
  </r>
  <r>
    <n v="110"/>
    <x v="0"/>
    <x v="46"/>
    <x v="7"/>
    <s v="Percent of GDP"/>
    <s v="Units"/>
    <x v="2"/>
    <n v="20.626999999999999"/>
  </r>
  <r>
    <n v="110"/>
    <x v="0"/>
    <x v="46"/>
    <x v="7"/>
    <s v="Percent of GDP"/>
    <s v="Units"/>
    <x v="3"/>
    <n v="20.651"/>
  </r>
  <r>
    <n v="110"/>
    <x v="0"/>
    <x v="46"/>
    <x v="7"/>
    <s v="Percent of GDP"/>
    <s v="Units"/>
    <x v="4"/>
    <n v="19.544"/>
  </r>
  <r>
    <n v="110"/>
    <x v="0"/>
    <x v="46"/>
    <x v="7"/>
    <s v="Percent of GDP"/>
    <s v="Units"/>
    <x v="5"/>
    <n v="19.658999999999999"/>
  </r>
  <r>
    <n v="110"/>
    <x v="0"/>
    <x v="46"/>
    <x v="7"/>
    <s v="Percent of GDP"/>
    <s v="Units"/>
    <x v="6"/>
    <n v="20.048999999999999"/>
  </r>
  <r>
    <n v="998"/>
    <x v="6"/>
    <x v="46"/>
    <x v="7"/>
    <s v="Percent of GDP"/>
    <s v="Units"/>
    <x v="0"/>
    <n v="18.492999999999999"/>
  </r>
  <r>
    <n v="998"/>
    <x v="6"/>
    <x v="46"/>
    <x v="7"/>
    <s v="Percent of GDP"/>
    <s v="Units"/>
    <x v="1"/>
    <n v="19.117000000000001"/>
  </r>
  <r>
    <n v="998"/>
    <x v="6"/>
    <x v="46"/>
    <x v="7"/>
    <s v="Percent of GDP"/>
    <s v="Units"/>
    <x v="2"/>
    <n v="20.626999999999999"/>
  </r>
  <r>
    <n v="998"/>
    <x v="6"/>
    <x v="46"/>
    <x v="7"/>
    <s v="Percent of GDP"/>
    <s v="Units"/>
    <x v="3"/>
    <n v="20.651"/>
  </r>
  <r>
    <n v="998"/>
    <x v="6"/>
    <x v="46"/>
    <x v="7"/>
    <s v="Percent of GDP"/>
    <s v="Units"/>
    <x v="4"/>
    <n v="19.544"/>
  </r>
  <r>
    <n v="998"/>
    <x v="6"/>
    <x v="46"/>
    <x v="7"/>
    <s v="Percent of GDP"/>
    <s v="Units"/>
    <x v="5"/>
    <n v="19.658999999999999"/>
  </r>
  <r>
    <n v="998"/>
    <x v="6"/>
    <x v="46"/>
    <x v="7"/>
    <s v="Percent of GDP"/>
    <s v="Units"/>
    <x v="6"/>
    <n v="20.048999999999999"/>
  </r>
  <r>
    <n v="123"/>
    <x v="9"/>
    <x v="38"/>
    <x v="2"/>
    <s v="Percent of GDP"/>
    <s v="Units"/>
    <x v="0"/>
    <n v="20.367999999999999"/>
  </r>
  <r>
    <n v="123"/>
    <x v="9"/>
    <x v="38"/>
    <x v="2"/>
    <s v="Percent of GDP"/>
    <s v="Units"/>
    <x v="1"/>
    <n v="20.677"/>
  </r>
  <r>
    <n v="123"/>
    <x v="9"/>
    <x v="38"/>
    <x v="2"/>
    <s v="Percent of GDP"/>
    <s v="Units"/>
    <x v="2"/>
    <n v="23.716999999999999"/>
  </r>
  <r>
    <n v="123"/>
    <x v="9"/>
    <x v="38"/>
    <x v="2"/>
    <s v="Percent of GDP"/>
    <s v="Units"/>
    <x v="3"/>
    <n v="21.649000000000001"/>
  </r>
  <r>
    <n v="123"/>
    <x v="9"/>
    <x v="38"/>
    <x v="2"/>
    <s v="Percent of GDP"/>
    <s v="Units"/>
    <x v="4"/>
    <n v="18.18"/>
  </r>
  <r>
    <n v="123"/>
    <x v="9"/>
    <x v="38"/>
    <x v="2"/>
    <s v="Percent of GDP"/>
    <s v="Units"/>
    <x v="5"/>
    <n v="19.632999999999999"/>
  </r>
  <r>
    <n v="123"/>
    <x v="9"/>
    <x v="38"/>
    <x v="2"/>
    <s v="Percent of GDP"/>
    <s v="Units"/>
    <x v="6"/>
    <n v="20.68"/>
  </r>
  <r>
    <n v="110"/>
    <x v="0"/>
    <x v="38"/>
    <x v="2"/>
    <s v="Percent of GDP"/>
    <s v="Units"/>
    <x v="0"/>
    <n v="20.367999999999999"/>
  </r>
  <r>
    <n v="110"/>
    <x v="0"/>
    <x v="38"/>
    <x v="2"/>
    <s v="Percent of GDP"/>
    <s v="Units"/>
    <x v="1"/>
    <n v="20.677"/>
  </r>
  <r>
    <n v="110"/>
    <x v="0"/>
    <x v="38"/>
    <x v="2"/>
    <s v="Percent of GDP"/>
    <s v="Units"/>
    <x v="2"/>
    <n v="23.716999999999999"/>
  </r>
  <r>
    <n v="110"/>
    <x v="0"/>
    <x v="38"/>
    <x v="2"/>
    <s v="Percent of GDP"/>
    <s v="Units"/>
    <x v="3"/>
    <n v="21.649000000000001"/>
  </r>
  <r>
    <n v="110"/>
    <x v="0"/>
    <x v="38"/>
    <x v="2"/>
    <s v="Percent of GDP"/>
    <s v="Units"/>
    <x v="4"/>
    <n v="18.18"/>
  </r>
  <r>
    <n v="110"/>
    <x v="0"/>
    <x v="38"/>
    <x v="2"/>
    <s v="Percent of GDP"/>
    <s v="Units"/>
    <x v="5"/>
    <n v="19.632999999999999"/>
  </r>
  <r>
    <n v="110"/>
    <x v="0"/>
    <x v="38"/>
    <x v="2"/>
    <s v="Percent of GDP"/>
    <s v="Units"/>
    <x v="6"/>
    <n v="20.68"/>
  </r>
  <r>
    <n v="505"/>
    <x v="4"/>
    <x v="117"/>
    <x v="2"/>
    <s v="Percent of GDP"/>
    <s v="Units"/>
    <x v="0"/>
    <n v="22.352"/>
  </r>
  <r>
    <n v="505"/>
    <x v="4"/>
    <x v="117"/>
    <x v="2"/>
    <s v="Percent of GDP"/>
    <s v="Units"/>
    <x v="1"/>
    <n v="22.245000000000001"/>
  </r>
  <r>
    <n v="505"/>
    <x v="4"/>
    <x v="117"/>
    <x v="2"/>
    <s v="Percent of GDP"/>
    <s v="Units"/>
    <x v="2"/>
    <n v="23.268999999999998"/>
  </r>
  <r>
    <n v="505"/>
    <x v="4"/>
    <x v="117"/>
    <x v="2"/>
    <s v="Percent of GDP"/>
    <s v="Units"/>
    <x v="3"/>
    <n v="23.134"/>
  </r>
  <r>
    <n v="505"/>
    <x v="4"/>
    <x v="117"/>
    <x v="2"/>
    <s v="Percent of GDP"/>
    <s v="Units"/>
    <x v="4"/>
    <n v="19.273"/>
  </r>
  <r>
    <n v="505"/>
    <x v="4"/>
    <x v="117"/>
    <x v="2"/>
    <s v="Percent of GDP"/>
    <s v="Units"/>
    <x v="5"/>
    <n v="19.556000000000001"/>
  </r>
  <r>
    <n v="505"/>
    <x v="4"/>
    <x v="117"/>
    <x v="2"/>
    <s v="Percent of GDP"/>
    <s v="Units"/>
    <x v="6"/>
    <n v="20.664000000000001"/>
  </r>
  <r>
    <n v="200"/>
    <x v="3"/>
    <x v="117"/>
    <x v="2"/>
    <s v="Percent of GDP"/>
    <s v="Units"/>
    <x v="0"/>
    <n v="22.352"/>
  </r>
  <r>
    <n v="200"/>
    <x v="3"/>
    <x v="117"/>
    <x v="2"/>
    <s v="Percent of GDP"/>
    <s v="Units"/>
    <x v="1"/>
    <n v="22.245000000000001"/>
  </r>
  <r>
    <n v="200"/>
    <x v="3"/>
    <x v="117"/>
    <x v="2"/>
    <s v="Percent of GDP"/>
    <s v="Units"/>
    <x v="2"/>
    <n v="23.268999999999998"/>
  </r>
  <r>
    <n v="200"/>
    <x v="3"/>
    <x v="117"/>
    <x v="2"/>
    <s v="Percent of GDP"/>
    <s v="Units"/>
    <x v="3"/>
    <n v="23.134"/>
  </r>
  <r>
    <n v="200"/>
    <x v="3"/>
    <x v="117"/>
    <x v="2"/>
    <s v="Percent of GDP"/>
    <s v="Units"/>
    <x v="4"/>
    <n v="19.273"/>
  </r>
  <r>
    <n v="200"/>
    <x v="3"/>
    <x v="117"/>
    <x v="2"/>
    <s v="Percent of GDP"/>
    <s v="Units"/>
    <x v="5"/>
    <n v="19.556000000000001"/>
  </r>
  <r>
    <n v="200"/>
    <x v="3"/>
    <x v="117"/>
    <x v="2"/>
    <s v="Percent of GDP"/>
    <s v="Units"/>
    <x v="6"/>
    <n v="20.664000000000001"/>
  </r>
  <r>
    <n v="200"/>
    <x v="3"/>
    <x v="94"/>
    <x v="3"/>
    <s v="Percent of GDP"/>
    <s v="Units"/>
    <x v="0"/>
    <n v="21.562000000000001"/>
  </r>
  <r>
    <n v="200"/>
    <x v="3"/>
    <x v="94"/>
    <x v="3"/>
    <s v="Percent of GDP"/>
    <s v="Units"/>
    <x v="1"/>
    <n v="22.366"/>
  </r>
  <r>
    <n v="200"/>
    <x v="3"/>
    <x v="94"/>
    <x v="3"/>
    <s v="Percent of GDP"/>
    <s v="Units"/>
    <x v="2"/>
    <n v="24.26"/>
  </r>
  <r>
    <n v="200"/>
    <x v="3"/>
    <x v="94"/>
    <x v="3"/>
    <s v="Percent of GDP"/>
    <s v="Units"/>
    <x v="3"/>
    <n v="21.588000000000001"/>
  </r>
  <r>
    <n v="200"/>
    <x v="3"/>
    <x v="94"/>
    <x v="3"/>
    <s v="Percent of GDP"/>
    <s v="Units"/>
    <x v="4"/>
    <n v="15.977"/>
  </r>
  <r>
    <n v="200"/>
    <x v="3"/>
    <x v="94"/>
    <x v="3"/>
    <s v="Percent of GDP"/>
    <s v="Units"/>
    <x v="5"/>
    <n v="19.521999999999998"/>
  </r>
  <r>
    <n v="200"/>
    <x v="3"/>
    <x v="94"/>
    <x v="3"/>
    <s v="Percent of GDP"/>
    <s v="Units"/>
    <x v="6"/>
    <n v="19.927"/>
  </r>
  <r>
    <n v="603"/>
    <x v="12"/>
    <x v="94"/>
    <x v="3"/>
    <s v="Percent of GDP"/>
    <s v="Units"/>
    <x v="0"/>
    <n v="21.562000000000001"/>
  </r>
  <r>
    <n v="603"/>
    <x v="12"/>
    <x v="94"/>
    <x v="3"/>
    <s v="Percent of GDP"/>
    <s v="Units"/>
    <x v="1"/>
    <n v="22.366"/>
  </r>
  <r>
    <n v="603"/>
    <x v="12"/>
    <x v="94"/>
    <x v="3"/>
    <s v="Percent of GDP"/>
    <s v="Units"/>
    <x v="2"/>
    <n v="24.26"/>
  </r>
  <r>
    <n v="603"/>
    <x v="12"/>
    <x v="94"/>
    <x v="3"/>
    <s v="Percent of GDP"/>
    <s v="Units"/>
    <x v="3"/>
    <n v="21.588000000000001"/>
  </r>
  <r>
    <n v="603"/>
    <x v="12"/>
    <x v="94"/>
    <x v="3"/>
    <s v="Percent of GDP"/>
    <s v="Units"/>
    <x v="4"/>
    <n v="15.977"/>
  </r>
  <r>
    <n v="603"/>
    <x v="12"/>
    <x v="94"/>
    <x v="3"/>
    <s v="Percent of GDP"/>
    <s v="Units"/>
    <x v="5"/>
    <n v="19.521999999999998"/>
  </r>
  <r>
    <n v="603"/>
    <x v="12"/>
    <x v="94"/>
    <x v="3"/>
    <s v="Percent of GDP"/>
    <s v="Units"/>
    <x v="6"/>
    <n v="19.927"/>
  </r>
  <r>
    <n v="603"/>
    <x v="12"/>
    <x v="97"/>
    <x v="3"/>
    <s v="Percent of GDP"/>
    <s v="Units"/>
    <x v="0"/>
    <n v="18.271000000000001"/>
  </r>
  <r>
    <n v="603"/>
    <x v="12"/>
    <x v="97"/>
    <x v="3"/>
    <s v="Percent of GDP"/>
    <s v="Units"/>
    <x v="1"/>
    <n v="21.437999999999999"/>
  </r>
  <r>
    <n v="603"/>
    <x v="12"/>
    <x v="97"/>
    <x v="3"/>
    <s v="Percent of GDP"/>
    <s v="Units"/>
    <x v="2"/>
    <n v="21.512"/>
  </r>
  <r>
    <n v="603"/>
    <x v="12"/>
    <x v="97"/>
    <x v="3"/>
    <s v="Percent of GDP"/>
    <s v="Units"/>
    <x v="3"/>
    <n v="20.128"/>
  </r>
  <r>
    <n v="603"/>
    <x v="12"/>
    <x v="97"/>
    <x v="3"/>
    <s v="Percent of GDP"/>
    <s v="Units"/>
    <x v="4"/>
    <n v="19.120999999999999"/>
  </r>
  <r>
    <n v="603"/>
    <x v="12"/>
    <x v="97"/>
    <x v="3"/>
    <s v="Percent of GDP"/>
    <s v="Units"/>
    <x v="5"/>
    <n v="19.483000000000001"/>
  </r>
  <r>
    <n v="603"/>
    <x v="12"/>
    <x v="97"/>
    <x v="3"/>
    <s v="Percent of GDP"/>
    <s v="Units"/>
    <x v="6"/>
    <n v="19.817"/>
  </r>
  <r>
    <n v="200"/>
    <x v="3"/>
    <x v="97"/>
    <x v="3"/>
    <s v="Percent of GDP"/>
    <s v="Units"/>
    <x v="0"/>
    <n v="18.271000000000001"/>
  </r>
  <r>
    <n v="200"/>
    <x v="3"/>
    <x v="97"/>
    <x v="3"/>
    <s v="Percent of GDP"/>
    <s v="Units"/>
    <x v="1"/>
    <n v="21.437999999999999"/>
  </r>
  <r>
    <n v="200"/>
    <x v="3"/>
    <x v="97"/>
    <x v="3"/>
    <s v="Percent of GDP"/>
    <s v="Units"/>
    <x v="2"/>
    <n v="21.512"/>
  </r>
  <r>
    <n v="200"/>
    <x v="3"/>
    <x v="97"/>
    <x v="3"/>
    <s v="Percent of GDP"/>
    <s v="Units"/>
    <x v="3"/>
    <n v="20.128"/>
  </r>
  <r>
    <n v="200"/>
    <x v="3"/>
    <x v="97"/>
    <x v="3"/>
    <s v="Percent of GDP"/>
    <s v="Units"/>
    <x v="4"/>
    <n v="19.120999999999999"/>
  </r>
  <r>
    <n v="200"/>
    <x v="3"/>
    <x v="97"/>
    <x v="3"/>
    <s v="Percent of GDP"/>
    <s v="Units"/>
    <x v="5"/>
    <n v="19.483000000000001"/>
  </r>
  <r>
    <n v="200"/>
    <x v="3"/>
    <x v="97"/>
    <x v="3"/>
    <s v="Percent of GDP"/>
    <s v="Units"/>
    <x v="6"/>
    <n v="19.817"/>
  </r>
  <r>
    <n v="505"/>
    <x v="4"/>
    <x v="147"/>
    <x v="7"/>
    <s v="Percent of GDP"/>
    <s v="Units"/>
    <x v="0"/>
    <n v="19.648"/>
  </r>
  <r>
    <n v="505"/>
    <x v="4"/>
    <x v="147"/>
    <x v="7"/>
    <s v="Percent of GDP"/>
    <s v="Units"/>
    <x v="1"/>
    <n v="16.722000000000001"/>
  </r>
  <r>
    <n v="505"/>
    <x v="4"/>
    <x v="147"/>
    <x v="7"/>
    <s v="Percent of GDP"/>
    <s v="Units"/>
    <x v="2"/>
    <n v="21.731000000000002"/>
  </r>
  <r>
    <n v="505"/>
    <x v="4"/>
    <x v="147"/>
    <x v="7"/>
    <s v="Percent of GDP"/>
    <s v="Units"/>
    <x v="3"/>
    <n v="18.436"/>
  </r>
  <r>
    <n v="505"/>
    <x v="4"/>
    <x v="147"/>
    <x v="7"/>
    <s v="Percent of GDP"/>
    <s v="Units"/>
    <x v="4"/>
    <n v="18.914999999999999"/>
  </r>
  <r>
    <n v="505"/>
    <x v="4"/>
    <x v="147"/>
    <x v="7"/>
    <s v="Percent of GDP"/>
    <s v="Units"/>
    <x v="5"/>
    <n v="19.481000000000002"/>
  </r>
  <r>
    <n v="505"/>
    <x v="4"/>
    <x v="147"/>
    <x v="7"/>
    <s v="Percent of GDP"/>
    <s v="Units"/>
    <x v="6"/>
    <n v="19.5"/>
  </r>
  <r>
    <n v="200"/>
    <x v="3"/>
    <x v="147"/>
    <x v="7"/>
    <s v="Percent of GDP"/>
    <s v="Units"/>
    <x v="0"/>
    <n v="19.648"/>
  </r>
  <r>
    <n v="200"/>
    <x v="3"/>
    <x v="147"/>
    <x v="7"/>
    <s v="Percent of GDP"/>
    <s v="Units"/>
    <x v="1"/>
    <n v="16.722000000000001"/>
  </r>
  <r>
    <n v="200"/>
    <x v="3"/>
    <x v="147"/>
    <x v="7"/>
    <s v="Percent of GDP"/>
    <s v="Units"/>
    <x v="2"/>
    <n v="21.731000000000002"/>
  </r>
  <r>
    <n v="200"/>
    <x v="3"/>
    <x v="147"/>
    <x v="7"/>
    <s v="Percent of GDP"/>
    <s v="Units"/>
    <x v="3"/>
    <n v="18.436"/>
  </r>
  <r>
    <n v="200"/>
    <x v="3"/>
    <x v="147"/>
    <x v="7"/>
    <s v="Percent of GDP"/>
    <s v="Units"/>
    <x v="4"/>
    <n v="18.914999999999999"/>
  </r>
  <r>
    <n v="200"/>
    <x v="3"/>
    <x v="147"/>
    <x v="7"/>
    <s v="Percent of GDP"/>
    <s v="Units"/>
    <x v="5"/>
    <n v="19.481000000000002"/>
  </r>
  <r>
    <n v="200"/>
    <x v="3"/>
    <x v="147"/>
    <x v="7"/>
    <s v="Percent of GDP"/>
    <s v="Units"/>
    <x v="6"/>
    <n v="19.5"/>
  </r>
  <r>
    <n v="1"/>
    <x v="2"/>
    <x v="147"/>
    <x v="7"/>
    <s v="Percent of GDP"/>
    <s v="Units"/>
    <x v="0"/>
    <n v="19.648"/>
  </r>
  <r>
    <n v="1"/>
    <x v="2"/>
    <x v="147"/>
    <x v="7"/>
    <s v="Percent of GDP"/>
    <s v="Units"/>
    <x v="1"/>
    <n v="16.722000000000001"/>
  </r>
  <r>
    <n v="1"/>
    <x v="2"/>
    <x v="147"/>
    <x v="7"/>
    <s v="Percent of GDP"/>
    <s v="Units"/>
    <x v="2"/>
    <n v="21.731000000000002"/>
  </r>
  <r>
    <n v="1"/>
    <x v="2"/>
    <x v="147"/>
    <x v="7"/>
    <s v="Percent of GDP"/>
    <s v="Units"/>
    <x v="3"/>
    <n v="18.436"/>
  </r>
  <r>
    <n v="1"/>
    <x v="2"/>
    <x v="147"/>
    <x v="7"/>
    <s v="Percent of GDP"/>
    <s v="Units"/>
    <x v="4"/>
    <n v="18.914999999999999"/>
  </r>
  <r>
    <n v="1"/>
    <x v="2"/>
    <x v="147"/>
    <x v="7"/>
    <s v="Percent of GDP"/>
    <s v="Units"/>
    <x v="5"/>
    <n v="19.481000000000002"/>
  </r>
  <r>
    <n v="1"/>
    <x v="2"/>
    <x v="147"/>
    <x v="7"/>
    <s v="Percent of GDP"/>
    <s v="Units"/>
    <x v="6"/>
    <n v="19.5"/>
  </r>
  <r>
    <n v="200"/>
    <x v="3"/>
    <x v="56"/>
    <x v="7"/>
    <s v="Percent of GDP"/>
    <s v="Units"/>
    <x v="0"/>
    <n v="35.264000000000003"/>
  </r>
  <r>
    <n v="200"/>
    <x v="3"/>
    <x v="56"/>
    <x v="7"/>
    <s v="Percent of GDP"/>
    <s v="Units"/>
    <x v="1"/>
    <n v="30.751999999999999"/>
  </r>
  <r>
    <n v="200"/>
    <x v="3"/>
    <x v="56"/>
    <x v="7"/>
    <s v="Percent of GDP"/>
    <s v="Units"/>
    <x v="2"/>
    <n v="28.023"/>
  </r>
  <r>
    <n v="200"/>
    <x v="3"/>
    <x v="56"/>
    <x v="7"/>
    <s v="Percent of GDP"/>
    <s v="Units"/>
    <x v="3"/>
    <n v="25.34"/>
  </r>
  <r>
    <n v="200"/>
    <x v="3"/>
    <x v="56"/>
    <x v="7"/>
    <s v="Percent of GDP"/>
    <s v="Units"/>
    <x v="4"/>
    <n v="22.170999999999999"/>
  </r>
  <r>
    <n v="200"/>
    <x v="3"/>
    <x v="56"/>
    <x v="7"/>
    <s v="Percent of GDP"/>
    <s v="Units"/>
    <x v="5"/>
    <n v="19.396000000000001"/>
  </r>
  <r>
    <n v="200"/>
    <x v="3"/>
    <x v="56"/>
    <x v="7"/>
    <s v="Percent of GDP"/>
    <s v="Units"/>
    <x v="6"/>
    <n v="19.024000000000001"/>
  </r>
  <r>
    <n v="603"/>
    <x v="12"/>
    <x v="56"/>
    <x v="7"/>
    <s v="Percent of GDP"/>
    <s v="Units"/>
    <x v="0"/>
    <n v="35.264000000000003"/>
  </r>
  <r>
    <n v="603"/>
    <x v="12"/>
    <x v="56"/>
    <x v="7"/>
    <s v="Percent of GDP"/>
    <s v="Units"/>
    <x v="1"/>
    <n v="30.751999999999999"/>
  </r>
  <r>
    <n v="603"/>
    <x v="12"/>
    <x v="56"/>
    <x v="7"/>
    <s v="Percent of GDP"/>
    <s v="Units"/>
    <x v="2"/>
    <n v="28.023"/>
  </r>
  <r>
    <n v="603"/>
    <x v="12"/>
    <x v="56"/>
    <x v="7"/>
    <s v="Percent of GDP"/>
    <s v="Units"/>
    <x v="3"/>
    <n v="25.34"/>
  </r>
  <r>
    <n v="603"/>
    <x v="12"/>
    <x v="56"/>
    <x v="7"/>
    <s v="Percent of GDP"/>
    <s v="Units"/>
    <x v="4"/>
    <n v="22.170999999999999"/>
  </r>
  <r>
    <n v="603"/>
    <x v="12"/>
    <x v="56"/>
    <x v="7"/>
    <s v="Percent of GDP"/>
    <s v="Units"/>
    <x v="5"/>
    <n v="19.396000000000001"/>
  </r>
  <r>
    <n v="603"/>
    <x v="12"/>
    <x v="56"/>
    <x v="7"/>
    <s v="Percent of GDP"/>
    <s v="Units"/>
    <x v="6"/>
    <n v="19.024000000000001"/>
  </r>
  <r>
    <n v="1"/>
    <x v="2"/>
    <x v="56"/>
    <x v="7"/>
    <s v="Percent of GDP"/>
    <s v="Units"/>
    <x v="0"/>
    <n v="35.264000000000003"/>
  </r>
  <r>
    <n v="1"/>
    <x v="2"/>
    <x v="56"/>
    <x v="7"/>
    <s v="Percent of GDP"/>
    <s v="Units"/>
    <x v="1"/>
    <n v="30.751999999999999"/>
  </r>
  <r>
    <n v="1"/>
    <x v="2"/>
    <x v="56"/>
    <x v="7"/>
    <s v="Percent of GDP"/>
    <s v="Units"/>
    <x v="2"/>
    <n v="28.023"/>
  </r>
  <r>
    <n v="1"/>
    <x v="2"/>
    <x v="56"/>
    <x v="7"/>
    <s v="Percent of GDP"/>
    <s v="Units"/>
    <x v="3"/>
    <n v="25.34"/>
  </r>
  <r>
    <n v="1"/>
    <x v="2"/>
    <x v="56"/>
    <x v="7"/>
    <s v="Percent of GDP"/>
    <s v="Units"/>
    <x v="4"/>
    <n v="22.170999999999999"/>
  </r>
  <r>
    <n v="1"/>
    <x v="2"/>
    <x v="56"/>
    <x v="7"/>
    <s v="Percent of GDP"/>
    <s v="Units"/>
    <x v="5"/>
    <n v="19.396000000000001"/>
  </r>
  <r>
    <n v="1"/>
    <x v="2"/>
    <x v="56"/>
    <x v="7"/>
    <s v="Percent of GDP"/>
    <s v="Units"/>
    <x v="6"/>
    <n v="19.024000000000001"/>
  </r>
  <r>
    <n v="903"/>
    <x v="8"/>
    <x v="19"/>
    <x v="5"/>
    <s v="Percent of GDP"/>
    <s v="Units"/>
    <x v="0"/>
    <n v="20.254000000000001"/>
  </r>
  <r>
    <n v="903"/>
    <x v="8"/>
    <x v="19"/>
    <x v="5"/>
    <s v="Percent of GDP"/>
    <s v="Units"/>
    <x v="1"/>
    <n v="21.222000000000001"/>
  </r>
  <r>
    <n v="903"/>
    <x v="8"/>
    <x v="19"/>
    <x v="5"/>
    <s v="Percent of GDP"/>
    <s v="Units"/>
    <x v="2"/>
    <n v="20.5"/>
  </r>
  <r>
    <n v="903"/>
    <x v="8"/>
    <x v="19"/>
    <x v="5"/>
    <s v="Percent of GDP"/>
    <s v="Units"/>
    <x v="3"/>
    <n v="19.989000000000001"/>
  </r>
  <r>
    <n v="903"/>
    <x v="8"/>
    <x v="19"/>
    <x v="5"/>
    <s v="Percent of GDP"/>
    <s v="Units"/>
    <x v="4"/>
    <n v="19.483000000000001"/>
  </r>
  <r>
    <n v="903"/>
    <x v="8"/>
    <x v="19"/>
    <x v="5"/>
    <s v="Percent of GDP"/>
    <s v="Units"/>
    <x v="5"/>
    <n v="19.364000000000001"/>
  </r>
  <r>
    <n v="903"/>
    <x v="8"/>
    <x v="19"/>
    <x v="5"/>
    <s v="Percent of GDP"/>
    <s v="Units"/>
    <x v="6"/>
    <n v="20.187000000000001"/>
  </r>
  <r>
    <n v="998"/>
    <x v="6"/>
    <x v="19"/>
    <x v="5"/>
    <s v="Percent of GDP"/>
    <s v="Units"/>
    <x v="0"/>
    <n v="20.254000000000001"/>
  </r>
  <r>
    <n v="998"/>
    <x v="6"/>
    <x v="19"/>
    <x v="5"/>
    <s v="Percent of GDP"/>
    <s v="Units"/>
    <x v="1"/>
    <n v="21.222000000000001"/>
  </r>
  <r>
    <n v="998"/>
    <x v="6"/>
    <x v="19"/>
    <x v="5"/>
    <s v="Percent of GDP"/>
    <s v="Units"/>
    <x v="2"/>
    <n v="20.5"/>
  </r>
  <r>
    <n v="998"/>
    <x v="6"/>
    <x v="19"/>
    <x v="5"/>
    <s v="Percent of GDP"/>
    <s v="Units"/>
    <x v="3"/>
    <n v="19.989000000000001"/>
  </r>
  <r>
    <n v="998"/>
    <x v="6"/>
    <x v="19"/>
    <x v="5"/>
    <s v="Percent of GDP"/>
    <s v="Units"/>
    <x v="4"/>
    <n v="19.483000000000001"/>
  </r>
  <r>
    <n v="998"/>
    <x v="6"/>
    <x v="19"/>
    <x v="5"/>
    <s v="Percent of GDP"/>
    <s v="Units"/>
    <x v="5"/>
    <n v="19.364000000000001"/>
  </r>
  <r>
    <n v="998"/>
    <x v="6"/>
    <x v="19"/>
    <x v="5"/>
    <s v="Percent of GDP"/>
    <s v="Units"/>
    <x v="6"/>
    <n v="20.187000000000001"/>
  </r>
  <r>
    <n v="200"/>
    <x v="3"/>
    <x v="19"/>
    <x v="5"/>
    <s v="Percent of GDP"/>
    <s v="Units"/>
    <x v="0"/>
    <n v="20.254000000000001"/>
  </r>
  <r>
    <n v="200"/>
    <x v="3"/>
    <x v="19"/>
    <x v="5"/>
    <s v="Percent of GDP"/>
    <s v="Units"/>
    <x v="1"/>
    <n v="21.222000000000001"/>
  </r>
  <r>
    <n v="200"/>
    <x v="3"/>
    <x v="19"/>
    <x v="5"/>
    <s v="Percent of GDP"/>
    <s v="Units"/>
    <x v="2"/>
    <n v="20.5"/>
  </r>
  <r>
    <n v="200"/>
    <x v="3"/>
    <x v="19"/>
    <x v="5"/>
    <s v="Percent of GDP"/>
    <s v="Units"/>
    <x v="3"/>
    <n v="19.989000000000001"/>
  </r>
  <r>
    <n v="200"/>
    <x v="3"/>
    <x v="19"/>
    <x v="5"/>
    <s v="Percent of GDP"/>
    <s v="Units"/>
    <x v="4"/>
    <n v="19.483000000000001"/>
  </r>
  <r>
    <n v="200"/>
    <x v="3"/>
    <x v="19"/>
    <x v="5"/>
    <s v="Percent of GDP"/>
    <s v="Units"/>
    <x v="5"/>
    <n v="19.364000000000001"/>
  </r>
  <r>
    <n v="200"/>
    <x v="3"/>
    <x v="19"/>
    <x v="5"/>
    <s v="Percent of GDP"/>
    <s v="Units"/>
    <x v="6"/>
    <n v="20.187000000000001"/>
  </r>
  <r>
    <n v="1"/>
    <x v="2"/>
    <x v="19"/>
    <x v="5"/>
    <s v="Percent of GDP"/>
    <s v="Units"/>
    <x v="0"/>
    <n v="20.254000000000001"/>
  </r>
  <r>
    <n v="1"/>
    <x v="2"/>
    <x v="19"/>
    <x v="5"/>
    <s v="Percent of GDP"/>
    <s v="Units"/>
    <x v="1"/>
    <n v="21.222000000000001"/>
  </r>
  <r>
    <n v="1"/>
    <x v="2"/>
    <x v="19"/>
    <x v="5"/>
    <s v="Percent of GDP"/>
    <s v="Units"/>
    <x v="2"/>
    <n v="20.5"/>
  </r>
  <r>
    <n v="1"/>
    <x v="2"/>
    <x v="19"/>
    <x v="5"/>
    <s v="Percent of GDP"/>
    <s v="Units"/>
    <x v="3"/>
    <n v="19.989000000000001"/>
  </r>
  <r>
    <n v="1"/>
    <x v="2"/>
    <x v="19"/>
    <x v="5"/>
    <s v="Percent of GDP"/>
    <s v="Units"/>
    <x v="4"/>
    <n v="19.483000000000001"/>
  </r>
  <r>
    <n v="1"/>
    <x v="2"/>
    <x v="19"/>
    <x v="5"/>
    <s v="Percent of GDP"/>
    <s v="Units"/>
    <x v="5"/>
    <n v="19.364000000000001"/>
  </r>
  <r>
    <n v="1"/>
    <x v="2"/>
    <x v="19"/>
    <x v="5"/>
    <s v="Percent of GDP"/>
    <s v="Units"/>
    <x v="6"/>
    <n v="20.187000000000001"/>
  </r>
  <r>
    <n v="603"/>
    <x v="12"/>
    <x v="87"/>
    <x v="7"/>
    <s v="Percent of GDP"/>
    <s v="Units"/>
    <x v="0"/>
    <n v="18.646999999999998"/>
  </r>
  <r>
    <n v="603"/>
    <x v="12"/>
    <x v="87"/>
    <x v="7"/>
    <s v="Percent of GDP"/>
    <s v="Units"/>
    <x v="1"/>
    <n v="18.224"/>
  </r>
  <r>
    <n v="603"/>
    <x v="12"/>
    <x v="87"/>
    <x v="7"/>
    <s v="Percent of GDP"/>
    <s v="Units"/>
    <x v="2"/>
    <n v="17.036999999999999"/>
  </r>
  <r>
    <n v="603"/>
    <x v="12"/>
    <x v="87"/>
    <x v="7"/>
    <s v="Percent of GDP"/>
    <s v="Units"/>
    <x v="3"/>
    <n v="16.239999999999998"/>
  </r>
  <r>
    <n v="603"/>
    <x v="12"/>
    <x v="87"/>
    <x v="7"/>
    <s v="Percent of GDP"/>
    <s v="Units"/>
    <x v="4"/>
    <n v="18.334"/>
  </r>
  <r>
    <n v="603"/>
    <x v="12"/>
    <x v="87"/>
    <x v="7"/>
    <s v="Percent of GDP"/>
    <s v="Units"/>
    <x v="5"/>
    <n v="19.324000000000002"/>
  </r>
  <r>
    <n v="603"/>
    <x v="12"/>
    <x v="87"/>
    <x v="7"/>
    <s v="Percent of GDP"/>
    <s v="Units"/>
    <x v="6"/>
    <n v="20.257000000000001"/>
  </r>
  <r>
    <n v="1"/>
    <x v="2"/>
    <x v="87"/>
    <x v="7"/>
    <s v="Percent of GDP"/>
    <s v="Units"/>
    <x v="0"/>
    <n v="18.646999999999998"/>
  </r>
  <r>
    <n v="1"/>
    <x v="2"/>
    <x v="87"/>
    <x v="7"/>
    <s v="Percent of GDP"/>
    <s v="Units"/>
    <x v="1"/>
    <n v="18.224"/>
  </r>
  <r>
    <n v="1"/>
    <x v="2"/>
    <x v="87"/>
    <x v="7"/>
    <s v="Percent of GDP"/>
    <s v="Units"/>
    <x v="2"/>
    <n v="17.036999999999999"/>
  </r>
  <r>
    <n v="1"/>
    <x v="2"/>
    <x v="87"/>
    <x v="7"/>
    <s v="Percent of GDP"/>
    <s v="Units"/>
    <x v="3"/>
    <n v="16.239999999999998"/>
  </r>
  <r>
    <n v="1"/>
    <x v="2"/>
    <x v="87"/>
    <x v="7"/>
    <s v="Percent of GDP"/>
    <s v="Units"/>
    <x v="4"/>
    <n v="18.334"/>
  </r>
  <r>
    <n v="1"/>
    <x v="2"/>
    <x v="87"/>
    <x v="7"/>
    <s v="Percent of GDP"/>
    <s v="Units"/>
    <x v="5"/>
    <n v="19.324000000000002"/>
  </r>
  <r>
    <n v="1"/>
    <x v="2"/>
    <x v="87"/>
    <x v="7"/>
    <s v="Percent of GDP"/>
    <s v="Units"/>
    <x v="6"/>
    <n v="20.257000000000001"/>
  </r>
  <r>
    <n v="200"/>
    <x v="3"/>
    <x v="87"/>
    <x v="7"/>
    <s v="Percent of GDP"/>
    <s v="Units"/>
    <x v="0"/>
    <n v="18.646999999999998"/>
  </r>
  <r>
    <n v="200"/>
    <x v="3"/>
    <x v="87"/>
    <x v="7"/>
    <s v="Percent of GDP"/>
    <s v="Units"/>
    <x v="1"/>
    <n v="18.224"/>
  </r>
  <r>
    <n v="200"/>
    <x v="3"/>
    <x v="87"/>
    <x v="7"/>
    <s v="Percent of GDP"/>
    <s v="Units"/>
    <x v="2"/>
    <n v="17.036999999999999"/>
  </r>
  <r>
    <n v="200"/>
    <x v="3"/>
    <x v="87"/>
    <x v="7"/>
    <s v="Percent of GDP"/>
    <s v="Units"/>
    <x v="3"/>
    <n v="16.239999999999998"/>
  </r>
  <r>
    <n v="200"/>
    <x v="3"/>
    <x v="87"/>
    <x v="7"/>
    <s v="Percent of GDP"/>
    <s v="Units"/>
    <x v="4"/>
    <n v="18.334"/>
  </r>
  <r>
    <n v="200"/>
    <x v="3"/>
    <x v="87"/>
    <x v="7"/>
    <s v="Percent of GDP"/>
    <s v="Units"/>
    <x v="5"/>
    <n v="19.324000000000002"/>
  </r>
  <r>
    <n v="200"/>
    <x v="3"/>
    <x v="87"/>
    <x v="7"/>
    <s v="Percent of GDP"/>
    <s v="Units"/>
    <x v="6"/>
    <n v="20.257000000000001"/>
  </r>
  <r>
    <n v="1"/>
    <x v="2"/>
    <x v="140"/>
    <x v="7"/>
    <s v="Percent of GDP"/>
    <s v="Units"/>
    <x v="0"/>
    <n v="18.344999999999999"/>
  </r>
  <r>
    <n v="1"/>
    <x v="2"/>
    <x v="140"/>
    <x v="7"/>
    <s v="Percent of GDP"/>
    <s v="Units"/>
    <x v="1"/>
    <n v="17.212"/>
  </r>
  <r>
    <n v="1"/>
    <x v="2"/>
    <x v="140"/>
    <x v="7"/>
    <s v="Percent of GDP"/>
    <s v="Units"/>
    <x v="2"/>
    <n v="23.355"/>
  </r>
  <r>
    <n v="1"/>
    <x v="2"/>
    <x v="140"/>
    <x v="7"/>
    <s v="Percent of GDP"/>
    <s v="Units"/>
    <x v="3"/>
    <n v="23.209"/>
  </r>
  <r>
    <n v="1"/>
    <x v="2"/>
    <x v="140"/>
    <x v="7"/>
    <s v="Percent of GDP"/>
    <s v="Units"/>
    <x v="4"/>
    <n v="19.279"/>
  </r>
  <r>
    <n v="1"/>
    <x v="2"/>
    <x v="140"/>
    <x v="7"/>
    <s v="Percent of GDP"/>
    <s v="Units"/>
    <x v="5"/>
    <n v="19.262"/>
  </r>
  <r>
    <n v="1"/>
    <x v="2"/>
    <x v="140"/>
    <x v="7"/>
    <s v="Percent of GDP"/>
    <s v="Units"/>
    <x v="6"/>
    <n v="20.036000000000001"/>
  </r>
  <r>
    <n v="200"/>
    <x v="3"/>
    <x v="140"/>
    <x v="7"/>
    <s v="Percent of GDP"/>
    <s v="Units"/>
    <x v="0"/>
    <n v="18.344999999999999"/>
  </r>
  <r>
    <n v="200"/>
    <x v="3"/>
    <x v="140"/>
    <x v="7"/>
    <s v="Percent of GDP"/>
    <s v="Units"/>
    <x v="1"/>
    <n v="17.212"/>
  </r>
  <r>
    <n v="200"/>
    <x v="3"/>
    <x v="140"/>
    <x v="7"/>
    <s v="Percent of GDP"/>
    <s v="Units"/>
    <x v="2"/>
    <n v="23.355"/>
  </r>
  <r>
    <n v="200"/>
    <x v="3"/>
    <x v="140"/>
    <x v="7"/>
    <s v="Percent of GDP"/>
    <s v="Units"/>
    <x v="3"/>
    <n v="23.209"/>
  </r>
  <r>
    <n v="200"/>
    <x v="3"/>
    <x v="140"/>
    <x v="7"/>
    <s v="Percent of GDP"/>
    <s v="Units"/>
    <x v="4"/>
    <n v="19.279"/>
  </r>
  <r>
    <n v="200"/>
    <x v="3"/>
    <x v="140"/>
    <x v="7"/>
    <s v="Percent of GDP"/>
    <s v="Units"/>
    <x v="5"/>
    <n v="19.262"/>
  </r>
  <r>
    <n v="200"/>
    <x v="3"/>
    <x v="140"/>
    <x v="7"/>
    <s v="Percent of GDP"/>
    <s v="Units"/>
    <x v="6"/>
    <n v="20.036000000000001"/>
  </r>
  <r>
    <n v="205"/>
    <x v="7"/>
    <x v="140"/>
    <x v="7"/>
    <s v="Percent of GDP"/>
    <s v="Units"/>
    <x v="0"/>
    <n v="18.344999999999999"/>
  </r>
  <r>
    <n v="205"/>
    <x v="7"/>
    <x v="140"/>
    <x v="7"/>
    <s v="Percent of GDP"/>
    <s v="Units"/>
    <x v="1"/>
    <n v="17.212"/>
  </r>
  <r>
    <n v="205"/>
    <x v="7"/>
    <x v="140"/>
    <x v="7"/>
    <s v="Percent of GDP"/>
    <s v="Units"/>
    <x v="2"/>
    <n v="23.355"/>
  </r>
  <r>
    <n v="205"/>
    <x v="7"/>
    <x v="140"/>
    <x v="7"/>
    <s v="Percent of GDP"/>
    <s v="Units"/>
    <x v="3"/>
    <n v="23.209"/>
  </r>
  <r>
    <n v="205"/>
    <x v="7"/>
    <x v="140"/>
    <x v="7"/>
    <s v="Percent of GDP"/>
    <s v="Units"/>
    <x v="4"/>
    <n v="19.279"/>
  </r>
  <r>
    <n v="205"/>
    <x v="7"/>
    <x v="140"/>
    <x v="7"/>
    <s v="Percent of GDP"/>
    <s v="Units"/>
    <x v="5"/>
    <n v="19.262"/>
  </r>
  <r>
    <n v="205"/>
    <x v="7"/>
    <x v="140"/>
    <x v="7"/>
    <s v="Percent of GDP"/>
    <s v="Units"/>
    <x v="6"/>
    <n v="20.036000000000001"/>
  </r>
  <r>
    <n v="205"/>
    <x v="7"/>
    <x v="48"/>
    <x v="5"/>
    <s v="Percent of GDP"/>
    <s v="Units"/>
    <x v="0"/>
    <n v="21.271999999999998"/>
  </r>
  <r>
    <n v="205"/>
    <x v="7"/>
    <x v="48"/>
    <x v="5"/>
    <s v="Percent of GDP"/>
    <s v="Units"/>
    <x v="1"/>
    <n v="21.013000000000002"/>
  </r>
  <r>
    <n v="205"/>
    <x v="7"/>
    <x v="48"/>
    <x v="5"/>
    <s v="Percent of GDP"/>
    <s v="Units"/>
    <x v="2"/>
    <n v="19.492000000000001"/>
  </r>
  <r>
    <n v="205"/>
    <x v="7"/>
    <x v="48"/>
    <x v="5"/>
    <s v="Percent of GDP"/>
    <s v="Units"/>
    <x v="3"/>
    <n v="18.071999999999999"/>
  </r>
  <r>
    <n v="205"/>
    <x v="7"/>
    <x v="48"/>
    <x v="5"/>
    <s v="Percent of GDP"/>
    <s v="Units"/>
    <x v="4"/>
    <n v="19.783999999999999"/>
  </r>
  <r>
    <n v="205"/>
    <x v="7"/>
    <x v="48"/>
    <x v="5"/>
    <s v="Percent of GDP"/>
    <s v="Units"/>
    <x v="5"/>
    <n v="19.254000000000001"/>
  </r>
  <r>
    <n v="205"/>
    <x v="7"/>
    <x v="48"/>
    <x v="5"/>
    <s v="Percent of GDP"/>
    <s v="Units"/>
    <x v="6"/>
    <n v="19.46"/>
  </r>
  <r>
    <n v="1"/>
    <x v="2"/>
    <x v="48"/>
    <x v="5"/>
    <s v="Percent of GDP"/>
    <s v="Units"/>
    <x v="0"/>
    <n v="21.271999999999998"/>
  </r>
  <r>
    <n v="1"/>
    <x v="2"/>
    <x v="48"/>
    <x v="5"/>
    <s v="Percent of GDP"/>
    <s v="Units"/>
    <x v="1"/>
    <n v="21.013000000000002"/>
  </r>
  <r>
    <n v="1"/>
    <x v="2"/>
    <x v="48"/>
    <x v="5"/>
    <s v="Percent of GDP"/>
    <s v="Units"/>
    <x v="2"/>
    <n v="19.492000000000001"/>
  </r>
  <r>
    <n v="1"/>
    <x v="2"/>
    <x v="48"/>
    <x v="5"/>
    <s v="Percent of GDP"/>
    <s v="Units"/>
    <x v="3"/>
    <n v="18.071999999999999"/>
  </r>
  <r>
    <n v="1"/>
    <x v="2"/>
    <x v="48"/>
    <x v="5"/>
    <s v="Percent of GDP"/>
    <s v="Units"/>
    <x v="4"/>
    <n v="19.783999999999999"/>
  </r>
  <r>
    <n v="1"/>
    <x v="2"/>
    <x v="48"/>
    <x v="5"/>
    <s v="Percent of GDP"/>
    <s v="Units"/>
    <x v="5"/>
    <n v="19.254000000000001"/>
  </r>
  <r>
    <n v="1"/>
    <x v="2"/>
    <x v="48"/>
    <x v="5"/>
    <s v="Percent of GDP"/>
    <s v="Units"/>
    <x v="6"/>
    <n v="19.46"/>
  </r>
  <r>
    <n v="200"/>
    <x v="3"/>
    <x v="48"/>
    <x v="5"/>
    <s v="Percent of GDP"/>
    <s v="Units"/>
    <x v="0"/>
    <n v="21.271999999999998"/>
  </r>
  <r>
    <n v="200"/>
    <x v="3"/>
    <x v="48"/>
    <x v="5"/>
    <s v="Percent of GDP"/>
    <s v="Units"/>
    <x v="1"/>
    <n v="21.013000000000002"/>
  </r>
  <r>
    <n v="200"/>
    <x v="3"/>
    <x v="48"/>
    <x v="5"/>
    <s v="Percent of GDP"/>
    <s v="Units"/>
    <x v="2"/>
    <n v="19.492000000000001"/>
  </r>
  <r>
    <n v="200"/>
    <x v="3"/>
    <x v="48"/>
    <x v="5"/>
    <s v="Percent of GDP"/>
    <s v="Units"/>
    <x v="3"/>
    <n v="18.071999999999999"/>
  </r>
  <r>
    <n v="200"/>
    <x v="3"/>
    <x v="48"/>
    <x v="5"/>
    <s v="Percent of GDP"/>
    <s v="Units"/>
    <x v="4"/>
    <n v="19.783999999999999"/>
  </r>
  <r>
    <n v="200"/>
    <x v="3"/>
    <x v="48"/>
    <x v="5"/>
    <s v="Percent of GDP"/>
    <s v="Units"/>
    <x v="5"/>
    <n v="19.254000000000001"/>
  </r>
  <r>
    <n v="200"/>
    <x v="3"/>
    <x v="48"/>
    <x v="5"/>
    <s v="Percent of GDP"/>
    <s v="Units"/>
    <x v="6"/>
    <n v="19.46"/>
  </r>
  <r>
    <n v="205"/>
    <x v="7"/>
    <x v="68"/>
    <x v="5"/>
    <s v="Percent of GDP"/>
    <s v="Units"/>
    <x v="0"/>
    <n v="16.690999999999999"/>
  </r>
  <r>
    <n v="205"/>
    <x v="7"/>
    <x v="68"/>
    <x v="5"/>
    <s v="Percent of GDP"/>
    <s v="Units"/>
    <x v="1"/>
    <n v="18.556999999999999"/>
  </r>
  <r>
    <n v="205"/>
    <x v="7"/>
    <x v="68"/>
    <x v="5"/>
    <s v="Percent of GDP"/>
    <s v="Units"/>
    <x v="2"/>
    <n v="19.059999999999999"/>
  </r>
  <r>
    <n v="205"/>
    <x v="7"/>
    <x v="68"/>
    <x v="5"/>
    <s v="Percent of GDP"/>
    <s v="Units"/>
    <x v="3"/>
    <n v="17.968"/>
  </r>
  <r>
    <n v="205"/>
    <x v="7"/>
    <x v="68"/>
    <x v="5"/>
    <s v="Percent of GDP"/>
    <s v="Units"/>
    <x v="4"/>
    <n v="19.247"/>
  </r>
  <r>
    <n v="205"/>
    <x v="7"/>
    <x v="68"/>
    <x v="5"/>
    <s v="Percent of GDP"/>
    <s v="Units"/>
    <x v="5"/>
    <n v="19.225999999999999"/>
  </r>
  <r>
    <n v="205"/>
    <x v="7"/>
    <x v="68"/>
    <x v="5"/>
    <s v="Percent of GDP"/>
    <s v="Units"/>
    <x v="6"/>
    <n v="18.986000000000001"/>
  </r>
  <r>
    <n v="200"/>
    <x v="3"/>
    <x v="68"/>
    <x v="5"/>
    <s v="Percent of GDP"/>
    <s v="Units"/>
    <x v="0"/>
    <n v="16.690999999999999"/>
  </r>
  <r>
    <n v="200"/>
    <x v="3"/>
    <x v="68"/>
    <x v="5"/>
    <s v="Percent of GDP"/>
    <s v="Units"/>
    <x v="1"/>
    <n v="18.556999999999999"/>
  </r>
  <r>
    <n v="200"/>
    <x v="3"/>
    <x v="68"/>
    <x v="5"/>
    <s v="Percent of GDP"/>
    <s v="Units"/>
    <x v="2"/>
    <n v="19.059999999999999"/>
  </r>
  <r>
    <n v="200"/>
    <x v="3"/>
    <x v="68"/>
    <x v="5"/>
    <s v="Percent of GDP"/>
    <s v="Units"/>
    <x v="3"/>
    <n v="17.968"/>
  </r>
  <r>
    <n v="200"/>
    <x v="3"/>
    <x v="68"/>
    <x v="5"/>
    <s v="Percent of GDP"/>
    <s v="Units"/>
    <x v="4"/>
    <n v="19.247"/>
  </r>
  <r>
    <n v="200"/>
    <x v="3"/>
    <x v="68"/>
    <x v="5"/>
    <s v="Percent of GDP"/>
    <s v="Units"/>
    <x v="5"/>
    <n v="19.225999999999999"/>
  </r>
  <r>
    <n v="200"/>
    <x v="3"/>
    <x v="68"/>
    <x v="5"/>
    <s v="Percent of GDP"/>
    <s v="Units"/>
    <x v="6"/>
    <n v="18.986000000000001"/>
  </r>
  <r>
    <n v="1"/>
    <x v="2"/>
    <x v="68"/>
    <x v="5"/>
    <s v="Percent of GDP"/>
    <s v="Units"/>
    <x v="0"/>
    <n v="16.690999999999999"/>
  </r>
  <r>
    <n v="1"/>
    <x v="2"/>
    <x v="68"/>
    <x v="5"/>
    <s v="Percent of GDP"/>
    <s v="Units"/>
    <x v="1"/>
    <n v="18.556999999999999"/>
  </r>
  <r>
    <n v="1"/>
    <x v="2"/>
    <x v="68"/>
    <x v="5"/>
    <s v="Percent of GDP"/>
    <s v="Units"/>
    <x v="2"/>
    <n v="19.059999999999999"/>
  </r>
  <r>
    <n v="1"/>
    <x v="2"/>
    <x v="68"/>
    <x v="5"/>
    <s v="Percent of GDP"/>
    <s v="Units"/>
    <x v="3"/>
    <n v="17.968"/>
  </r>
  <r>
    <n v="1"/>
    <x v="2"/>
    <x v="68"/>
    <x v="5"/>
    <s v="Percent of GDP"/>
    <s v="Units"/>
    <x v="4"/>
    <n v="19.247"/>
  </r>
  <r>
    <n v="1"/>
    <x v="2"/>
    <x v="68"/>
    <x v="5"/>
    <s v="Percent of GDP"/>
    <s v="Units"/>
    <x v="5"/>
    <n v="19.225999999999999"/>
  </r>
  <r>
    <n v="1"/>
    <x v="2"/>
    <x v="68"/>
    <x v="5"/>
    <s v="Percent of GDP"/>
    <s v="Units"/>
    <x v="6"/>
    <n v="18.986000000000001"/>
  </r>
  <r>
    <n v="200"/>
    <x v="3"/>
    <x v="71"/>
    <x v="2"/>
    <s v="Percent of GDP"/>
    <s v="Units"/>
    <x v="0"/>
    <n v="17"/>
  </r>
  <r>
    <n v="200"/>
    <x v="3"/>
    <x v="71"/>
    <x v="2"/>
    <s v="Percent of GDP"/>
    <s v="Units"/>
    <x v="1"/>
    <n v="16.669"/>
  </r>
  <r>
    <n v="200"/>
    <x v="3"/>
    <x v="71"/>
    <x v="2"/>
    <s v="Percent of GDP"/>
    <s v="Units"/>
    <x v="2"/>
    <n v="16.818999999999999"/>
  </r>
  <r>
    <n v="200"/>
    <x v="3"/>
    <x v="71"/>
    <x v="2"/>
    <s v="Percent of GDP"/>
    <s v="Units"/>
    <x v="3"/>
    <n v="17.259"/>
  </r>
  <r>
    <n v="200"/>
    <x v="3"/>
    <x v="71"/>
    <x v="2"/>
    <s v="Percent of GDP"/>
    <s v="Units"/>
    <x v="4"/>
    <n v="18.013999999999999"/>
  </r>
  <r>
    <n v="200"/>
    <x v="3"/>
    <x v="71"/>
    <x v="2"/>
    <s v="Percent of GDP"/>
    <s v="Units"/>
    <x v="5"/>
    <n v="19.177"/>
  </r>
  <r>
    <n v="200"/>
    <x v="3"/>
    <x v="71"/>
    <x v="2"/>
    <s v="Percent of GDP"/>
    <s v="Units"/>
    <x v="6"/>
    <n v="19.405999999999999"/>
  </r>
  <r>
    <n v="603"/>
    <x v="12"/>
    <x v="71"/>
    <x v="2"/>
    <s v="Percent of GDP"/>
    <s v="Units"/>
    <x v="0"/>
    <n v="17"/>
  </r>
  <r>
    <n v="603"/>
    <x v="12"/>
    <x v="71"/>
    <x v="2"/>
    <s v="Percent of GDP"/>
    <s v="Units"/>
    <x v="1"/>
    <n v="16.669"/>
  </r>
  <r>
    <n v="603"/>
    <x v="12"/>
    <x v="71"/>
    <x v="2"/>
    <s v="Percent of GDP"/>
    <s v="Units"/>
    <x v="2"/>
    <n v="16.818999999999999"/>
  </r>
  <r>
    <n v="603"/>
    <x v="12"/>
    <x v="71"/>
    <x v="2"/>
    <s v="Percent of GDP"/>
    <s v="Units"/>
    <x v="3"/>
    <n v="17.259"/>
  </r>
  <r>
    <n v="603"/>
    <x v="12"/>
    <x v="71"/>
    <x v="2"/>
    <s v="Percent of GDP"/>
    <s v="Units"/>
    <x v="4"/>
    <n v="18.013999999999999"/>
  </r>
  <r>
    <n v="603"/>
    <x v="12"/>
    <x v="71"/>
    <x v="2"/>
    <s v="Percent of GDP"/>
    <s v="Units"/>
    <x v="5"/>
    <n v="19.177"/>
  </r>
  <r>
    <n v="603"/>
    <x v="12"/>
    <x v="71"/>
    <x v="2"/>
    <s v="Percent of GDP"/>
    <s v="Units"/>
    <x v="6"/>
    <n v="19.405999999999999"/>
  </r>
  <r>
    <n v="603"/>
    <x v="12"/>
    <x v="85"/>
    <x v="3"/>
    <s v="Percent of GDP"/>
    <s v="Units"/>
    <x v="0"/>
    <n v="17.283999999999999"/>
  </r>
  <r>
    <n v="603"/>
    <x v="12"/>
    <x v="85"/>
    <x v="3"/>
    <s v="Percent of GDP"/>
    <s v="Units"/>
    <x v="1"/>
    <n v="17.440999999999999"/>
  </r>
  <r>
    <n v="603"/>
    <x v="12"/>
    <x v="85"/>
    <x v="3"/>
    <s v="Percent of GDP"/>
    <s v="Units"/>
    <x v="2"/>
    <n v="18.402000000000001"/>
  </r>
  <r>
    <n v="603"/>
    <x v="12"/>
    <x v="85"/>
    <x v="3"/>
    <s v="Percent of GDP"/>
    <s v="Units"/>
    <x v="3"/>
    <n v="19.132000000000001"/>
  </r>
  <r>
    <n v="603"/>
    <x v="12"/>
    <x v="85"/>
    <x v="3"/>
    <s v="Percent of GDP"/>
    <s v="Units"/>
    <x v="4"/>
    <n v="19.093"/>
  </r>
  <r>
    <n v="603"/>
    <x v="12"/>
    <x v="85"/>
    <x v="3"/>
    <s v="Percent of GDP"/>
    <s v="Units"/>
    <x v="5"/>
    <n v="19.158999999999999"/>
  </r>
  <r>
    <n v="603"/>
    <x v="12"/>
    <x v="85"/>
    <x v="3"/>
    <s v="Percent of GDP"/>
    <s v="Units"/>
    <x v="6"/>
    <n v="19.268000000000001"/>
  </r>
  <r>
    <n v="200"/>
    <x v="3"/>
    <x v="85"/>
    <x v="3"/>
    <s v="Percent of GDP"/>
    <s v="Units"/>
    <x v="0"/>
    <n v="17.283999999999999"/>
  </r>
  <r>
    <n v="200"/>
    <x v="3"/>
    <x v="85"/>
    <x v="3"/>
    <s v="Percent of GDP"/>
    <s v="Units"/>
    <x v="1"/>
    <n v="17.440999999999999"/>
  </r>
  <r>
    <n v="200"/>
    <x v="3"/>
    <x v="85"/>
    <x v="3"/>
    <s v="Percent of GDP"/>
    <s v="Units"/>
    <x v="2"/>
    <n v="18.402000000000001"/>
  </r>
  <r>
    <n v="200"/>
    <x v="3"/>
    <x v="85"/>
    <x v="3"/>
    <s v="Percent of GDP"/>
    <s v="Units"/>
    <x v="3"/>
    <n v="19.132000000000001"/>
  </r>
  <r>
    <n v="200"/>
    <x v="3"/>
    <x v="85"/>
    <x v="3"/>
    <s v="Percent of GDP"/>
    <s v="Units"/>
    <x v="4"/>
    <n v="19.093"/>
  </r>
  <r>
    <n v="200"/>
    <x v="3"/>
    <x v="85"/>
    <x v="3"/>
    <s v="Percent of GDP"/>
    <s v="Units"/>
    <x v="5"/>
    <n v="19.158999999999999"/>
  </r>
  <r>
    <n v="200"/>
    <x v="3"/>
    <x v="85"/>
    <x v="3"/>
    <s v="Percent of GDP"/>
    <s v="Units"/>
    <x v="6"/>
    <n v="19.268000000000001"/>
  </r>
  <r>
    <n v="200"/>
    <x v="3"/>
    <x v="177"/>
    <x v="5"/>
    <s v="Percent of GDP"/>
    <s v="Units"/>
    <x v="0"/>
    <n v="9.4359999999999999"/>
  </r>
  <r>
    <n v="200"/>
    <x v="3"/>
    <x v="177"/>
    <x v="5"/>
    <s v="Percent of GDP"/>
    <s v="Units"/>
    <x v="1"/>
    <n v="19.242999999999999"/>
  </r>
  <r>
    <n v="200"/>
    <x v="3"/>
    <x v="177"/>
    <x v="5"/>
    <s v="Percent of GDP"/>
    <s v="Units"/>
    <x v="2"/>
    <n v="17.082999999999998"/>
  </r>
  <r>
    <n v="200"/>
    <x v="3"/>
    <x v="177"/>
    <x v="5"/>
    <s v="Percent of GDP"/>
    <s v="Units"/>
    <x v="3"/>
    <n v="14.951000000000001"/>
  </r>
  <r>
    <n v="200"/>
    <x v="3"/>
    <x v="177"/>
    <x v="5"/>
    <s v="Percent of GDP"/>
    <s v="Units"/>
    <x v="4"/>
    <n v="18.643000000000001"/>
  </r>
  <r>
    <n v="200"/>
    <x v="3"/>
    <x v="177"/>
    <x v="5"/>
    <s v="Percent of GDP"/>
    <s v="Units"/>
    <x v="5"/>
    <n v="19.134"/>
  </r>
  <r>
    <n v="200"/>
    <x v="3"/>
    <x v="177"/>
    <x v="5"/>
    <s v="Percent of GDP"/>
    <s v="Units"/>
    <x v="6"/>
    <n v="19.097999999999999"/>
  </r>
  <r>
    <n v="205"/>
    <x v="7"/>
    <x v="177"/>
    <x v="5"/>
    <s v="Percent of GDP"/>
    <s v="Units"/>
    <x v="0"/>
    <n v="9.4359999999999999"/>
  </r>
  <r>
    <n v="205"/>
    <x v="7"/>
    <x v="177"/>
    <x v="5"/>
    <s v="Percent of GDP"/>
    <s v="Units"/>
    <x v="1"/>
    <n v="19.242999999999999"/>
  </r>
  <r>
    <n v="205"/>
    <x v="7"/>
    <x v="177"/>
    <x v="5"/>
    <s v="Percent of GDP"/>
    <s v="Units"/>
    <x v="2"/>
    <n v="17.082999999999998"/>
  </r>
  <r>
    <n v="205"/>
    <x v="7"/>
    <x v="177"/>
    <x v="5"/>
    <s v="Percent of GDP"/>
    <s v="Units"/>
    <x v="3"/>
    <n v="14.951000000000001"/>
  </r>
  <r>
    <n v="205"/>
    <x v="7"/>
    <x v="177"/>
    <x v="5"/>
    <s v="Percent of GDP"/>
    <s v="Units"/>
    <x v="4"/>
    <n v="18.643000000000001"/>
  </r>
  <r>
    <n v="205"/>
    <x v="7"/>
    <x v="177"/>
    <x v="5"/>
    <s v="Percent of GDP"/>
    <s v="Units"/>
    <x v="5"/>
    <n v="19.134"/>
  </r>
  <r>
    <n v="205"/>
    <x v="7"/>
    <x v="177"/>
    <x v="5"/>
    <s v="Percent of GDP"/>
    <s v="Units"/>
    <x v="6"/>
    <n v="19.097999999999999"/>
  </r>
  <r>
    <n v="1"/>
    <x v="2"/>
    <x v="177"/>
    <x v="5"/>
    <s v="Percent of GDP"/>
    <s v="Units"/>
    <x v="0"/>
    <n v="9.4359999999999999"/>
  </r>
  <r>
    <n v="1"/>
    <x v="2"/>
    <x v="177"/>
    <x v="5"/>
    <s v="Percent of GDP"/>
    <s v="Units"/>
    <x v="1"/>
    <n v="19.242999999999999"/>
  </r>
  <r>
    <n v="1"/>
    <x v="2"/>
    <x v="177"/>
    <x v="5"/>
    <s v="Percent of GDP"/>
    <s v="Units"/>
    <x v="2"/>
    <n v="17.082999999999998"/>
  </r>
  <r>
    <n v="1"/>
    <x v="2"/>
    <x v="177"/>
    <x v="5"/>
    <s v="Percent of GDP"/>
    <s v="Units"/>
    <x v="3"/>
    <n v="14.951000000000001"/>
  </r>
  <r>
    <n v="1"/>
    <x v="2"/>
    <x v="177"/>
    <x v="5"/>
    <s v="Percent of GDP"/>
    <s v="Units"/>
    <x v="4"/>
    <n v="18.643000000000001"/>
  </r>
  <r>
    <n v="1"/>
    <x v="2"/>
    <x v="177"/>
    <x v="5"/>
    <s v="Percent of GDP"/>
    <s v="Units"/>
    <x v="5"/>
    <n v="19.134"/>
  </r>
  <r>
    <n v="1"/>
    <x v="2"/>
    <x v="177"/>
    <x v="5"/>
    <s v="Percent of GDP"/>
    <s v="Units"/>
    <x v="6"/>
    <n v="19.097999999999999"/>
  </r>
  <r>
    <n v="200"/>
    <x v="3"/>
    <x v="43"/>
    <x v="5"/>
    <s v="Percent of GDP"/>
    <s v="Units"/>
    <x v="0"/>
    <n v="19.702000000000002"/>
  </r>
  <r>
    <n v="200"/>
    <x v="3"/>
    <x v="43"/>
    <x v="5"/>
    <s v="Percent of GDP"/>
    <s v="Units"/>
    <x v="1"/>
    <n v="19.132000000000001"/>
  </r>
  <r>
    <n v="200"/>
    <x v="3"/>
    <x v="43"/>
    <x v="5"/>
    <s v="Percent of GDP"/>
    <s v="Units"/>
    <x v="2"/>
    <n v="16.646000000000001"/>
  </r>
  <r>
    <n v="200"/>
    <x v="3"/>
    <x v="43"/>
    <x v="5"/>
    <s v="Percent of GDP"/>
    <s v="Units"/>
    <x v="3"/>
    <n v="16.875"/>
  </r>
  <r>
    <n v="200"/>
    <x v="3"/>
    <x v="43"/>
    <x v="5"/>
    <s v="Percent of GDP"/>
    <s v="Units"/>
    <x v="4"/>
    <n v="19.375"/>
  </r>
  <r>
    <n v="200"/>
    <x v="3"/>
    <x v="43"/>
    <x v="5"/>
    <s v="Percent of GDP"/>
    <s v="Units"/>
    <x v="5"/>
    <n v="19.122"/>
  </r>
  <r>
    <n v="200"/>
    <x v="3"/>
    <x v="43"/>
    <x v="5"/>
    <s v="Percent of GDP"/>
    <s v="Units"/>
    <x v="6"/>
    <n v="19.585000000000001"/>
  </r>
  <r>
    <n v="205"/>
    <x v="7"/>
    <x v="43"/>
    <x v="5"/>
    <s v="Percent of GDP"/>
    <s v="Units"/>
    <x v="0"/>
    <n v="19.702000000000002"/>
  </r>
  <r>
    <n v="205"/>
    <x v="7"/>
    <x v="43"/>
    <x v="5"/>
    <s v="Percent of GDP"/>
    <s v="Units"/>
    <x v="1"/>
    <n v="19.132000000000001"/>
  </r>
  <r>
    <n v="205"/>
    <x v="7"/>
    <x v="43"/>
    <x v="5"/>
    <s v="Percent of GDP"/>
    <s v="Units"/>
    <x v="2"/>
    <n v="16.646000000000001"/>
  </r>
  <r>
    <n v="205"/>
    <x v="7"/>
    <x v="43"/>
    <x v="5"/>
    <s v="Percent of GDP"/>
    <s v="Units"/>
    <x v="3"/>
    <n v="16.875"/>
  </r>
  <r>
    <n v="205"/>
    <x v="7"/>
    <x v="43"/>
    <x v="5"/>
    <s v="Percent of GDP"/>
    <s v="Units"/>
    <x v="4"/>
    <n v="19.375"/>
  </r>
  <r>
    <n v="205"/>
    <x v="7"/>
    <x v="43"/>
    <x v="5"/>
    <s v="Percent of GDP"/>
    <s v="Units"/>
    <x v="5"/>
    <n v="19.122"/>
  </r>
  <r>
    <n v="205"/>
    <x v="7"/>
    <x v="43"/>
    <x v="5"/>
    <s v="Percent of GDP"/>
    <s v="Units"/>
    <x v="6"/>
    <n v="19.585000000000001"/>
  </r>
  <r>
    <n v="1"/>
    <x v="2"/>
    <x v="43"/>
    <x v="5"/>
    <s v="Percent of GDP"/>
    <s v="Units"/>
    <x v="0"/>
    <n v="19.702000000000002"/>
  </r>
  <r>
    <n v="1"/>
    <x v="2"/>
    <x v="43"/>
    <x v="5"/>
    <s v="Percent of GDP"/>
    <s v="Units"/>
    <x v="1"/>
    <n v="19.132000000000001"/>
  </r>
  <r>
    <n v="1"/>
    <x v="2"/>
    <x v="43"/>
    <x v="5"/>
    <s v="Percent of GDP"/>
    <s v="Units"/>
    <x v="2"/>
    <n v="16.646000000000001"/>
  </r>
  <r>
    <n v="1"/>
    <x v="2"/>
    <x v="43"/>
    <x v="5"/>
    <s v="Percent of GDP"/>
    <s v="Units"/>
    <x v="3"/>
    <n v="16.875"/>
  </r>
  <r>
    <n v="1"/>
    <x v="2"/>
    <x v="43"/>
    <x v="5"/>
    <s v="Percent of GDP"/>
    <s v="Units"/>
    <x v="4"/>
    <n v="19.375"/>
  </r>
  <r>
    <n v="1"/>
    <x v="2"/>
    <x v="43"/>
    <x v="5"/>
    <s v="Percent of GDP"/>
    <s v="Units"/>
    <x v="5"/>
    <n v="19.122"/>
  </r>
  <r>
    <n v="1"/>
    <x v="2"/>
    <x v="43"/>
    <x v="5"/>
    <s v="Percent of GDP"/>
    <s v="Units"/>
    <x v="6"/>
    <n v="19.585000000000001"/>
  </r>
  <r>
    <n v="603"/>
    <x v="12"/>
    <x v="166"/>
    <x v="7"/>
    <s v="Percent of GDP"/>
    <s v="Units"/>
    <x v="0"/>
    <n v="19.436"/>
  </r>
  <r>
    <n v="603"/>
    <x v="12"/>
    <x v="166"/>
    <x v="7"/>
    <s v="Percent of GDP"/>
    <s v="Units"/>
    <x v="1"/>
    <n v="18.215"/>
  </r>
  <r>
    <n v="603"/>
    <x v="12"/>
    <x v="166"/>
    <x v="7"/>
    <s v="Percent of GDP"/>
    <s v="Units"/>
    <x v="2"/>
    <n v="19.792999999999999"/>
  </r>
  <r>
    <n v="603"/>
    <x v="12"/>
    <x v="166"/>
    <x v="7"/>
    <s v="Percent of GDP"/>
    <s v="Units"/>
    <x v="3"/>
    <n v="19.927"/>
  </r>
  <r>
    <n v="603"/>
    <x v="12"/>
    <x v="166"/>
    <x v="7"/>
    <s v="Percent of GDP"/>
    <s v="Units"/>
    <x v="4"/>
    <n v="19.265000000000001"/>
  </r>
  <r>
    <n v="603"/>
    <x v="12"/>
    <x v="166"/>
    <x v="7"/>
    <s v="Percent of GDP"/>
    <s v="Units"/>
    <x v="5"/>
    <n v="19.111999999999998"/>
  </r>
  <r>
    <n v="603"/>
    <x v="12"/>
    <x v="166"/>
    <x v="7"/>
    <s v="Percent of GDP"/>
    <s v="Units"/>
    <x v="6"/>
    <n v="18.765000000000001"/>
  </r>
  <r>
    <n v="200"/>
    <x v="3"/>
    <x v="166"/>
    <x v="7"/>
    <s v="Percent of GDP"/>
    <s v="Units"/>
    <x v="0"/>
    <n v="19.436"/>
  </r>
  <r>
    <n v="200"/>
    <x v="3"/>
    <x v="166"/>
    <x v="7"/>
    <s v="Percent of GDP"/>
    <s v="Units"/>
    <x v="1"/>
    <n v="18.215"/>
  </r>
  <r>
    <n v="200"/>
    <x v="3"/>
    <x v="166"/>
    <x v="7"/>
    <s v="Percent of GDP"/>
    <s v="Units"/>
    <x v="2"/>
    <n v="19.792999999999999"/>
  </r>
  <r>
    <n v="200"/>
    <x v="3"/>
    <x v="166"/>
    <x v="7"/>
    <s v="Percent of GDP"/>
    <s v="Units"/>
    <x v="3"/>
    <n v="19.927"/>
  </r>
  <r>
    <n v="200"/>
    <x v="3"/>
    <x v="166"/>
    <x v="7"/>
    <s v="Percent of GDP"/>
    <s v="Units"/>
    <x v="4"/>
    <n v="19.265000000000001"/>
  </r>
  <r>
    <n v="200"/>
    <x v="3"/>
    <x v="166"/>
    <x v="7"/>
    <s v="Percent of GDP"/>
    <s v="Units"/>
    <x v="5"/>
    <n v="19.111999999999998"/>
  </r>
  <r>
    <n v="200"/>
    <x v="3"/>
    <x v="166"/>
    <x v="7"/>
    <s v="Percent of GDP"/>
    <s v="Units"/>
    <x v="6"/>
    <n v="18.765000000000001"/>
  </r>
  <r>
    <n v="1"/>
    <x v="2"/>
    <x v="166"/>
    <x v="7"/>
    <s v="Percent of GDP"/>
    <s v="Units"/>
    <x v="0"/>
    <n v="19.436"/>
  </r>
  <r>
    <n v="1"/>
    <x v="2"/>
    <x v="166"/>
    <x v="7"/>
    <s v="Percent of GDP"/>
    <s v="Units"/>
    <x v="1"/>
    <n v="18.215"/>
  </r>
  <r>
    <n v="1"/>
    <x v="2"/>
    <x v="166"/>
    <x v="7"/>
    <s v="Percent of GDP"/>
    <s v="Units"/>
    <x v="2"/>
    <n v="19.792999999999999"/>
  </r>
  <r>
    <n v="1"/>
    <x v="2"/>
    <x v="166"/>
    <x v="7"/>
    <s v="Percent of GDP"/>
    <s v="Units"/>
    <x v="3"/>
    <n v="19.927"/>
  </r>
  <r>
    <n v="1"/>
    <x v="2"/>
    <x v="166"/>
    <x v="7"/>
    <s v="Percent of GDP"/>
    <s v="Units"/>
    <x v="4"/>
    <n v="19.265000000000001"/>
  </r>
  <r>
    <n v="1"/>
    <x v="2"/>
    <x v="166"/>
    <x v="7"/>
    <s v="Percent of GDP"/>
    <s v="Units"/>
    <x v="5"/>
    <n v="19.111999999999998"/>
  </r>
  <r>
    <n v="1"/>
    <x v="2"/>
    <x v="166"/>
    <x v="7"/>
    <s v="Percent of GDP"/>
    <s v="Units"/>
    <x v="6"/>
    <n v="18.765000000000001"/>
  </r>
  <r>
    <n v="200"/>
    <x v="3"/>
    <x v="102"/>
    <x v="7"/>
    <s v="Percent of GDP"/>
    <s v="Units"/>
    <x v="0"/>
    <n v="18.934999999999999"/>
  </r>
  <r>
    <n v="200"/>
    <x v="3"/>
    <x v="102"/>
    <x v="7"/>
    <s v="Percent of GDP"/>
    <s v="Units"/>
    <x v="1"/>
    <n v="17.742999999999999"/>
  </r>
  <r>
    <n v="200"/>
    <x v="3"/>
    <x v="102"/>
    <x v="7"/>
    <s v="Percent of GDP"/>
    <s v="Units"/>
    <x v="2"/>
    <n v="17.942"/>
  </r>
  <r>
    <n v="200"/>
    <x v="3"/>
    <x v="102"/>
    <x v="7"/>
    <s v="Percent of GDP"/>
    <s v="Units"/>
    <x v="3"/>
    <n v="18.689"/>
  </r>
  <r>
    <n v="200"/>
    <x v="3"/>
    <x v="102"/>
    <x v="7"/>
    <s v="Percent of GDP"/>
    <s v="Units"/>
    <x v="4"/>
    <n v="18.59"/>
  </r>
  <r>
    <n v="200"/>
    <x v="3"/>
    <x v="102"/>
    <x v="7"/>
    <s v="Percent of GDP"/>
    <s v="Units"/>
    <x v="5"/>
    <n v="19.013000000000002"/>
  </r>
  <r>
    <n v="200"/>
    <x v="3"/>
    <x v="102"/>
    <x v="7"/>
    <s v="Percent of GDP"/>
    <s v="Units"/>
    <x v="6"/>
    <n v="19.46"/>
  </r>
  <r>
    <n v="1"/>
    <x v="2"/>
    <x v="102"/>
    <x v="7"/>
    <s v="Percent of GDP"/>
    <s v="Units"/>
    <x v="0"/>
    <n v="18.934999999999999"/>
  </r>
  <r>
    <n v="1"/>
    <x v="2"/>
    <x v="102"/>
    <x v="7"/>
    <s v="Percent of GDP"/>
    <s v="Units"/>
    <x v="1"/>
    <n v="17.742999999999999"/>
  </r>
  <r>
    <n v="1"/>
    <x v="2"/>
    <x v="102"/>
    <x v="7"/>
    <s v="Percent of GDP"/>
    <s v="Units"/>
    <x v="2"/>
    <n v="17.942"/>
  </r>
  <r>
    <n v="1"/>
    <x v="2"/>
    <x v="102"/>
    <x v="7"/>
    <s v="Percent of GDP"/>
    <s v="Units"/>
    <x v="3"/>
    <n v="18.689"/>
  </r>
  <r>
    <n v="1"/>
    <x v="2"/>
    <x v="102"/>
    <x v="7"/>
    <s v="Percent of GDP"/>
    <s v="Units"/>
    <x v="4"/>
    <n v="18.59"/>
  </r>
  <r>
    <n v="1"/>
    <x v="2"/>
    <x v="102"/>
    <x v="7"/>
    <s v="Percent of GDP"/>
    <s v="Units"/>
    <x v="5"/>
    <n v="19.013000000000002"/>
  </r>
  <r>
    <n v="1"/>
    <x v="2"/>
    <x v="102"/>
    <x v="7"/>
    <s v="Percent of GDP"/>
    <s v="Units"/>
    <x v="6"/>
    <n v="19.46"/>
  </r>
  <r>
    <n v="603"/>
    <x v="12"/>
    <x v="102"/>
    <x v="7"/>
    <s v="Percent of GDP"/>
    <s v="Units"/>
    <x v="0"/>
    <n v="18.934999999999999"/>
  </r>
  <r>
    <n v="603"/>
    <x v="12"/>
    <x v="102"/>
    <x v="7"/>
    <s v="Percent of GDP"/>
    <s v="Units"/>
    <x v="1"/>
    <n v="17.742999999999999"/>
  </r>
  <r>
    <n v="603"/>
    <x v="12"/>
    <x v="102"/>
    <x v="7"/>
    <s v="Percent of GDP"/>
    <s v="Units"/>
    <x v="2"/>
    <n v="17.942"/>
  </r>
  <r>
    <n v="603"/>
    <x v="12"/>
    <x v="102"/>
    <x v="7"/>
    <s v="Percent of GDP"/>
    <s v="Units"/>
    <x v="3"/>
    <n v="18.689"/>
  </r>
  <r>
    <n v="603"/>
    <x v="12"/>
    <x v="102"/>
    <x v="7"/>
    <s v="Percent of GDP"/>
    <s v="Units"/>
    <x v="4"/>
    <n v="18.59"/>
  </r>
  <r>
    <n v="603"/>
    <x v="12"/>
    <x v="102"/>
    <x v="7"/>
    <s v="Percent of GDP"/>
    <s v="Units"/>
    <x v="5"/>
    <n v="19.013000000000002"/>
  </r>
  <r>
    <n v="603"/>
    <x v="12"/>
    <x v="102"/>
    <x v="7"/>
    <s v="Percent of GDP"/>
    <s v="Units"/>
    <x v="6"/>
    <n v="19.46"/>
  </r>
  <r>
    <n v="1"/>
    <x v="2"/>
    <x v="94"/>
    <x v="5"/>
    <s v="Percent of GDP"/>
    <s v="Units"/>
    <x v="0"/>
    <n v="17.986000000000001"/>
  </r>
  <r>
    <n v="1"/>
    <x v="2"/>
    <x v="94"/>
    <x v="5"/>
    <s v="Percent of GDP"/>
    <s v="Units"/>
    <x v="1"/>
    <n v="18.006"/>
  </r>
  <r>
    <n v="1"/>
    <x v="2"/>
    <x v="94"/>
    <x v="5"/>
    <s v="Percent of GDP"/>
    <s v="Units"/>
    <x v="2"/>
    <n v="17.751000000000001"/>
  </r>
  <r>
    <n v="1"/>
    <x v="2"/>
    <x v="94"/>
    <x v="5"/>
    <s v="Percent of GDP"/>
    <s v="Units"/>
    <x v="3"/>
    <n v="15.182"/>
  </r>
  <r>
    <n v="1"/>
    <x v="2"/>
    <x v="94"/>
    <x v="5"/>
    <s v="Percent of GDP"/>
    <s v="Units"/>
    <x v="4"/>
    <n v="11.743"/>
  </r>
  <r>
    <n v="1"/>
    <x v="2"/>
    <x v="94"/>
    <x v="5"/>
    <s v="Percent of GDP"/>
    <s v="Units"/>
    <x v="5"/>
    <n v="19.013000000000002"/>
  </r>
  <r>
    <n v="1"/>
    <x v="2"/>
    <x v="94"/>
    <x v="5"/>
    <s v="Percent of GDP"/>
    <s v="Units"/>
    <x v="6"/>
    <n v="20.329999999999998"/>
  </r>
  <r>
    <n v="603"/>
    <x v="12"/>
    <x v="94"/>
    <x v="5"/>
    <s v="Percent of GDP"/>
    <s v="Units"/>
    <x v="0"/>
    <n v="17.986000000000001"/>
  </r>
  <r>
    <n v="603"/>
    <x v="12"/>
    <x v="94"/>
    <x v="5"/>
    <s v="Percent of GDP"/>
    <s v="Units"/>
    <x v="1"/>
    <n v="18.006"/>
  </r>
  <r>
    <n v="603"/>
    <x v="12"/>
    <x v="94"/>
    <x v="5"/>
    <s v="Percent of GDP"/>
    <s v="Units"/>
    <x v="2"/>
    <n v="17.751000000000001"/>
  </r>
  <r>
    <n v="603"/>
    <x v="12"/>
    <x v="94"/>
    <x v="5"/>
    <s v="Percent of GDP"/>
    <s v="Units"/>
    <x v="3"/>
    <n v="15.182"/>
  </r>
  <r>
    <n v="603"/>
    <x v="12"/>
    <x v="94"/>
    <x v="5"/>
    <s v="Percent of GDP"/>
    <s v="Units"/>
    <x v="4"/>
    <n v="11.743"/>
  </r>
  <r>
    <n v="603"/>
    <x v="12"/>
    <x v="94"/>
    <x v="5"/>
    <s v="Percent of GDP"/>
    <s v="Units"/>
    <x v="5"/>
    <n v="19.013000000000002"/>
  </r>
  <r>
    <n v="603"/>
    <x v="12"/>
    <x v="94"/>
    <x v="5"/>
    <s v="Percent of GDP"/>
    <s v="Units"/>
    <x v="6"/>
    <n v="20.329999999999998"/>
  </r>
  <r>
    <n v="200"/>
    <x v="3"/>
    <x v="94"/>
    <x v="5"/>
    <s v="Percent of GDP"/>
    <s v="Units"/>
    <x v="0"/>
    <n v="17.986000000000001"/>
  </r>
  <r>
    <n v="200"/>
    <x v="3"/>
    <x v="94"/>
    <x v="5"/>
    <s v="Percent of GDP"/>
    <s v="Units"/>
    <x v="1"/>
    <n v="18.006"/>
  </r>
  <r>
    <n v="200"/>
    <x v="3"/>
    <x v="94"/>
    <x v="5"/>
    <s v="Percent of GDP"/>
    <s v="Units"/>
    <x v="2"/>
    <n v="17.751000000000001"/>
  </r>
  <r>
    <n v="200"/>
    <x v="3"/>
    <x v="94"/>
    <x v="5"/>
    <s v="Percent of GDP"/>
    <s v="Units"/>
    <x v="3"/>
    <n v="15.182"/>
  </r>
  <r>
    <n v="200"/>
    <x v="3"/>
    <x v="94"/>
    <x v="5"/>
    <s v="Percent of GDP"/>
    <s v="Units"/>
    <x v="4"/>
    <n v="11.743"/>
  </r>
  <r>
    <n v="200"/>
    <x v="3"/>
    <x v="94"/>
    <x v="5"/>
    <s v="Percent of GDP"/>
    <s v="Units"/>
    <x v="5"/>
    <n v="19.013000000000002"/>
  </r>
  <r>
    <n v="200"/>
    <x v="3"/>
    <x v="94"/>
    <x v="5"/>
    <s v="Percent of GDP"/>
    <s v="Units"/>
    <x v="6"/>
    <n v="20.329999999999998"/>
  </r>
  <r>
    <n v="505"/>
    <x v="4"/>
    <x v="1"/>
    <x v="10"/>
    <s v="Percent"/>
    <s v="Units"/>
    <x v="0"/>
    <n v="17.161000000000001"/>
  </r>
  <r>
    <n v="505"/>
    <x v="4"/>
    <x v="1"/>
    <x v="10"/>
    <s v="Percent"/>
    <s v="Units"/>
    <x v="1"/>
    <n v="18.068999999999999"/>
  </r>
  <r>
    <n v="505"/>
    <x v="4"/>
    <x v="1"/>
    <x v="10"/>
    <s v="Percent"/>
    <s v="Units"/>
    <x v="2"/>
    <n v="18.417999999999999"/>
  </r>
  <r>
    <n v="505"/>
    <x v="4"/>
    <x v="1"/>
    <x v="10"/>
    <s v="Percent"/>
    <s v="Units"/>
    <x v="3"/>
    <n v="18.350999999999999"/>
  </r>
  <r>
    <n v="505"/>
    <x v="4"/>
    <x v="1"/>
    <x v="10"/>
    <s v="Percent"/>
    <s v="Units"/>
    <x v="4"/>
    <n v="18.734000000000002"/>
  </r>
  <r>
    <n v="505"/>
    <x v="4"/>
    <x v="1"/>
    <x v="10"/>
    <s v="Percent"/>
    <s v="Units"/>
    <x v="5"/>
    <n v="19.007000000000001"/>
  </r>
  <r>
    <n v="505"/>
    <x v="4"/>
    <x v="1"/>
    <x v="10"/>
    <s v="Percent"/>
    <s v="Units"/>
    <x v="6"/>
    <n v="19.169"/>
  </r>
  <r>
    <n v="200"/>
    <x v="3"/>
    <x v="1"/>
    <x v="10"/>
    <s v="Percent"/>
    <s v="Units"/>
    <x v="0"/>
    <n v="17.161000000000001"/>
  </r>
  <r>
    <n v="200"/>
    <x v="3"/>
    <x v="1"/>
    <x v="10"/>
    <s v="Percent"/>
    <s v="Units"/>
    <x v="1"/>
    <n v="18.068999999999999"/>
  </r>
  <r>
    <n v="200"/>
    <x v="3"/>
    <x v="1"/>
    <x v="10"/>
    <s v="Percent"/>
    <s v="Units"/>
    <x v="2"/>
    <n v="18.417999999999999"/>
  </r>
  <r>
    <n v="200"/>
    <x v="3"/>
    <x v="1"/>
    <x v="10"/>
    <s v="Percent"/>
    <s v="Units"/>
    <x v="3"/>
    <n v="18.350999999999999"/>
  </r>
  <r>
    <n v="200"/>
    <x v="3"/>
    <x v="1"/>
    <x v="10"/>
    <s v="Percent"/>
    <s v="Units"/>
    <x v="4"/>
    <n v="18.734000000000002"/>
  </r>
  <r>
    <n v="200"/>
    <x v="3"/>
    <x v="1"/>
    <x v="10"/>
    <s v="Percent"/>
    <s v="Units"/>
    <x v="5"/>
    <n v="19.007000000000001"/>
  </r>
  <r>
    <n v="200"/>
    <x v="3"/>
    <x v="1"/>
    <x v="10"/>
    <s v="Percent"/>
    <s v="Units"/>
    <x v="6"/>
    <n v="19.169"/>
  </r>
  <r>
    <n v="163"/>
    <x v="5"/>
    <x v="110"/>
    <x v="5"/>
    <s v="Percent of GDP"/>
    <s v="Units"/>
    <x v="0"/>
    <n v="22.202000000000002"/>
  </r>
  <r>
    <n v="163"/>
    <x v="5"/>
    <x v="110"/>
    <x v="5"/>
    <s v="Percent of GDP"/>
    <s v="Units"/>
    <x v="1"/>
    <n v="24.315000000000001"/>
  </r>
  <r>
    <n v="163"/>
    <x v="5"/>
    <x v="110"/>
    <x v="5"/>
    <s v="Percent of GDP"/>
    <s v="Units"/>
    <x v="2"/>
    <n v="21.076000000000001"/>
  </r>
  <r>
    <n v="163"/>
    <x v="5"/>
    <x v="110"/>
    <x v="5"/>
    <s v="Percent of GDP"/>
    <s v="Units"/>
    <x v="3"/>
    <n v="20.262"/>
  </r>
  <r>
    <n v="163"/>
    <x v="5"/>
    <x v="110"/>
    <x v="5"/>
    <s v="Percent of GDP"/>
    <s v="Units"/>
    <x v="4"/>
    <n v="18.949000000000002"/>
  </r>
  <r>
    <n v="163"/>
    <x v="5"/>
    <x v="110"/>
    <x v="5"/>
    <s v="Percent of GDP"/>
    <s v="Units"/>
    <x v="5"/>
    <n v="18.977"/>
  </r>
  <r>
    <n v="163"/>
    <x v="5"/>
    <x v="110"/>
    <x v="5"/>
    <s v="Percent of GDP"/>
    <s v="Units"/>
    <x v="6"/>
    <n v="18.503"/>
  </r>
  <r>
    <n v="110"/>
    <x v="0"/>
    <x v="110"/>
    <x v="5"/>
    <s v="Percent of GDP"/>
    <s v="Units"/>
    <x v="0"/>
    <n v="22.202000000000002"/>
  </r>
  <r>
    <n v="110"/>
    <x v="0"/>
    <x v="110"/>
    <x v="5"/>
    <s v="Percent of GDP"/>
    <s v="Units"/>
    <x v="1"/>
    <n v="24.315000000000001"/>
  </r>
  <r>
    <n v="110"/>
    <x v="0"/>
    <x v="110"/>
    <x v="5"/>
    <s v="Percent of GDP"/>
    <s v="Units"/>
    <x v="2"/>
    <n v="21.076000000000001"/>
  </r>
  <r>
    <n v="110"/>
    <x v="0"/>
    <x v="110"/>
    <x v="5"/>
    <s v="Percent of GDP"/>
    <s v="Units"/>
    <x v="3"/>
    <n v="20.262"/>
  </r>
  <r>
    <n v="110"/>
    <x v="0"/>
    <x v="110"/>
    <x v="5"/>
    <s v="Percent of GDP"/>
    <s v="Units"/>
    <x v="4"/>
    <n v="18.949000000000002"/>
  </r>
  <r>
    <n v="110"/>
    <x v="0"/>
    <x v="110"/>
    <x v="5"/>
    <s v="Percent of GDP"/>
    <s v="Units"/>
    <x v="5"/>
    <n v="18.977"/>
  </r>
  <r>
    <n v="110"/>
    <x v="0"/>
    <x v="110"/>
    <x v="5"/>
    <s v="Percent of GDP"/>
    <s v="Units"/>
    <x v="6"/>
    <n v="18.503"/>
  </r>
  <r>
    <n v="998"/>
    <x v="6"/>
    <x v="110"/>
    <x v="5"/>
    <s v="Percent of GDP"/>
    <s v="Units"/>
    <x v="0"/>
    <n v="22.202000000000002"/>
  </r>
  <r>
    <n v="998"/>
    <x v="6"/>
    <x v="110"/>
    <x v="5"/>
    <s v="Percent of GDP"/>
    <s v="Units"/>
    <x v="1"/>
    <n v="24.315000000000001"/>
  </r>
  <r>
    <n v="998"/>
    <x v="6"/>
    <x v="110"/>
    <x v="5"/>
    <s v="Percent of GDP"/>
    <s v="Units"/>
    <x v="2"/>
    <n v="21.076000000000001"/>
  </r>
  <r>
    <n v="998"/>
    <x v="6"/>
    <x v="110"/>
    <x v="5"/>
    <s v="Percent of GDP"/>
    <s v="Units"/>
    <x v="3"/>
    <n v="20.262"/>
  </r>
  <r>
    <n v="998"/>
    <x v="6"/>
    <x v="110"/>
    <x v="5"/>
    <s v="Percent of GDP"/>
    <s v="Units"/>
    <x v="4"/>
    <n v="18.949000000000002"/>
  </r>
  <r>
    <n v="998"/>
    <x v="6"/>
    <x v="110"/>
    <x v="5"/>
    <s v="Percent of GDP"/>
    <s v="Units"/>
    <x v="5"/>
    <n v="18.977"/>
  </r>
  <r>
    <n v="998"/>
    <x v="6"/>
    <x v="110"/>
    <x v="5"/>
    <s v="Percent of GDP"/>
    <s v="Units"/>
    <x v="6"/>
    <n v="18.503"/>
  </r>
  <r>
    <n v="1"/>
    <x v="2"/>
    <x v="110"/>
    <x v="5"/>
    <s v="Percent of GDP"/>
    <s v="Units"/>
    <x v="0"/>
    <n v="22.202000000000002"/>
  </r>
  <r>
    <n v="1"/>
    <x v="2"/>
    <x v="110"/>
    <x v="5"/>
    <s v="Percent of GDP"/>
    <s v="Units"/>
    <x v="1"/>
    <n v="24.315000000000001"/>
  </r>
  <r>
    <n v="1"/>
    <x v="2"/>
    <x v="110"/>
    <x v="5"/>
    <s v="Percent of GDP"/>
    <s v="Units"/>
    <x v="2"/>
    <n v="21.076000000000001"/>
  </r>
  <r>
    <n v="1"/>
    <x v="2"/>
    <x v="110"/>
    <x v="5"/>
    <s v="Percent of GDP"/>
    <s v="Units"/>
    <x v="3"/>
    <n v="20.262"/>
  </r>
  <r>
    <n v="1"/>
    <x v="2"/>
    <x v="110"/>
    <x v="5"/>
    <s v="Percent of GDP"/>
    <s v="Units"/>
    <x v="4"/>
    <n v="18.949000000000002"/>
  </r>
  <r>
    <n v="1"/>
    <x v="2"/>
    <x v="110"/>
    <x v="5"/>
    <s v="Percent of GDP"/>
    <s v="Units"/>
    <x v="5"/>
    <n v="18.977"/>
  </r>
  <r>
    <n v="1"/>
    <x v="2"/>
    <x v="110"/>
    <x v="5"/>
    <s v="Percent of GDP"/>
    <s v="Units"/>
    <x v="6"/>
    <n v="18.503"/>
  </r>
  <r>
    <n v="200"/>
    <x v="3"/>
    <x v="70"/>
    <x v="7"/>
    <s v="Percent of GDP"/>
    <s v="Units"/>
    <x v="0"/>
    <n v="21.007000000000001"/>
  </r>
  <r>
    <n v="200"/>
    <x v="3"/>
    <x v="70"/>
    <x v="7"/>
    <s v="Percent of GDP"/>
    <s v="Units"/>
    <x v="1"/>
    <n v="20.346"/>
  </r>
  <r>
    <n v="200"/>
    <x v="3"/>
    <x v="70"/>
    <x v="7"/>
    <s v="Percent of GDP"/>
    <s v="Units"/>
    <x v="2"/>
    <n v="21.079000000000001"/>
  </r>
  <r>
    <n v="200"/>
    <x v="3"/>
    <x v="70"/>
    <x v="7"/>
    <s v="Percent of GDP"/>
    <s v="Units"/>
    <x v="3"/>
    <n v="23.376000000000001"/>
  </r>
  <r>
    <n v="200"/>
    <x v="3"/>
    <x v="70"/>
    <x v="7"/>
    <s v="Percent of GDP"/>
    <s v="Units"/>
    <x v="4"/>
    <n v="18.850000000000001"/>
  </r>
  <r>
    <n v="200"/>
    <x v="3"/>
    <x v="70"/>
    <x v="7"/>
    <s v="Percent of GDP"/>
    <s v="Units"/>
    <x v="5"/>
    <n v="18.957999999999998"/>
  </r>
  <r>
    <n v="200"/>
    <x v="3"/>
    <x v="70"/>
    <x v="7"/>
    <s v="Percent of GDP"/>
    <s v="Units"/>
    <x v="6"/>
    <n v="20.916"/>
  </r>
  <r>
    <n v="1"/>
    <x v="2"/>
    <x v="70"/>
    <x v="7"/>
    <s v="Percent of GDP"/>
    <s v="Units"/>
    <x v="0"/>
    <n v="21.007000000000001"/>
  </r>
  <r>
    <n v="1"/>
    <x v="2"/>
    <x v="70"/>
    <x v="7"/>
    <s v="Percent of GDP"/>
    <s v="Units"/>
    <x v="1"/>
    <n v="20.346"/>
  </r>
  <r>
    <n v="1"/>
    <x v="2"/>
    <x v="70"/>
    <x v="7"/>
    <s v="Percent of GDP"/>
    <s v="Units"/>
    <x v="2"/>
    <n v="21.079000000000001"/>
  </r>
  <r>
    <n v="1"/>
    <x v="2"/>
    <x v="70"/>
    <x v="7"/>
    <s v="Percent of GDP"/>
    <s v="Units"/>
    <x v="3"/>
    <n v="23.376000000000001"/>
  </r>
  <r>
    <n v="1"/>
    <x v="2"/>
    <x v="70"/>
    <x v="7"/>
    <s v="Percent of GDP"/>
    <s v="Units"/>
    <x v="4"/>
    <n v="18.850000000000001"/>
  </r>
  <r>
    <n v="1"/>
    <x v="2"/>
    <x v="70"/>
    <x v="7"/>
    <s v="Percent of GDP"/>
    <s v="Units"/>
    <x v="5"/>
    <n v="18.957999999999998"/>
  </r>
  <r>
    <n v="1"/>
    <x v="2"/>
    <x v="70"/>
    <x v="7"/>
    <s v="Percent of GDP"/>
    <s v="Units"/>
    <x v="6"/>
    <n v="20.916"/>
  </r>
  <r>
    <n v="903"/>
    <x v="8"/>
    <x v="70"/>
    <x v="7"/>
    <s v="Percent of GDP"/>
    <s v="Units"/>
    <x v="0"/>
    <n v="21.007000000000001"/>
  </r>
  <r>
    <n v="903"/>
    <x v="8"/>
    <x v="70"/>
    <x v="7"/>
    <s v="Percent of GDP"/>
    <s v="Units"/>
    <x v="1"/>
    <n v="20.346"/>
  </r>
  <r>
    <n v="903"/>
    <x v="8"/>
    <x v="70"/>
    <x v="7"/>
    <s v="Percent of GDP"/>
    <s v="Units"/>
    <x v="2"/>
    <n v="21.079000000000001"/>
  </r>
  <r>
    <n v="903"/>
    <x v="8"/>
    <x v="70"/>
    <x v="7"/>
    <s v="Percent of GDP"/>
    <s v="Units"/>
    <x v="3"/>
    <n v="23.376000000000001"/>
  </r>
  <r>
    <n v="903"/>
    <x v="8"/>
    <x v="70"/>
    <x v="7"/>
    <s v="Percent of GDP"/>
    <s v="Units"/>
    <x v="4"/>
    <n v="18.850000000000001"/>
  </r>
  <r>
    <n v="903"/>
    <x v="8"/>
    <x v="70"/>
    <x v="7"/>
    <s v="Percent of GDP"/>
    <s v="Units"/>
    <x v="5"/>
    <n v="18.957999999999998"/>
  </r>
  <r>
    <n v="903"/>
    <x v="8"/>
    <x v="70"/>
    <x v="7"/>
    <s v="Percent of GDP"/>
    <s v="Units"/>
    <x v="6"/>
    <n v="20.916"/>
  </r>
  <r>
    <n v="998"/>
    <x v="6"/>
    <x v="70"/>
    <x v="7"/>
    <s v="Percent of GDP"/>
    <s v="Units"/>
    <x v="0"/>
    <n v="21.007000000000001"/>
  </r>
  <r>
    <n v="998"/>
    <x v="6"/>
    <x v="70"/>
    <x v="7"/>
    <s v="Percent of GDP"/>
    <s v="Units"/>
    <x v="1"/>
    <n v="20.346"/>
  </r>
  <r>
    <n v="998"/>
    <x v="6"/>
    <x v="70"/>
    <x v="7"/>
    <s v="Percent of GDP"/>
    <s v="Units"/>
    <x v="2"/>
    <n v="21.079000000000001"/>
  </r>
  <r>
    <n v="998"/>
    <x v="6"/>
    <x v="70"/>
    <x v="7"/>
    <s v="Percent of GDP"/>
    <s v="Units"/>
    <x v="3"/>
    <n v="23.376000000000001"/>
  </r>
  <r>
    <n v="998"/>
    <x v="6"/>
    <x v="70"/>
    <x v="7"/>
    <s v="Percent of GDP"/>
    <s v="Units"/>
    <x v="4"/>
    <n v="18.850000000000001"/>
  </r>
  <r>
    <n v="998"/>
    <x v="6"/>
    <x v="70"/>
    <x v="7"/>
    <s v="Percent of GDP"/>
    <s v="Units"/>
    <x v="5"/>
    <n v="18.957999999999998"/>
  </r>
  <r>
    <n v="998"/>
    <x v="6"/>
    <x v="70"/>
    <x v="7"/>
    <s v="Percent of GDP"/>
    <s v="Units"/>
    <x v="6"/>
    <n v="20.916"/>
  </r>
  <r>
    <n v="603"/>
    <x v="12"/>
    <x v="144"/>
    <x v="3"/>
    <s v="Percent of GDP"/>
    <s v="Units"/>
    <x v="0"/>
    <n v="14.601000000000001"/>
  </r>
  <r>
    <n v="603"/>
    <x v="12"/>
    <x v="144"/>
    <x v="3"/>
    <s v="Percent of GDP"/>
    <s v="Units"/>
    <x v="1"/>
    <n v="19.071000000000002"/>
  </r>
  <r>
    <n v="603"/>
    <x v="12"/>
    <x v="144"/>
    <x v="3"/>
    <s v="Percent of GDP"/>
    <s v="Units"/>
    <x v="2"/>
    <n v="19.855"/>
  </r>
  <r>
    <n v="603"/>
    <x v="12"/>
    <x v="144"/>
    <x v="3"/>
    <s v="Percent of GDP"/>
    <s v="Units"/>
    <x v="3"/>
    <n v="19.864000000000001"/>
  </r>
  <r>
    <n v="603"/>
    <x v="12"/>
    <x v="144"/>
    <x v="3"/>
    <s v="Percent of GDP"/>
    <s v="Units"/>
    <x v="4"/>
    <n v="19.327000000000002"/>
  </r>
  <r>
    <n v="603"/>
    <x v="12"/>
    <x v="144"/>
    <x v="3"/>
    <s v="Percent of GDP"/>
    <s v="Units"/>
    <x v="5"/>
    <n v="18.914000000000001"/>
  </r>
  <r>
    <n v="603"/>
    <x v="12"/>
    <x v="144"/>
    <x v="3"/>
    <s v="Percent of GDP"/>
    <s v="Units"/>
    <x v="6"/>
    <n v="18.631"/>
  </r>
  <r>
    <n v="200"/>
    <x v="3"/>
    <x v="144"/>
    <x v="3"/>
    <s v="Percent of GDP"/>
    <s v="Units"/>
    <x v="0"/>
    <n v="14.601000000000001"/>
  </r>
  <r>
    <n v="200"/>
    <x v="3"/>
    <x v="144"/>
    <x v="3"/>
    <s v="Percent of GDP"/>
    <s v="Units"/>
    <x v="1"/>
    <n v="19.071000000000002"/>
  </r>
  <r>
    <n v="200"/>
    <x v="3"/>
    <x v="144"/>
    <x v="3"/>
    <s v="Percent of GDP"/>
    <s v="Units"/>
    <x v="2"/>
    <n v="19.855"/>
  </r>
  <r>
    <n v="200"/>
    <x v="3"/>
    <x v="144"/>
    <x v="3"/>
    <s v="Percent of GDP"/>
    <s v="Units"/>
    <x v="3"/>
    <n v="19.864000000000001"/>
  </r>
  <r>
    <n v="200"/>
    <x v="3"/>
    <x v="144"/>
    <x v="3"/>
    <s v="Percent of GDP"/>
    <s v="Units"/>
    <x v="4"/>
    <n v="19.327000000000002"/>
  </r>
  <r>
    <n v="200"/>
    <x v="3"/>
    <x v="144"/>
    <x v="3"/>
    <s v="Percent of GDP"/>
    <s v="Units"/>
    <x v="5"/>
    <n v="18.914000000000001"/>
  </r>
  <r>
    <n v="200"/>
    <x v="3"/>
    <x v="144"/>
    <x v="3"/>
    <s v="Percent of GDP"/>
    <s v="Units"/>
    <x v="6"/>
    <n v="18.631"/>
  </r>
  <r>
    <n v="205"/>
    <x v="7"/>
    <x v="63"/>
    <x v="3"/>
    <s v="Percent of GDP"/>
    <s v="Units"/>
    <x v="0"/>
    <n v="17.861000000000001"/>
  </r>
  <r>
    <n v="205"/>
    <x v="7"/>
    <x v="63"/>
    <x v="3"/>
    <s v="Percent of GDP"/>
    <s v="Units"/>
    <x v="1"/>
    <n v="22.093"/>
  </r>
  <r>
    <n v="205"/>
    <x v="7"/>
    <x v="63"/>
    <x v="3"/>
    <s v="Percent of GDP"/>
    <s v="Units"/>
    <x v="2"/>
    <n v="18.538"/>
  </r>
  <r>
    <n v="205"/>
    <x v="7"/>
    <x v="63"/>
    <x v="3"/>
    <s v="Percent of GDP"/>
    <s v="Units"/>
    <x v="3"/>
    <n v="18.513000000000002"/>
  </r>
  <r>
    <n v="205"/>
    <x v="7"/>
    <x v="63"/>
    <x v="3"/>
    <s v="Percent of GDP"/>
    <s v="Units"/>
    <x v="4"/>
    <n v="19.257999999999999"/>
  </r>
  <r>
    <n v="205"/>
    <x v="7"/>
    <x v="63"/>
    <x v="3"/>
    <s v="Percent of GDP"/>
    <s v="Units"/>
    <x v="5"/>
    <n v="18.855"/>
  </r>
  <r>
    <n v="205"/>
    <x v="7"/>
    <x v="63"/>
    <x v="3"/>
    <s v="Percent of GDP"/>
    <s v="Units"/>
    <x v="6"/>
    <n v="17.960999999999999"/>
  </r>
  <r>
    <n v="200"/>
    <x v="3"/>
    <x v="63"/>
    <x v="3"/>
    <s v="Percent of GDP"/>
    <s v="Units"/>
    <x v="0"/>
    <n v="17.861000000000001"/>
  </r>
  <r>
    <n v="200"/>
    <x v="3"/>
    <x v="63"/>
    <x v="3"/>
    <s v="Percent of GDP"/>
    <s v="Units"/>
    <x v="1"/>
    <n v="22.093"/>
  </r>
  <r>
    <n v="200"/>
    <x v="3"/>
    <x v="63"/>
    <x v="3"/>
    <s v="Percent of GDP"/>
    <s v="Units"/>
    <x v="2"/>
    <n v="18.538"/>
  </r>
  <r>
    <n v="200"/>
    <x v="3"/>
    <x v="63"/>
    <x v="3"/>
    <s v="Percent of GDP"/>
    <s v="Units"/>
    <x v="3"/>
    <n v="18.513000000000002"/>
  </r>
  <r>
    <n v="200"/>
    <x v="3"/>
    <x v="63"/>
    <x v="3"/>
    <s v="Percent of GDP"/>
    <s v="Units"/>
    <x v="4"/>
    <n v="19.257999999999999"/>
  </r>
  <r>
    <n v="200"/>
    <x v="3"/>
    <x v="63"/>
    <x v="3"/>
    <s v="Percent of GDP"/>
    <s v="Units"/>
    <x v="5"/>
    <n v="18.855"/>
  </r>
  <r>
    <n v="200"/>
    <x v="3"/>
    <x v="63"/>
    <x v="3"/>
    <s v="Percent of GDP"/>
    <s v="Units"/>
    <x v="6"/>
    <n v="17.960999999999999"/>
  </r>
  <r>
    <n v="205"/>
    <x v="7"/>
    <x v="167"/>
    <x v="0"/>
    <s v="U.S. dollars"/>
    <s v="Billions"/>
    <x v="0"/>
    <n v="12.712999999999999"/>
  </r>
  <r>
    <n v="205"/>
    <x v="7"/>
    <x v="167"/>
    <x v="0"/>
    <s v="U.S. dollars"/>
    <s v="Billions"/>
    <x v="1"/>
    <n v="12.682"/>
  </r>
  <r>
    <n v="205"/>
    <x v="7"/>
    <x v="167"/>
    <x v="0"/>
    <s v="U.S. dollars"/>
    <s v="Billions"/>
    <x v="2"/>
    <n v="14.145"/>
  </r>
  <r>
    <n v="205"/>
    <x v="7"/>
    <x v="167"/>
    <x v="0"/>
    <s v="U.S. dollars"/>
    <s v="Billions"/>
    <x v="3"/>
    <n v="15.670999999999999"/>
  </r>
  <r>
    <n v="205"/>
    <x v="7"/>
    <x v="167"/>
    <x v="0"/>
    <s v="U.S. dollars"/>
    <s v="Billions"/>
    <x v="4"/>
    <n v="17.411999999999999"/>
  </r>
  <r>
    <n v="205"/>
    <x v="7"/>
    <x v="167"/>
    <x v="0"/>
    <s v="U.S. dollars"/>
    <s v="Billions"/>
    <x v="5"/>
    <n v="18.829000000000001"/>
  </r>
  <r>
    <n v="205"/>
    <x v="7"/>
    <x v="167"/>
    <x v="0"/>
    <s v="U.S. dollars"/>
    <s v="Billions"/>
    <x v="6"/>
    <n v="20.268000000000001"/>
  </r>
  <r>
    <n v="1"/>
    <x v="2"/>
    <x v="167"/>
    <x v="0"/>
    <s v="U.S. dollars"/>
    <s v="Billions"/>
    <x v="0"/>
    <n v="12.712999999999999"/>
  </r>
  <r>
    <n v="1"/>
    <x v="2"/>
    <x v="167"/>
    <x v="0"/>
    <s v="U.S. dollars"/>
    <s v="Billions"/>
    <x v="1"/>
    <n v="12.682"/>
  </r>
  <r>
    <n v="1"/>
    <x v="2"/>
    <x v="167"/>
    <x v="0"/>
    <s v="U.S. dollars"/>
    <s v="Billions"/>
    <x v="2"/>
    <n v="14.145"/>
  </r>
  <r>
    <n v="1"/>
    <x v="2"/>
    <x v="167"/>
    <x v="0"/>
    <s v="U.S. dollars"/>
    <s v="Billions"/>
    <x v="3"/>
    <n v="15.670999999999999"/>
  </r>
  <r>
    <n v="1"/>
    <x v="2"/>
    <x v="167"/>
    <x v="0"/>
    <s v="U.S. dollars"/>
    <s v="Billions"/>
    <x v="4"/>
    <n v="17.411999999999999"/>
  </r>
  <r>
    <n v="1"/>
    <x v="2"/>
    <x v="167"/>
    <x v="0"/>
    <s v="U.S. dollars"/>
    <s v="Billions"/>
    <x v="5"/>
    <n v="18.829000000000001"/>
  </r>
  <r>
    <n v="1"/>
    <x v="2"/>
    <x v="167"/>
    <x v="0"/>
    <s v="U.S. dollars"/>
    <s v="Billions"/>
    <x v="6"/>
    <n v="20.268000000000001"/>
  </r>
  <r>
    <n v="200"/>
    <x v="3"/>
    <x v="167"/>
    <x v="0"/>
    <s v="U.S. dollars"/>
    <s v="Billions"/>
    <x v="0"/>
    <n v="12.712999999999999"/>
  </r>
  <r>
    <n v="200"/>
    <x v="3"/>
    <x v="167"/>
    <x v="0"/>
    <s v="U.S. dollars"/>
    <s v="Billions"/>
    <x v="1"/>
    <n v="12.682"/>
  </r>
  <r>
    <n v="200"/>
    <x v="3"/>
    <x v="167"/>
    <x v="0"/>
    <s v="U.S. dollars"/>
    <s v="Billions"/>
    <x v="2"/>
    <n v="14.145"/>
  </r>
  <r>
    <n v="200"/>
    <x v="3"/>
    <x v="167"/>
    <x v="0"/>
    <s v="U.S. dollars"/>
    <s v="Billions"/>
    <x v="3"/>
    <n v="15.670999999999999"/>
  </r>
  <r>
    <n v="200"/>
    <x v="3"/>
    <x v="167"/>
    <x v="0"/>
    <s v="U.S. dollars"/>
    <s v="Billions"/>
    <x v="4"/>
    <n v="17.411999999999999"/>
  </r>
  <r>
    <n v="200"/>
    <x v="3"/>
    <x v="167"/>
    <x v="0"/>
    <s v="U.S. dollars"/>
    <s v="Billions"/>
    <x v="5"/>
    <n v="18.829000000000001"/>
  </r>
  <r>
    <n v="200"/>
    <x v="3"/>
    <x v="167"/>
    <x v="0"/>
    <s v="U.S. dollars"/>
    <s v="Billions"/>
    <x v="6"/>
    <n v="20.268000000000001"/>
  </r>
  <r>
    <n v="1"/>
    <x v="2"/>
    <x v="94"/>
    <x v="0"/>
    <s v="U.S. dollars"/>
    <s v="Billions"/>
    <x v="0"/>
    <n v="12.917"/>
  </r>
  <r>
    <n v="1"/>
    <x v="2"/>
    <x v="94"/>
    <x v="0"/>
    <s v="U.S. dollars"/>
    <s v="Billions"/>
    <x v="1"/>
    <n v="13.763999999999999"/>
  </r>
  <r>
    <n v="1"/>
    <x v="2"/>
    <x v="94"/>
    <x v="0"/>
    <s v="U.S. dollars"/>
    <s v="Billions"/>
    <x v="2"/>
    <n v="14.923"/>
  </r>
  <r>
    <n v="1"/>
    <x v="2"/>
    <x v="94"/>
    <x v="0"/>
    <s v="U.S. dollars"/>
    <s v="Billions"/>
    <x v="3"/>
    <n v="15.448"/>
  </r>
  <r>
    <n v="1"/>
    <x v="2"/>
    <x v="94"/>
    <x v="0"/>
    <s v="U.S. dollars"/>
    <s v="Billions"/>
    <x v="4"/>
    <n v="16.527999999999999"/>
  </r>
  <r>
    <n v="1"/>
    <x v="2"/>
    <x v="94"/>
    <x v="0"/>
    <s v="U.S. dollars"/>
    <s v="Billions"/>
    <x v="5"/>
    <n v="18.815999999999999"/>
  </r>
  <r>
    <n v="1"/>
    <x v="2"/>
    <x v="94"/>
    <x v="0"/>
    <s v="U.S. dollars"/>
    <s v="Billions"/>
    <x v="6"/>
    <n v="20.41"/>
  </r>
  <r>
    <n v="603"/>
    <x v="12"/>
    <x v="94"/>
    <x v="0"/>
    <s v="U.S. dollars"/>
    <s v="Billions"/>
    <x v="0"/>
    <n v="12.917"/>
  </r>
  <r>
    <n v="603"/>
    <x v="12"/>
    <x v="94"/>
    <x v="0"/>
    <s v="U.S. dollars"/>
    <s v="Billions"/>
    <x v="1"/>
    <n v="13.763999999999999"/>
  </r>
  <r>
    <n v="603"/>
    <x v="12"/>
    <x v="94"/>
    <x v="0"/>
    <s v="U.S. dollars"/>
    <s v="Billions"/>
    <x v="2"/>
    <n v="14.923"/>
  </r>
  <r>
    <n v="603"/>
    <x v="12"/>
    <x v="94"/>
    <x v="0"/>
    <s v="U.S. dollars"/>
    <s v="Billions"/>
    <x v="3"/>
    <n v="15.448"/>
  </r>
  <r>
    <n v="603"/>
    <x v="12"/>
    <x v="94"/>
    <x v="0"/>
    <s v="U.S. dollars"/>
    <s v="Billions"/>
    <x v="4"/>
    <n v="16.527999999999999"/>
  </r>
  <r>
    <n v="603"/>
    <x v="12"/>
    <x v="94"/>
    <x v="0"/>
    <s v="U.S. dollars"/>
    <s v="Billions"/>
    <x v="5"/>
    <n v="18.815999999999999"/>
  </r>
  <r>
    <n v="603"/>
    <x v="12"/>
    <x v="94"/>
    <x v="0"/>
    <s v="U.S. dollars"/>
    <s v="Billions"/>
    <x v="6"/>
    <n v="20.41"/>
  </r>
  <r>
    <n v="200"/>
    <x v="3"/>
    <x v="94"/>
    <x v="0"/>
    <s v="U.S. dollars"/>
    <s v="Billions"/>
    <x v="0"/>
    <n v="12.917"/>
  </r>
  <r>
    <n v="200"/>
    <x v="3"/>
    <x v="94"/>
    <x v="0"/>
    <s v="U.S. dollars"/>
    <s v="Billions"/>
    <x v="1"/>
    <n v="13.763999999999999"/>
  </r>
  <r>
    <n v="200"/>
    <x v="3"/>
    <x v="94"/>
    <x v="0"/>
    <s v="U.S. dollars"/>
    <s v="Billions"/>
    <x v="2"/>
    <n v="14.923"/>
  </r>
  <r>
    <n v="200"/>
    <x v="3"/>
    <x v="94"/>
    <x v="0"/>
    <s v="U.S. dollars"/>
    <s v="Billions"/>
    <x v="3"/>
    <n v="15.448"/>
  </r>
  <r>
    <n v="200"/>
    <x v="3"/>
    <x v="94"/>
    <x v="0"/>
    <s v="U.S. dollars"/>
    <s v="Billions"/>
    <x v="4"/>
    <n v="16.527999999999999"/>
  </r>
  <r>
    <n v="200"/>
    <x v="3"/>
    <x v="94"/>
    <x v="0"/>
    <s v="U.S. dollars"/>
    <s v="Billions"/>
    <x v="5"/>
    <n v="18.815999999999999"/>
  </r>
  <r>
    <n v="200"/>
    <x v="3"/>
    <x v="94"/>
    <x v="0"/>
    <s v="U.S. dollars"/>
    <s v="Billions"/>
    <x v="6"/>
    <n v="20.41"/>
  </r>
  <r>
    <n v="603"/>
    <x v="12"/>
    <x v="138"/>
    <x v="2"/>
    <s v="Percent of GDP"/>
    <s v="Units"/>
    <x v="0"/>
    <n v="19.594000000000001"/>
  </r>
  <r>
    <n v="603"/>
    <x v="12"/>
    <x v="138"/>
    <x v="2"/>
    <s v="Percent of GDP"/>
    <s v="Units"/>
    <x v="1"/>
    <n v="17.617000000000001"/>
  </r>
  <r>
    <n v="603"/>
    <x v="12"/>
    <x v="138"/>
    <x v="2"/>
    <s v="Percent of GDP"/>
    <s v="Units"/>
    <x v="2"/>
    <n v="14.741"/>
  </r>
  <r>
    <n v="603"/>
    <x v="12"/>
    <x v="138"/>
    <x v="2"/>
    <s v="Percent of GDP"/>
    <s v="Units"/>
    <x v="3"/>
    <n v="18.416"/>
  </r>
  <r>
    <n v="603"/>
    <x v="12"/>
    <x v="138"/>
    <x v="2"/>
    <s v="Percent of GDP"/>
    <s v="Units"/>
    <x v="4"/>
    <n v="19.852"/>
  </r>
  <r>
    <n v="603"/>
    <x v="12"/>
    <x v="138"/>
    <x v="2"/>
    <s v="Percent of GDP"/>
    <s v="Units"/>
    <x v="5"/>
    <n v="18.797999999999998"/>
  </r>
  <r>
    <n v="603"/>
    <x v="12"/>
    <x v="138"/>
    <x v="2"/>
    <s v="Percent of GDP"/>
    <s v="Units"/>
    <x v="6"/>
    <n v="17.488"/>
  </r>
  <r>
    <n v="200"/>
    <x v="3"/>
    <x v="138"/>
    <x v="2"/>
    <s v="Percent of GDP"/>
    <s v="Units"/>
    <x v="0"/>
    <n v="19.594000000000001"/>
  </r>
  <r>
    <n v="200"/>
    <x v="3"/>
    <x v="138"/>
    <x v="2"/>
    <s v="Percent of GDP"/>
    <s v="Units"/>
    <x v="1"/>
    <n v="17.617000000000001"/>
  </r>
  <r>
    <n v="200"/>
    <x v="3"/>
    <x v="138"/>
    <x v="2"/>
    <s v="Percent of GDP"/>
    <s v="Units"/>
    <x v="2"/>
    <n v="14.741"/>
  </r>
  <r>
    <n v="200"/>
    <x v="3"/>
    <x v="138"/>
    <x v="2"/>
    <s v="Percent of GDP"/>
    <s v="Units"/>
    <x v="3"/>
    <n v="18.416"/>
  </r>
  <r>
    <n v="200"/>
    <x v="3"/>
    <x v="138"/>
    <x v="2"/>
    <s v="Percent of GDP"/>
    <s v="Units"/>
    <x v="4"/>
    <n v="19.852"/>
  </r>
  <r>
    <n v="200"/>
    <x v="3"/>
    <x v="138"/>
    <x v="2"/>
    <s v="Percent of GDP"/>
    <s v="Units"/>
    <x v="5"/>
    <n v="18.797999999999998"/>
  </r>
  <r>
    <n v="200"/>
    <x v="3"/>
    <x v="138"/>
    <x v="2"/>
    <s v="Percent of GDP"/>
    <s v="Units"/>
    <x v="6"/>
    <n v="17.488"/>
  </r>
  <r>
    <n v="903"/>
    <x v="8"/>
    <x v="83"/>
    <x v="5"/>
    <s v="Percent of GDP"/>
    <s v="Units"/>
    <x v="0"/>
    <n v="18.216000000000001"/>
  </r>
  <r>
    <n v="903"/>
    <x v="8"/>
    <x v="83"/>
    <x v="5"/>
    <s v="Percent of GDP"/>
    <s v="Units"/>
    <x v="1"/>
    <n v="20.068000000000001"/>
  </r>
  <r>
    <n v="903"/>
    <x v="8"/>
    <x v="83"/>
    <x v="5"/>
    <s v="Percent of GDP"/>
    <s v="Units"/>
    <x v="2"/>
    <n v="20.867999999999999"/>
  </r>
  <r>
    <n v="903"/>
    <x v="8"/>
    <x v="83"/>
    <x v="5"/>
    <s v="Percent of GDP"/>
    <s v="Units"/>
    <x v="3"/>
    <n v="19.661999999999999"/>
  </r>
  <r>
    <n v="903"/>
    <x v="8"/>
    <x v="83"/>
    <x v="5"/>
    <s v="Percent of GDP"/>
    <s v="Units"/>
    <x v="4"/>
    <n v="18.791"/>
  </r>
  <r>
    <n v="903"/>
    <x v="8"/>
    <x v="83"/>
    <x v="5"/>
    <s v="Percent of GDP"/>
    <s v="Units"/>
    <x v="5"/>
    <n v="18.780999999999999"/>
  </r>
  <r>
    <n v="903"/>
    <x v="8"/>
    <x v="83"/>
    <x v="5"/>
    <s v="Percent of GDP"/>
    <s v="Units"/>
    <x v="6"/>
    <n v="18.466000000000001"/>
  </r>
  <r>
    <n v="200"/>
    <x v="3"/>
    <x v="83"/>
    <x v="5"/>
    <s v="Percent of GDP"/>
    <s v="Units"/>
    <x v="0"/>
    <n v="18.216000000000001"/>
  </r>
  <r>
    <n v="200"/>
    <x v="3"/>
    <x v="83"/>
    <x v="5"/>
    <s v="Percent of GDP"/>
    <s v="Units"/>
    <x v="1"/>
    <n v="20.068000000000001"/>
  </r>
  <r>
    <n v="200"/>
    <x v="3"/>
    <x v="83"/>
    <x v="5"/>
    <s v="Percent of GDP"/>
    <s v="Units"/>
    <x v="2"/>
    <n v="20.867999999999999"/>
  </r>
  <r>
    <n v="200"/>
    <x v="3"/>
    <x v="83"/>
    <x v="5"/>
    <s v="Percent of GDP"/>
    <s v="Units"/>
    <x v="3"/>
    <n v="19.661999999999999"/>
  </r>
  <r>
    <n v="200"/>
    <x v="3"/>
    <x v="83"/>
    <x v="5"/>
    <s v="Percent of GDP"/>
    <s v="Units"/>
    <x v="4"/>
    <n v="18.791"/>
  </r>
  <r>
    <n v="200"/>
    <x v="3"/>
    <x v="83"/>
    <x v="5"/>
    <s v="Percent of GDP"/>
    <s v="Units"/>
    <x v="5"/>
    <n v="18.780999999999999"/>
  </r>
  <r>
    <n v="200"/>
    <x v="3"/>
    <x v="83"/>
    <x v="5"/>
    <s v="Percent of GDP"/>
    <s v="Units"/>
    <x v="6"/>
    <n v="18.466000000000001"/>
  </r>
  <r>
    <n v="1"/>
    <x v="2"/>
    <x v="83"/>
    <x v="5"/>
    <s v="Percent of GDP"/>
    <s v="Units"/>
    <x v="0"/>
    <n v="18.216000000000001"/>
  </r>
  <r>
    <n v="1"/>
    <x v="2"/>
    <x v="83"/>
    <x v="5"/>
    <s v="Percent of GDP"/>
    <s v="Units"/>
    <x v="1"/>
    <n v="20.068000000000001"/>
  </r>
  <r>
    <n v="1"/>
    <x v="2"/>
    <x v="83"/>
    <x v="5"/>
    <s v="Percent of GDP"/>
    <s v="Units"/>
    <x v="2"/>
    <n v="20.867999999999999"/>
  </r>
  <r>
    <n v="1"/>
    <x v="2"/>
    <x v="83"/>
    <x v="5"/>
    <s v="Percent of GDP"/>
    <s v="Units"/>
    <x v="3"/>
    <n v="19.661999999999999"/>
  </r>
  <r>
    <n v="1"/>
    <x v="2"/>
    <x v="83"/>
    <x v="5"/>
    <s v="Percent of GDP"/>
    <s v="Units"/>
    <x v="4"/>
    <n v="18.791"/>
  </r>
  <r>
    <n v="1"/>
    <x v="2"/>
    <x v="83"/>
    <x v="5"/>
    <s v="Percent of GDP"/>
    <s v="Units"/>
    <x v="5"/>
    <n v="18.780999999999999"/>
  </r>
  <r>
    <n v="1"/>
    <x v="2"/>
    <x v="83"/>
    <x v="5"/>
    <s v="Percent of GDP"/>
    <s v="Units"/>
    <x v="6"/>
    <n v="18.466000000000001"/>
  </r>
  <r>
    <n v="110"/>
    <x v="0"/>
    <x v="128"/>
    <x v="7"/>
    <s v="Percent of GDP"/>
    <s v="Units"/>
    <x v="0"/>
    <n v="20.568000000000001"/>
  </r>
  <r>
    <n v="110"/>
    <x v="0"/>
    <x v="128"/>
    <x v="7"/>
    <s v="Percent of GDP"/>
    <s v="Units"/>
    <x v="1"/>
    <n v="21.524999999999999"/>
  </r>
  <r>
    <n v="110"/>
    <x v="0"/>
    <x v="128"/>
    <x v="7"/>
    <s v="Percent of GDP"/>
    <s v="Units"/>
    <x v="2"/>
    <n v="21.439"/>
  </r>
  <r>
    <n v="110"/>
    <x v="0"/>
    <x v="128"/>
    <x v="7"/>
    <s v="Percent of GDP"/>
    <s v="Units"/>
    <x v="3"/>
    <n v="26.018999999999998"/>
  </r>
  <r>
    <n v="110"/>
    <x v="0"/>
    <x v="128"/>
    <x v="7"/>
    <s v="Percent of GDP"/>
    <s v="Units"/>
    <x v="4"/>
    <n v="19.492999999999999"/>
  </r>
  <r>
    <n v="110"/>
    <x v="0"/>
    <x v="128"/>
    <x v="7"/>
    <s v="Percent of GDP"/>
    <s v="Units"/>
    <x v="5"/>
    <n v="18.707999999999998"/>
  </r>
  <r>
    <n v="110"/>
    <x v="0"/>
    <x v="128"/>
    <x v="7"/>
    <s v="Percent of GDP"/>
    <s v="Units"/>
    <x v="6"/>
    <n v="18.414999999999999"/>
  </r>
  <r>
    <n v="163"/>
    <x v="5"/>
    <x v="128"/>
    <x v="7"/>
    <s v="Percent of GDP"/>
    <s v="Units"/>
    <x v="0"/>
    <n v="20.568000000000001"/>
  </r>
  <r>
    <n v="163"/>
    <x v="5"/>
    <x v="128"/>
    <x v="7"/>
    <s v="Percent of GDP"/>
    <s v="Units"/>
    <x v="1"/>
    <n v="21.524999999999999"/>
  </r>
  <r>
    <n v="163"/>
    <x v="5"/>
    <x v="128"/>
    <x v="7"/>
    <s v="Percent of GDP"/>
    <s v="Units"/>
    <x v="2"/>
    <n v="21.439"/>
  </r>
  <r>
    <n v="163"/>
    <x v="5"/>
    <x v="128"/>
    <x v="7"/>
    <s v="Percent of GDP"/>
    <s v="Units"/>
    <x v="3"/>
    <n v="26.018999999999998"/>
  </r>
  <r>
    <n v="163"/>
    <x v="5"/>
    <x v="128"/>
    <x v="7"/>
    <s v="Percent of GDP"/>
    <s v="Units"/>
    <x v="4"/>
    <n v="19.492999999999999"/>
  </r>
  <r>
    <n v="163"/>
    <x v="5"/>
    <x v="128"/>
    <x v="7"/>
    <s v="Percent of GDP"/>
    <s v="Units"/>
    <x v="5"/>
    <n v="18.707999999999998"/>
  </r>
  <r>
    <n v="163"/>
    <x v="5"/>
    <x v="128"/>
    <x v="7"/>
    <s v="Percent of GDP"/>
    <s v="Units"/>
    <x v="6"/>
    <n v="18.414999999999999"/>
  </r>
  <r>
    <n v="998"/>
    <x v="6"/>
    <x v="128"/>
    <x v="7"/>
    <s v="Percent of GDP"/>
    <s v="Units"/>
    <x v="0"/>
    <n v="20.568000000000001"/>
  </r>
  <r>
    <n v="998"/>
    <x v="6"/>
    <x v="128"/>
    <x v="7"/>
    <s v="Percent of GDP"/>
    <s v="Units"/>
    <x v="1"/>
    <n v="21.524999999999999"/>
  </r>
  <r>
    <n v="998"/>
    <x v="6"/>
    <x v="128"/>
    <x v="7"/>
    <s v="Percent of GDP"/>
    <s v="Units"/>
    <x v="2"/>
    <n v="21.439"/>
  </r>
  <r>
    <n v="998"/>
    <x v="6"/>
    <x v="128"/>
    <x v="7"/>
    <s v="Percent of GDP"/>
    <s v="Units"/>
    <x v="3"/>
    <n v="26.018999999999998"/>
  </r>
  <r>
    <n v="998"/>
    <x v="6"/>
    <x v="128"/>
    <x v="7"/>
    <s v="Percent of GDP"/>
    <s v="Units"/>
    <x v="4"/>
    <n v="19.492999999999999"/>
  </r>
  <r>
    <n v="998"/>
    <x v="6"/>
    <x v="128"/>
    <x v="7"/>
    <s v="Percent of GDP"/>
    <s v="Units"/>
    <x v="5"/>
    <n v="18.707999999999998"/>
  </r>
  <r>
    <n v="998"/>
    <x v="6"/>
    <x v="128"/>
    <x v="7"/>
    <s v="Percent of GDP"/>
    <s v="Units"/>
    <x v="6"/>
    <n v="18.414999999999999"/>
  </r>
  <r>
    <n v="1"/>
    <x v="2"/>
    <x v="128"/>
    <x v="7"/>
    <s v="Percent of GDP"/>
    <s v="Units"/>
    <x v="0"/>
    <n v="20.568000000000001"/>
  </r>
  <r>
    <n v="1"/>
    <x v="2"/>
    <x v="128"/>
    <x v="7"/>
    <s v="Percent of GDP"/>
    <s v="Units"/>
    <x v="1"/>
    <n v="21.524999999999999"/>
  </r>
  <r>
    <n v="1"/>
    <x v="2"/>
    <x v="128"/>
    <x v="7"/>
    <s v="Percent of GDP"/>
    <s v="Units"/>
    <x v="2"/>
    <n v="21.439"/>
  </r>
  <r>
    <n v="1"/>
    <x v="2"/>
    <x v="128"/>
    <x v="7"/>
    <s v="Percent of GDP"/>
    <s v="Units"/>
    <x v="3"/>
    <n v="26.018999999999998"/>
  </r>
  <r>
    <n v="1"/>
    <x v="2"/>
    <x v="128"/>
    <x v="7"/>
    <s v="Percent of GDP"/>
    <s v="Units"/>
    <x v="4"/>
    <n v="19.492999999999999"/>
  </r>
  <r>
    <n v="1"/>
    <x v="2"/>
    <x v="128"/>
    <x v="7"/>
    <s v="Percent of GDP"/>
    <s v="Units"/>
    <x v="5"/>
    <n v="18.707999999999998"/>
  </r>
  <r>
    <n v="1"/>
    <x v="2"/>
    <x v="128"/>
    <x v="7"/>
    <s v="Percent of GDP"/>
    <s v="Units"/>
    <x v="6"/>
    <n v="18.414999999999999"/>
  </r>
  <r>
    <n v="1"/>
    <x v="2"/>
    <x v="70"/>
    <x v="5"/>
    <s v="Percent of GDP"/>
    <s v="Units"/>
    <x v="0"/>
    <n v="22.873000000000001"/>
  </r>
  <r>
    <n v="1"/>
    <x v="2"/>
    <x v="70"/>
    <x v="5"/>
    <s v="Percent of GDP"/>
    <s v="Units"/>
    <x v="1"/>
    <n v="20.385999999999999"/>
  </r>
  <r>
    <n v="1"/>
    <x v="2"/>
    <x v="70"/>
    <x v="5"/>
    <s v="Percent of GDP"/>
    <s v="Units"/>
    <x v="2"/>
    <n v="19.356000000000002"/>
  </r>
  <r>
    <n v="1"/>
    <x v="2"/>
    <x v="70"/>
    <x v="5"/>
    <s v="Percent of GDP"/>
    <s v="Units"/>
    <x v="3"/>
    <n v="21.978000000000002"/>
  </r>
  <r>
    <n v="1"/>
    <x v="2"/>
    <x v="70"/>
    <x v="5"/>
    <s v="Percent of GDP"/>
    <s v="Units"/>
    <x v="4"/>
    <n v="19.140999999999998"/>
  </r>
  <r>
    <n v="1"/>
    <x v="2"/>
    <x v="70"/>
    <x v="5"/>
    <s v="Percent of GDP"/>
    <s v="Units"/>
    <x v="5"/>
    <n v="18.704999999999998"/>
  </r>
  <r>
    <n v="1"/>
    <x v="2"/>
    <x v="70"/>
    <x v="5"/>
    <s v="Percent of GDP"/>
    <s v="Units"/>
    <x v="6"/>
    <n v="19.675000000000001"/>
  </r>
  <r>
    <n v="998"/>
    <x v="6"/>
    <x v="70"/>
    <x v="5"/>
    <s v="Percent of GDP"/>
    <s v="Units"/>
    <x v="0"/>
    <n v="22.873000000000001"/>
  </r>
  <r>
    <n v="998"/>
    <x v="6"/>
    <x v="70"/>
    <x v="5"/>
    <s v="Percent of GDP"/>
    <s v="Units"/>
    <x v="1"/>
    <n v="20.385999999999999"/>
  </r>
  <r>
    <n v="998"/>
    <x v="6"/>
    <x v="70"/>
    <x v="5"/>
    <s v="Percent of GDP"/>
    <s v="Units"/>
    <x v="2"/>
    <n v="19.356000000000002"/>
  </r>
  <r>
    <n v="998"/>
    <x v="6"/>
    <x v="70"/>
    <x v="5"/>
    <s v="Percent of GDP"/>
    <s v="Units"/>
    <x v="3"/>
    <n v="21.978000000000002"/>
  </r>
  <r>
    <n v="998"/>
    <x v="6"/>
    <x v="70"/>
    <x v="5"/>
    <s v="Percent of GDP"/>
    <s v="Units"/>
    <x v="4"/>
    <n v="19.140999999999998"/>
  </r>
  <r>
    <n v="998"/>
    <x v="6"/>
    <x v="70"/>
    <x v="5"/>
    <s v="Percent of GDP"/>
    <s v="Units"/>
    <x v="5"/>
    <n v="18.704999999999998"/>
  </r>
  <r>
    <n v="998"/>
    <x v="6"/>
    <x v="70"/>
    <x v="5"/>
    <s v="Percent of GDP"/>
    <s v="Units"/>
    <x v="6"/>
    <n v="19.675000000000001"/>
  </r>
  <r>
    <n v="200"/>
    <x v="3"/>
    <x v="70"/>
    <x v="5"/>
    <s v="Percent of GDP"/>
    <s v="Units"/>
    <x v="0"/>
    <n v="22.873000000000001"/>
  </r>
  <r>
    <n v="200"/>
    <x v="3"/>
    <x v="70"/>
    <x v="5"/>
    <s v="Percent of GDP"/>
    <s v="Units"/>
    <x v="1"/>
    <n v="20.385999999999999"/>
  </r>
  <r>
    <n v="200"/>
    <x v="3"/>
    <x v="70"/>
    <x v="5"/>
    <s v="Percent of GDP"/>
    <s v="Units"/>
    <x v="2"/>
    <n v="19.356000000000002"/>
  </r>
  <r>
    <n v="200"/>
    <x v="3"/>
    <x v="70"/>
    <x v="5"/>
    <s v="Percent of GDP"/>
    <s v="Units"/>
    <x v="3"/>
    <n v="21.978000000000002"/>
  </r>
  <r>
    <n v="200"/>
    <x v="3"/>
    <x v="70"/>
    <x v="5"/>
    <s v="Percent of GDP"/>
    <s v="Units"/>
    <x v="4"/>
    <n v="19.140999999999998"/>
  </r>
  <r>
    <n v="200"/>
    <x v="3"/>
    <x v="70"/>
    <x v="5"/>
    <s v="Percent of GDP"/>
    <s v="Units"/>
    <x v="5"/>
    <n v="18.704999999999998"/>
  </r>
  <r>
    <n v="200"/>
    <x v="3"/>
    <x v="70"/>
    <x v="5"/>
    <s v="Percent of GDP"/>
    <s v="Units"/>
    <x v="6"/>
    <n v="19.675000000000001"/>
  </r>
  <r>
    <n v="903"/>
    <x v="8"/>
    <x v="70"/>
    <x v="5"/>
    <s v="Percent of GDP"/>
    <s v="Units"/>
    <x v="0"/>
    <n v="22.873000000000001"/>
  </r>
  <r>
    <n v="903"/>
    <x v="8"/>
    <x v="70"/>
    <x v="5"/>
    <s v="Percent of GDP"/>
    <s v="Units"/>
    <x v="1"/>
    <n v="20.385999999999999"/>
  </r>
  <r>
    <n v="903"/>
    <x v="8"/>
    <x v="70"/>
    <x v="5"/>
    <s v="Percent of GDP"/>
    <s v="Units"/>
    <x v="2"/>
    <n v="19.356000000000002"/>
  </r>
  <r>
    <n v="903"/>
    <x v="8"/>
    <x v="70"/>
    <x v="5"/>
    <s v="Percent of GDP"/>
    <s v="Units"/>
    <x v="3"/>
    <n v="21.978000000000002"/>
  </r>
  <r>
    <n v="903"/>
    <x v="8"/>
    <x v="70"/>
    <x v="5"/>
    <s v="Percent of GDP"/>
    <s v="Units"/>
    <x v="4"/>
    <n v="19.140999999999998"/>
  </r>
  <r>
    <n v="903"/>
    <x v="8"/>
    <x v="70"/>
    <x v="5"/>
    <s v="Percent of GDP"/>
    <s v="Units"/>
    <x v="5"/>
    <n v="18.704999999999998"/>
  </r>
  <r>
    <n v="903"/>
    <x v="8"/>
    <x v="70"/>
    <x v="5"/>
    <s v="Percent of GDP"/>
    <s v="Units"/>
    <x v="6"/>
    <n v="19.675000000000001"/>
  </r>
  <r>
    <n v="1"/>
    <x v="2"/>
    <x v="19"/>
    <x v="7"/>
    <s v="Percent of GDP"/>
    <s v="Units"/>
    <x v="0"/>
    <n v="20.497"/>
  </r>
  <r>
    <n v="1"/>
    <x v="2"/>
    <x v="19"/>
    <x v="7"/>
    <s v="Percent of GDP"/>
    <s v="Units"/>
    <x v="1"/>
    <n v="18.759"/>
  </r>
  <r>
    <n v="1"/>
    <x v="2"/>
    <x v="19"/>
    <x v="7"/>
    <s v="Percent of GDP"/>
    <s v="Units"/>
    <x v="2"/>
    <n v="21.75"/>
  </r>
  <r>
    <n v="1"/>
    <x v="2"/>
    <x v="19"/>
    <x v="7"/>
    <s v="Percent of GDP"/>
    <s v="Units"/>
    <x v="3"/>
    <n v="22.414999999999999"/>
  </r>
  <r>
    <n v="1"/>
    <x v="2"/>
    <x v="19"/>
    <x v="7"/>
    <s v="Percent of GDP"/>
    <s v="Units"/>
    <x v="4"/>
    <n v="17.902999999999999"/>
  </r>
  <r>
    <n v="1"/>
    <x v="2"/>
    <x v="19"/>
    <x v="7"/>
    <s v="Percent of GDP"/>
    <s v="Units"/>
    <x v="5"/>
    <n v="18.696999999999999"/>
  </r>
  <r>
    <n v="1"/>
    <x v="2"/>
    <x v="19"/>
    <x v="7"/>
    <s v="Percent of GDP"/>
    <s v="Units"/>
    <x v="6"/>
    <n v="20.352"/>
  </r>
  <r>
    <n v="200"/>
    <x v="3"/>
    <x v="19"/>
    <x v="7"/>
    <s v="Percent of GDP"/>
    <s v="Units"/>
    <x v="0"/>
    <n v="20.497"/>
  </r>
  <r>
    <n v="200"/>
    <x v="3"/>
    <x v="19"/>
    <x v="7"/>
    <s v="Percent of GDP"/>
    <s v="Units"/>
    <x v="1"/>
    <n v="18.759"/>
  </r>
  <r>
    <n v="200"/>
    <x v="3"/>
    <x v="19"/>
    <x v="7"/>
    <s v="Percent of GDP"/>
    <s v="Units"/>
    <x v="2"/>
    <n v="21.75"/>
  </r>
  <r>
    <n v="200"/>
    <x v="3"/>
    <x v="19"/>
    <x v="7"/>
    <s v="Percent of GDP"/>
    <s v="Units"/>
    <x v="3"/>
    <n v="22.414999999999999"/>
  </r>
  <r>
    <n v="200"/>
    <x v="3"/>
    <x v="19"/>
    <x v="7"/>
    <s v="Percent of GDP"/>
    <s v="Units"/>
    <x v="4"/>
    <n v="17.902999999999999"/>
  </r>
  <r>
    <n v="200"/>
    <x v="3"/>
    <x v="19"/>
    <x v="7"/>
    <s v="Percent of GDP"/>
    <s v="Units"/>
    <x v="5"/>
    <n v="18.696999999999999"/>
  </r>
  <r>
    <n v="200"/>
    <x v="3"/>
    <x v="19"/>
    <x v="7"/>
    <s v="Percent of GDP"/>
    <s v="Units"/>
    <x v="6"/>
    <n v="20.352"/>
  </r>
  <r>
    <n v="903"/>
    <x v="8"/>
    <x v="19"/>
    <x v="7"/>
    <s v="Percent of GDP"/>
    <s v="Units"/>
    <x v="0"/>
    <n v="20.497"/>
  </r>
  <r>
    <n v="903"/>
    <x v="8"/>
    <x v="19"/>
    <x v="7"/>
    <s v="Percent of GDP"/>
    <s v="Units"/>
    <x v="1"/>
    <n v="18.759"/>
  </r>
  <r>
    <n v="903"/>
    <x v="8"/>
    <x v="19"/>
    <x v="7"/>
    <s v="Percent of GDP"/>
    <s v="Units"/>
    <x v="2"/>
    <n v="21.75"/>
  </r>
  <r>
    <n v="903"/>
    <x v="8"/>
    <x v="19"/>
    <x v="7"/>
    <s v="Percent of GDP"/>
    <s v="Units"/>
    <x v="3"/>
    <n v="22.414999999999999"/>
  </r>
  <r>
    <n v="903"/>
    <x v="8"/>
    <x v="19"/>
    <x v="7"/>
    <s v="Percent of GDP"/>
    <s v="Units"/>
    <x v="4"/>
    <n v="17.902999999999999"/>
  </r>
  <r>
    <n v="903"/>
    <x v="8"/>
    <x v="19"/>
    <x v="7"/>
    <s v="Percent of GDP"/>
    <s v="Units"/>
    <x v="5"/>
    <n v="18.696999999999999"/>
  </r>
  <r>
    <n v="903"/>
    <x v="8"/>
    <x v="19"/>
    <x v="7"/>
    <s v="Percent of GDP"/>
    <s v="Units"/>
    <x v="6"/>
    <n v="20.352"/>
  </r>
  <r>
    <n v="998"/>
    <x v="6"/>
    <x v="19"/>
    <x v="7"/>
    <s v="Percent of GDP"/>
    <s v="Units"/>
    <x v="0"/>
    <n v="20.497"/>
  </r>
  <r>
    <n v="998"/>
    <x v="6"/>
    <x v="19"/>
    <x v="7"/>
    <s v="Percent of GDP"/>
    <s v="Units"/>
    <x v="1"/>
    <n v="18.759"/>
  </r>
  <r>
    <n v="998"/>
    <x v="6"/>
    <x v="19"/>
    <x v="7"/>
    <s v="Percent of GDP"/>
    <s v="Units"/>
    <x v="2"/>
    <n v="21.75"/>
  </r>
  <r>
    <n v="998"/>
    <x v="6"/>
    <x v="19"/>
    <x v="7"/>
    <s v="Percent of GDP"/>
    <s v="Units"/>
    <x v="3"/>
    <n v="22.414999999999999"/>
  </r>
  <r>
    <n v="998"/>
    <x v="6"/>
    <x v="19"/>
    <x v="7"/>
    <s v="Percent of GDP"/>
    <s v="Units"/>
    <x v="4"/>
    <n v="17.902999999999999"/>
  </r>
  <r>
    <n v="998"/>
    <x v="6"/>
    <x v="19"/>
    <x v="7"/>
    <s v="Percent of GDP"/>
    <s v="Units"/>
    <x v="5"/>
    <n v="18.696999999999999"/>
  </r>
  <r>
    <n v="998"/>
    <x v="6"/>
    <x v="19"/>
    <x v="7"/>
    <s v="Percent of GDP"/>
    <s v="Units"/>
    <x v="6"/>
    <n v="20.352"/>
  </r>
  <r>
    <n v="200"/>
    <x v="3"/>
    <x v="185"/>
    <x v="0"/>
    <s v="U.S. dollars"/>
    <s v="Billions"/>
    <x v="0"/>
    <n v="14.917"/>
  </r>
  <r>
    <n v="200"/>
    <x v="3"/>
    <x v="185"/>
    <x v="0"/>
    <s v="U.S. dollars"/>
    <s v="Billions"/>
    <x v="1"/>
    <n v="14.615"/>
  </r>
  <r>
    <n v="200"/>
    <x v="3"/>
    <x v="185"/>
    <x v="0"/>
    <s v="U.S. dollars"/>
    <s v="Billions"/>
    <x v="2"/>
    <n v="16.047000000000001"/>
  </r>
  <r>
    <n v="200"/>
    <x v="3"/>
    <x v="185"/>
    <x v="0"/>
    <s v="U.S. dollars"/>
    <s v="Billions"/>
    <x v="3"/>
    <n v="16.417000000000002"/>
  </r>
  <r>
    <n v="200"/>
    <x v="3"/>
    <x v="185"/>
    <x v="0"/>
    <s v="U.S. dollars"/>
    <s v="Billions"/>
    <x v="4"/>
    <n v="17.492999999999999"/>
  </r>
  <r>
    <n v="200"/>
    <x v="3"/>
    <x v="185"/>
    <x v="0"/>
    <s v="U.S. dollars"/>
    <s v="Billions"/>
    <x v="5"/>
    <n v="18.696999999999999"/>
  </r>
  <r>
    <n v="200"/>
    <x v="3"/>
    <x v="185"/>
    <x v="0"/>
    <s v="U.S. dollars"/>
    <s v="Billions"/>
    <x v="6"/>
    <n v="19.698"/>
  </r>
  <r>
    <n v="603"/>
    <x v="12"/>
    <x v="185"/>
    <x v="0"/>
    <s v="U.S. dollars"/>
    <s v="Billions"/>
    <x v="0"/>
    <n v="14.917"/>
  </r>
  <r>
    <n v="603"/>
    <x v="12"/>
    <x v="185"/>
    <x v="0"/>
    <s v="U.S. dollars"/>
    <s v="Billions"/>
    <x v="1"/>
    <n v="14.615"/>
  </r>
  <r>
    <n v="603"/>
    <x v="12"/>
    <x v="185"/>
    <x v="0"/>
    <s v="U.S. dollars"/>
    <s v="Billions"/>
    <x v="2"/>
    <n v="16.047000000000001"/>
  </r>
  <r>
    <n v="603"/>
    <x v="12"/>
    <x v="185"/>
    <x v="0"/>
    <s v="U.S. dollars"/>
    <s v="Billions"/>
    <x v="3"/>
    <n v="16.417000000000002"/>
  </r>
  <r>
    <n v="603"/>
    <x v="12"/>
    <x v="185"/>
    <x v="0"/>
    <s v="U.S. dollars"/>
    <s v="Billions"/>
    <x v="4"/>
    <n v="17.492999999999999"/>
  </r>
  <r>
    <n v="603"/>
    <x v="12"/>
    <x v="185"/>
    <x v="0"/>
    <s v="U.S. dollars"/>
    <s v="Billions"/>
    <x v="5"/>
    <n v="18.696999999999999"/>
  </r>
  <r>
    <n v="603"/>
    <x v="12"/>
    <x v="185"/>
    <x v="0"/>
    <s v="U.S. dollars"/>
    <s v="Billions"/>
    <x v="6"/>
    <n v="19.698"/>
  </r>
  <r>
    <n v="1"/>
    <x v="2"/>
    <x v="185"/>
    <x v="0"/>
    <s v="U.S. dollars"/>
    <s v="Billions"/>
    <x v="0"/>
    <n v="14.917"/>
  </r>
  <r>
    <n v="1"/>
    <x v="2"/>
    <x v="185"/>
    <x v="0"/>
    <s v="U.S. dollars"/>
    <s v="Billions"/>
    <x v="1"/>
    <n v="14.615"/>
  </r>
  <r>
    <n v="1"/>
    <x v="2"/>
    <x v="185"/>
    <x v="0"/>
    <s v="U.S. dollars"/>
    <s v="Billions"/>
    <x v="2"/>
    <n v="16.047000000000001"/>
  </r>
  <r>
    <n v="1"/>
    <x v="2"/>
    <x v="185"/>
    <x v="0"/>
    <s v="U.S. dollars"/>
    <s v="Billions"/>
    <x v="3"/>
    <n v="16.417000000000002"/>
  </r>
  <r>
    <n v="1"/>
    <x v="2"/>
    <x v="185"/>
    <x v="0"/>
    <s v="U.S. dollars"/>
    <s v="Billions"/>
    <x v="4"/>
    <n v="17.492999999999999"/>
  </r>
  <r>
    <n v="1"/>
    <x v="2"/>
    <x v="185"/>
    <x v="0"/>
    <s v="U.S. dollars"/>
    <s v="Billions"/>
    <x v="5"/>
    <n v="18.696999999999999"/>
  </r>
  <r>
    <n v="1"/>
    <x v="2"/>
    <x v="185"/>
    <x v="0"/>
    <s v="U.S. dollars"/>
    <s v="Billions"/>
    <x v="6"/>
    <n v="19.698"/>
  </r>
  <r>
    <n v="1"/>
    <x v="2"/>
    <x v="139"/>
    <x v="4"/>
    <s v="Percent change"/>
    <s v="Units"/>
    <x v="0"/>
    <n v="-11.737"/>
  </r>
  <r>
    <n v="1"/>
    <x v="2"/>
    <x v="139"/>
    <x v="4"/>
    <s v="Percent change"/>
    <s v="Units"/>
    <x v="1"/>
    <n v="9.2080000000000002"/>
  </r>
  <r>
    <n v="1"/>
    <x v="2"/>
    <x v="139"/>
    <x v="4"/>
    <s v="Percent change"/>
    <s v="Units"/>
    <x v="2"/>
    <n v="-1.4630000000000001"/>
  </r>
  <r>
    <n v="1"/>
    <x v="2"/>
    <x v="139"/>
    <x v="4"/>
    <s v="Percent change"/>
    <s v="Units"/>
    <x v="3"/>
    <n v="5.6630000000000003"/>
  </r>
  <r>
    <n v="1"/>
    <x v="2"/>
    <x v="139"/>
    <x v="4"/>
    <s v="Percent change"/>
    <s v="Units"/>
    <x v="4"/>
    <n v="-3.0009999999999999"/>
  </r>
  <r>
    <n v="1"/>
    <x v="2"/>
    <x v="139"/>
    <x v="4"/>
    <s v="Percent change"/>
    <s v="Units"/>
    <x v="5"/>
    <n v="18.641999999999999"/>
  </r>
  <r>
    <n v="1"/>
    <x v="2"/>
    <x v="139"/>
    <x v="4"/>
    <s v="Percent change"/>
    <s v="Units"/>
    <x v="6"/>
    <n v="7.3689999999999998"/>
  </r>
  <r>
    <n v="603"/>
    <x v="12"/>
    <x v="139"/>
    <x v="4"/>
    <s v="Percent change"/>
    <s v="Units"/>
    <x v="0"/>
    <n v="-11.737"/>
  </r>
  <r>
    <n v="603"/>
    <x v="12"/>
    <x v="139"/>
    <x v="4"/>
    <s v="Percent change"/>
    <s v="Units"/>
    <x v="1"/>
    <n v="9.2080000000000002"/>
  </r>
  <r>
    <n v="603"/>
    <x v="12"/>
    <x v="139"/>
    <x v="4"/>
    <s v="Percent change"/>
    <s v="Units"/>
    <x v="2"/>
    <n v="-1.4630000000000001"/>
  </r>
  <r>
    <n v="603"/>
    <x v="12"/>
    <x v="139"/>
    <x v="4"/>
    <s v="Percent change"/>
    <s v="Units"/>
    <x v="3"/>
    <n v="5.6630000000000003"/>
  </r>
  <r>
    <n v="603"/>
    <x v="12"/>
    <x v="139"/>
    <x v="4"/>
    <s v="Percent change"/>
    <s v="Units"/>
    <x v="4"/>
    <n v="-3.0009999999999999"/>
  </r>
  <r>
    <n v="603"/>
    <x v="12"/>
    <x v="139"/>
    <x v="4"/>
    <s v="Percent change"/>
    <s v="Units"/>
    <x v="5"/>
    <n v="18.641999999999999"/>
  </r>
  <r>
    <n v="603"/>
    <x v="12"/>
    <x v="139"/>
    <x v="4"/>
    <s v="Percent change"/>
    <s v="Units"/>
    <x v="6"/>
    <n v="7.3689999999999998"/>
  </r>
  <r>
    <n v="200"/>
    <x v="3"/>
    <x v="139"/>
    <x v="4"/>
    <s v="Percent change"/>
    <s v="Units"/>
    <x v="0"/>
    <n v="-11.737"/>
  </r>
  <r>
    <n v="200"/>
    <x v="3"/>
    <x v="139"/>
    <x v="4"/>
    <s v="Percent change"/>
    <s v="Units"/>
    <x v="1"/>
    <n v="9.2080000000000002"/>
  </r>
  <r>
    <n v="200"/>
    <x v="3"/>
    <x v="139"/>
    <x v="4"/>
    <s v="Percent change"/>
    <s v="Units"/>
    <x v="2"/>
    <n v="-1.4630000000000001"/>
  </r>
  <r>
    <n v="200"/>
    <x v="3"/>
    <x v="139"/>
    <x v="4"/>
    <s v="Percent change"/>
    <s v="Units"/>
    <x v="3"/>
    <n v="5.6630000000000003"/>
  </r>
  <r>
    <n v="200"/>
    <x v="3"/>
    <x v="139"/>
    <x v="4"/>
    <s v="Percent change"/>
    <s v="Units"/>
    <x v="4"/>
    <n v="-3.0009999999999999"/>
  </r>
  <r>
    <n v="200"/>
    <x v="3"/>
    <x v="139"/>
    <x v="4"/>
    <s v="Percent change"/>
    <s v="Units"/>
    <x v="5"/>
    <n v="18.641999999999999"/>
  </r>
  <r>
    <n v="200"/>
    <x v="3"/>
    <x v="139"/>
    <x v="4"/>
    <s v="Percent change"/>
    <s v="Units"/>
    <x v="6"/>
    <n v="7.3689999999999998"/>
  </r>
  <r>
    <n v="400"/>
    <x v="11"/>
    <x v="174"/>
    <x v="4"/>
    <s v="Percent change"/>
    <s v="Units"/>
    <x v="0"/>
    <n v="-1.3009999999999999"/>
  </r>
  <r>
    <n v="400"/>
    <x v="11"/>
    <x v="174"/>
    <x v="4"/>
    <s v="Percent change"/>
    <s v="Units"/>
    <x v="1"/>
    <n v="-2.786"/>
  </r>
  <r>
    <n v="400"/>
    <x v="11"/>
    <x v="174"/>
    <x v="4"/>
    <s v="Percent change"/>
    <s v="Units"/>
    <x v="2"/>
    <n v="3.6440000000000001"/>
  </r>
  <r>
    <n v="400"/>
    <x v="11"/>
    <x v="174"/>
    <x v="4"/>
    <s v="Percent change"/>
    <s v="Units"/>
    <x v="3"/>
    <n v="6.0250000000000004"/>
  </r>
  <r>
    <n v="400"/>
    <x v="11"/>
    <x v="174"/>
    <x v="4"/>
    <s v="Percent change"/>
    <s v="Units"/>
    <x v="4"/>
    <n v="-7.6349999999999998"/>
  </r>
  <r>
    <n v="400"/>
    <x v="11"/>
    <x v="174"/>
    <x v="4"/>
    <s v="Percent change"/>
    <s v="Units"/>
    <x v="5"/>
    <n v="18.538"/>
  </r>
  <r>
    <n v="400"/>
    <x v="11"/>
    <x v="174"/>
    <x v="4"/>
    <s v="Percent change"/>
    <s v="Units"/>
    <x v="6"/>
    <n v="5.2469999999999999"/>
  </r>
  <r>
    <n v="200"/>
    <x v="3"/>
    <x v="174"/>
    <x v="4"/>
    <s v="Percent change"/>
    <s v="Units"/>
    <x v="0"/>
    <n v="-1.3009999999999999"/>
  </r>
  <r>
    <n v="200"/>
    <x v="3"/>
    <x v="174"/>
    <x v="4"/>
    <s v="Percent change"/>
    <s v="Units"/>
    <x v="1"/>
    <n v="-2.786"/>
  </r>
  <r>
    <n v="200"/>
    <x v="3"/>
    <x v="174"/>
    <x v="4"/>
    <s v="Percent change"/>
    <s v="Units"/>
    <x v="2"/>
    <n v="3.6440000000000001"/>
  </r>
  <r>
    <n v="200"/>
    <x v="3"/>
    <x v="174"/>
    <x v="4"/>
    <s v="Percent change"/>
    <s v="Units"/>
    <x v="3"/>
    <n v="6.0250000000000004"/>
  </r>
  <r>
    <n v="200"/>
    <x v="3"/>
    <x v="174"/>
    <x v="4"/>
    <s v="Percent change"/>
    <s v="Units"/>
    <x v="4"/>
    <n v="-7.6349999999999998"/>
  </r>
  <r>
    <n v="200"/>
    <x v="3"/>
    <x v="174"/>
    <x v="4"/>
    <s v="Percent change"/>
    <s v="Units"/>
    <x v="5"/>
    <n v="18.538"/>
  </r>
  <r>
    <n v="200"/>
    <x v="3"/>
    <x v="174"/>
    <x v="4"/>
    <s v="Percent change"/>
    <s v="Units"/>
    <x v="6"/>
    <n v="5.2469999999999999"/>
  </r>
  <r>
    <n v="1"/>
    <x v="2"/>
    <x v="174"/>
    <x v="4"/>
    <s v="Percent change"/>
    <s v="Units"/>
    <x v="0"/>
    <n v="-1.3009999999999999"/>
  </r>
  <r>
    <n v="1"/>
    <x v="2"/>
    <x v="174"/>
    <x v="4"/>
    <s v="Percent change"/>
    <s v="Units"/>
    <x v="1"/>
    <n v="-2.786"/>
  </r>
  <r>
    <n v="1"/>
    <x v="2"/>
    <x v="174"/>
    <x v="4"/>
    <s v="Percent change"/>
    <s v="Units"/>
    <x v="2"/>
    <n v="3.6440000000000001"/>
  </r>
  <r>
    <n v="1"/>
    <x v="2"/>
    <x v="174"/>
    <x v="4"/>
    <s v="Percent change"/>
    <s v="Units"/>
    <x v="3"/>
    <n v="6.0250000000000004"/>
  </r>
  <r>
    <n v="1"/>
    <x v="2"/>
    <x v="174"/>
    <x v="4"/>
    <s v="Percent change"/>
    <s v="Units"/>
    <x v="4"/>
    <n v="-7.6349999999999998"/>
  </r>
  <r>
    <n v="1"/>
    <x v="2"/>
    <x v="174"/>
    <x v="4"/>
    <s v="Percent change"/>
    <s v="Units"/>
    <x v="5"/>
    <n v="18.538"/>
  </r>
  <r>
    <n v="1"/>
    <x v="2"/>
    <x v="174"/>
    <x v="4"/>
    <s v="Percent change"/>
    <s v="Units"/>
    <x v="6"/>
    <n v="5.2469999999999999"/>
  </r>
  <r>
    <n v="200"/>
    <x v="3"/>
    <x v="33"/>
    <x v="2"/>
    <s v="Percent of GDP"/>
    <s v="Units"/>
    <x v="0"/>
    <n v="19.414999999999999"/>
  </r>
  <r>
    <n v="200"/>
    <x v="3"/>
    <x v="33"/>
    <x v="2"/>
    <s v="Percent of GDP"/>
    <s v="Units"/>
    <x v="1"/>
    <n v="18.39"/>
  </r>
  <r>
    <n v="200"/>
    <x v="3"/>
    <x v="33"/>
    <x v="2"/>
    <s v="Percent of GDP"/>
    <s v="Units"/>
    <x v="2"/>
    <n v="18.693000000000001"/>
  </r>
  <r>
    <n v="200"/>
    <x v="3"/>
    <x v="33"/>
    <x v="2"/>
    <s v="Percent of GDP"/>
    <s v="Units"/>
    <x v="3"/>
    <n v="18.960999999999999"/>
  </r>
  <r>
    <n v="200"/>
    <x v="3"/>
    <x v="33"/>
    <x v="2"/>
    <s v="Percent of GDP"/>
    <s v="Units"/>
    <x v="4"/>
    <n v="18.236999999999998"/>
  </r>
  <r>
    <n v="200"/>
    <x v="3"/>
    <x v="33"/>
    <x v="2"/>
    <s v="Percent of GDP"/>
    <s v="Units"/>
    <x v="5"/>
    <n v="18.483000000000001"/>
  </r>
  <r>
    <n v="200"/>
    <x v="3"/>
    <x v="33"/>
    <x v="2"/>
    <s v="Percent of GDP"/>
    <s v="Units"/>
    <x v="6"/>
    <n v="18.620999999999999"/>
  </r>
  <r>
    <n v="505"/>
    <x v="4"/>
    <x v="33"/>
    <x v="2"/>
    <s v="Percent of GDP"/>
    <s v="Units"/>
    <x v="0"/>
    <n v="19.414999999999999"/>
  </r>
  <r>
    <n v="505"/>
    <x v="4"/>
    <x v="33"/>
    <x v="2"/>
    <s v="Percent of GDP"/>
    <s v="Units"/>
    <x v="1"/>
    <n v="18.39"/>
  </r>
  <r>
    <n v="505"/>
    <x v="4"/>
    <x v="33"/>
    <x v="2"/>
    <s v="Percent of GDP"/>
    <s v="Units"/>
    <x v="2"/>
    <n v="18.693000000000001"/>
  </r>
  <r>
    <n v="505"/>
    <x v="4"/>
    <x v="33"/>
    <x v="2"/>
    <s v="Percent of GDP"/>
    <s v="Units"/>
    <x v="3"/>
    <n v="18.960999999999999"/>
  </r>
  <r>
    <n v="505"/>
    <x v="4"/>
    <x v="33"/>
    <x v="2"/>
    <s v="Percent of GDP"/>
    <s v="Units"/>
    <x v="4"/>
    <n v="18.236999999999998"/>
  </r>
  <r>
    <n v="505"/>
    <x v="4"/>
    <x v="33"/>
    <x v="2"/>
    <s v="Percent of GDP"/>
    <s v="Units"/>
    <x v="5"/>
    <n v="18.483000000000001"/>
  </r>
  <r>
    <n v="505"/>
    <x v="4"/>
    <x v="33"/>
    <x v="2"/>
    <s v="Percent of GDP"/>
    <s v="Units"/>
    <x v="6"/>
    <n v="18.620999999999999"/>
  </r>
  <r>
    <n v="903"/>
    <x v="8"/>
    <x v="57"/>
    <x v="4"/>
    <s v="Percent change"/>
    <s v="Units"/>
    <x v="0"/>
    <n v="6.4249999999999998"/>
  </r>
  <r>
    <n v="903"/>
    <x v="8"/>
    <x v="57"/>
    <x v="4"/>
    <s v="Percent change"/>
    <s v="Units"/>
    <x v="1"/>
    <n v="11.260999999999999"/>
  </r>
  <r>
    <n v="903"/>
    <x v="8"/>
    <x v="57"/>
    <x v="4"/>
    <s v="Percent change"/>
    <s v="Units"/>
    <x v="2"/>
    <n v="35.043999999999997"/>
  </r>
  <r>
    <n v="903"/>
    <x v="8"/>
    <x v="57"/>
    <x v="4"/>
    <s v="Percent change"/>
    <s v="Units"/>
    <x v="3"/>
    <n v="-43.844000000000001"/>
  </r>
  <r>
    <n v="903"/>
    <x v="8"/>
    <x v="57"/>
    <x v="4"/>
    <s v="Percent change"/>
    <s v="Units"/>
    <x v="4"/>
    <n v="-16.071000000000002"/>
  </r>
  <r>
    <n v="903"/>
    <x v="8"/>
    <x v="57"/>
    <x v="4"/>
    <s v="Percent change"/>
    <s v="Units"/>
    <x v="5"/>
    <n v="18.481000000000002"/>
  </r>
  <r>
    <n v="903"/>
    <x v="8"/>
    <x v="57"/>
    <x v="4"/>
    <s v="Percent change"/>
    <s v="Units"/>
    <x v="6"/>
    <n v="2.6469999999999998"/>
  </r>
  <r>
    <n v="200"/>
    <x v="3"/>
    <x v="57"/>
    <x v="4"/>
    <s v="Percent change"/>
    <s v="Units"/>
    <x v="0"/>
    <n v="6.4249999999999998"/>
  </r>
  <r>
    <n v="200"/>
    <x v="3"/>
    <x v="57"/>
    <x v="4"/>
    <s v="Percent change"/>
    <s v="Units"/>
    <x v="1"/>
    <n v="11.260999999999999"/>
  </r>
  <r>
    <n v="200"/>
    <x v="3"/>
    <x v="57"/>
    <x v="4"/>
    <s v="Percent change"/>
    <s v="Units"/>
    <x v="2"/>
    <n v="35.043999999999997"/>
  </r>
  <r>
    <n v="200"/>
    <x v="3"/>
    <x v="57"/>
    <x v="4"/>
    <s v="Percent change"/>
    <s v="Units"/>
    <x v="3"/>
    <n v="-43.844000000000001"/>
  </r>
  <r>
    <n v="200"/>
    <x v="3"/>
    <x v="57"/>
    <x v="4"/>
    <s v="Percent change"/>
    <s v="Units"/>
    <x v="4"/>
    <n v="-16.071000000000002"/>
  </r>
  <r>
    <n v="200"/>
    <x v="3"/>
    <x v="57"/>
    <x v="4"/>
    <s v="Percent change"/>
    <s v="Units"/>
    <x v="5"/>
    <n v="18.481000000000002"/>
  </r>
  <r>
    <n v="200"/>
    <x v="3"/>
    <x v="57"/>
    <x v="4"/>
    <s v="Percent change"/>
    <s v="Units"/>
    <x v="6"/>
    <n v="2.6469999999999998"/>
  </r>
  <r>
    <n v="1"/>
    <x v="2"/>
    <x v="57"/>
    <x v="4"/>
    <s v="Percent change"/>
    <s v="Units"/>
    <x v="0"/>
    <n v="6.4249999999999998"/>
  </r>
  <r>
    <n v="1"/>
    <x v="2"/>
    <x v="57"/>
    <x v="4"/>
    <s v="Percent change"/>
    <s v="Units"/>
    <x v="1"/>
    <n v="11.260999999999999"/>
  </r>
  <r>
    <n v="1"/>
    <x v="2"/>
    <x v="57"/>
    <x v="4"/>
    <s v="Percent change"/>
    <s v="Units"/>
    <x v="2"/>
    <n v="35.043999999999997"/>
  </r>
  <r>
    <n v="1"/>
    <x v="2"/>
    <x v="57"/>
    <x v="4"/>
    <s v="Percent change"/>
    <s v="Units"/>
    <x v="3"/>
    <n v="-43.844000000000001"/>
  </r>
  <r>
    <n v="1"/>
    <x v="2"/>
    <x v="57"/>
    <x v="4"/>
    <s v="Percent change"/>
    <s v="Units"/>
    <x v="4"/>
    <n v="-16.071000000000002"/>
  </r>
  <r>
    <n v="1"/>
    <x v="2"/>
    <x v="57"/>
    <x v="4"/>
    <s v="Percent change"/>
    <s v="Units"/>
    <x v="5"/>
    <n v="18.481000000000002"/>
  </r>
  <r>
    <n v="1"/>
    <x v="2"/>
    <x v="57"/>
    <x v="4"/>
    <s v="Percent change"/>
    <s v="Units"/>
    <x v="6"/>
    <n v="2.6469999999999998"/>
  </r>
  <r>
    <n v="110"/>
    <x v="0"/>
    <x v="31"/>
    <x v="2"/>
    <s v="Percent of GDP"/>
    <s v="Units"/>
    <x v="0"/>
    <n v="17.777000000000001"/>
  </r>
  <r>
    <n v="110"/>
    <x v="0"/>
    <x v="31"/>
    <x v="2"/>
    <s v="Percent of GDP"/>
    <s v="Units"/>
    <x v="1"/>
    <n v="17.404"/>
  </r>
  <r>
    <n v="110"/>
    <x v="0"/>
    <x v="31"/>
    <x v="2"/>
    <s v="Percent of GDP"/>
    <s v="Units"/>
    <x v="2"/>
    <n v="16.815000000000001"/>
  </r>
  <r>
    <n v="110"/>
    <x v="0"/>
    <x v="31"/>
    <x v="2"/>
    <s v="Percent of GDP"/>
    <s v="Units"/>
    <x v="3"/>
    <n v="16.591999999999999"/>
  </r>
  <r>
    <n v="110"/>
    <x v="0"/>
    <x v="31"/>
    <x v="2"/>
    <s v="Percent of GDP"/>
    <s v="Units"/>
    <x v="4"/>
    <n v="18.64"/>
  </r>
  <r>
    <n v="110"/>
    <x v="0"/>
    <x v="31"/>
    <x v="2"/>
    <s v="Percent of GDP"/>
    <s v="Units"/>
    <x v="5"/>
    <n v="18.475000000000001"/>
  </r>
  <r>
    <n v="110"/>
    <x v="0"/>
    <x v="31"/>
    <x v="2"/>
    <s v="Percent of GDP"/>
    <s v="Units"/>
    <x v="6"/>
    <n v="19.149999999999999"/>
  </r>
  <r>
    <n v="510"/>
    <x v="10"/>
    <x v="31"/>
    <x v="2"/>
    <s v="Percent of GDP"/>
    <s v="Units"/>
    <x v="0"/>
    <n v="17.777000000000001"/>
  </r>
  <r>
    <n v="510"/>
    <x v="10"/>
    <x v="31"/>
    <x v="2"/>
    <s v="Percent of GDP"/>
    <s v="Units"/>
    <x v="1"/>
    <n v="17.404"/>
  </r>
  <r>
    <n v="510"/>
    <x v="10"/>
    <x v="31"/>
    <x v="2"/>
    <s v="Percent of GDP"/>
    <s v="Units"/>
    <x v="2"/>
    <n v="16.815000000000001"/>
  </r>
  <r>
    <n v="510"/>
    <x v="10"/>
    <x v="31"/>
    <x v="2"/>
    <s v="Percent of GDP"/>
    <s v="Units"/>
    <x v="3"/>
    <n v="16.591999999999999"/>
  </r>
  <r>
    <n v="510"/>
    <x v="10"/>
    <x v="31"/>
    <x v="2"/>
    <s v="Percent of GDP"/>
    <s v="Units"/>
    <x v="4"/>
    <n v="18.64"/>
  </r>
  <r>
    <n v="510"/>
    <x v="10"/>
    <x v="31"/>
    <x v="2"/>
    <s v="Percent of GDP"/>
    <s v="Units"/>
    <x v="5"/>
    <n v="18.475000000000001"/>
  </r>
  <r>
    <n v="510"/>
    <x v="10"/>
    <x v="31"/>
    <x v="2"/>
    <s v="Percent of GDP"/>
    <s v="Units"/>
    <x v="6"/>
    <n v="19.149999999999999"/>
  </r>
  <r>
    <n v="123"/>
    <x v="9"/>
    <x v="31"/>
    <x v="2"/>
    <s v="Percent of GDP"/>
    <s v="Units"/>
    <x v="0"/>
    <n v="17.777000000000001"/>
  </r>
  <r>
    <n v="123"/>
    <x v="9"/>
    <x v="31"/>
    <x v="2"/>
    <s v="Percent of GDP"/>
    <s v="Units"/>
    <x v="1"/>
    <n v="17.404"/>
  </r>
  <r>
    <n v="123"/>
    <x v="9"/>
    <x v="31"/>
    <x v="2"/>
    <s v="Percent of GDP"/>
    <s v="Units"/>
    <x v="2"/>
    <n v="16.815000000000001"/>
  </r>
  <r>
    <n v="123"/>
    <x v="9"/>
    <x v="31"/>
    <x v="2"/>
    <s v="Percent of GDP"/>
    <s v="Units"/>
    <x v="3"/>
    <n v="16.591999999999999"/>
  </r>
  <r>
    <n v="123"/>
    <x v="9"/>
    <x v="31"/>
    <x v="2"/>
    <s v="Percent of GDP"/>
    <s v="Units"/>
    <x v="4"/>
    <n v="18.64"/>
  </r>
  <r>
    <n v="123"/>
    <x v="9"/>
    <x v="31"/>
    <x v="2"/>
    <s v="Percent of GDP"/>
    <s v="Units"/>
    <x v="5"/>
    <n v="18.475000000000001"/>
  </r>
  <r>
    <n v="123"/>
    <x v="9"/>
    <x v="31"/>
    <x v="2"/>
    <s v="Percent of GDP"/>
    <s v="Units"/>
    <x v="6"/>
    <n v="19.149999999999999"/>
  </r>
  <r>
    <n v="200"/>
    <x v="3"/>
    <x v="163"/>
    <x v="2"/>
    <s v="Percent of GDP"/>
    <s v="Units"/>
    <x v="0"/>
    <n v="18.23"/>
  </r>
  <r>
    <n v="200"/>
    <x v="3"/>
    <x v="163"/>
    <x v="2"/>
    <s v="Percent of GDP"/>
    <s v="Units"/>
    <x v="1"/>
    <n v="16.645"/>
  </r>
  <r>
    <n v="200"/>
    <x v="3"/>
    <x v="163"/>
    <x v="2"/>
    <s v="Percent of GDP"/>
    <s v="Units"/>
    <x v="2"/>
    <n v="17.134"/>
  </r>
  <r>
    <n v="200"/>
    <x v="3"/>
    <x v="163"/>
    <x v="2"/>
    <s v="Percent of GDP"/>
    <s v="Units"/>
    <x v="3"/>
    <n v="17.646999999999998"/>
  </r>
  <r>
    <n v="200"/>
    <x v="3"/>
    <x v="163"/>
    <x v="2"/>
    <s v="Percent of GDP"/>
    <s v="Units"/>
    <x v="4"/>
    <n v="18.364000000000001"/>
  </r>
  <r>
    <n v="200"/>
    <x v="3"/>
    <x v="163"/>
    <x v="2"/>
    <s v="Percent of GDP"/>
    <s v="Units"/>
    <x v="5"/>
    <n v="18.434999999999999"/>
  </r>
  <r>
    <n v="200"/>
    <x v="3"/>
    <x v="163"/>
    <x v="2"/>
    <s v="Percent of GDP"/>
    <s v="Units"/>
    <x v="6"/>
    <n v="18.413"/>
  </r>
  <r>
    <n v="603"/>
    <x v="12"/>
    <x v="163"/>
    <x v="2"/>
    <s v="Percent of GDP"/>
    <s v="Units"/>
    <x v="0"/>
    <n v="18.23"/>
  </r>
  <r>
    <n v="603"/>
    <x v="12"/>
    <x v="163"/>
    <x v="2"/>
    <s v="Percent of GDP"/>
    <s v="Units"/>
    <x v="1"/>
    <n v="16.645"/>
  </r>
  <r>
    <n v="603"/>
    <x v="12"/>
    <x v="163"/>
    <x v="2"/>
    <s v="Percent of GDP"/>
    <s v="Units"/>
    <x v="2"/>
    <n v="17.134"/>
  </r>
  <r>
    <n v="603"/>
    <x v="12"/>
    <x v="163"/>
    <x v="2"/>
    <s v="Percent of GDP"/>
    <s v="Units"/>
    <x v="3"/>
    <n v="17.646999999999998"/>
  </r>
  <r>
    <n v="603"/>
    <x v="12"/>
    <x v="163"/>
    <x v="2"/>
    <s v="Percent of GDP"/>
    <s v="Units"/>
    <x v="4"/>
    <n v="18.364000000000001"/>
  </r>
  <r>
    <n v="603"/>
    <x v="12"/>
    <x v="163"/>
    <x v="2"/>
    <s v="Percent of GDP"/>
    <s v="Units"/>
    <x v="5"/>
    <n v="18.434999999999999"/>
  </r>
  <r>
    <n v="603"/>
    <x v="12"/>
    <x v="163"/>
    <x v="2"/>
    <s v="Percent of GDP"/>
    <s v="Units"/>
    <x v="6"/>
    <n v="18.413"/>
  </r>
  <r>
    <n v="1"/>
    <x v="2"/>
    <x v="61"/>
    <x v="5"/>
    <s v="Percent of GDP"/>
    <s v="Units"/>
    <x v="0"/>
    <n v="20.477"/>
  </r>
  <r>
    <n v="1"/>
    <x v="2"/>
    <x v="61"/>
    <x v="5"/>
    <s v="Percent of GDP"/>
    <s v="Units"/>
    <x v="1"/>
    <n v="19.991"/>
  </r>
  <r>
    <n v="1"/>
    <x v="2"/>
    <x v="61"/>
    <x v="5"/>
    <s v="Percent of GDP"/>
    <s v="Units"/>
    <x v="2"/>
    <n v="19.693000000000001"/>
  </r>
  <r>
    <n v="1"/>
    <x v="2"/>
    <x v="61"/>
    <x v="5"/>
    <s v="Percent of GDP"/>
    <s v="Units"/>
    <x v="3"/>
    <n v="15.224"/>
  </r>
  <r>
    <n v="1"/>
    <x v="2"/>
    <x v="61"/>
    <x v="5"/>
    <s v="Percent of GDP"/>
    <s v="Units"/>
    <x v="4"/>
    <n v="17.327000000000002"/>
  </r>
  <r>
    <n v="1"/>
    <x v="2"/>
    <x v="61"/>
    <x v="5"/>
    <s v="Percent of GDP"/>
    <s v="Units"/>
    <x v="5"/>
    <n v="18.431000000000001"/>
  </r>
  <r>
    <n v="1"/>
    <x v="2"/>
    <x v="61"/>
    <x v="5"/>
    <s v="Percent of GDP"/>
    <s v="Units"/>
    <x v="6"/>
    <n v="19.670000000000002"/>
  </r>
  <r>
    <n v="110"/>
    <x v="0"/>
    <x v="61"/>
    <x v="5"/>
    <s v="Percent of GDP"/>
    <s v="Units"/>
    <x v="0"/>
    <n v="20.477"/>
  </r>
  <r>
    <n v="110"/>
    <x v="0"/>
    <x v="61"/>
    <x v="5"/>
    <s v="Percent of GDP"/>
    <s v="Units"/>
    <x v="1"/>
    <n v="19.991"/>
  </r>
  <r>
    <n v="110"/>
    <x v="0"/>
    <x v="61"/>
    <x v="5"/>
    <s v="Percent of GDP"/>
    <s v="Units"/>
    <x v="2"/>
    <n v="19.693000000000001"/>
  </r>
  <r>
    <n v="110"/>
    <x v="0"/>
    <x v="61"/>
    <x v="5"/>
    <s v="Percent of GDP"/>
    <s v="Units"/>
    <x v="3"/>
    <n v="15.224"/>
  </r>
  <r>
    <n v="110"/>
    <x v="0"/>
    <x v="61"/>
    <x v="5"/>
    <s v="Percent of GDP"/>
    <s v="Units"/>
    <x v="4"/>
    <n v="17.327000000000002"/>
  </r>
  <r>
    <n v="110"/>
    <x v="0"/>
    <x v="61"/>
    <x v="5"/>
    <s v="Percent of GDP"/>
    <s v="Units"/>
    <x v="5"/>
    <n v="18.431000000000001"/>
  </r>
  <r>
    <n v="110"/>
    <x v="0"/>
    <x v="61"/>
    <x v="5"/>
    <s v="Percent of GDP"/>
    <s v="Units"/>
    <x v="6"/>
    <n v="19.670000000000002"/>
  </r>
  <r>
    <n v="998"/>
    <x v="6"/>
    <x v="61"/>
    <x v="5"/>
    <s v="Percent of GDP"/>
    <s v="Units"/>
    <x v="0"/>
    <n v="20.477"/>
  </r>
  <r>
    <n v="998"/>
    <x v="6"/>
    <x v="61"/>
    <x v="5"/>
    <s v="Percent of GDP"/>
    <s v="Units"/>
    <x v="1"/>
    <n v="19.991"/>
  </r>
  <r>
    <n v="998"/>
    <x v="6"/>
    <x v="61"/>
    <x v="5"/>
    <s v="Percent of GDP"/>
    <s v="Units"/>
    <x v="2"/>
    <n v="19.693000000000001"/>
  </r>
  <r>
    <n v="998"/>
    <x v="6"/>
    <x v="61"/>
    <x v="5"/>
    <s v="Percent of GDP"/>
    <s v="Units"/>
    <x v="3"/>
    <n v="15.224"/>
  </r>
  <r>
    <n v="998"/>
    <x v="6"/>
    <x v="61"/>
    <x v="5"/>
    <s v="Percent of GDP"/>
    <s v="Units"/>
    <x v="4"/>
    <n v="17.327000000000002"/>
  </r>
  <r>
    <n v="998"/>
    <x v="6"/>
    <x v="61"/>
    <x v="5"/>
    <s v="Percent of GDP"/>
    <s v="Units"/>
    <x v="5"/>
    <n v="18.431000000000001"/>
  </r>
  <r>
    <n v="998"/>
    <x v="6"/>
    <x v="61"/>
    <x v="5"/>
    <s v="Percent of GDP"/>
    <s v="Units"/>
    <x v="6"/>
    <n v="19.670000000000002"/>
  </r>
  <r>
    <n v="163"/>
    <x v="5"/>
    <x v="61"/>
    <x v="5"/>
    <s v="Percent of GDP"/>
    <s v="Units"/>
    <x v="0"/>
    <n v="20.477"/>
  </r>
  <r>
    <n v="163"/>
    <x v="5"/>
    <x v="61"/>
    <x v="5"/>
    <s v="Percent of GDP"/>
    <s v="Units"/>
    <x v="1"/>
    <n v="19.991"/>
  </r>
  <r>
    <n v="163"/>
    <x v="5"/>
    <x v="61"/>
    <x v="5"/>
    <s v="Percent of GDP"/>
    <s v="Units"/>
    <x v="2"/>
    <n v="19.693000000000001"/>
  </r>
  <r>
    <n v="163"/>
    <x v="5"/>
    <x v="61"/>
    <x v="5"/>
    <s v="Percent of GDP"/>
    <s v="Units"/>
    <x v="3"/>
    <n v="15.224"/>
  </r>
  <r>
    <n v="163"/>
    <x v="5"/>
    <x v="61"/>
    <x v="5"/>
    <s v="Percent of GDP"/>
    <s v="Units"/>
    <x v="4"/>
    <n v="17.327000000000002"/>
  </r>
  <r>
    <n v="163"/>
    <x v="5"/>
    <x v="61"/>
    <x v="5"/>
    <s v="Percent of GDP"/>
    <s v="Units"/>
    <x v="5"/>
    <n v="18.431000000000001"/>
  </r>
  <r>
    <n v="163"/>
    <x v="5"/>
    <x v="61"/>
    <x v="5"/>
    <s v="Percent of GDP"/>
    <s v="Units"/>
    <x v="6"/>
    <n v="19.670000000000002"/>
  </r>
  <r>
    <n v="603"/>
    <x v="12"/>
    <x v="184"/>
    <x v="4"/>
    <s v="Percent change"/>
    <s v="Units"/>
    <x v="0"/>
    <n v="13.526999999999999"/>
  </r>
  <r>
    <n v="603"/>
    <x v="12"/>
    <x v="184"/>
    <x v="4"/>
    <s v="Percent change"/>
    <s v="Units"/>
    <x v="1"/>
    <n v="-13.785"/>
  </r>
  <r>
    <n v="603"/>
    <x v="12"/>
    <x v="184"/>
    <x v="4"/>
    <s v="Percent change"/>
    <s v="Units"/>
    <x v="2"/>
    <n v="25.48"/>
  </r>
  <r>
    <n v="603"/>
    <x v="12"/>
    <x v="184"/>
    <x v="4"/>
    <s v="Percent change"/>
    <s v="Units"/>
    <x v="3"/>
    <n v="-23.62"/>
  </r>
  <r>
    <n v="603"/>
    <x v="12"/>
    <x v="184"/>
    <x v="4"/>
    <s v="Percent change"/>
    <s v="Units"/>
    <x v="4"/>
    <n v="5.7270000000000003"/>
  </r>
  <r>
    <n v="603"/>
    <x v="12"/>
    <x v="184"/>
    <x v="4"/>
    <s v="Percent change"/>
    <s v="Units"/>
    <x v="5"/>
    <n v="18.414000000000001"/>
  </r>
  <r>
    <n v="603"/>
    <x v="12"/>
    <x v="184"/>
    <x v="4"/>
    <s v="Percent change"/>
    <s v="Units"/>
    <x v="6"/>
    <n v="1.649"/>
  </r>
  <r>
    <n v="1"/>
    <x v="2"/>
    <x v="184"/>
    <x v="4"/>
    <s v="Percent change"/>
    <s v="Units"/>
    <x v="0"/>
    <n v="13.526999999999999"/>
  </r>
  <r>
    <n v="1"/>
    <x v="2"/>
    <x v="184"/>
    <x v="4"/>
    <s v="Percent change"/>
    <s v="Units"/>
    <x v="1"/>
    <n v="-13.785"/>
  </r>
  <r>
    <n v="1"/>
    <x v="2"/>
    <x v="184"/>
    <x v="4"/>
    <s v="Percent change"/>
    <s v="Units"/>
    <x v="2"/>
    <n v="25.48"/>
  </r>
  <r>
    <n v="1"/>
    <x v="2"/>
    <x v="184"/>
    <x v="4"/>
    <s v="Percent change"/>
    <s v="Units"/>
    <x v="3"/>
    <n v="-23.62"/>
  </r>
  <r>
    <n v="1"/>
    <x v="2"/>
    <x v="184"/>
    <x v="4"/>
    <s v="Percent change"/>
    <s v="Units"/>
    <x v="4"/>
    <n v="5.7270000000000003"/>
  </r>
  <r>
    <n v="1"/>
    <x v="2"/>
    <x v="184"/>
    <x v="4"/>
    <s v="Percent change"/>
    <s v="Units"/>
    <x v="5"/>
    <n v="18.414000000000001"/>
  </r>
  <r>
    <n v="1"/>
    <x v="2"/>
    <x v="184"/>
    <x v="4"/>
    <s v="Percent change"/>
    <s v="Units"/>
    <x v="6"/>
    <n v="1.649"/>
  </r>
  <r>
    <n v="200"/>
    <x v="3"/>
    <x v="184"/>
    <x v="4"/>
    <s v="Percent change"/>
    <s v="Units"/>
    <x v="0"/>
    <n v="13.526999999999999"/>
  </r>
  <r>
    <n v="200"/>
    <x v="3"/>
    <x v="184"/>
    <x v="4"/>
    <s v="Percent change"/>
    <s v="Units"/>
    <x v="1"/>
    <n v="-13.785"/>
  </r>
  <r>
    <n v="200"/>
    <x v="3"/>
    <x v="184"/>
    <x v="4"/>
    <s v="Percent change"/>
    <s v="Units"/>
    <x v="2"/>
    <n v="25.48"/>
  </r>
  <r>
    <n v="200"/>
    <x v="3"/>
    <x v="184"/>
    <x v="4"/>
    <s v="Percent change"/>
    <s v="Units"/>
    <x v="3"/>
    <n v="-23.62"/>
  </r>
  <r>
    <n v="200"/>
    <x v="3"/>
    <x v="184"/>
    <x v="4"/>
    <s v="Percent change"/>
    <s v="Units"/>
    <x v="4"/>
    <n v="5.7270000000000003"/>
  </r>
  <r>
    <n v="200"/>
    <x v="3"/>
    <x v="184"/>
    <x v="4"/>
    <s v="Percent change"/>
    <s v="Units"/>
    <x v="5"/>
    <n v="18.414000000000001"/>
  </r>
  <r>
    <n v="200"/>
    <x v="3"/>
    <x v="184"/>
    <x v="4"/>
    <s v="Percent change"/>
    <s v="Units"/>
    <x v="6"/>
    <n v="1.649"/>
  </r>
  <r>
    <n v="603"/>
    <x v="12"/>
    <x v="71"/>
    <x v="7"/>
    <s v="Percent of GDP"/>
    <s v="Units"/>
    <x v="0"/>
    <n v="19.341999999999999"/>
  </r>
  <r>
    <n v="603"/>
    <x v="12"/>
    <x v="71"/>
    <x v="7"/>
    <s v="Percent of GDP"/>
    <s v="Units"/>
    <x v="1"/>
    <n v="19.652999999999999"/>
  </r>
  <r>
    <n v="603"/>
    <x v="12"/>
    <x v="71"/>
    <x v="7"/>
    <s v="Percent of GDP"/>
    <s v="Units"/>
    <x v="2"/>
    <n v="20.390999999999998"/>
  </r>
  <r>
    <n v="603"/>
    <x v="12"/>
    <x v="71"/>
    <x v="7"/>
    <s v="Percent of GDP"/>
    <s v="Units"/>
    <x v="3"/>
    <n v="19.16"/>
  </r>
  <r>
    <n v="603"/>
    <x v="12"/>
    <x v="71"/>
    <x v="7"/>
    <s v="Percent of GDP"/>
    <s v="Units"/>
    <x v="4"/>
    <n v="17.442"/>
  </r>
  <r>
    <n v="603"/>
    <x v="12"/>
    <x v="71"/>
    <x v="7"/>
    <s v="Percent of GDP"/>
    <s v="Units"/>
    <x v="5"/>
    <n v="18.399000000000001"/>
  </r>
  <r>
    <n v="603"/>
    <x v="12"/>
    <x v="71"/>
    <x v="7"/>
    <s v="Percent of GDP"/>
    <s v="Units"/>
    <x v="6"/>
    <n v="19.405999999999999"/>
  </r>
  <r>
    <n v="1"/>
    <x v="2"/>
    <x v="71"/>
    <x v="7"/>
    <s v="Percent of GDP"/>
    <s v="Units"/>
    <x v="0"/>
    <n v="19.341999999999999"/>
  </r>
  <r>
    <n v="1"/>
    <x v="2"/>
    <x v="71"/>
    <x v="7"/>
    <s v="Percent of GDP"/>
    <s v="Units"/>
    <x v="1"/>
    <n v="19.652999999999999"/>
  </r>
  <r>
    <n v="1"/>
    <x v="2"/>
    <x v="71"/>
    <x v="7"/>
    <s v="Percent of GDP"/>
    <s v="Units"/>
    <x v="2"/>
    <n v="20.390999999999998"/>
  </r>
  <r>
    <n v="1"/>
    <x v="2"/>
    <x v="71"/>
    <x v="7"/>
    <s v="Percent of GDP"/>
    <s v="Units"/>
    <x v="3"/>
    <n v="19.16"/>
  </r>
  <r>
    <n v="1"/>
    <x v="2"/>
    <x v="71"/>
    <x v="7"/>
    <s v="Percent of GDP"/>
    <s v="Units"/>
    <x v="4"/>
    <n v="17.442"/>
  </r>
  <r>
    <n v="1"/>
    <x v="2"/>
    <x v="71"/>
    <x v="7"/>
    <s v="Percent of GDP"/>
    <s v="Units"/>
    <x v="5"/>
    <n v="18.399000000000001"/>
  </r>
  <r>
    <n v="1"/>
    <x v="2"/>
    <x v="71"/>
    <x v="7"/>
    <s v="Percent of GDP"/>
    <s v="Units"/>
    <x v="6"/>
    <n v="19.405999999999999"/>
  </r>
  <r>
    <n v="200"/>
    <x v="3"/>
    <x v="71"/>
    <x v="7"/>
    <s v="Percent of GDP"/>
    <s v="Units"/>
    <x v="0"/>
    <n v="19.341999999999999"/>
  </r>
  <r>
    <n v="200"/>
    <x v="3"/>
    <x v="71"/>
    <x v="7"/>
    <s v="Percent of GDP"/>
    <s v="Units"/>
    <x v="1"/>
    <n v="19.652999999999999"/>
  </r>
  <r>
    <n v="200"/>
    <x v="3"/>
    <x v="71"/>
    <x v="7"/>
    <s v="Percent of GDP"/>
    <s v="Units"/>
    <x v="2"/>
    <n v="20.390999999999998"/>
  </r>
  <r>
    <n v="200"/>
    <x v="3"/>
    <x v="71"/>
    <x v="7"/>
    <s v="Percent of GDP"/>
    <s v="Units"/>
    <x v="3"/>
    <n v="19.16"/>
  </r>
  <r>
    <n v="200"/>
    <x v="3"/>
    <x v="71"/>
    <x v="7"/>
    <s v="Percent of GDP"/>
    <s v="Units"/>
    <x v="4"/>
    <n v="17.442"/>
  </r>
  <r>
    <n v="200"/>
    <x v="3"/>
    <x v="71"/>
    <x v="7"/>
    <s v="Percent of GDP"/>
    <s v="Units"/>
    <x v="5"/>
    <n v="18.399000000000001"/>
  </r>
  <r>
    <n v="200"/>
    <x v="3"/>
    <x v="71"/>
    <x v="7"/>
    <s v="Percent of GDP"/>
    <s v="Units"/>
    <x v="6"/>
    <n v="19.405999999999999"/>
  </r>
  <r>
    <n v="200"/>
    <x v="3"/>
    <x v="133"/>
    <x v="0"/>
    <s v="U.S. dollars"/>
    <s v="Billions"/>
    <x v="0"/>
    <n v="11.737"/>
  </r>
  <r>
    <n v="200"/>
    <x v="3"/>
    <x v="133"/>
    <x v="0"/>
    <s v="U.S. dollars"/>
    <s v="Billions"/>
    <x v="1"/>
    <n v="11.53"/>
  </r>
  <r>
    <n v="200"/>
    <x v="3"/>
    <x v="133"/>
    <x v="0"/>
    <s v="U.S. dollars"/>
    <s v="Billions"/>
    <x v="2"/>
    <n v="13.694000000000001"/>
  </r>
  <r>
    <n v="200"/>
    <x v="3"/>
    <x v="133"/>
    <x v="0"/>
    <s v="U.S. dollars"/>
    <s v="Billions"/>
    <x v="3"/>
    <n v="14.55"/>
  </r>
  <r>
    <n v="200"/>
    <x v="3"/>
    <x v="133"/>
    <x v="0"/>
    <s v="U.S. dollars"/>
    <s v="Billions"/>
    <x v="4"/>
    <n v="17.052"/>
  </r>
  <r>
    <n v="200"/>
    <x v="3"/>
    <x v="133"/>
    <x v="0"/>
    <s v="U.S. dollars"/>
    <s v="Billions"/>
    <x v="5"/>
    <n v="18.356000000000002"/>
  </r>
  <r>
    <n v="200"/>
    <x v="3"/>
    <x v="133"/>
    <x v="0"/>
    <s v="U.S. dollars"/>
    <s v="Billions"/>
    <x v="6"/>
    <n v="20.190000000000001"/>
  </r>
  <r>
    <n v="1"/>
    <x v="2"/>
    <x v="133"/>
    <x v="0"/>
    <s v="U.S. dollars"/>
    <s v="Billions"/>
    <x v="0"/>
    <n v="11.737"/>
  </r>
  <r>
    <n v="1"/>
    <x v="2"/>
    <x v="133"/>
    <x v="0"/>
    <s v="U.S. dollars"/>
    <s v="Billions"/>
    <x v="1"/>
    <n v="11.53"/>
  </r>
  <r>
    <n v="1"/>
    <x v="2"/>
    <x v="133"/>
    <x v="0"/>
    <s v="U.S. dollars"/>
    <s v="Billions"/>
    <x v="2"/>
    <n v="13.694000000000001"/>
  </r>
  <r>
    <n v="1"/>
    <x v="2"/>
    <x v="133"/>
    <x v="0"/>
    <s v="U.S. dollars"/>
    <s v="Billions"/>
    <x v="3"/>
    <n v="14.55"/>
  </r>
  <r>
    <n v="1"/>
    <x v="2"/>
    <x v="133"/>
    <x v="0"/>
    <s v="U.S. dollars"/>
    <s v="Billions"/>
    <x v="4"/>
    <n v="17.052"/>
  </r>
  <r>
    <n v="1"/>
    <x v="2"/>
    <x v="133"/>
    <x v="0"/>
    <s v="U.S. dollars"/>
    <s v="Billions"/>
    <x v="5"/>
    <n v="18.356000000000002"/>
  </r>
  <r>
    <n v="1"/>
    <x v="2"/>
    <x v="133"/>
    <x v="0"/>
    <s v="U.S. dollars"/>
    <s v="Billions"/>
    <x v="6"/>
    <n v="20.190000000000001"/>
  </r>
  <r>
    <n v="903"/>
    <x v="8"/>
    <x v="133"/>
    <x v="0"/>
    <s v="U.S. dollars"/>
    <s v="Billions"/>
    <x v="0"/>
    <n v="11.737"/>
  </r>
  <r>
    <n v="903"/>
    <x v="8"/>
    <x v="133"/>
    <x v="0"/>
    <s v="U.S. dollars"/>
    <s v="Billions"/>
    <x v="1"/>
    <n v="11.53"/>
  </r>
  <r>
    <n v="903"/>
    <x v="8"/>
    <x v="133"/>
    <x v="0"/>
    <s v="U.S. dollars"/>
    <s v="Billions"/>
    <x v="2"/>
    <n v="13.694000000000001"/>
  </r>
  <r>
    <n v="903"/>
    <x v="8"/>
    <x v="133"/>
    <x v="0"/>
    <s v="U.S. dollars"/>
    <s v="Billions"/>
    <x v="3"/>
    <n v="14.55"/>
  </r>
  <r>
    <n v="903"/>
    <x v="8"/>
    <x v="133"/>
    <x v="0"/>
    <s v="U.S. dollars"/>
    <s v="Billions"/>
    <x v="4"/>
    <n v="17.052"/>
  </r>
  <r>
    <n v="903"/>
    <x v="8"/>
    <x v="133"/>
    <x v="0"/>
    <s v="U.S. dollars"/>
    <s v="Billions"/>
    <x v="5"/>
    <n v="18.356000000000002"/>
  </r>
  <r>
    <n v="903"/>
    <x v="8"/>
    <x v="133"/>
    <x v="0"/>
    <s v="U.S. dollars"/>
    <s v="Billions"/>
    <x v="6"/>
    <n v="20.190000000000001"/>
  </r>
  <r>
    <n v="603"/>
    <x v="12"/>
    <x v="184"/>
    <x v="7"/>
    <s v="Percent of GDP"/>
    <s v="Units"/>
    <x v="0"/>
    <n v="16.166"/>
  </r>
  <r>
    <n v="603"/>
    <x v="12"/>
    <x v="184"/>
    <x v="7"/>
    <s v="Percent of GDP"/>
    <s v="Units"/>
    <x v="1"/>
    <n v="17.545999999999999"/>
  </r>
  <r>
    <n v="603"/>
    <x v="12"/>
    <x v="184"/>
    <x v="7"/>
    <s v="Percent of GDP"/>
    <s v="Units"/>
    <x v="2"/>
    <n v="18.288"/>
  </r>
  <r>
    <n v="603"/>
    <x v="12"/>
    <x v="184"/>
    <x v="7"/>
    <s v="Percent of GDP"/>
    <s v="Units"/>
    <x v="3"/>
    <n v="18.082999999999998"/>
  </r>
  <r>
    <n v="603"/>
    <x v="12"/>
    <x v="184"/>
    <x v="7"/>
    <s v="Percent of GDP"/>
    <s v="Units"/>
    <x v="4"/>
    <n v="16.995000000000001"/>
  </r>
  <r>
    <n v="603"/>
    <x v="12"/>
    <x v="184"/>
    <x v="7"/>
    <s v="Percent of GDP"/>
    <s v="Units"/>
    <x v="5"/>
    <n v="18.34"/>
  </r>
  <r>
    <n v="603"/>
    <x v="12"/>
    <x v="184"/>
    <x v="7"/>
    <s v="Percent of GDP"/>
    <s v="Units"/>
    <x v="6"/>
    <n v="19.283999999999999"/>
  </r>
  <r>
    <n v="200"/>
    <x v="3"/>
    <x v="184"/>
    <x v="7"/>
    <s v="Percent of GDP"/>
    <s v="Units"/>
    <x v="0"/>
    <n v="16.166"/>
  </r>
  <r>
    <n v="200"/>
    <x v="3"/>
    <x v="184"/>
    <x v="7"/>
    <s v="Percent of GDP"/>
    <s v="Units"/>
    <x v="1"/>
    <n v="17.545999999999999"/>
  </r>
  <r>
    <n v="200"/>
    <x v="3"/>
    <x v="184"/>
    <x v="7"/>
    <s v="Percent of GDP"/>
    <s v="Units"/>
    <x v="2"/>
    <n v="18.288"/>
  </r>
  <r>
    <n v="200"/>
    <x v="3"/>
    <x v="184"/>
    <x v="7"/>
    <s v="Percent of GDP"/>
    <s v="Units"/>
    <x v="3"/>
    <n v="18.082999999999998"/>
  </r>
  <r>
    <n v="200"/>
    <x v="3"/>
    <x v="184"/>
    <x v="7"/>
    <s v="Percent of GDP"/>
    <s v="Units"/>
    <x v="4"/>
    <n v="16.995000000000001"/>
  </r>
  <r>
    <n v="200"/>
    <x v="3"/>
    <x v="184"/>
    <x v="7"/>
    <s v="Percent of GDP"/>
    <s v="Units"/>
    <x v="5"/>
    <n v="18.34"/>
  </r>
  <r>
    <n v="200"/>
    <x v="3"/>
    <x v="184"/>
    <x v="7"/>
    <s v="Percent of GDP"/>
    <s v="Units"/>
    <x v="6"/>
    <n v="19.283999999999999"/>
  </r>
  <r>
    <n v="1"/>
    <x v="2"/>
    <x v="184"/>
    <x v="7"/>
    <s v="Percent of GDP"/>
    <s v="Units"/>
    <x v="0"/>
    <n v="16.166"/>
  </r>
  <r>
    <n v="1"/>
    <x v="2"/>
    <x v="184"/>
    <x v="7"/>
    <s v="Percent of GDP"/>
    <s v="Units"/>
    <x v="1"/>
    <n v="17.545999999999999"/>
  </r>
  <r>
    <n v="1"/>
    <x v="2"/>
    <x v="184"/>
    <x v="7"/>
    <s v="Percent of GDP"/>
    <s v="Units"/>
    <x v="2"/>
    <n v="18.288"/>
  </r>
  <r>
    <n v="1"/>
    <x v="2"/>
    <x v="184"/>
    <x v="7"/>
    <s v="Percent of GDP"/>
    <s v="Units"/>
    <x v="3"/>
    <n v="18.082999999999998"/>
  </r>
  <r>
    <n v="1"/>
    <x v="2"/>
    <x v="184"/>
    <x v="7"/>
    <s v="Percent of GDP"/>
    <s v="Units"/>
    <x v="4"/>
    <n v="16.995000000000001"/>
  </r>
  <r>
    <n v="1"/>
    <x v="2"/>
    <x v="184"/>
    <x v="7"/>
    <s v="Percent of GDP"/>
    <s v="Units"/>
    <x v="5"/>
    <n v="18.34"/>
  </r>
  <r>
    <n v="1"/>
    <x v="2"/>
    <x v="184"/>
    <x v="7"/>
    <s v="Percent of GDP"/>
    <s v="Units"/>
    <x v="6"/>
    <n v="19.283999999999999"/>
  </r>
  <r>
    <n v="123"/>
    <x v="9"/>
    <x v="51"/>
    <x v="5"/>
    <s v="Percent of GDP"/>
    <s v="Units"/>
    <x v="0"/>
    <n v="21.175000000000001"/>
  </r>
  <r>
    <n v="123"/>
    <x v="9"/>
    <x v="51"/>
    <x v="5"/>
    <s v="Percent of GDP"/>
    <s v="Units"/>
    <x v="1"/>
    <n v="21.125"/>
  </r>
  <r>
    <n v="123"/>
    <x v="9"/>
    <x v="51"/>
    <x v="5"/>
    <s v="Percent of GDP"/>
    <s v="Units"/>
    <x v="2"/>
    <n v="19.193000000000001"/>
  </r>
  <r>
    <n v="123"/>
    <x v="9"/>
    <x v="51"/>
    <x v="5"/>
    <s v="Percent of GDP"/>
    <s v="Units"/>
    <x v="3"/>
    <n v="17.196999999999999"/>
  </r>
  <r>
    <n v="123"/>
    <x v="9"/>
    <x v="51"/>
    <x v="5"/>
    <s v="Percent of GDP"/>
    <s v="Units"/>
    <x v="4"/>
    <n v="17.510000000000002"/>
  </r>
  <r>
    <n v="123"/>
    <x v="9"/>
    <x v="51"/>
    <x v="5"/>
    <s v="Percent of GDP"/>
    <s v="Units"/>
    <x v="5"/>
    <n v="18.312999999999999"/>
  </r>
  <r>
    <n v="123"/>
    <x v="9"/>
    <x v="51"/>
    <x v="5"/>
    <s v="Percent of GDP"/>
    <s v="Units"/>
    <x v="6"/>
    <n v="18.872"/>
  </r>
  <r>
    <n v="1"/>
    <x v="2"/>
    <x v="51"/>
    <x v="5"/>
    <s v="Percent of GDP"/>
    <s v="Units"/>
    <x v="0"/>
    <n v="21.175000000000001"/>
  </r>
  <r>
    <n v="1"/>
    <x v="2"/>
    <x v="51"/>
    <x v="5"/>
    <s v="Percent of GDP"/>
    <s v="Units"/>
    <x v="1"/>
    <n v="21.125"/>
  </r>
  <r>
    <n v="1"/>
    <x v="2"/>
    <x v="51"/>
    <x v="5"/>
    <s v="Percent of GDP"/>
    <s v="Units"/>
    <x v="2"/>
    <n v="19.193000000000001"/>
  </r>
  <r>
    <n v="1"/>
    <x v="2"/>
    <x v="51"/>
    <x v="5"/>
    <s v="Percent of GDP"/>
    <s v="Units"/>
    <x v="3"/>
    <n v="17.196999999999999"/>
  </r>
  <r>
    <n v="1"/>
    <x v="2"/>
    <x v="51"/>
    <x v="5"/>
    <s v="Percent of GDP"/>
    <s v="Units"/>
    <x v="4"/>
    <n v="17.510000000000002"/>
  </r>
  <r>
    <n v="1"/>
    <x v="2"/>
    <x v="51"/>
    <x v="5"/>
    <s v="Percent of GDP"/>
    <s v="Units"/>
    <x v="5"/>
    <n v="18.312999999999999"/>
  </r>
  <r>
    <n v="1"/>
    <x v="2"/>
    <x v="51"/>
    <x v="5"/>
    <s v="Percent of GDP"/>
    <s v="Units"/>
    <x v="6"/>
    <n v="18.872"/>
  </r>
  <r>
    <n v="110"/>
    <x v="0"/>
    <x v="51"/>
    <x v="5"/>
    <s v="Percent of GDP"/>
    <s v="Units"/>
    <x v="0"/>
    <n v="21.175000000000001"/>
  </r>
  <r>
    <n v="110"/>
    <x v="0"/>
    <x v="51"/>
    <x v="5"/>
    <s v="Percent of GDP"/>
    <s v="Units"/>
    <x v="1"/>
    <n v="21.125"/>
  </r>
  <r>
    <n v="110"/>
    <x v="0"/>
    <x v="51"/>
    <x v="5"/>
    <s v="Percent of GDP"/>
    <s v="Units"/>
    <x v="2"/>
    <n v="19.193000000000001"/>
  </r>
  <r>
    <n v="110"/>
    <x v="0"/>
    <x v="51"/>
    <x v="5"/>
    <s v="Percent of GDP"/>
    <s v="Units"/>
    <x v="3"/>
    <n v="17.196999999999999"/>
  </r>
  <r>
    <n v="110"/>
    <x v="0"/>
    <x v="51"/>
    <x v="5"/>
    <s v="Percent of GDP"/>
    <s v="Units"/>
    <x v="4"/>
    <n v="17.510000000000002"/>
  </r>
  <r>
    <n v="110"/>
    <x v="0"/>
    <x v="51"/>
    <x v="5"/>
    <s v="Percent of GDP"/>
    <s v="Units"/>
    <x v="5"/>
    <n v="18.312999999999999"/>
  </r>
  <r>
    <n v="110"/>
    <x v="0"/>
    <x v="51"/>
    <x v="5"/>
    <s v="Percent of GDP"/>
    <s v="Units"/>
    <x v="6"/>
    <n v="18.872"/>
  </r>
  <r>
    <n v="200"/>
    <x v="3"/>
    <x v="179"/>
    <x v="5"/>
    <s v="Percent of GDP"/>
    <s v="Units"/>
    <x v="0"/>
    <n v="20.395"/>
  </r>
  <r>
    <n v="200"/>
    <x v="3"/>
    <x v="179"/>
    <x v="5"/>
    <s v="Percent of GDP"/>
    <s v="Units"/>
    <x v="1"/>
    <n v="12.34"/>
  </r>
  <r>
    <n v="200"/>
    <x v="3"/>
    <x v="179"/>
    <x v="5"/>
    <s v="Percent of GDP"/>
    <s v="Units"/>
    <x v="2"/>
    <n v="10.238"/>
  </r>
  <r>
    <n v="200"/>
    <x v="3"/>
    <x v="179"/>
    <x v="5"/>
    <s v="Percent of GDP"/>
    <s v="Units"/>
    <x v="3"/>
    <n v="15.351000000000001"/>
  </r>
  <r>
    <n v="200"/>
    <x v="3"/>
    <x v="179"/>
    <x v="5"/>
    <s v="Percent of GDP"/>
    <s v="Units"/>
    <x v="4"/>
    <n v="19.54"/>
  </r>
  <r>
    <n v="200"/>
    <x v="3"/>
    <x v="179"/>
    <x v="5"/>
    <s v="Percent of GDP"/>
    <s v="Units"/>
    <x v="5"/>
    <n v="18.277000000000001"/>
  </r>
  <r>
    <n v="200"/>
    <x v="3"/>
    <x v="179"/>
    <x v="5"/>
    <s v="Percent of GDP"/>
    <s v="Units"/>
    <x v="6"/>
    <n v="18.872"/>
  </r>
  <r>
    <n v="1"/>
    <x v="2"/>
    <x v="179"/>
    <x v="5"/>
    <s v="Percent of GDP"/>
    <s v="Units"/>
    <x v="0"/>
    <n v="20.395"/>
  </r>
  <r>
    <n v="1"/>
    <x v="2"/>
    <x v="179"/>
    <x v="5"/>
    <s v="Percent of GDP"/>
    <s v="Units"/>
    <x v="1"/>
    <n v="12.34"/>
  </r>
  <r>
    <n v="1"/>
    <x v="2"/>
    <x v="179"/>
    <x v="5"/>
    <s v="Percent of GDP"/>
    <s v="Units"/>
    <x v="2"/>
    <n v="10.238"/>
  </r>
  <r>
    <n v="1"/>
    <x v="2"/>
    <x v="179"/>
    <x v="5"/>
    <s v="Percent of GDP"/>
    <s v="Units"/>
    <x v="3"/>
    <n v="15.351000000000001"/>
  </r>
  <r>
    <n v="1"/>
    <x v="2"/>
    <x v="179"/>
    <x v="5"/>
    <s v="Percent of GDP"/>
    <s v="Units"/>
    <x v="4"/>
    <n v="19.54"/>
  </r>
  <r>
    <n v="1"/>
    <x v="2"/>
    <x v="179"/>
    <x v="5"/>
    <s v="Percent of GDP"/>
    <s v="Units"/>
    <x v="5"/>
    <n v="18.277000000000001"/>
  </r>
  <r>
    <n v="1"/>
    <x v="2"/>
    <x v="179"/>
    <x v="5"/>
    <s v="Percent of GDP"/>
    <s v="Units"/>
    <x v="6"/>
    <n v="18.872"/>
  </r>
  <r>
    <n v="603"/>
    <x v="12"/>
    <x v="179"/>
    <x v="5"/>
    <s v="Percent of GDP"/>
    <s v="Units"/>
    <x v="0"/>
    <n v="20.395"/>
  </r>
  <r>
    <n v="603"/>
    <x v="12"/>
    <x v="179"/>
    <x v="5"/>
    <s v="Percent of GDP"/>
    <s v="Units"/>
    <x v="1"/>
    <n v="12.34"/>
  </r>
  <r>
    <n v="603"/>
    <x v="12"/>
    <x v="179"/>
    <x v="5"/>
    <s v="Percent of GDP"/>
    <s v="Units"/>
    <x v="2"/>
    <n v="10.238"/>
  </r>
  <r>
    <n v="603"/>
    <x v="12"/>
    <x v="179"/>
    <x v="5"/>
    <s v="Percent of GDP"/>
    <s v="Units"/>
    <x v="3"/>
    <n v="15.351000000000001"/>
  </r>
  <r>
    <n v="603"/>
    <x v="12"/>
    <x v="179"/>
    <x v="5"/>
    <s v="Percent of GDP"/>
    <s v="Units"/>
    <x v="4"/>
    <n v="19.54"/>
  </r>
  <r>
    <n v="603"/>
    <x v="12"/>
    <x v="179"/>
    <x v="5"/>
    <s v="Percent of GDP"/>
    <s v="Units"/>
    <x v="5"/>
    <n v="18.277000000000001"/>
  </r>
  <r>
    <n v="603"/>
    <x v="12"/>
    <x v="179"/>
    <x v="5"/>
    <s v="Percent of GDP"/>
    <s v="Units"/>
    <x v="6"/>
    <n v="18.872"/>
  </r>
  <r>
    <n v="205"/>
    <x v="7"/>
    <x v="74"/>
    <x v="3"/>
    <s v="Percent of GDP"/>
    <s v="Units"/>
    <x v="0"/>
    <n v="21.686"/>
  </r>
  <r>
    <n v="205"/>
    <x v="7"/>
    <x v="74"/>
    <x v="3"/>
    <s v="Percent of GDP"/>
    <s v="Units"/>
    <x v="1"/>
    <n v="22.292000000000002"/>
  </r>
  <r>
    <n v="205"/>
    <x v="7"/>
    <x v="74"/>
    <x v="3"/>
    <s v="Percent of GDP"/>
    <s v="Units"/>
    <x v="2"/>
    <n v="20.773"/>
  </r>
  <r>
    <n v="205"/>
    <x v="7"/>
    <x v="74"/>
    <x v="3"/>
    <s v="Percent of GDP"/>
    <s v="Units"/>
    <x v="3"/>
    <n v="19.187999999999999"/>
  </r>
  <r>
    <n v="205"/>
    <x v="7"/>
    <x v="74"/>
    <x v="3"/>
    <s v="Percent of GDP"/>
    <s v="Units"/>
    <x v="4"/>
    <n v="18.437000000000001"/>
  </r>
  <r>
    <n v="205"/>
    <x v="7"/>
    <x v="74"/>
    <x v="3"/>
    <s v="Percent of GDP"/>
    <s v="Units"/>
    <x v="5"/>
    <n v="18.27"/>
  </r>
  <r>
    <n v="205"/>
    <x v="7"/>
    <x v="74"/>
    <x v="3"/>
    <s v="Percent of GDP"/>
    <s v="Units"/>
    <x v="6"/>
    <n v="17.981000000000002"/>
  </r>
  <r>
    <n v="200"/>
    <x v="3"/>
    <x v="74"/>
    <x v="3"/>
    <s v="Percent of GDP"/>
    <s v="Units"/>
    <x v="0"/>
    <n v="21.686"/>
  </r>
  <r>
    <n v="200"/>
    <x v="3"/>
    <x v="74"/>
    <x v="3"/>
    <s v="Percent of GDP"/>
    <s v="Units"/>
    <x v="1"/>
    <n v="22.292000000000002"/>
  </r>
  <r>
    <n v="200"/>
    <x v="3"/>
    <x v="74"/>
    <x v="3"/>
    <s v="Percent of GDP"/>
    <s v="Units"/>
    <x v="2"/>
    <n v="20.773"/>
  </r>
  <r>
    <n v="200"/>
    <x v="3"/>
    <x v="74"/>
    <x v="3"/>
    <s v="Percent of GDP"/>
    <s v="Units"/>
    <x v="3"/>
    <n v="19.187999999999999"/>
  </r>
  <r>
    <n v="200"/>
    <x v="3"/>
    <x v="74"/>
    <x v="3"/>
    <s v="Percent of GDP"/>
    <s v="Units"/>
    <x v="4"/>
    <n v="18.437000000000001"/>
  </r>
  <r>
    <n v="200"/>
    <x v="3"/>
    <x v="74"/>
    <x v="3"/>
    <s v="Percent of GDP"/>
    <s v="Units"/>
    <x v="5"/>
    <n v="18.27"/>
  </r>
  <r>
    <n v="200"/>
    <x v="3"/>
    <x v="74"/>
    <x v="3"/>
    <s v="Percent of GDP"/>
    <s v="Units"/>
    <x v="6"/>
    <n v="17.981000000000002"/>
  </r>
  <r>
    <n v="603"/>
    <x v="12"/>
    <x v="125"/>
    <x v="4"/>
    <s v="Percent change"/>
    <s v="Units"/>
    <x v="0"/>
    <n v="9.3930000000000007"/>
  </r>
  <r>
    <n v="603"/>
    <x v="12"/>
    <x v="125"/>
    <x v="4"/>
    <s v="Percent change"/>
    <s v="Units"/>
    <x v="1"/>
    <n v="-12.852"/>
  </r>
  <r>
    <n v="603"/>
    <x v="12"/>
    <x v="125"/>
    <x v="4"/>
    <s v="Percent change"/>
    <s v="Units"/>
    <x v="2"/>
    <n v="24.876999999999999"/>
  </r>
  <r>
    <n v="603"/>
    <x v="12"/>
    <x v="125"/>
    <x v="4"/>
    <s v="Percent change"/>
    <s v="Units"/>
    <x v="3"/>
    <n v="-3.4910000000000001"/>
  </r>
  <r>
    <n v="603"/>
    <x v="12"/>
    <x v="125"/>
    <x v="4"/>
    <s v="Percent change"/>
    <s v="Units"/>
    <x v="4"/>
    <n v="3.8460000000000001"/>
  </r>
  <r>
    <n v="603"/>
    <x v="12"/>
    <x v="125"/>
    <x v="4"/>
    <s v="Percent change"/>
    <s v="Units"/>
    <x v="5"/>
    <n v="18.262"/>
  </r>
  <r>
    <n v="603"/>
    <x v="12"/>
    <x v="125"/>
    <x v="4"/>
    <s v="Percent change"/>
    <s v="Units"/>
    <x v="6"/>
    <n v="19.988"/>
  </r>
  <r>
    <n v="200"/>
    <x v="3"/>
    <x v="125"/>
    <x v="4"/>
    <s v="Percent change"/>
    <s v="Units"/>
    <x v="0"/>
    <n v="9.3930000000000007"/>
  </r>
  <r>
    <n v="200"/>
    <x v="3"/>
    <x v="125"/>
    <x v="4"/>
    <s v="Percent change"/>
    <s v="Units"/>
    <x v="1"/>
    <n v="-12.852"/>
  </r>
  <r>
    <n v="200"/>
    <x v="3"/>
    <x v="125"/>
    <x v="4"/>
    <s v="Percent change"/>
    <s v="Units"/>
    <x v="2"/>
    <n v="24.876999999999999"/>
  </r>
  <r>
    <n v="200"/>
    <x v="3"/>
    <x v="125"/>
    <x v="4"/>
    <s v="Percent change"/>
    <s v="Units"/>
    <x v="3"/>
    <n v="-3.4910000000000001"/>
  </r>
  <r>
    <n v="200"/>
    <x v="3"/>
    <x v="125"/>
    <x v="4"/>
    <s v="Percent change"/>
    <s v="Units"/>
    <x v="4"/>
    <n v="3.8460000000000001"/>
  </r>
  <r>
    <n v="200"/>
    <x v="3"/>
    <x v="125"/>
    <x v="4"/>
    <s v="Percent change"/>
    <s v="Units"/>
    <x v="5"/>
    <n v="18.262"/>
  </r>
  <r>
    <n v="200"/>
    <x v="3"/>
    <x v="125"/>
    <x v="4"/>
    <s v="Percent change"/>
    <s v="Units"/>
    <x v="6"/>
    <n v="19.988"/>
  </r>
  <r>
    <n v="1"/>
    <x v="2"/>
    <x v="125"/>
    <x v="4"/>
    <s v="Percent change"/>
    <s v="Units"/>
    <x v="0"/>
    <n v="9.3930000000000007"/>
  </r>
  <r>
    <n v="1"/>
    <x v="2"/>
    <x v="125"/>
    <x v="4"/>
    <s v="Percent change"/>
    <s v="Units"/>
    <x v="1"/>
    <n v="-12.852"/>
  </r>
  <r>
    <n v="1"/>
    <x v="2"/>
    <x v="125"/>
    <x v="4"/>
    <s v="Percent change"/>
    <s v="Units"/>
    <x v="2"/>
    <n v="24.876999999999999"/>
  </r>
  <r>
    <n v="1"/>
    <x v="2"/>
    <x v="125"/>
    <x v="4"/>
    <s v="Percent change"/>
    <s v="Units"/>
    <x v="3"/>
    <n v="-3.4910000000000001"/>
  </r>
  <r>
    <n v="1"/>
    <x v="2"/>
    <x v="125"/>
    <x v="4"/>
    <s v="Percent change"/>
    <s v="Units"/>
    <x v="4"/>
    <n v="3.8460000000000001"/>
  </r>
  <r>
    <n v="1"/>
    <x v="2"/>
    <x v="125"/>
    <x v="4"/>
    <s v="Percent change"/>
    <s v="Units"/>
    <x v="5"/>
    <n v="18.262"/>
  </r>
  <r>
    <n v="1"/>
    <x v="2"/>
    <x v="125"/>
    <x v="4"/>
    <s v="Percent change"/>
    <s v="Units"/>
    <x v="6"/>
    <n v="19.988"/>
  </r>
  <r>
    <n v="400"/>
    <x v="11"/>
    <x v="157"/>
    <x v="5"/>
    <s v="Percent of GDP"/>
    <s v="Units"/>
    <x v="0"/>
    <n v="10.352"/>
  </r>
  <r>
    <n v="400"/>
    <x v="11"/>
    <x v="157"/>
    <x v="5"/>
    <s v="Percent of GDP"/>
    <s v="Units"/>
    <x v="1"/>
    <n v="15.666"/>
  </r>
  <r>
    <n v="400"/>
    <x v="11"/>
    <x v="157"/>
    <x v="5"/>
    <s v="Percent of GDP"/>
    <s v="Units"/>
    <x v="2"/>
    <n v="19.484000000000002"/>
  </r>
  <r>
    <n v="400"/>
    <x v="11"/>
    <x v="157"/>
    <x v="5"/>
    <s v="Percent of GDP"/>
    <s v="Units"/>
    <x v="3"/>
    <n v="22.408000000000001"/>
  </r>
  <r>
    <n v="400"/>
    <x v="11"/>
    <x v="157"/>
    <x v="5"/>
    <s v="Percent of GDP"/>
    <s v="Units"/>
    <x v="4"/>
    <n v="19.385000000000002"/>
  </r>
  <r>
    <n v="400"/>
    <x v="11"/>
    <x v="157"/>
    <x v="5"/>
    <s v="Percent of GDP"/>
    <s v="Units"/>
    <x v="5"/>
    <n v="18.239999999999998"/>
  </r>
  <r>
    <n v="400"/>
    <x v="11"/>
    <x v="157"/>
    <x v="5"/>
    <s v="Percent of GDP"/>
    <s v="Units"/>
    <x v="6"/>
    <n v="17.824000000000002"/>
  </r>
  <r>
    <n v="200"/>
    <x v="3"/>
    <x v="157"/>
    <x v="5"/>
    <s v="Percent of GDP"/>
    <s v="Units"/>
    <x v="0"/>
    <n v="10.352"/>
  </r>
  <r>
    <n v="200"/>
    <x v="3"/>
    <x v="157"/>
    <x v="5"/>
    <s v="Percent of GDP"/>
    <s v="Units"/>
    <x v="1"/>
    <n v="15.666"/>
  </r>
  <r>
    <n v="200"/>
    <x v="3"/>
    <x v="157"/>
    <x v="5"/>
    <s v="Percent of GDP"/>
    <s v="Units"/>
    <x v="2"/>
    <n v="19.484000000000002"/>
  </r>
  <r>
    <n v="200"/>
    <x v="3"/>
    <x v="157"/>
    <x v="5"/>
    <s v="Percent of GDP"/>
    <s v="Units"/>
    <x v="3"/>
    <n v="22.408000000000001"/>
  </r>
  <r>
    <n v="200"/>
    <x v="3"/>
    <x v="157"/>
    <x v="5"/>
    <s v="Percent of GDP"/>
    <s v="Units"/>
    <x v="4"/>
    <n v="19.385000000000002"/>
  </r>
  <r>
    <n v="200"/>
    <x v="3"/>
    <x v="157"/>
    <x v="5"/>
    <s v="Percent of GDP"/>
    <s v="Units"/>
    <x v="5"/>
    <n v="18.239999999999998"/>
  </r>
  <r>
    <n v="200"/>
    <x v="3"/>
    <x v="157"/>
    <x v="5"/>
    <s v="Percent of GDP"/>
    <s v="Units"/>
    <x v="6"/>
    <n v="17.824000000000002"/>
  </r>
  <r>
    <n v="1"/>
    <x v="2"/>
    <x v="157"/>
    <x v="5"/>
    <s v="Percent of GDP"/>
    <s v="Units"/>
    <x v="0"/>
    <n v="10.352"/>
  </r>
  <r>
    <n v="1"/>
    <x v="2"/>
    <x v="157"/>
    <x v="5"/>
    <s v="Percent of GDP"/>
    <s v="Units"/>
    <x v="1"/>
    <n v="15.666"/>
  </r>
  <r>
    <n v="1"/>
    <x v="2"/>
    <x v="157"/>
    <x v="5"/>
    <s v="Percent of GDP"/>
    <s v="Units"/>
    <x v="2"/>
    <n v="19.484000000000002"/>
  </r>
  <r>
    <n v="1"/>
    <x v="2"/>
    <x v="157"/>
    <x v="5"/>
    <s v="Percent of GDP"/>
    <s v="Units"/>
    <x v="3"/>
    <n v="22.408000000000001"/>
  </r>
  <r>
    <n v="1"/>
    <x v="2"/>
    <x v="157"/>
    <x v="5"/>
    <s v="Percent of GDP"/>
    <s v="Units"/>
    <x v="4"/>
    <n v="19.385000000000002"/>
  </r>
  <r>
    <n v="1"/>
    <x v="2"/>
    <x v="157"/>
    <x v="5"/>
    <s v="Percent of GDP"/>
    <s v="Units"/>
    <x v="5"/>
    <n v="18.239999999999998"/>
  </r>
  <r>
    <n v="1"/>
    <x v="2"/>
    <x v="157"/>
    <x v="5"/>
    <s v="Percent of GDP"/>
    <s v="Units"/>
    <x v="6"/>
    <n v="17.824000000000002"/>
  </r>
  <r>
    <n v="200"/>
    <x v="3"/>
    <x v="148"/>
    <x v="2"/>
    <s v="Percent of GDP"/>
    <s v="Units"/>
    <x v="0"/>
    <n v="16.317"/>
  </r>
  <r>
    <n v="200"/>
    <x v="3"/>
    <x v="148"/>
    <x v="2"/>
    <s v="Percent of GDP"/>
    <s v="Units"/>
    <x v="1"/>
    <n v="14.656000000000001"/>
  </r>
  <r>
    <n v="200"/>
    <x v="3"/>
    <x v="148"/>
    <x v="2"/>
    <s v="Percent of GDP"/>
    <s v="Units"/>
    <x v="2"/>
    <n v="15.127000000000001"/>
  </r>
  <r>
    <n v="200"/>
    <x v="3"/>
    <x v="148"/>
    <x v="2"/>
    <s v="Percent of GDP"/>
    <s v="Units"/>
    <x v="3"/>
    <n v="16.664999999999999"/>
  </r>
  <r>
    <n v="200"/>
    <x v="3"/>
    <x v="148"/>
    <x v="2"/>
    <s v="Percent of GDP"/>
    <s v="Units"/>
    <x v="4"/>
    <n v="18.341999999999999"/>
  </r>
  <r>
    <n v="200"/>
    <x v="3"/>
    <x v="148"/>
    <x v="2"/>
    <s v="Percent of GDP"/>
    <s v="Units"/>
    <x v="5"/>
    <n v="18.222000000000001"/>
  </r>
  <r>
    <n v="200"/>
    <x v="3"/>
    <x v="148"/>
    <x v="2"/>
    <s v="Percent of GDP"/>
    <s v="Units"/>
    <x v="6"/>
    <n v="18.72"/>
  </r>
  <r>
    <n v="505"/>
    <x v="4"/>
    <x v="148"/>
    <x v="2"/>
    <s v="Percent of GDP"/>
    <s v="Units"/>
    <x v="0"/>
    <n v="16.317"/>
  </r>
  <r>
    <n v="505"/>
    <x v="4"/>
    <x v="148"/>
    <x v="2"/>
    <s v="Percent of GDP"/>
    <s v="Units"/>
    <x v="1"/>
    <n v="14.656000000000001"/>
  </r>
  <r>
    <n v="505"/>
    <x v="4"/>
    <x v="148"/>
    <x v="2"/>
    <s v="Percent of GDP"/>
    <s v="Units"/>
    <x v="2"/>
    <n v="15.127000000000001"/>
  </r>
  <r>
    <n v="505"/>
    <x v="4"/>
    <x v="148"/>
    <x v="2"/>
    <s v="Percent of GDP"/>
    <s v="Units"/>
    <x v="3"/>
    <n v="16.664999999999999"/>
  </r>
  <r>
    <n v="505"/>
    <x v="4"/>
    <x v="148"/>
    <x v="2"/>
    <s v="Percent of GDP"/>
    <s v="Units"/>
    <x v="4"/>
    <n v="18.341999999999999"/>
  </r>
  <r>
    <n v="505"/>
    <x v="4"/>
    <x v="148"/>
    <x v="2"/>
    <s v="Percent of GDP"/>
    <s v="Units"/>
    <x v="5"/>
    <n v="18.222000000000001"/>
  </r>
  <r>
    <n v="505"/>
    <x v="4"/>
    <x v="148"/>
    <x v="2"/>
    <s v="Percent of GDP"/>
    <s v="Units"/>
    <x v="6"/>
    <n v="18.72"/>
  </r>
  <r>
    <n v="200"/>
    <x v="3"/>
    <x v="164"/>
    <x v="5"/>
    <s v="Percent of GDP"/>
    <s v="Units"/>
    <x v="0"/>
    <n v="22.297999999999998"/>
  </r>
  <r>
    <n v="200"/>
    <x v="3"/>
    <x v="164"/>
    <x v="5"/>
    <s v="Percent of GDP"/>
    <s v="Units"/>
    <x v="1"/>
    <n v="27.193999999999999"/>
  </r>
  <r>
    <n v="200"/>
    <x v="3"/>
    <x v="164"/>
    <x v="5"/>
    <s v="Percent of GDP"/>
    <s v="Units"/>
    <x v="2"/>
    <n v="25.251000000000001"/>
  </r>
  <r>
    <n v="200"/>
    <x v="3"/>
    <x v="164"/>
    <x v="5"/>
    <s v="Percent of GDP"/>
    <s v="Units"/>
    <x v="3"/>
    <n v="10.433999999999999"/>
  </r>
  <r>
    <n v="200"/>
    <x v="3"/>
    <x v="164"/>
    <x v="5"/>
    <s v="Percent of GDP"/>
    <s v="Units"/>
    <x v="4"/>
    <n v="11.846"/>
  </r>
  <r>
    <n v="200"/>
    <x v="3"/>
    <x v="164"/>
    <x v="5"/>
    <s v="Percent of GDP"/>
    <s v="Units"/>
    <x v="5"/>
    <n v="18.184000000000001"/>
  </r>
  <r>
    <n v="200"/>
    <x v="3"/>
    <x v="164"/>
    <x v="5"/>
    <s v="Percent of GDP"/>
    <s v="Units"/>
    <x v="6"/>
    <n v="21.215"/>
  </r>
  <r>
    <n v="1"/>
    <x v="2"/>
    <x v="164"/>
    <x v="5"/>
    <s v="Percent of GDP"/>
    <s v="Units"/>
    <x v="0"/>
    <n v="22.297999999999998"/>
  </r>
  <r>
    <n v="1"/>
    <x v="2"/>
    <x v="164"/>
    <x v="5"/>
    <s v="Percent of GDP"/>
    <s v="Units"/>
    <x v="1"/>
    <n v="27.193999999999999"/>
  </r>
  <r>
    <n v="1"/>
    <x v="2"/>
    <x v="164"/>
    <x v="5"/>
    <s v="Percent of GDP"/>
    <s v="Units"/>
    <x v="2"/>
    <n v="25.251000000000001"/>
  </r>
  <r>
    <n v="1"/>
    <x v="2"/>
    <x v="164"/>
    <x v="5"/>
    <s v="Percent of GDP"/>
    <s v="Units"/>
    <x v="3"/>
    <n v="10.433999999999999"/>
  </r>
  <r>
    <n v="1"/>
    <x v="2"/>
    <x v="164"/>
    <x v="5"/>
    <s v="Percent of GDP"/>
    <s v="Units"/>
    <x v="4"/>
    <n v="11.846"/>
  </r>
  <r>
    <n v="1"/>
    <x v="2"/>
    <x v="164"/>
    <x v="5"/>
    <s v="Percent of GDP"/>
    <s v="Units"/>
    <x v="5"/>
    <n v="18.184000000000001"/>
  </r>
  <r>
    <n v="1"/>
    <x v="2"/>
    <x v="164"/>
    <x v="5"/>
    <s v="Percent of GDP"/>
    <s v="Units"/>
    <x v="6"/>
    <n v="21.215"/>
  </r>
  <r>
    <n v="603"/>
    <x v="12"/>
    <x v="164"/>
    <x v="5"/>
    <s v="Percent of GDP"/>
    <s v="Units"/>
    <x v="0"/>
    <n v="22.297999999999998"/>
  </r>
  <r>
    <n v="603"/>
    <x v="12"/>
    <x v="164"/>
    <x v="5"/>
    <s v="Percent of GDP"/>
    <s v="Units"/>
    <x v="1"/>
    <n v="27.193999999999999"/>
  </r>
  <r>
    <n v="603"/>
    <x v="12"/>
    <x v="164"/>
    <x v="5"/>
    <s v="Percent of GDP"/>
    <s v="Units"/>
    <x v="2"/>
    <n v="25.251000000000001"/>
  </r>
  <r>
    <n v="603"/>
    <x v="12"/>
    <x v="164"/>
    <x v="5"/>
    <s v="Percent of GDP"/>
    <s v="Units"/>
    <x v="3"/>
    <n v="10.433999999999999"/>
  </r>
  <r>
    <n v="603"/>
    <x v="12"/>
    <x v="164"/>
    <x v="5"/>
    <s v="Percent of GDP"/>
    <s v="Units"/>
    <x v="4"/>
    <n v="11.846"/>
  </r>
  <r>
    <n v="603"/>
    <x v="12"/>
    <x v="164"/>
    <x v="5"/>
    <s v="Percent of GDP"/>
    <s v="Units"/>
    <x v="5"/>
    <n v="18.184000000000001"/>
  </r>
  <r>
    <n v="603"/>
    <x v="12"/>
    <x v="164"/>
    <x v="5"/>
    <s v="Percent of GDP"/>
    <s v="Units"/>
    <x v="6"/>
    <n v="21.215"/>
  </r>
  <r>
    <n v="603"/>
    <x v="12"/>
    <x v="126"/>
    <x v="2"/>
    <s v="Percent of GDP"/>
    <s v="Units"/>
    <x v="0"/>
    <n v="18.149000000000001"/>
  </r>
  <r>
    <n v="603"/>
    <x v="12"/>
    <x v="126"/>
    <x v="2"/>
    <s v="Percent of GDP"/>
    <s v="Units"/>
    <x v="1"/>
    <n v="19.966999999999999"/>
  </r>
  <r>
    <n v="603"/>
    <x v="12"/>
    <x v="126"/>
    <x v="2"/>
    <s v="Percent of GDP"/>
    <s v="Units"/>
    <x v="2"/>
    <n v="20.937999999999999"/>
  </r>
  <r>
    <n v="603"/>
    <x v="12"/>
    <x v="126"/>
    <x v="2"/>
    <s v="Percent of GDP"/>
    <s v="Units"/>
    <x v="3"/>
    <n v="18.763000000000002"/>
  </r>
  <r>
    <n v="603"/>
    <x v="12"/>
    <x v="126"/>
    <x v="2"/>
    <s v="Percent of GDP"/>
    <s v="Units"/>
    <x v="4"/>
    <n v="17.108000000000001"/>
  </r>
  <r>
    <n v="603"/>
    <x v="12"/>
    <x v="126"/>
    <x v="2"/>
    <s v="Percent of GDP"/>
    <s v="Units"/>
    <x v="5"/>
    <n v="18.172000000000001"/>
  </r>
  <r>
    <n v="603"/>
    <x v="12"/>
    <x v="126"/>
    <x v="2"/>
    <s v="Percent of GDP"/>
    <s v="Units"/>
    <x v="6"/>
    <n v="18.809000000000001"/>
  </r>
  <r>
    <n v="200"/>
    <x v="3"/>
    <x v="126"/>
    <x v="2"/>
    <s v="Percent of GDP"/>
    <s v="Units"/>
    <x v="0"/>
    <n v="18.149000000000001"/>
  </r>
  <r>
    <n v="200"/>
    <x v="3"/>
    <x v="126"/>
    <x v="2"/>
    <s v="Percent of GDP"/>
    <s v="Units"/>
    <x v="1"/>
    <n v="19.966999999999999"/>
  </r>
  <r>
    <n v="200"/>
    <x v="3"/>
    <x v="126"/>
    <x v="2"/>
    <s v="Percent of GDP"/>
    <s v="Units"/>
    <x v="2"/>
    <n v="20.937999999999999"/>
  </r>
  <r>
    <n v="200"/>
    <x v="3"/>
    <x v="126"/>
    <x v="2"/>
    <s v="Percent of GDP"/>
    <s v="Units"/>
    <x v="3"/>
    <n v="18.763000000000002"/>
  </r>
  <r>
    <n v="200"/>
    <x v="3"/>
    <x v="126"/>
    <x v="2"/>
    <s v="Percent of GDP"/>
    <s v="Units"/>
    <x v="4"/>
    <n v="17.108000000000001"/>
  </r>
  <r>
    <n v="200"/>
    <x v="3"/>
    <x v="126"/>
    <x v="2"/>
    <s v="Percent of GDP"/>
    <s v="Units"/>
    <x v="5"/>
    <n v="18.172000000000001"/>
  </r>
  <r>
    <n v="200"/>
    <x v="3"/>
    <x v="126"/>
    <x v="2"/>
    <s v="Percent of GDP"/>
    <s v="Units"/>
    <x v="6"/>
    <n v="18.809000000000001"/>
  </r>
  <r>
    <n v="200"/>
    <x v="3"/>
    <x v="165"/>
    <x v="5"/>
    <s v="Percent of GDP"/>
    <s v="Units"/>
    <x v="0"/>
    <n v="6.3010000000000002"/>
  </r>
  <r>
    <n v="200"/>
    <x v="3"/>
    <x v="165"/>
    <x v="5"/>
    <s v="Percent of GDP"/>
    <s v="Units"/>
    <x v="1"/>
    <n v="6.181"/>
  </r>
  <r>
    <n v="200"/>
    <x v="3"/>
    <x v="165"/>
    <x v="5"/>
    <s v="Percent of GDP"/>
    <s v="Units"/>
    <x v="2"/>
    <n v="13.679"/>
  </r>
  <r>
    <n v="200"/>
    <x v="3"/>
    <x v="165"/>
    <x v="5"/>
    <s v="Percent of GDP"/>
    <s v="Units"/>
    <x v="3"/>
    <n v="19.763000000000002"/>
  </r>
  <r>
    <n v="200"/>
    <x v="3"/>
    <x v="165"/>
    <x v="5"/>
    <s v="Percent of GDP"/>
    <s v="Units"/>
    <x v="4"/>
    <n v="13.439"/>
  </r>
  <r>
    <n v="200"/>
    <x v="3"/>
    <x v="165"/>
    <x v="5"/>
    <s v="Percent of GDP"/>
    <s v="Units"/>
    <x v="5"/>
    <n v="18.132000000000001"/>
  </r>
  <r>
    <n v="200"/>
    <x v="3"/>
    <x v="165"/>
    <x v="5"/>
    <s v="Percent of GDP"/>
    <s v="Units"/>
    <x v="6"/>
    <n v="17.489000000000001"/>
  </r>
  <r>
    <n v="603"/>
    <x v="12"/>
    <x v="165"/>
    <x v="5"/>
    <s v="Percent of GDP"/>
    <s v="Units"/>
    <x v="0"/>
    <n v="6.3010000000000002"/>
  </r>
  <r>
    <n v="603"/>
    <x v="12"/>
    <x v="165"/>
    <x v="5"/>
    <s v="Percent of GDP"/>
    <s v="Units"/>
    <x v="1"/>
    <n v="6.181"/>
  </r>
  <r>
    <n v="603"/>
    <x v="12"/>
    <x v="165"/>
    <x v="5"/>
    <s v="Percent of GDP"/>
    <s v="Units"/>
    <x v="2"/>
    <n v="13.679"/>
  </r>
  <r>
    <n v="603"/>
    <x v="12"/>
    <x v="165"/>
    <x v="5"/>
    <s v="Percent of GDP"/>
    <s v="Units"/>
    <x v="3"/>
    <n v="19.763000000000002"/>
  </r>
  <r>
    <n v="603"/>
    <x v="12"/>
    <x v="165"/>
    <x v="5"/>
    <s v="Percent of GDP"/>
    <s v="Units"/>
    <x v="4"/>
    <n v="13.439"/>
  </r>
  <r>
    <n v="603"/>
    <x v="12"/>
    <x v="165"/>
    <x v="5"/>
    <s v="Percent of GDP"/>
    <s v="Units"/>
    <x v="5"/>
    <n v="18.132000000000001"/>
  </r>
  <r>
    <n v="603"/>
    <x v="12"/>
    <x v="165"/>
    <x v="5"/>
    <s v="Percent of GDP"/>
    <s v="Units"/>
    <x v="6"/>
    <n v="17.489000000000001"/>
  </r>
  <r>
    <n v="1"/>
    <x v="2"/>
    <x v="165"/>
    <x v="5"/>
    <s v="Percent of GDP"/>
    <s v="Units"/>
    <x v="0"/>
    <n v="6.3010000000000002"/>
  </r>
  <r>
    <n v="1"/>
    <x v="2"/>
    <x v="165"/>
    <x v="5"/>
    <s v="Percent of GDP"/>
    <s v="Units"/>
    <x v="1"/>
    <n v="6.181"/>
  </r>
  <r>
    <n v="1"/>
    <x v="2"/>
    <x v="165"/>
    <x v="5"/>
    <s v="Percent of GDP"/>
    <s v="Units"/>
    <x v="2"/>
    <n v="13.679"/>
  </r>
  <r>
    <n v="1"/>
    <x v="2"/>
    <x v="165"/>
    <x v="5"/>
    <s v="Percent of GDP"/>
    <s v="Units"/>
    <x v="3"/>
    <n v="19.763000000000002"/>
  </r>
  <r>
    <n v="1"/>
    <x v="2"/>
    <x v="165"/>
    <x v="5"/>
    <s v="Percent of GDP"/>
    <s v="Units"/>
    <x v="4"/>
    <n v="13.439"/>
  </r>
  <r>
    <n v="1"/>
    <x v="2"/>
    <x v="165"/>
    <x v="5"/>
    <s v="Percent of GDP"/>
    <s v="Units"/>
    <x v="5"/>
    <n v="18.132000000000001"/>
  </r>
  <r>
    <n v="1"/>
    <x v="2"/>
    <x v="165"/>
    <x v="5"/>
    <s v="Percent of GDP"/>
    <s v="Units"/>
    <x v="6"/>
    <n v="17.489000000000001"/>
  </r>
  <r>
    <n v="603"/>
    <x v="12"/>
    <x v="75"/>
    <x v="3"/>
    <s v="Percent of GDP"/>
    <s v="Units"/>
    <x v="0"/>
    <n v="20.402999999999999"/>
  </r>
  <r>
    <n v="603"/>
    <x v="12"/>
    <x v="75"/>
    <x v="3"/>
    <s v="Percent of GDP"/>
    <s v="Units"/>
    <x v="1"/>
    <n v="23.277000000000001"/>
  </r>
  <r>
    <n v="603"/>
    <x v="12"/>
    <x v="75"/>
    <x v="3"/>
    <s v="Percent of GDP"/>
    <s v="Units"/>
    <x v="2"/>
    <n v="19.477"/>
  </r>
  <r>
    <n v="603"/>
    <x v="12"/>
    <x v="75"/>
    <x v="3"/>
    <s v="Percent of GDP"/>
    <s v="Units"/>
    <x v="3"/>
    <n v="22.547000000000001"/>
  </r>
  <r>
    <n v="603"/>
    <x v="12"/>
    <x v="75"/>
    <x v="3"/>
    <s v="Percent of GDP"/>
    <s v="Units"/>
    <x v="4"/>
    <n v="20.12"/>
  </r>
  <r>
    <n v="603"/>
    <x v="12"/>
    <x v="75"/>
    <x v="3"/>
    <s v="Percent of GDP"/>
    <s v="Units"/>
    <x v="5"/>
    <n v="18.108000000000001"/>
  </r>
  <r>
    <n v="603"/>
    <x v="12"/>
    <x v="75"/>
    <x v="3"/>
    <s v="Percent of GDP"/>
    <s v="Units"/>
    <x v="6"/>
    <n v="16.962"/>
  </r>
  <r>
    <n v="200"/>
    <x v="3"/>
    <x v="75"/>
    <x v="3"/>
    <s v="Percent of GDP"/>
    <s v="Units"/>
    <x v="0"/>
    <n v="20.402999999999999"/>
  </r>
  <r>
    <n v="200"/>
    <x v="3"/>
    <x v="75"/>
    <x v="3"/>
    <s v="Percent of GDP"/>
    <s v="Units"/>
    <x v="1"/>
    <n v="23.277000000000001"/>
  </r>
  <r>
    <n v="200"/>
    <x v="3"/>
    <x v="75"/>
    <x v="3"/>
    <s v="Percent of GDP"/>
    <s v="Units"/>
    <x v="2"/>
    <n v="19.477"/>
  </r>
  <r>
    <n v="200"/>
    <x v="3"/>
    <x v="75"/>
    <x v="3"/>
    <s v="Percent of GDP"/>
    <s v="Units"/>
    <x v="3"/>
    <n v="22.547000000000001"/>
  </r>
  <r>
    <n v="200"/>
    <x v="3"/>
    <x v="75"/>
    <x v="3"/>
    <s v="Percent of GDP"/>
    <s v="Units"/>
    <x v="4"/>
    <n v="20.12"/>
  </r>
  <r>
    <n v="200"/>
    <x v="3"/>
    <x v="75"/>
    <x v="3"/>
    <s v="Percent of GDP"/>
    <s v="Units"/>
    <x v="5"/>
    <n v="18.108000000000001"/>
  </r>
  <r>
    <n v="200"/>
    <x v="3"/>
    <x v="75"/>
    <x v="3"/>
    <s v="Percent of GDP"/>
    <s v="Units"/>
    <x v="6"/>
    <n v="16.962"/>
  </r>
  <r>
    <n v="200"/>
    <x v="3"/>
    <x v="131"/>
    <x v="5"/>
    <s v="Percent of GDP"/>
    <s v="Units"/>
    <x v="0"/>
    <n v="20.129000000000001"/>
  </r>
  <r>
    <n v="200"/>
    <x v="3"/>
    <x v="131"/>
    <x v="5"/>
    <s v="Percent of GDP"/>
    <s v="Units"/>
    <x v="1"/>
    <n v="21.629000000000001"/>
  </r>
  <r>
    <n v="200"/>
    <x v="3"/>
    <x v="131"/>
    <x v="5"/>
    <s v="Percent of GDP"/>
    <s v="Units"/>
    <x v="2"/>
    <n v="18.97"/>
  </r>
  <r>
    <n v="200"/>
    <x v="3"/>
    <x v="131"/>
    <x v="5"/>
    <s v="Percent of GDP"/>
    <s v="Units"/>
    <x v="3"/>
    <n v="19.303000000000001"/>
  </r>
  <r>
    <n v="200"/>
    <x v="3"/>
    <x v="131"/>
    <x v="5"/>
    <s v="Percent of GDP"/>
    <s v="Units"/>
    <x v="4"/>
    <n v="18.119"/>
  </r>
  <r>
    <n v="200"/>
    <x v="3"/>
    <x v="131"/>
    <x v="5"/>
    <s v="Percent of GDP"/>
    <s v="Units"/>
    <x v="5"/>
    <n v="18.074000000000002"/>
  </r>
  <r>
    <n v="200"/>
    <x v="3"/>
    <x v="131"/>
    <x v="5"/>
    <s v="Percent of GDP"/>
    <s v="Units"/>
    <x v="6"/>
    <n v="18.541"/>
  </r>
  <r>
    <n v="205"/>
    <x v="7"/>
    <x v="131"/>
    <x v="5"/>
    <s v="Percent of GDP"/>
    <s v="Units"/>
    <x v="0"/>
    <n v="20.129000000000001"/>
  </r>
  <r>
    <n v="205"/>
    <x v="7"/>
    <x v="131"/>
    <x v="5"/>
    <s v="Percent of GDP"/>
    <s v="Units"/>
    <x v="1"/>
    <n v="21.629000000000001"/>
  </r>
  <r>
    <n v="205"/>
    <x v="7"/>
    <x v="131"/>
    <x v="5"/>
    <s v="Percent of GDP"/>
    <s v="Units"/>
    <x v="2"/>
    <n v="18.97"/>
  </r>
  <r>
    <n v="205"/>
    <x v="7"/>
    <x v="131"/>
    <x v="5"/>
    <s v="Percent of GDP"/>
    <s v="Units"/>
    <x v="3"/>
    <n v="19.303000000000001"/>
  </r>
  <r>
    <n v="205"/>
    <x v="7"/>
    <x v="131"/>
    <x v="5"/>
    <s v="Percent of GDP"/>
    <s v="Units"/>
    <x v="4"/>
    <n v="18.119"/>
  </r>
  <r>
    <n v="205"/>
    <x v="7"/>
    <x v="131"/>
    <x v="5"/>
    <s v="Percent of GDP"/>
    <s v="Units"/>
    <x v="5"/>
    <n v="18.074000000000002"/>
  </r>
  <r>
    <n v="205"/>
    <x v="7"/>
    <x v="131"/>
    <x v="5"/>
    <s v="Percent of GDP"/>
    <s v="Units"/>
    <x v="6"/>
    <n v="18.541"/>
  </r>
  <r>
    <n v="1"/>
    <x v="2"/>
    <x v="131"/>
    <x v="5"/>
    <s v="Percent of GDP"/>
    <s v="Units"/>
    <x v="0"/>
    <n v="20.129000000000001"/>
  </r>
  <r>
    <n v="1"/>
    <x v="2"/>
    <x v="131"/>
    <x v="5"/>
    <s v="Percent of GDP"/>
    <s v="Units"/>
    <x v="1"/>
    <n v="21.629000000000001"/>
  </r>
  <r>
    <n v="1"/>
    <x v="2"/>
    <x v="131"/>
    <x v="5"/>
    <s v="Percent of GDP"/>
    <s v="Units"/>
    <x v="2"/>
    <n v="18.97"/>
  </r>
  <r>
    <n v="1"/>
    <x v="2"/>
    <x v="131"/>
    <x v="5"/>
    <s v="Percent of GDP"/>
    <s v="Units"/>
    <x v="3"/>
    <n v="19.303000000000001"/>
  </r>
  <r>
    <n v="1"/>
    <x v="2"/>
    <x v="131"/>
    <x v="5"/>
    <s v="Percent of GDP"/>
    <s v="Units"/>
    <x v="4"/>
    <n v="18.119"/>
  </r>
  <r>
    <n v="1"/>
    <x v="2"/>
    <x v="131"/>
    <x v="5"/>
    <s v="Percent of GDP"/>
    <s v="Units"/>
    <x v="5"/>
    <n v="18.074000000000002"/>
  </r>
  <r>
    <n v="1"/>
    <x v="2"/>
    <x v="131"/>
    <x v="5"/>
    <s v="Percent of GDP"/>
    <s v="Units"/>
    <x v="6"/>
    <n v="18.541"/>
  </r>
  <r>
    <n v="400"/>
    <x v="11"/>
    <x v="101"/>
    <x v="7"/>
    <s v="Percent of GDP"/>
    <s v="Units"/>
    <x v="0"/>
    <n v="18.757000000000001"/>
  </r>
  <r>
    <n v="400"/>
    <x v="11"/>
    <x v="101"/>
    <x v="7"/>
    <s v="Percent of GDP"/>
    <s v="Units"/>
    <x v="1"/>
    <n v="18.433"/>
  </r>
  <r>
    <n v="400"/>
    <x v="11"/>
    <x v="101"/>
    <x v="7"/>
    <s v="Percent of GDP"/>
    <s v="Units"/>
    <x v="2"/>
    <n v="18.300999999999998"/>
  </r>
  <r>
    <n v="400"/>
    <x v="11"/>
    <x v="101"/>
    <x v="7"/>
    <s v="Percent of GDP"/>
    <s v="Units"/>
    <x v="3"/>
    <n v="18.558"/>
  </r>
  <r>
    <n v="400"/>
    <x v="11"/>
    <x v="101"/>
    <x v="7"/>
    <s v="Percent of GDP"/>
    <s v="Units"/>
    <x v="4"/>
    <n v="17.63"/>
  </r>
  <r>
    <n v="400"/>
    <x v="11"/>
    <x v="101"/>
    <x v="7"/>
    <s v="Percent of GDP"/>
    <s v="Units"/>
    <x v="5"/>
    <n v="18.065999999999999"/>
  </r>
  <r>
    <n v="400"/>
    <x v="11"/>
    <x v="101"/>
    <x v="7"/>
    <s v="Percent of GDP"/>
    <s v="Units"/>
    <x v="6"/>
    <n v="17.398"/>
  </r>
  <r>
    <n v="200"/>
    <x v="3"/>
    <x v="101"/>
    <x v="7"/>
    <s v="Percent of GDP"/>
    <s v="Units"/>
    <x v="0"/>
    <n v="18.757000000000001"/>
  </r>
  <r>
    <n v="200"/>
    <x v="3"/>
    <x v="101"/>
    <x v="7"/>
    <s v="Percent of GDP"/>
    <s v="Units"/>
    <x v="1"/>
    <n v="18.433"/>
  </r>
  <r>
    <n v="200"/>
    <x v="3"/>
    <x v="101"/>
    <x v="7"/>
    <s v="Percent of GDP"/>
    <s v="Units"/>
    <x v="2"/>
    <n v="18.300999999999998"/>
  </r>
  <r>
    <n v="200"/>
    <x v="3"/>
    <x v="101"/>
    <x v="7"/>
    <s v="Percent of GDP"/>
    <s v="Units"/>
    <x v="3"/>
    <n v="18.558"/>
  </r>
  <r>
    <n v="200"/>
    <x v="3"/>
    <x v="101"/>
    <x v="7"/>
    <s v="Percent of GDP"/>
    <s v="Units"/>
    <x v="4"/>
    <n v="17.63"/>
  </r>
  <r>
    <n v="200"/>
    <x v="3"/>
    <x v="101"/>
    <x v="7"/>
    <s v="Percent of GDP"/>
    <s v="Units"/>
    <x v="5"/>
    <n v="18.065999999999999"/>
  </r>
  <r>
    <n v="200"/>
    <x v="3"/>
    <x v="101"/>
    <x v="7"/>
    <s v="Percent of GDP"/>
    <s v="Units"/>
    <x v="6"/>
    <n v="17.398"/>
  </r>
  <r>
    <n v="1"/>
    <x v="2"/>
    <x v="101"/>
    <x v="7"/>
    <s v="Percent of GDP"/>
    <s v="Units"/>
    <x v="0"/>
    <n v="18.757000000000001"/>
  </r>
  <r>
    <n v="1"/>
    <x v="2"/>
    <x v="101"/>
    <x v="7"/>
    <s v="Percent of GDP"/>
    <s v="Units"/>
    <x v="1"/>
    <n v="18.433"/>
  </r>
  <r>
    <n v="1"/>
    <x v="2"/>
    <x v="101"/>
    <x v="7"/>
    <s v="Percent of GDP"/>
    <s v="Units"/>
    <x v="2"/>
    <n v="18.300999999999998"/>
  </r>
  <r>
    <n v="1"/>
    <x v="2"/>
    <x v="101"/>
    <x v="7"/>
    <s v="Percent of GDP"/>
    <s v="Units"/>
    <x v="3"/>
    <n v="18.558"/>
  </r>
  <r>
    <n v="1"/>
    <x v="2"/>
    <x v="101"/>
    <x v="7"/>
    <s v="Percent of GDP"/>
    <s v="Units"/>
    <x v="4"/>
    <n v="17.63"/>
  </r>
  <r>
    <n v="1"/>
    <x v="2"/>
    <x v="101"/>
    <x v="7"/>
    <s v="Percent of GDP"/>
    <s v="Units"/>
    <x v="5"/>
    <n v="18.065999999999999"/>
  </r>
  <r>
    <n v="1"/>
    <x v="2"/>
    <x v="101"/>
    <x v="7"/>
    <s v="Percent of GDP"/>
    <s v="Units"/>
    <x v="6"/>
    <n v="17.398"/>
  </r>
  <r>
    <n v="200"/>
    <x v="3"/>
    <x v="23"/>
    <x v="5"/>
    <s v="Percent of GDP"/>
    <s v="Units"/>
    <x v="0"/>
    <n v="13.318"/>
  </r>
  <r>
    <n v="200"/>
    <x v="3"/>
    <x v="23"/>
    <x v="5"/>
    <s v="Percent of GDP"/>
    <s v="Units"/>
    <x v="1"/>
    <n v="17.295999999999999"/>
  </r>
  <r>
    <n v="200"/>
    <x v="3"/>
    <x v="23"/>
    <x v="5"/>
    <s v="Percent of GDP"/>
    <s v="Units"/>
    <x v="2"/>
    <n v="19.571999999999999"/>
  </r>
  <r>
    <n v="200"/>
    <x v="3"/>
    <x v="23"/>
    <x v="5"/>
    <s v="Percent of GDP"/>
    <s v="Units"/>
    <x v="3"/>
    <n v="17.454000000000001"/>
  </r>
  <r>
    <n v="200"/>
    <x v="3"/>
    <x v="23"/>
    <x v="5"/>
    <s v="Percent of GDP"/>
    <s v="Units"/>
    <x v="4"/>
    <n v="14.917999999999999"/>
  </r>
  <r>
    <n v="200"/>
    <x v="3"/>
    <x v="23"/>
    <x v="5"/>
    <s v="Percent of GDP"/>
    <s v="Units"/>
    <x v="5"/>
    <n v="18.007999999999999"/>
  </r>
  <r>
    <n v="200"/>
    <x v="3"/>
    <x v="23"/>
    <x v="5"/>
    <s v="Percent of GDP"/>
    <s v="Units"/>
    <x v="6"/>
    <n v="18.803000000000001"/>
  </r>
  <r>
    <n v="1"/>
    <x v="2"/>
    <x v="23"/>
    <x v="5"/>
    <s v="Percent of GDP"/>
    <s v="Units"/>
    <x v="0"/>
    <n v="13.318"/>
  </r>
  <r>
    <n v="1"/>
    <x v="2"/>
    <x v="23"/>
    <x v="5"/>
    <s v="Percent of GDP"/>
    <s v="Units"/>
    <x v="1"/>
    <n v="17.295999999999999"/>
  </r>
  <r>
    <n v="1"/>
    <x v="2"/>
    <x v="23"/>
    <x v="5"/>
    <s v="Percent of GDP"/>
    <s v="Units"/>
    <x v="2"/>
    <n v="19.571999999999999"/>
  </r>
  <r>
    <n v="1"/>
    <x v="2"/>
    <x v="23"/>
    <x v="5"/>
    <s v="Percent of GDP"/>
    <s v="Units"/>
    <x v="3"/>
    <n v="17.454000000000001"/>
  </r>
  <r>
    <n v="1"/>
    <x v="2"/>
    <x v="23"/>
    <x v="5"/>
    <s v="Percent of GDP"/>
    <s v="Units"/>
    <x v="4"/>
    <n v="14.917999999999999"/>
  </r>
  <r>
    <n v="1"/>
    <x v="2"/>
    <x v="23"/>
    <x v="5"/>
    <s v="Percent of GDP"/>
    <s v="Units"/>
    <x v="5"/>
    <n v="18.007999999999999"/>
  </r>
  <r>
    <n v="1"/>
    <x v="2"/>
    <x v="23"/>
    <x v="5"/>
    <s v="Percent of GDP"/>
    <s v="Units"/>
    <x v="6"/>
    <n v="18.803000000000001"/>
  </r>
  <r>
    <n v="205"/>
    <x v="7"/>
    <x v="23"/>
    <x v="5"/>
    <s v="Percent of GDP"/>
    <s v="Units"/>
    <x v="0"/>
    <n v="13.318"/>
  </r>
  <r>
    <n v="205"/>
    <x v="7"/>
    <x v="23"/>
    <x v="5"/>
    <s v="Percent of GDP"/>
    <s v="Units"/>
    <x v="1"/>
    <n v="17.295999999999999"/>
  </r>
  <r>
    <n v="205"/>
    <x v="7"/>
    <x v="23"/>
    <x v="5"/>
    <s v="Percent of GDP"/>
    <s v="Units"/>
    <x v="2"/>
    <n v="19.571999999999999"/>
  </r>
  <r>
    <n v="205"/>
    <x v="7"/>
    <x v="23"/>
    <x v="5"/>
    <s v="Percent of GDP"/>
    <s v="Units"/>
    <x v="3"/>
    <n v="17.454000000000001"/>
  </r>
  <r>
    <n v="205"/>
    <x v="7"/>
    <x v="23"/>
    <x v="5"/>
    <s v="Percent of GDP"/>
    <s v="Units"/>
    <x v="4"/>
    <n v="14.917999999999999"/>
  </r>
  <r>
    <n v="205"/>
    <x v="7"/>
    <x v="23"/>
    <x v="5"/>
    <s v="Percent of GDP"/>
    <s v="Units"/>
    <x v="5"/>
    <n v="18.007999999999999"/>
  </r>
  <r>
    <n v="205"/>
    <x v="7"/>
    <x v="23"/>
    <x v="5"/>
    <s v="Percent of GDP"/>
    <s v="Units"/>
    <x v="6"/>
    <n v="18.803000000000001"/>
  </r>
  <r>
    <n v="200"/>
    <x v="3"/>
    <x v="145"/>
    <x v="5"/>
    <s v="Percent of GDP"/>
    <s v="Units"/>
    <x v="0"/>
    <n v="21.361999999999998"/>
  </r>
  <r>
    <n v="200"/>
    <x v="3"/>
    <x v="145"/>
    <x v="5"/>
    <s v="Percent of GDP"/>
    <s v="Units"/>
    <x v="1"/>
    <n v="12.237"/>
  </r>
  <r>
    <n v="200"/>
    <x v="3"/>
    <x v="145"/>
    <x v="5"/>
    <s v="Percent of GDP"/>
    <s v="Units"/>
    <x v="2"/>
    <n v="10.4"/>
  </r>
  <r>
    <n v="200"/>
    <x v="3"/>
    <x v="145"/>
    <x v="5"/>
    <s v="Percent of GDP"/>
    <s v="Units"/>
    <x v="3"/>
    <n v="19.582999999999998"/>
  </r>
  <r>
    <n v="200"/>
    <x v="3"/>
    <x v="145"/>
    <x v="5"/>
    <s v="Percent of GDP"/>
    <s v="Units"/>
    <x v="4"/>
    <n v="19.012"/>
  </r>
  <r>
    <n v="200"/>
    <x v="3"/>
    <x v="145"/>
    <x v="5"/>
    <s v="Percent of GDP"/>
    <s v="Units"/>
    <x v="5"/>
    <n v="17.97"/>
  </r>
  <r>
    <n v="200"/>
    <x v="3"/>
    <x v="145"/>
    <x v="5"/>
    <s v="Percent of GDP"/>
    <s v="Units"/>
    <x v="6"/>
    <n v="17.936"/>
  </r>
  <r>
    <n v="1"/>
    <x v="2"/>
    <x v="145"/>
    <x v="5"/>
    <s v="Percent of GDP"/>
    <s v="Units"/>
    <x v="0"/>
    <n v="21.361999999999998"/>
  </r>
  <r>
    <n v="1"/>
    <x v="2"/>
    <x v="145"/>
    <x v="5"/>
    <s v="Percent of GDP"/>
    <s v="Units"/>
    <x v="1"/>
    <n v="12.237"/>
  </r>
  <r>
    <n v="1"/>
    <x v="2"/>
    <x v="145"/>
    <x v="5"/>
    <s v="Percent of GDP"/>
    <s v="Units"/>
    <x v="2"/>
    <n v="10.4"/>
  </r>
  <r>
    <n v="1"/>
    <x v="2"/>
    <x v="145"/>
    <x v="5"/>
    <s v="Percent of GDP"/>
    <s v="Units"/>
    <x v="3"/>
    <n v="19.582999999999998"/>
  </r>
  <r>
    <n v="1"/>
    <x v="2"/>
    <x v="145"/>
    <x v="5"/>
    <s v="Percent of GDP"/>
    <s v="Units"/>
    <x v="4"/>
    <n v="19.012"/>
  </r>
  <r>
    <n v="1"/>
    <x v="2"/>
    <x v="145"/>
    <x v="5"/>
    <s v="Percent of GDP"/>
    <s v="Units"/>
    <x v="5"/>
    <n v="17.97"/>
  </r>
  <r>
    <n v="1"/>
    <x v="2"/>
    <x v="145"/>
    <x v="5"/>
    <s v="Percent of GDP"/>
    <s v="Units"/>
    <x v="6"/>
    <n v="17.936"/>
  </r>
  <r>
    <n v="400"/>
    <x v="11"/>
    <x v="145"/>
    <x v="5"/>
    <s v="Percent of GDP"/>
    <s v="Units"/>
    <x v="0"/>
    <n v="21.361999999999998"/>
  </r>
  <r>
    <n v="400"/>
    <x v="11"/>
    <x v="145"/>
    <x v="5"/>
    <s v="Percent of GDP"/>
    <s v="Units"/>
    <x v="1"/>
    <n v="12.237"/>
  </r>
  <r>
    <n v="400"/>
    <x v="11"/>
    <x v="145"/>
    <x v="5"/>
    <s v="Percent of GDP"/>
    <s v="Units"/>
    <x v="2"/>
    <n v="10.4"/>
  </r>
  <r>
    <n v="400"/>
    <x v="11"/>
    <x v="145"/>
    <x v="5"/>
    <s v="Percent of GDP"/>
    <s v="Units"/>
    <x v="3"/>
    <n v="19.582999999999998"/>
  </r>
  <r>
    <n v="400"/>
    <x v="11"/>
    <x v="145"/>
    <x v="5"/>
    <s v="Percent of GDP"/>
    <s v="Units"/>
    <x v="4"/>
    <n v="19.012"/>
  </r>
  <r>
    <n v="400"/>
    <x v="11"/>
    <x v="145"/>
    <x v="5"/>
    <s v="Percent of GDP"/>
    <s v="Units"/>
    <x v="5"/>
    <n v="17.97"/>
  </r>
  <r>
    <n v="400"/>
    <x v="11"/>
    <x v="145"/>
    <x v="5"/>
    <s v="Percent of GDP"/>
    <s v="Units"/>
    <x v="6"/>
    <n v="17.936"/>
  </r>
  <r>
    <n v="200"/>
    <x v="3"/>
    <x v="79"/>
    <x v="2"/>
    <s v="Percent of GDP"/>
    <s v="Units"/>
    <x v="0"/>
    <n v="17.779"/>
  </r>
  <r>
    <n v="200"/>
    <x v="3"/>
    <x v="79"/>
    <x v="2"/>
    <s v="Percent of GDP"/>
    <s v="Units"/>
    <x v="1"/>
    <n v="17.274000000000001"/>
  </r>
  <r>
    <n v="200"/>
    <x v="3"/>
    <x v="79"/>
    <x v="2"/>
    <s v="Percent of GDP"/>
    <s v="Units"/>
    <x v="2"/>
    <n v="17.292999999999999"/>
  </r>
  <r>
    <n v="200"/>
    <x v="3"/>
    <x v="79"/>
    <x v="2"/>
    <s v="Percent of GDP"/>
    <s v="Units"/>
    <x v="3"/>
    <n v="17.356999999999999"/>
  </r>
  <r>
    <n v="200"/>
    <x v="3"/>
    <x v="79"/>
    <x v="2"/>
    <s v="Percent of GDP"/>
    <s v="Units"/>
    <x v="4"/>
    <n v="18.190999999999999"/>
  </r>
  <r>
    <n v="200"/>
    <x v="3"/>
    <x v="79"/>
    <x v="2"/>
    <s v="Percent of GDP"/>
    <s v="Units"/>
    <x v="5"/>
    <n v="17.75"/>
  </r>
  <r>
    <n v="200"/>
    <x v="3"/>
    <x v="79"/>
    <x v="2"/>
    <s v="Percent of GDP"/>
    <s v="Units"/>
    <x v="6"/>
    <n v="17.78"/>
  </r>
  <r>
    <n v="205"/>
    <x v="7"/>
    <x v="79"/>
    <x v="2"/>
    <s v="Percent of GDP"/>
    <s v="Units"/>
    <x v="0"/>
    <n v="17.779"/>
  </r>
  <r>
    <n v="205"/>
    <x v="7"/>
    <x v="79"/>
    <x v="2"/>
    <s v="Percent of GDP"/>
    <s v="Units"/>
    <x v="1"/>
    <n v="17.274000000000001"/>
  </r>
  <r>
    <n v="205"/>
    <x v="7"/>
    <x v="79"/>
    <x v="2"/>
    <s v="Percent of GDP"/>
    <s v="Units"/>
    <x v="2"/>
    <n v="17.292999999999999"/>
  </r>
  <r>
    <n v="205"/>
    <x v="7"/>
    <x v="79"/>
    <x v="2"/>
    <s v="Percent of GDP"/>
    <s v="Units"/>
    <x v="3"/>
    <n v="17.356999999999999"/>
  </r>
  <r>
    <n v="205"/>
    <x v="7"/>
    <x v="79"/>
    <x v="2"/>
    <s v="Percent of GDP"/>
    <s v="Units"/>
    <x v="4"/>
    <n v="18.190999999999999"/>
  </r>
  <r>
    <n v="205"/>
    <x v="7"/>
    <x v="79"/>
    <x v="2"/>
    <s v="Percent of GDP"/>
    <s v="Units"/>
    <x v="5"/>
    <n v="17.75"/>
  </r>
  <r>
    <n v="205"/>
    <x v="7"/>
    <x v="79"/>
    <x v="2"/>
    <s v="Percent of GDP"/>
    <s v="Units"/>
    <x v="6"/>
    <n v="17.78"/>
  </r>
  <r>
    <n v="200"/>
    <x v="3"/>
    <x v="162"/>
    <x v="2"/>
    <s v="Percent of GDP"/>
    <s v="Units"/>
    <x v="0"/>
    <n v="14.765000000000001"/>
  </r>
  <r>
    <n v="200"/>
    <x v="3"/>
    <x v="162"/>
    <x v="2"/>
    <s v="Percent of GDP"/>
    <s v="Units"/>
    <x v="1"/>
    <n v="14.545999999999999"/>
  </r>
  <r>
    <n v="200"/>
    <x v="3"/>
    <x v="162"/>
    <x v="2"/>
    <s v="Percent of GDP"/>
    <s v="Units"/>
    <x v="2"/>
    <n v="15.042"/>
  </r>
  <r>
    <n v="200"/>
    <x v="3"/>
    <x v="162"/>
    <x v="2"/>
    <s v="Percent of GDP"/>
    <s v="Units"/>
    <x v="3"/>
    <n v="17.344000000000001"/>
  </r>
  <r>
    <n v="200"/>
    <x v="3"/>
    <x v="162"/>
    <x v="2"/>
    <s v="Percent of GDP"/>
    <s v="Units"/>
    <x v="4"/>
    <n v="17.96"/>
  </r>
  <r>
    <n v="200"/>
    <x v="3"/>
    <x v="162"/>
    <x v="2"/>
    <s v="Percent of GDP"/>
    <s v="Units"/>
    <x v="5"/>
    <n v="17.709"/>
  </r>
  <r>
    <n v="200"/>
    <x v="3"/>
    <x v="162"/>
    <x v="2"/>
    <s v="Percent of GDP"/>
    <s v="Units"/>
    <x v="6"/>
    <n v="18.346"/>
  </r>
  <r>
    <n v="603"/>
    <x v="12"/>
    <x v="162"/>
    <x v="2"/>
    <s v="Percent of GDP"/>
    <s v="Units"/>
    <x v="0"/>
    <n v="14.765000000000001"/>
  </r>
  <r>
    <n v="603"/>
    <x v="12"/>
    <x v="162"/>
    <x v="2"/>
    <s v="Percent of GDP"/>
    <s v="Units"/>
    <x v="1"/>
    <n v="14.545999999999999"/>
  </r>
  <r>
    <n v="603"/>
    <x v="12"/>
    <x v="162"/>
    <x v="2"/>
    <s v="Percent of GDP"/>
    <s v="Units"/>
    <x v="2"/>
    <n v="15.042"/>
  </r>
  <r>
    <n v="603"/>
    <x v="12"/>
    <x v="162"/>
    <x v="2"/>
    <s v="Percent of GDP"/>
    <s v="Units"/>
    <x v="3"/>
    <n v="17.344000000000001"/>
  </r>
  <r>
    <n v="603"/>
    <x v="12"/>
    <x v="162"/>
    <x v="2"/>
    <s v="Percent of GDP"/>
    <s v="Units"/>
    <x v="4"/>
    <n v="17.96"/>
  </r>
  <r>
    <n v="603"/>
    <x v="12"/>
    <x v="162"/>
    <x v="2"/>
    <s v="Percent of GDP"/>
    <s v="Units"/>
    <x v="5"/>
    <n v="17.709"/>
  </r>
  <r>
    <n v="603"/>
    <x v="12"/>
    <x v="162"/>
    <x v="2"/>
    <s v="Percent of GDP"/>
    <s v="Units"/>
    <x v="6"/>
    <n v="18.346"/>
  </r>
  <r>
    <n v="1"/>
    <x v="2"/>
    <x v="57"/>
    <x v="7"/>
    <s v="Percent of GDP"/>
    <s v="Units"/>
    <x v="0"/>
    <n v="14.885999999999999"/>
  </r>
  <r>
    <n v="1"/>
    <x v="2"/>
    <x v="57"/>
    <x v="7"/>
    <s v="Percent of GDP"/>
    <s v="Units"/>
    <x v="1"/>
    <n v="8.9320000000000004"/>
  </r>
  <r>
    <n v="1"/>
    <x v="2"/>
    <x v="57"/>
    <x v="7"/>
    <s v="Percent of GDP"/>
    <s v="Units"/>
    <x v="2"/>
    <n v="14.467000000000001"/>
  </r>
  <r>
    <n v="1"/>
    <x v="2"/>
    <x v="57"/>
    <x v="7"/>
    <s v="Percent of GDP"/>
    <s v="Units"/>
    <x v="3"/>
    <n v="12.611000000000001"/>
  </r>
  <r>
    <n v="1"/>
    <x v="2"/>
    <x v="57"/>
    <x v="7"/>
    <s v="Percent of GDP"/>
    <s v="Units"/>
    <x v="4"/>
    <n v="16.338999999999999"/>
  </r>
  <r>
    <n v="1"/>
    <x v="2"/>
    <x v="57"/>
    <x v="7"/>
    <s v="Percent of GDP"/>
    <s v="Units"/>
    <x v="5"/>
    <n v="17.638999999999999"/>
  </r>
  <r>
    <n v="1"/>
    <x v="2"/>
    <x v="57"/>
    <x v="7"/>
    <s v="Percent of GDP"/>
    <s v="Units"/>
    <x v="6"/>
    <n v="19.026"/>
  </r>
  <r>
    <n v="200"/>
    <x v="3"/>
    <x v="57"/>
    <x v="7"/>
    <s v="Percent of GDP"/>
    <s v="Units"/>
    <x v="0"/>
    <n v="14.885999999999999"/>
  </r>
  <r>
    <n v="200"/>
    <x v="3"/>
    <x v="57"/>
    <x v="7"/>
    <s v="Percent of GDP"/>
    <s v="Units"/>
    <x v="1"/>
    <n v="8.9320000000000004"/>
  </r>
  <r>
    <n v="200"/>
    <x v="3"/>
    <x v="57"/>
    <x v="7"/>
    <s v="Percent of GDP"/>
    <s v="Units"/>
    <x v="2"/>
    <n v="14.467000000000001"/>
  </r>
  <r>
    <n v="200"/>
    <x v="3"/>
    <x v="57"/>
    <x v="7"/>
    <s v="Percent of GDP"/>
    <s v="Units"/>
    <x v="3"/>
    <n v="12.611000000000001"/>
  </r>
  <r>
    <n v="200"/>
    <x v="3"/>
    <x v="57"/>
    <x v="7"/>
    <s v="Percent of GDP"/>
    <s v="Units"/>
    <x v="4"/>
    <n v="16.338999999999999"/>
  </r>
  <r>
    <n v="200"/>
    <x v="3"/>
    <x v="57"/>
    <x v="7"/>
    <s v="Percent of GDP"/>
    <s v="Units"/>
    <x v="5"/>
    <n v="17.638999999999999"/>
  </r>
  <r>
    <n v="200"/>
    <x v="3"/>
    <x v="57"/>
    <x v="7"/>
    <s v="Percent of GDP"/>
    <s v="Units"/>
    <x v="6"/>
    <n v="19.026"/>
  </r>
  <r>
    <n v="903"/>
    <x v="8"/>
    <x v="57"/>
    <x v="7"/>
    <s v="Percent of GDP"/>
    <s v="Units"/>
    <x v="0"/>
    <n v="14.885999999999999"/>
  </r>
  <r>
    <n v="903"/>
    <x v="8"/>
    <x v="57"/>
    <x v="7"/>
    <s v="Percent of GDP"/>
    <s v="Units"/>
    <x v="1"/>
    <n v="8.9320000000000004"/>
  </r>
  <r>
    <n v="903"/>
    <x v="8"/>
    <x v="57"/>
    <x v="7"/>
    <s v="Percent of GDP"/>
    <s v="Units"/>
    <x v="2"/>
    <n v="14.467000000000001"/>
  </r>
  <r>
    <n v="903"/>
    <x v="8"/>
    <x v="57"/>
    <x v="7"/>
    <s v="Percent of GDP"/>
    <s v="Units"/>
    <x v="3"/>
    <n v="12.611000000000001"/>
  </r>
  <r>
    <n v="903"/>
    <x v="8"/>
    <x v="57"/>
    <x v="7"/>
    <s v="Percent of GDP"/>
    <s v="Units"/>
    <x v="4"/>
    <n v="16.338999999999999"/>
  </r>
  <r>
    <n v="903"/>
    <x v="8"/>
    <x v="57"/>
    <x v="7"/>
    <s v="Percent of GDP"/>
    <s v="Units"/>
    <x v="5"/>
    <n v="17.638999999999999"/>
  </r>
  <r>
    <n v="903"/>
    <x v="8"/>
    <x v="57"/>
    <x v="7"/>
    <s v="Percent of GDP"/>
    <s v="Units"/>
    <x v="6"/>
    <n v="19.026"/>
  </r>
  <r>
    <n v="200"/>
    <x v="3"/>
    <x v="156"/>
    <x v="5"/>
    <s v="Percent of GDP"/>
    <s v="Units"/>
    <x v="0"/>
    <n v="13.17"/>
  </r>
  <r>
    <n v="200"/>
    <x v="3"/>
    <x v="156"/>
    <x v="5"/>
    <s v="Percent of GDP"/>
    <s v="Units"/>
    <x v="1"/>
    <n v="15.977"/>
  </r>
  <r>
    <n v="200"/>
    <x v="3"/>
    <x v="156"/>
    <x v="5"/>
    <s v="Percent of GDP"/>
    <s v="Units"/>
    <x v="2"/>
    <n v="11.675000000000001"/>
  </r>
  <r>
    <n v="200"/>
    <x v="3"/>
    <x v="156"/>
    <x v="5"/>
    <s v="Percent of GDP"/>
    <s v="Units"/>
    <x v="3"/>
    <n v="9.1440000000000001"/>
  </r>
  <r>
    <n v="200"/>
    <x v="3"/>
    <x v="156"/>
    <x v="5"/>
    <s v="Percent of GDP"/>
    <s v="Units"/>
    <x v="4"/>
    <n v="17.396999999999998"/>
  </r>
  <r>
    <n v="200"/>
    <x v="3"/>
    <x v="156"/>
    <x v="5"/>
    <s v="Percent of GDP"/>
    <s v="Units"/>
    <x v="5"/>
    <n v="17.635999999999999"/>
  </r>
  <r>
    <n v="200"/>
    <x v="3"/>
    <x v="156"/>
    <x v="5"/>
    <s v="Percent of GDP"/>
    <s v="Units"/>
    <x v="6"/>
    <n v="15.388999999999999"/>
  </r>
  <r>
    <n v="505"/>
    <x v="4"/>
    <x v="156"/>
    <x v="5"/>
    <s v="Percent of GDP"/>
    <s v="Units"/>
    <x v="0"/>
    <n v="13.17"/>
  </r>
  <r>
    <n v="505"/>
    <x v="4"/>
    <x v="156"/>
    <x v="5"/>
    <s v="Percent of GDP"/>
    <s v="Units"/>
    <x v="1"/>
    <n v="15.977"/>
  </r>
  <r>
    <n v="505"/>
    <x v="4"/>
    <x v="156"/>
    <x v="5"/>
    <s v="Percent of GDP"/>
    <s v="Units"/>
    <x v="2"/>
    <n v="11.675000000000001"/>
  </r>
  <r>
    <n v="505"/>
    <x v="4"/>
    <x v="156"/>
    <x v="5"/>
    <s v="Percent of GDP"/>
    <s v="Units"/>
    <x v="3"/>
    <n v="9.1440000000000001"/>
  </r>
  <r>
    <n v="505"/>
    <x v="4"/>
    <x v="156"/>
    <x v="5"/>
    <s v="Percent of GDP"/>
    <s v="Units"/>
    <x v="4"/>
    <n v="17.396999999999998"/>
  </r>
  <r>
    <n v="505"/>
    <x v="4"/>
    <x v="156"/>
    <x v="5"/>
    <s v="Percent of GDP"/>
    <s v="Units"/>
    <x v="5"/>
    <n v="17.635999999999999"/>
  </r>
  <r>
    <n v="505"/>
    <x v="4"/>
    <x v="156"/>
    <x v="5"/>
    <s v="Percent of GDP"/>
    <s v="Units"/>
    <x v="6"/>
    <n v="15.388999999999999"/>
  </r>
  <r>
    <n v="1"/>
    <x v="2"/>
    <x v="156"/>
    <x v="5"/>
    <s v="Percent of GDP"/>
    <s v="Units"/>
    <x v="0"/>
    <n v="13.17"/>
  </r>
  <r>
    <n v="1"/>
    <x v="2"/>
    <x v="156"/>
    <x v="5"/>
    <s v="Percent of GDP"/>
    <s v="Units"/>
    <x v="1"/>
    <n v="15.977"/>
  </r>
  <r>
    <n v="1"/>
    <x v="2"/>
    <x v="156"/>
    <x v="5"/>
    <s v="Percent of GDP"/>
    <s v="Units"/>
    <x v="2"/>
    <n v="11.675000000000001"/>
  </r>
  <r>
    <n v="1"/>
    <x v="2"/>
    <x v="156"/>
    <x v="5"/>
    <s v="Percent of GDP"/>
    <s v="Units"/>
    <x v="3"/>
    <n v="9.1440000000000001"/>
  </r>
  <r>
    <n v="1"/>
    <x v="2"/>
    <x v="156"/>
    <x v="5"/>
    <s v="Percent of GDP"/>
    <s v="Units"/>
    <x v="4"/>
    <n v="17.396999999999998"/>
  </r>
  <r>
    <n v="1"/>
    <x v="2"/>
    <x v="156"/>
    <x v="5"/>
    <s v="Percent of GDP"/>
    <s v="Units"/>
    <x v="5"/>
    <n v="17.635999999999999"/>
  </r>
  <r>
    <n v="1"/>
    <x v="2"/>
    <x v="156"/>
    <x v="5"/>
    <s v="Percent of GDP"/>
    <s v="Units"/>
    <x v="6"/>
    <n v="15.388999999999999"/>
  </r>
  <r>
    <n v="505"/>
    <x v="4"/>
    <x v="36"/>
    <x v="2"/>
    <s v="Percent of GDP"/>
    <s v="Units"/>
    <x v="0"/>
    <n v="21.567"/>
  </r>
  <r>
    <n v="505"/>
    <x v="4"/>
    <x v="36"/>
    <x v="2"/>
    <s v="Percent of GDP"/>
    <s v="Units"/>
    <x v="1"/>
    <n v="20.138999999999999"/>
  </r>
  <r>
    <n v="505"/>
    <x v="4"/>
    <x v="36"/>
    <x v="2"/>
    <s v="Percent of GDP"/>
    <s v="Units"/>
    <x v="2"/>
    <n v="18.416"/>
  </r>
  <r>
    <n v="505"/>
    <x v="4"/>
    <x v="36"/>
    <x v="2"/>
    <s v="Percent of GDP"/>
    <s v="Units"/>
    <x v="3"/>
    <n v="19.867000000000001"/>
  </r>
  <r>
    <n v="505"/>
    <x v="4"/>
    <x v="36"/>
    <x v="2"/>
    <s v="Percent of GDP"/>
    <s v="Units"/>
    <x v="4"/>
    <n v="18.872"/>
  </r>
  <r>
    <n v="505"/>
    <x v="4"/>
    <x v="36"/>
    <x v="2"/>
    <s v="Percent of GDP"/>
    <s v="Units"/>
    <x v="5"/>
    <n v="17.634"/>
  </r>
  <r>
    <n v="505"/>
    <x v="4"/>
    <x v="36"/>
    <x v="2"/>
    <s v="Percent of GDP"/>
    <s v="Units"/>
    <x v="6"/>
    <n v="17.03"/>
  </r>
  <r>
    <n v="200"/>
    <x v="3"/>
    <x v="36"/>
    <x v="2"/>
    <s v="Percent of GDP"/>
    <s v="Units"/>
    <x v="0"/>
    <n v="21.567"/>
  </r>
  <r>
    <n v="200"/>
    <x v="3"/>
    <x v="36"/>
    <x v="2"/>
    <s v="Percent of GDP"/>
    <s v="Units"/>
    <x v="1"/>
    <n v="20.138999999999999"/>
  </r>
  <r>
    <n v="200"/>
    <x v="3"/>
    <x v="36"/>
    <x v="2"/>
    <s v="Percent of GDP"/>
    <s v="Units"/>
    <x v="2"/>
    <n v="18.416"/>
  </r>
  <r>
    <n v="200"/>
    <x v="3"/>
    <x v="36"/>
    <x v="2"/>
    <s v="Percent of GDP"/>
    <s v="Units"/>
    <x v="3"/>
    <n v="19.867000000000001"/>
  </r>
  <r>
    <n v="200"/>
    <x v="3"/>
    <x v="36"/>
    <x v="2"/>
    <s v="Percent of GDP"/>
    <s v="Units"/>
    <x v="4"/>
    <n v="18.872"/>
  </r>
  <r>
    <n v="200"/>
    <x v="3"/>
    <x v="36"/>
    <x v="2"/>
    <s v="Percent of GDP"/>
    <s v="Units"/>
    <x v="5"/>
    <n v="17.634"/>
  </r>
  <r>
    <n v="200"/>
    <x v="3"/>
    <x v="36"/>
    <x v="2"/>
    <s v="Percent of GDP"/>
    <s v="Units"/>
    <x v="6"/>
    <n v="17.03"/>
  </r>
  <r>
    <n v="510"/>
    <x v="10"/>
    <x v="36"/>
    <x v="2"/>
    <s v="Percent of GDP"/>
    <s v="Units"/>
    <x v="0"/>
    <n v="21.567"/>
  </r>
  <r>
    <n v="510"/>
    <x v="10"/>
    <x v="36"/>
    <x v="2"/>
    <s v="Percent of GDP"/>
    <s v="Units"/>
    <x v="1"/>
    <n v="20.138999999999999"/>
  </r>
  <r>
    <n v="510"/>
    <x v="10"/>
    <x v="36"/>
    <x v="2"/>
    <s v="Percent of GDP"/>
    <s v="Units"/>
    <x v="2"/>
    <n v="18.416"/>
  </r>
  <r>
    <n v="510"/>
    <x v="10"/>
    <x v="36"/>
    <x v="2"/>
    <s v="Percent of GDP"/>
    <s v="Units"/>
    <x v="3"/>
    <n v="19.867000000000001"/>
  </r>
  <r>
    <n v="510"/>
    <x v="10"/>
    <x v="36"/>
    <x v="2"/>
    <s v="Percent of GDP"/>
    <s v="Units"/>
    <x v="4"/>
    <n v="18.872"/>
  </r>
  <r>
    <n v="510"/>
    <x v="10"/>
    <x v="36"/>
    <x v="2"/>
    <s v="Percent of GDP"/>
    <s v="Units"/>
    <x v="5"/>
    <n v="17.634"/>
  </r>
  <r>
    <n v="510"/>
    <x v="10"/>
    <x v="36"/>
    <x v="2"/>
    <s v="Percent of GDP"/>
    <s v="Units"/>
    <x v="6"/>
    <n v="17.03"/>
  </r>
  <r>
    <n v="1"/>
    <x v="2"/>
    <x v="76"/>
    <x v="7"/>
    <s v="Percent of GDP"/>
    <s v="Units"/>
    <x v="0"/>
    <n v="18.693000000000001"/>
  </r>
  <r>
    <n v="1"/>
    <x v="2"/>
    <x v="76"/>
    <x v="7"/>
    <s v="Percent of GDP"/>
    <s v="Units"/>
    <x v="1"/>
    <n v="17.344999999999999"/>
  </r>
  <r>
    <n v="1"/>
    <x v="2"/>
    <x v="76"/>
    <x v="7"/>
    <s v="Percent of GDP"/>
    <s v="Units"/>
    <x v="2"/>
    <n v="18.84"/>
  </r>
  <r>
    <n v="1"/>
    <x v="2"/>
    <x v="76"/>
    <x v="7"/>
    <s v="Percent of GDP"/>
    <s v="Units"/>
    <x v="3"/>
    <n v="17.745999999999999"/>
  </r>
  <r>
    <n v="1"/>
    <x v="2"/>
    <x v="76"/>
    <x v="7"/>
    <s v="Percent of GDP"/>
    <s v="Units"/>
    <x v="4"/>
    <n v="17.95"/>
  </r>
  <r>
    <n v="1"/>
    <x v="2"/>
    <x v="76"/>
    <x v="7"/>
    <s v="Percent of GDP"/>
    <s v="Units"/>
    <x v="5"/>
    <n v="17.623999999999999"/>
  </r>
  <r>
    <n v="1"/>
    <x v="2"/>
    <x v="76"/>
    <x v="7"/>
    <s v="Percent of GDP"/>
    <s v="Units"/>
    <x v="6"/>
    <n v="17.75"/>
  </r>
  <r>
    <n v="998"/>
    <x v="6"/>
    <x v="76"/>
    <x v="7"/>
    <s v="Percent of GDP"/>
    <s v="Units"/>
    <x v="0"/>
    <n v="18.693000000000001"/>
  </r>
  <r>
    <n v="998"/>
    <x v="6"/>
    <x v="76"/>
    <x v="7"/>
    <s v="Percent of GDP"/>
    <s v="Units"/>
    <x v="1"/>
    <n v="17.344999999999999"/>
  </r>
  <r>
    <n v="998"/>
    <x v="6"/>
    <x v="76"/>
    <x v="7"/>
    <s v="Percent of GDP"/>
    <s v="Units"/>
    <x v="2"/>
    <n v="18.84"/>
  </r>
  <r>
    <n v="998"/>
    <x v="6"/>
    <x v="76"/>
    <x v="7"/>
    <s v="Percent of GDP"/>
    <s v="Units"/>
    <x v="3"/>
    <n v="17.745999999999999"/>
  </r>
  <r>
    <n v="998"/>
    <x v="6"/>
    <x v="76"/>
    <x v="7"/>
    <s v="Percent of GDP"/>
    <s v="Units"/>
    <x v="4"/>
    <n v="17.95"/>
  </r>
  <r>
    <n v="998"/>
    <x v="6"/>
    <x v="76"/>
    <x v="7"/>
    <s v="Percent of GDP"/>
    <s v="Units"/>
    <x v="5"/>
    <n v="17.623999999999999"/>
  </r>
  <r>
    <n v="998"/>
    <x v="6"/>
    <x v="76"/>
    <x v="7"/>
    <s v="Percent of GDP"/>
    <s v="Units"/>
    <x v="6"/>
    <n v="17.75"/>
  </r>
  <r>
    <n v="163"/>
    <x v="5"/>
    <x v="76"/>
    <x v="7"/>
    <s v="Percent of GDP"/>
    <s v="Units"/>
    <x v="0"/>
    <n v="18.693000000000001"/>
  </r>
  <r>
    <n v="163"/>
    <x v="5"/>
    <x v="76"/>
    <x v="7"/>
    <s v="Percent of GDP"/>
    <s v="Units"/>
    <x v="1"/>
    <n v="17.344999999999999"/>
  </r>
  <r>
    <n v="163"/>
    <x v="5"/>
    <x v="76"/>
    <x v="7"/>
    <s v="Percent of GDP"/>
    <s v="Units"/>
    <x v="2"/>
    <n v="18.84"/>
  </r>
  <r>
    <n v="163"/>
    <x v="5"/>
    <x v="76"/>
    <x v="7"/>
    <s v="Percent of GDP"/>
    <s v="Units"/>
    <x v="3"/>
    <n v="17.745999999999999"/>
  </r>
  <r>
    <n v="163"/>
    <x v="5"/>
    <x v="76"/>
    <x v="7"/>
    <s v="Percent of GDP"/>
    <s v="Units"/>
    <x v="4"/>
    <n v="17.95"/>
  </r>
  <r>
    <n v="163"/>
    <x v="5"/>
    <x v="76"/>
    <x v="7"/>
    <s v="Percent of GDP"/>
    <s v="Units"/>
    <x v="5"/>
    <n v="17.623999999999999"/>
  </r>
  <r>
    <n v="163"/>
    <x v="5"/>
    <x v="76"/>
    <x v="7"/>
    <s v="Percent of GDP"/>
    <s v="Units"/>
    <x v="6"/>
    <n v="17.75"/>
  </r>
  <r>
    <n v="110"/>
    <x v="0"/>
    <x v="76"/>
    <x v="7"/>
    <s v="Percent of GDP"/>
    <s v="Units"/>
    <x v="0"/>
    <n v="18.693000000000001"/>
  </r>
  <r>
    <n v="110"/>
    <x v="0"/>
    <x v="76"/>
    <x v="7"/>
    <s v="Percent of GDP"/>
    <s v="Units"/>
    <x v="1"/>
    <n v="17.344999999999999"/>
  </r>
  <r>
    <n v="110"/>
    <x v="0"/>
    <x v="76"/>
    <x v="7"/>
    <s v="Percent of GDP"/>
    <s v="Units"/>
    <x v="2"/>
    <n v="18.84"/>
  </r>
  <r>
    <n v="110"/>
    <x v="0"/>
    <x v="76"/>
    <x v="7"/>
    <s v="Percent of GDP"/>
    <s v="Units"/>
    <x v="3"/>
    <n v="17.745999999999999"/>
  </r>
  <r>
    <n v="110"/>
    <x v="0"/>
    <x v="76"/>
    <x v="7"/>
    <s v="Percent of GDP"/>
    <s v="Units"/>
    <x v="4"/>
    <n v="17.95"/>
  </r>
  <r>
    <n v="110"/>
    <x v="0"/>
    <x v="76"/>
    <x v="7"/>
    <s v="Percent of GDP"/>
    <s v="Units"/>
    <x v="5"/>
    <n v="17.623999999999999"/>
  </r>
  <r>
    <n v="110"/>
    <x v="0"/>
    <x v="76"/>
    <x v="7"/>
    <s v="Percent of GDP"/>
    <s v="Units"/>
    <x v="6"/>
    <n v="17.75"/>
  </r>
  <r>
    <n v="200"/>
    <x v="3"/>
    <x v="81"/>
    <x v="7"/>
    <s v="Percent of GDP"/>
    <s v="Units"/>
    <x v="0"/>
    <n v="14.121"/>
  </r>
  <r>
    <n v="200"/>
    <x v="3"/>
    <x v="81"/>
    <x v="7"/>
    <s v="Percent of GDP"/>
    <s v="Units"/>
    <x v="1"/>
    <n v="16.433"/>
  </r>
  <r>
    <n v="200"/>
    <x v="3"/>
    <x v="81"/>
    <x v="7"/>
    <s v="Percent of GDP"/>
    <s v="Units"/>
    <x v="2"/>
    <n v="18.277000000000001"/>
  </r>
  <r>
    <n v="200"/>
    <x v="3"/>
    <x v="81"/>
    <x v="7"/>
    <s v="Percent of GDP"/>
    <s v="Units"/>
    <x v="3"/>
    <n v="18.917000000000002"/>
  </r>
  <r>
    <n v="200"/>
    <x v="3"/>
    <x v="81"/>
    <x v="7"/>
    <s v="Percent of GDP"/>
    <s v="Units"/>
    <x v="4"/>
    <n v="17.254999999999999"/>
  </r>
  <r>
    <n v="200"/>
    <x v="3"/>
    <x v="81"/>
    <x v="7"/>
    <s v="Percent of GDP"/>
    <s v="Units"/>
    <x v="5"/>
    <n v="17.565000000000001"/>
  </r>
  <r>
    <n v="200"/>
    <x v="3"/>
    <x v="81"/>
    <x v="7"/>
    <s v="Percent of GDP"/>
    <s v="Units"/>
    <x v="6"/>
    <n v="17.553000000000001"/>
  </r>
  <r>
    <n v="205"/>
    <x v="7"/>
    <x v="81"/>
    <x v="7"/>
    <s v="Percent of GDP"/>
    <s v="Units"/>
    <x v="0"/>
    <n v="14.121"/>
  </r>
  <r>
    <n v="205"/>
    <x v="7"/>
    <x v="81"/>
    <x v="7"/>
    <s v="Percent of GDP"/>
    <s v="Units"/>
    <x v="1"/>
    <n v="16.433"/>
  </r>
  <r>
    <n v="205"/>
    <x v="7"/>
    <x v="81"/>
    <x v="7"/>
    <s v="Percent of GDP"/>
    <s v="Units"/>
    <x v="2"/>
    <n v="18.277000000000001"/>
  </r>
  <r>
    <n v="205"/>
    <x v="7"/>
    <x v="81"/>
    <x v="7"/>
    <s v="Percent of GDP"/>
    <s v="Units"/>
    <x v="3"/>
    <n v="18.917000000000002"/>
  </r>
  <r>
    <n v="205"/>
    <x v="7"/>
    <x v="81"/>
    <x v="7"/>
    <s v="Percent of GDP"/>
    <s v="Units"/>
    <x v="4"/>
    <n v="17.254999999999999"/>
  </r>
  <r>
    <n v="205"/>
    <x v="7"/>
    <x v="81"/>
    <x v="7"/>
    <s v="Percent of GDP"/>
    <s v="Units"/>
    <x v="5"/>
    <n v="17.565000000000001"/>
  </r>
  <r>
    <n v="205"/>
    <x v="7"/>
    <x v="81"/>
    <x v="7"/>
    <s v="Percent of GDP"/>
    <s v="Units"/>
    <x v="6"/>
    <n v="17.553000000000001"/>
  </r>
  <r>
    <n v="1"/>
    <x v="2"/>
    <x v="81"/>
    <x v="7"/>
    <s v="Percent of GDP"/>
    <s v="Units"/>
    <x v="0"/>
    <n v="14.121"/>
  </r>
  <r>
    <n v="1"/>
    <x v="2"/>
    <x v="81"/>
    <x v="7"/>
    <s v="Percent of GDP"/>
    <s v="Units"/>
    <x v="1"/>
    <n v="16.433"/>
  </r>
  <r>
    <n v="1"/>
    <x v="2"/>
    <x v="81"/>
    <x v="7"/>
    <s v="Percent of GDP"/>
    <s v="Units"/>
    <x v="2"/>
    <n v="18.277000000000001"/>
  </r>
  <r>
    <n v="1"/>
    <x v="2"/>
    <x v="81"/>
    <x v="7"/>
    <s v="Percent of GDP"/>
    <s v="Units"/>
    <x v="3"/>
    <n v="18.917000000000002"/>
  </r>
  <r>
    <n v="1"/>
    <x v="2"/>
    <x v="81"/>
    <x v="7"/>
    <s v="Percent of GDP"/>
    <s v="Units"/>
    <x v="4"/>
    <n v="17.254999999999999"/>
  </r>
  <r>
    <n v="1"/>
    <x v="2"/>
    <x v="81"/>
    <x v="7"/>
    <s v="Percent of GDP"/>
    <s v="Units"/>
    <x v="5"/>
    <n v="17.565000000000001"/>
  </r>
  <r>
    <n v="1"/>
    <x v="2"/>
    <x v="81"/>
    <x v="7"/>
    <s v="Percent of GDP"/>
    <s v="Units"/>
    <x v="6"/>
    <n v="17.553000000000001"/>
  </r>
  <r>
    <n v="505"/>
    <x v="4"/>
    <x v="93"/>
    <x v="2"/>
    <s v="Percent of GDP"/>
    <s v="Units"/>
    <x v="0"/>
    <n v="16.349"/>
  </r>
  <r>
    <n v="505"/>
    <x v="4"/>
    <x v="93"/>
    <x v="2"/>
    <s v="Percent of GDP"/>
    <s v="Units"/>
    <x v="1"/>
    <n v="16.75"/>
  </r>
  <r>
    <n v="505"/>
    <x v="4"/>
    <x v="93"/>
    <x v="2"/>
    <s v="Percent of GDP"/>
    <s v="Units"/>
    <x v="2"/>
    <n v="16.352"/>
  </r>
  <r>
    <n v="505"/>
    <x v="4"/>
    <x v="93"/>
    <x v="2"/>
    <s v="Percent of GDP"/>
    <s v="Units"/>
    <x v="3"/>
    <n v="16.641999999999999"/>
  </r>
  <r>
    <n v="505"/>
    <x v="4"/>
    <x v="93"/>
    <x v="2"/>
    <s v="Percent of GDP"/>
    <s v="Units"/>
    <x v="4"/>
    <n v="17.251999999999999"/>
  </r>
  <r>
    <n v="505"/>
    <x v="4"/>
    <x v="93"/>
    <x v="2"/>
    <s v="Percent of GDP"/>
    <s v="Units"/>
    <x v="5"/>
    <n v="17.562000000000001"/>
  </r>
  <r>
    <n v="505"/>
    <x v="4"/>
    <x v="93"/>
    <x v="2"/>
    <s v="Percent of GDP"/>
    <s v="Units"/>
    <x v="6"/>
    <n v="17.872"/>
  </r>
  <r>
    <n v="200"/>
    <x v="3"/>
    <x v="93"/>
    <x v="2"/>
    <s v="Percent of GDP"/>
    <s v="Units"/>
    <x v="0"/>
    <n v="16.349"/>
  </r>
  <r>
    <n v="200"/>
    <x v="3"/>
    <x v="93"/>
    <x v="2"/>
    <s v="Percent of GDP"/>
    <s v="Units"/>
    <x v="1"/>
    <n v="16.75"/>
  </r>
  <r>
    <n v="200"/>
    <x v="3"/>
    <x v="93"/>
    <x v="2"/>
    <s v="Percent of GDP"/>
    <s v="Units"/>
    <x v="2"/>
    <n v="16.352"/>
  </r>
  <r>
    <n v="200"/>
    <x v="3"/>
    <x v="93"/>
    <x v="2"/>
    <s v="Percent of GDP"/>
    <s v="Units"/>
    <x v="3"/>
    <n v="16.641999999999999"/>
  </r>
  <r>
    <n v="200"/>
    <x v="3"/>
    <x v="93"/>
    <x v="2"/>
    <s v="Percent of GDP"/>
    <s v="Units"/>
    <x v="4"/>
    <n v="17.251999999999999"/>
  </r>
  <r>
    <n v="200"/>
    <x v="3"/>
    <x v="93"/>
    <x v="2"/>
    <s v="Percent of GDP"/>
    <s v="Units"/>
    <x v="5"/>
    <n v="17.562000000000001"/>
  </r>
  <r>
    <n v="200"/>
    <x v="3"/>
    <x v="93"/>
    <x v="2"/>
    <s v="Percent of GDP"/>
    <s v="Units"/>
    <x v="6"/>
    <n v="17.872"/>
  </r>
  <r>
    <n v="400"/>
    <x v="11"/>
    <x v="42"/>
    <x v="2"/>
    <s v="Percent of GDP"/>
    <s v="Units"/>
    <x v="0"/>
    <n v="19.302"/>
  </r>
  <r>
    <n v="400"/>
    <x v="11"/>
    <x v="42"/>
    <x v="2"/>
    <s v="Percent of GDP"/>
    <s v="Units"/>
    <x v="1"/>
    <n v="18.227"/>
  </r>
  <r>
    <n v="400"/>
    <x v="11"/>
    <x v="42"/>
    <x v="2"/>
    <s v="Percent of GDP"/>
    <s v="Units"/>
    <x v="2"/>
    <n v="18.588000000000001"/>
  </r>
  <r>
    <n v="400"/>
    <x v="11"/>
    <x v="42"/>
    <x v="2"/>
    <s v="Percent of GDP"/>
    <s v="Units"/>
    <x v="3"/>
    <n v="18.922000000000001"/>
  </r>
  <r>
    <n v="400"/>
    <x v="11"/>
    <x v="42"/>
    <x v="2"/>
    <s v="Percent of GDP"/>
    <s v="Units"/>
    <x v="4"/>
    <n v="16.97"/>
  </r>
  <r>
    <n v="400"/>
    <x v="11"/>
    <x v="42"/>
    <x v="2"/>
    <s v="Percent of GDP"/>
    <s v="Units"/>
    <x v="5"/>
    <n v="17.538"/>
  </r>
  <r>
    <n v="400"/>
    <x v="11"/>
    <x v="42"/>
    <x v="2"/>
    <s v="Percent of GDP"/>
    <s v="Units"/>
    <x v="6"/>
    <n v="18.425999999999998"/>
  </r>
  <r>
    <n v="200"/>
    <x v="3"/>
    <x v="42"/>
    <x v="2"/>
    <s v="Percent of GDP"/>
    <s v="Units"/>
    <x v="0"/>
    <n v="19.302"/>
  </r>
  <r>
    <n v="200"/>
    <x v="3"/>
    <x v="42"/>
    <x v="2"/>
    <s v="Percent of GDP"/>
    <s v="Units"/>
    <x v="1"/>
    <n v="18.227"/>
  </r>
  <r>
    <n v="200"/>
    <x v="3"/>
    <x v="42"/>
    <x v="2"/>
    <s v="Percent of GDP"/>
    <s v="Units"/>
    <x v="2"/>
    <n v="18.588000000000001"/>
  </r>
  <r>
    <n v="200"/>
    <x v="3"/>
    <x v="42"/>
    <x v="2"/>
    <s v="Percent of GDP"/>
    <s v="Units"/>
    <x v="3"/>
    <n v="18.922000000000001"/>
  </r>
  <r>
    <n v="200"/>
    <x v="3"/>
    <x v="42"/>
    <x v="2"/>
    <s v="Percent of GDP"/>
    <s v="Units"/>
    <x v="4"/>
    <n v="16.97"/>
  </r>
  <r>
    <n v="200"/>
    <x v="3"/>
    <x v="42"/>
    <x v="2"/>
    <s v="Percent of GDP"/>
    <s v="Units"/>
    <x v="5"/>
    <n v="17.538"/>
  </r>
  <r>
    <n v="200"/>
    <x v="3"/>
    <x v="42"/>
    <x v="2"/>
    <s v="Percent of GDP"/>
    <s v="Units"/>
    <x v="6"/>
    <n v="18.425999999999998"/>
  </r>
  <r>
    <n v="903"/>
    <x v="8"/>
    <x v="41"/>
    <x v="5"/>
    <s v="Percent of GDP"/>
    <s v="Units"/>
    <x v="0"/>
    <n v="19.425000000000001"/>
  </r>
  <r>
    <n v="903"/>
    <x v="8"/>
    <x v="41"/>
    <x v="5"/>
    <s v="Percent of GDP"/>
    <s v="Units"/>
    <x v="1"/>
    <n v="19.593"/>
  </r>
  <r>
    <n v="903"/>
    <x v="8"/>
    <x v="41"/>
    <x v="5"/>
    <s v="Percent of GDP"/>
    <s v="Units"/>
    <x v="2"/>
    <n v="19.082999999999998"/>
  </r>
  <r>
    <n v="903"/>
    <x v="8"/>
    <x v="41"/>
    <x v="5"/>
    <s v="Percent of GDP"/>
    <s v="Units"/>
    <x v="3"/>
    <n v="17.643000000000001"/>
  </r>
  <r>
    <n v="903"/>
    <x v="8"/>
    <x v="41"/>
    <x v="5"/>
    <s v="Percent of GDP"/>
    <s v="Units"/>
    <x v="4"/>
    <n v="16.88"/>
  </r>
  <r>
    <n v="903"/>
    <x v="8"/>
    <x v="41"/>
    <x v="5"/>
    <s v="Percent of GDP"/>
    <s v="Units"/>
    <x v="5"/>
    <n v="17.489999999999998"/>
  </r>
  <r>
    <n v="903"/>
    <x v="8"/>
    <x v="41"/>
    <x v="5"/>
    <s v="Percent of GDP"/>
    <s v="Units"/>
    <x v="6"/>
    <n v="17.148"/>
  </r>
  <r>
    <n v="200"/>
    <x v="3"/>
    <x v="41"/>
    <x v="5"/>
    <s v="Percent of GDP"/>
    <s v="Units"/>
    <x v="0"/>
    <n v="19.425000000000001"/>
  </r>
  <r>
    <n v="200"/>
    <x v="3"/>
    <x v="41"/>
    <x v="5"/>
    <s v="Percent of GDP"/>
    <s v="Units"/>
    <x v="1"/>
    <n v="19.593"/>
  </r>
  <r>
    <n v="200"/>
    <x v="3"/>
    <x v="41"/>
    <x v="5"/>
    <s v="Percent of GDP"/>
    <s v="Units"/>
    <x v="2"/>
    <n v="19.082999999999998"/>
  </r>
  <r>
    <n v="200"/>
    <x v="3"/>
    <x v="41"/>
    <x v="5"/>
    <s v="Percent of GDP"/>
    <s v="Units"/>
    <x v="3"/>
    <n v="17.643000000000001"/>
  </r>
  <r>
    <n v="200"/>
    <x v="3"/>
    <x v="41"/>
    <x v="5"/>
    <s v="Percent of GDP"/>
    <s v="Units"/>
    <x v="4"/>
    <n v="16.88"/>
  </r>
  <r>
    <n v="200"/>
    <x v="3"/>
    <x v="41"/>
    <x v="5"/>
    <s v="Percent of GDP"/>
    <s v="Units"/>
    <x v="5"/>
    <n v="17.489999999999998"/>
  </r>
  <r>
    <n v="200"/>
    <x v="3"/>
    <x v="41"/>
    <x v="5"/>
    <s v="Percent of GDP"/>
    <s v="Units"/>
    <x v="6"/>
    <n v="17.148"/>
  </r>
  <r>
    <n v="998"/>
    <x v="6"/>
    <x v="41"/>
    <x v="5"/>
    <s v="Percent of GDP"/>
    <s v="Units"/>
    <x v="0"/>
    <n v="19.425000000000001"/>
  </r>
  <r>
    <n v="998"/>
    <x v="6"/>
    <x v="41"/>
    <x v="5"/>
    <s v="Percent of GDP"/>
    <s v="Units"/>
    <x v="1"/>
    <n v="19.593"/>
  </r>
  <r>
    <n v="998"/>
    <x v="6"/>
    <x v="41"/>
    <x v="5"/>
    <s v="Percent of GDP"/>
    <s v="Units"/>
    <x v="2"/>
    <n v="19.082999999999998"/>
  </r>
  <r>
    <n v="998"/>
    <x v="6"/>
    <x v="41"/>
    <x v="5"/>
    <s v="Percent of GDP"/>
    <s v="Units"/>
    <x v="3"/>
    <n v="17.643000000000001"/>
  </r>
  <r>
    <n v="998"/>
    <x v="6"/>
    <x v="41"/>
    <x v="5"/>
    <s v="Percent of GDP"/>
    <s v="Units"/>
    <x v="4"/>
    <n v="16.88"/>
  </r>
  <r>
    <n v="998"/>
    <x v="6"/>
    <x v="41"/>
    <x v="5"/>
    <s v="Percent of GDP"/>
    <s v="Units"/>
    <x v="5"/>
    <n v="17.489999999999998"/>
  </r>
  <r>
    <n v="998"/>
    <x v="6"/>
    <x v="41"/>
    <x v="5"/>
    <s v="Percent of GDP"/>
    <s v="Units"/>
    <x v="6"/>
    <n v="17.148"/>
  </r>
  <r>
    <n v="1"/>
    <x v="2"/>
    <x v="41"/>
    <x v="5"/>
    <s v="Percent of GDP"/>
    <s v="Units"/>
    <x v="0"/>
    <n v="19.425000000000001"/>
  </r>
  <r>
    <n v="1"/>
    <x v="2"/>
    <x v="41"/>
    <x v="5"/>
    <s v="Percent of GDP"/>
    <s v="Units"/>
    <x v="1"/>
    <n v="19.593"/>
  </r>
  <r>
    <n v="1"/>
    <x v="2"/>
    <x v="41"/>
    <x v="5"/>
    <s v="Percent of GDP"/>
    <s v="Units"/>
    <x v="2"/>
    <n v="19.082999999999998"/>
  </r>
  <r>
    <n v="1"/>
    <x v="2"/>
    <x v="41"/>
    <x v="5"/>
    <s v="Percent of GDP"/>
    <s v="Units"/>
    <x v="3"/>
    <n v="17.643000000000001"/>
  </r>
  <r>
    <n v="1"/>
    <x v="2"/>
    <x v="41"/>
    <x v="5"/>
    <s v="Percent of GDP"/>
    <s v="Units"/>
    <x v="4"/>
    <n v="16.88"/>
  </r>
  <r>
    <n v="1"/>
    <x v="2"/>
    <x v="41"/>
    <x v="5"/>
    <s v="Percent of GDP"/>
    <s v="Units"/>
    <x v="5"/>
    <n v="17.489999999999998"/>
  </r>
  <r>
    <n v="1"/>
    <x v="2"/>
    <x v="41"/>
    <x v="5"/>
    <s v="Percent of GDP"/>
    <s v="Units"/>
    <x v="6"/>
    <n v="17.148"/>
  </r>
  <r>
    <n v="603"/>
    <x v="12"/>
    <x v="87"/>
    <x v="5"/>
    <s v="Percent of GDP"/>
    <s v="Units"/>
    <x v="0"/>
    <n v="15.92"/>
  </r>
  <r>
    <n v="603"/>
    <x v="12"/>
    <x v="87"/>
    <x v="5"/>
    <s v="Percent of GDP"/>
    <s v="Units"/>
    <x v="1"/>
    <n v="15.177"/>
  </r>
  <r>
    <n v="603"/>
    <x v="12"/>
    <x v="87"/>
    <x v="5"/>
    <s v="Percent of GDP"/>
    <s v="Units"/>
    <x v="2"/>
    <n v="13.842000000000001"/>
  </r>
  <r>
    <n v="603"/>
    <x v="12"/>
    <x v="87"/>
    <x v="5"/>
    <s v="Percent of GDP"/>
    <s v="Units"/>
    <x v="3"/>
    <n v="14.157"/>
  </r>
  <r>
    <n v="603"/>
    <x v="12"/>
    <x v="87"/>
    <x v="5"/>
    <s v="Percent of GDP"/>
    <s v="Units"/>
    <x v="4"/>
    <n v="16.696999999999999"/>
  </r>
  <r>
    <n v="603"/>
    <x v="12"/>
    <x v="87"/>
    <x v="5"/>
    <s v="Percent of GDP"/>
    <s v="Units"/>
    <x v="5"/>
    <n v="17.486000000000001"/>
  </r>
  <r>
    <n v="603"/>
    <x v="12"/>
    <x v="87"/>
    <x v="5"/>
    <s v="Percent of GDP"/>
    <s v="Units"/>
    <x v="6"/>
    <n v="18.062000000000001"/>
  </r>
  <r>
    <n v="200"/>
    <x v="3"/>
    <x v="87"/>
    <x v="5"/>
    <s v="Percent of GDP"/>
    <s v="Units"/>
    <x v="0"/>
    <n v="15.92"/>
  </r>
  <r>
    <n v="200"/>
    <x v="3"/>
    <x v="87"/>
    <x v="5"/>
    <s v="Percent of GDP"/>
    <s v="Units"/>
    <x v="1"/>
    <n v="15.177"/>
  </r>
  <r>
    <n v="200"/>
    <x v="3"/>
    <x v="87"/>
    <x v="5"/>
    <s v="Percent of GDP"/>
    <s v="Units"/>
    <x v="2"/>
    <n v="13.842000000000001"/>
  </r>
  <r>
    <n v="200"/>
    <x v="3"/>
    <x v="87"/>
    <x v="5"/>
    <s v="Percent of GDP"/>
    <s v="Units"/>
    <x v="3"/>
    <n v="14.157"/>
  </r>
  <r>
    <n v="200"/>
    <x v="3"/>
    <x v="87"/>
    <x v="5"/>
    <s v="Percent of GDP"/>
    <s v="Units"/>
    <x v="4"/>
    <n v="16.696999999999999"/>
  </r>
  <r>
    <n v="200"/>
    <x v="3"/>
    <x v="87"/>
    <x v="5"/>
    <s v="Percent of GDP"/>
    <s v="Units"/>
    <x v="5"/>
    <n v="17.486000000000001"/>
  </r>
  <r>
    <n v="200"/>
    <x v="3"/>
    <x v="87"/>
    <x v="5"/>
    <s v="Percent of GDP"/>
    <s v="Units"/>
    <x v="6"/>
    <n v="18.062000000000001"/>
  </r>
  <r>
    <n v="1"/>
    <x v="2"/>
    <x v="87"/>
    <x v="5"/>
    <s v="Percent of GDP"/>
    <s v="Units"/>
    <x v="0"/>
    <n v="15.92"/>
  </r>
  <r>
    <n v="1"/>
    <x v="2"/>
    <x v="87"/>
    <x v="5"/>
    <s v="Percent of GDP"/>
    <s v="Units"/>
    <x v="1"/>
    <n v="15.177"/>
  </r>
  <r>
    <n v="1"/>
    <x v="2"/>
    <x v="87"/>
    <x v="5"/>
    <s v="Percent of GDP"/>
    <s v="Units"/>
    <x v="2"/>
    <n v="13.842000000000001"/>
  </r>
  <r>
    <n v="1"/>
    <x v="2"/>
    <x v="87"/>
    <x v="5"/>
    <s v="Percent of GDP"/>
    <s v="Units"/>
    <x v="3"/>
    <n v="14.157"/>
  </r>
  <r>
    <n v="1"/>
    <x v="2"/>
    <x v="87"/>
    <x v="5"/>
    <s v="Percent of GDP"/>
    <s v="Units"/>
    <x v="4"/>
    <n v="16.696999999999999"/>
  </r>
  <r>
    <n v="1"/>
    <x v="2"/>
    <x v="87"/>
    <x v="5"/>
    <s v="Percent of GDP"/>
    <s v="Units"/>
    <x v="5"/>
    <n v="17.486000000000001"/>
  </r>
  <r>
    <n v="1"/>
    <x v="2"/>
    <x v="87"/>
    <x v="5"/>
    <s v="Percent of GDP"/>
    <s v="Units"/>
    <x v="6"/>
    <n v="18.062000000000001"/>
  </r>
  <r>
    <n v="200"/>
    <x v="3"/>
    <x v="183"/>
    <x v="2"/>
    <s v="Percent of GDP"/>
    <s v="Units"/>
    <x v="0"/>
    <n v="23.928999999999998"/>
  </r>
  <r>
    <n v="200"/>
    <x v="3"/>
    <x v="183"/>
    <x v="2"/>
    <s v="Percent of GDP"/>
    <s v="Units"/>
    <x v="1"/>
    <n v="22.919"/>
  </r>
  <r>
    <n v="200"/>
    <x v="3"/>
    <x v="183"/>
    <x v="2"/>
    <s v="Percent of GDP"/>
    <s v="Units"/>
    <x v="2"/>
    <n v="20.111000000000001"/>
  </r>
  <r>
    <n v="200"/>
    <x v="3"/>
    <x v="183"/>
    <x v="2"/>
    <s v="Percent of GDP"/>
    <s v="Units"/>
    <x v="3"/>
    <n v="18.626999999999999"/>
  </r>
  <r>
    <n v="200"/>
    <x v="3"/>
    <x v="183"/>
    <x v="2"/>
    <s v="Percent of GDP"/>
    <s v="Units"/>
    <x v="4"/>
    <n v="17.507999999999999"/>
  </r>
  <r>
    <n v="200"/>
    <x v="3"/>
    <x v="183"/>
    <x v="2"/>
    <s v="Percent of GDP"/>
    <s v="Units"/>
    <x v="5"/>
    <n v="17.460999999999999"/>
  </r>
  <r>
    <n v="200"/>
    <x v="3"/>
    <x v="183"/>
    <x v="2"/>
    <s v="Percent of GDP"/>
    <s v="Units"/>
    <x v="6"/>
    <n v="17.515000000000001"/>
  </r>
  <r>
    <n v="400"/>
    <x v="11"/>
    <x v="183"/>
    <x v="2"/>
    <s v="Percent of GDP"/>
    <s v="Units"/>
    <x v="0"/>
    <n v="23.928999999999998"/>
  </r>
  <r>
    <n v="400"/>
    <x v="11"/>
    <x v="183"/>
    <x v="2"/>
    <s v="Percent of GDP"/>
    <s v="Units"/>
    <x v="1"/>
    <n v="22.919"/>
  </r>
  <r>
    <n v="400"/>
    <x v="11"/>
    <x v="183"/>
    <x v="2"/>
    <s v="Percent of GDP"/>
    <s v="Units"/>
    <x v="2"/>
    <n v="20.111000000000001"/>
  </r>
  <r>
    <n v="400"/>
    <x v="11"/>
    <x v="183"/>
    <x v="2"/>
    <s v="Percent of GDP"/>
    <s v="Units"/>
    <x v="3"/>
    <n v="18.626999999999999"/>
  </r>
  <r>
    <n v="400"/>
    <x v="11"/>
    <x v="183"/>
    <x v="2"/>
    <s v="Percent of GDP"/>
    <s v="Units"/>
    <x v="4"/>
    <n v="17.507999999999999"/>
  </r>
  <r>
    <n v="400"/>
    <x v="11"/>
    <x v="183"/>
    <x v="2"/>
    <s v="Percent of GDP"/>
    <s v="Units"/>
    <x v="5"/>
    <n v="17.460999999999999"/>
  </r>
  <r>
    <n v="400"/>
    <x v="11"/>
    <x v="183"/>
    <x v="2"/>
    <s v="Percent of GDP"/>
    <s v="Units"/>
    <x v="6"/>
    <n v="17.515000000000001"/>
  </r>
  <r>
    <n v="200"/>
    <x v="3"/>
    <x v="15"/>
    <x v="3"/>
    <s v="Percent of GDP"/>
    <s v="Units"/>
    <x v="0"/>
    <n v="16.359000000000002"/>
  </r>
  <r>
    <n v="200"/>
    <x v="3"/>
    <x v="15"/>
    <x v="3"/>
    <s v="Percent of GDP"/>
    <s v="Units"/>
    <x v="1"/>
    <n v="18.427"/>
  </r>
  <r>
    <n v="200"/>
    <x v="3"/>
    <x v="15"/>
    <x v="3"/>
    <s v="Percent of GDP"/>
    <s v="Units"/>
    <x v="2"/>
    <n v="18.123999999999999"/>
  </r>
  <r>
    <n v="200"/>
    <x v="3"/>
    <x v="15"/>
    <x v="3"/>
    <s v="Percent of GDP"/>
    <s v="Units"/>
    <x v="3"/>
    <n v="17.361000000000001"/>
  </r>
  <r>
    <n v="200"/>
    <x v="3"/>
    <x v="15"/>
    <x v="3"/>
    <s v="Percent of GDP"/>
    <s v="Units"/>
    <x v="4"/>
    <n v="16.635999999999999"/>
  </r>
  <r>
    <n v="200"/>
    <x v="3"/>
    <x v="15"/>
    <x v="3"/>
    <s v="Percent of GDP"/>
    <s v="Units"/>
    <x v="5"/>
    <n v="17.422999999999998"/>
  </r>
  <r>
    <n v="200"/>
    <x v="3"/>
    <x v="15"/>
    <x v="3"/>
    <s v="Percent of GDP"/>
    <s v="Units"/>
    <x v="6"/>
    <n v="17.998999999999999"/>
  </r>
  <r>
    <n v="510"/>
    <x v="10"/>
    <x v="15"/>
    <x v="3"/>
    <s v="Percent of GDP"/>
    <s v="Units"/>
    <x v="0"/>
    <n v="16.359000000000002"/>
  </r>
  <r>
    <n v="510"/>
    <x v="10"/>
    <x v="15"/>
    <x v="3"/>
    <s v="Percent of GDP"/>
    <s v="Units"/>
    <x v="1"/>
    <n v="18.427"/>
  </r>
  <r>
    <n v="510"/>
    <x v="10"/>
    <x v="15"/>
    <x v="3"/>
    <s v="Percent of GDP"/>
    <s v="Units"/>
    <x v="2"/>
    <n v="18.123999999999999"/>
  </r>
  <r>
    <n v="510"/>
    <x v="10"/>
    <x v="15"/>
    <x v="3"/>
    <s v="Percent of GDP"/>
    <s v="Units"/>
    <x v="3"/>
    <n v="17.361000000000001"/>
  </r>
  <r>
    <n v="510"/>
    <x v="10"/>
    <x v="15"/>
    <x v="3"/>
    <s v="Percent of GDP"/>
    <s v="Units"/>
    <x v="4"/>
    <n v="16.635999999999999"/>
  </r>
  <r>
    <n v="510"/>
    <x v="10"/>
    <x v="15"/>
    <x v="3"/>
    <s v="Percent of GDP"/>
    <s v="Units"/>
    <x v="5"/>
    <n v="17.422999999999998"/>
  </r>
  <r>
    <n v="510"/>
    <x v="10"/>
    <x v="15"/>
    <x v="3"/>
    <s v="Percent of GDP"/>
    <s v="Units"/>
    <x v="6"/>
    <n v="17.998999999999999"/>
  </r>
  <r>
    <n v="505"/>
    <x v="4"/>
    <x v="15"/>
    <x v="3"/>
    <s v="Percent of GDP"/>
    <s v="Units"/>
    <x v="0"/>
    <n v="16.359000000000002"/>
  </r>
  <r>
    <n v="505"/>
    <x v="4"/>
    <x v="15"/>
    <x v="3"/>
    <s v="Percent of GDP"/>
    <s v="Units"/>
    <x v="1"/>
    <n v="18.427"/>
  </r>
  <r>
    <n v="505"/>
    <x v="4"/>
    <x v="15"/>
    <x v="3"/>
    <s v="Percent of GDP"/>
    <s v="Units"/>
    <x v="2"/>
    <n v="18.123999999999999"/>
  </r>
  <r>
    <n v="505"/>
    <x v="4"/>
    <x v="15"/>
    <x v="3"/>
    <s v="Percent of GDP"/>
    <s v="Units"/>
    <x v="3"/>
    <n v="17.361000000000001"/>
  </r>
  <r>
    <n v="505"/>
    <x v="4"/>
    <x v="15"/>
    <x v="3"/>
    <s v="Percent of GDP"/>
    <s v="Units"/>
    <x v="4"/>
    <n v="16.635999999999999"/>
  </r>
  <r>
    <n v="505"/>
    <x v="4"/>
    <x v="15"/>
    <x v="3"/>
    <s v="Percent of GDP"/>
    <s v="Units"/>
    <x v="5"/>
    <n v="17.422999999999998"/>
  </r>
  <r>
    <n v="505"/>
    <x v="4"/>
    <x v="15"/>
    <x v="3"/>
    <s v="Percent of GDP"/>
    <s v="Units"/>
    <x v="6"/>
    <n v="17.998999999999999"/>
  </r>
  <r>
    <n v="1"/>
    <x v="2"/>
    <x v="161"/>
    <x v="5"/>
    <s v="Percent of GDP"/>
    <s v="Units"/>
    <x v="0"/>
    <n v="17.459"/>
  </r>
  <r>
    <n v="1"/>
    <x v="2"/>
    <x v="161"/>
    <x v="5"/>
    <s v="Percent of GDP"/>
    <s v="Units"/>
    <x v="1"/>
    <n v="19.327000000000002"/>
  </r>
  <r>
    <n v="1"/>
    <x v="2"/>
    <x v="161"/>
    <x v="5"/>
    <s v="Percent of GDP"/>
    <s v="Units"/>
    <x v="2"/>
    <n v="16.245000000000001"/>
  </r>
  <r>
    <n v="1"/>
    <x v="2"/>
    <x v="161"/>
    <x v="5"/>
    <s v="Percent of GDP"/>
    <s v="Units"/>
    <x v="3"/>
    <n v="9.0869999999999997"/>
  </r>
  <r>
    <n v="1"/>
    <x v="2"/>
    <x v="161"/>
    <x v="5"/>
    <s v="Percent of GDP"/>
    <s v="Units"/>
    <x v="4"/>
    <n v="17.457999999999998"/>
  </r>
  <r>
    <n v="1"/>
    <x v="2"/>
    <x v="161"/>
    <x v="5"/>
    <s v="Percent of GDP"/>
    <s v="Units"/>
    <x v="5"/>
    <n v="17.385999999999999"/>
  </r>
  <r>
    <n v="1"/>
    <x v="2"/>
    <x v="161"/>
    <x v="5"/>
    <s v="Percent of GDP"/>
    <s v="Units"/>
    <x v="6"/>
    <n v="16.169"/>
  </r>
  <r>
    <n v="200"/>
    <x v="3"/>
    <x v="161"/>
    <x v="5"/>
    <s v="Percent of GDP"/>
    <s v="Units"/>
    <x v="0"/>
    <n v="17.459"/>
  </r>
  <r>
    <n v="200"/>
    <x v="3"/>
    <x v="161"/>
    <x v="5"/>
    <s v="Percent of GDP"/>
    <s v="Units"/>
    <x v="1"/>
    <n v="19.327000000000002"/>
  </r>
  <r>
    <n v="200"/>
    <x v="3"/>
    <x v="161"/>
    <x v="5"/>
    <s v="Percent of GDP"/>
    <s v="Units"/>
    <x v="2"/>
    <n v="16.245000000000001"/>
  </r>
  <r>
    <n v="200"/>
    <x v="3"/>
    <x v="161"/>
    <x v="5"/>
    <s v="Percent of GDP"/>
    <s v="Units"/>
    <x v="3"/>
    <n v="9.0869999999999997"/>
  </r>
  <r>
    <n v="200"/>
    <x v="3"/>
    <x v="161"/>
    <x v="5"/>
    <s v="Percent of GDP"/>
    <s v="Units"/>
    <x v="4"/>
    <n v="17.457999999999998"/>
  </r>
  <r>
    <n v="200"/>
    <x v="3"/>
    <x v="161"/>
    <x v="5"/>
    <s v="Percent of GDP"/>
    <s v="Units"/>
    <x v="5"/>
    <n v="17.385999999999999"/>
  </r>
  <r>
    <n v="200"/>
    <x v="3"/>
    <x v="161"/>
    <x v="5"/>
    <s v="Percent of GDP"/>
    <s v="Units"/>
    <x v="6"/>
    <n v="16.169"/>
  </r>
  <r>
    <n v="603"/>
    <x v="12"/>
    <x v="161"/>
    <x v="5"/>
    <s v="Percent of GDP"/>
    <s v="Units"/>
    <x v="0"/>
    <n v="17.459"/>
  </r>
  <r>
    <n v="603"/>
    <x v="12"/>
    <x v="161"/>
    <x v="5"/>
    <s v="Percent of GDP"/>
    <s v="Units"/>
    <x v="1"/>
    <n v="19.327000000000002"/>
  </r>
  <r>
    <n v="603"/>
    <x v="12"/>
    <x v="161"/>
    <x v="5"/>
    <s v="Percent of GDP"/>
    <s v="Units"/>
    <x v="2"/>
    <n v="16.245000000000001"/>
  </r>
  <r>
    <n v="603"/>
    <x v="12"/>
    <x v="161"/>
    <x v="5"/>
    <s v="Percent of GDP"/>
    <s v="Units"/>
    <x v="3"/>
    <n v="9.0869999999999997"/>
  </r>
  <r>
    <n v="603"/>
    <x v="12"/>
    <x v="161"/>
    <x v="5"/>
    <s v="Percent of GDP"/>
    <s v="Units"/>
    <x v="4"/>
    <n v="17.457999999999998"/>
  </r>
  <r>
    <n v="603"/>
    <x v="12"/>
    <x v="161"/>
    <x v="5"/>
    <s v="Percent of GDP"/>
    <s v="Units"/>
    <x v="5"/>
    <n v="17.385999999999999"/>
  </r>
  <r>
    <n v="603"/>
    <x v="12"/>
    <x v="161"/>
    <x v="5"/>
    <s v="Percent of GDP"/>
    <s v="Units"/>
    <x v="6"/>
    <n v="16.169"/>
  </r>
  <r>
    <n v="200"/>
    <x v="3"/>
    <x v="168"/>
    <x v="5"/>
    <s v="Percent of GDP"/>
    <s v="Units"/>
    <x v="0"/>
    <n v="13.35"/>
  </r>
  <r>
    <n v="200"/>
    <x v="3"/>
    <x v="168"/>
    <x v="5"/>
    <s v="Percent of GDP"/>
    <s v="Units"/>
    <x v="1"/>
    <n v="17.224"/>
  </r>
  <r>
    <n v="200"/>
    <x v="3"/>
    <x v="168"/>
    <x v="5"/>
    <s v="Percent of GDP"/>
    <s v="Units"/>
    <x v="2"/>
    <n v="17.491"/>
  </r>
  <r>
    <n v="200"/>
    <x v="3"/>
    <x v="168"/>
    <x v="5"/>
    <s v="Percent of GDP"/>
    <s v="Units"/>
    <x v="3"/>
    <n v="18.094999999999999"/>
  </r>
  <r>
    <n v="200"/>
    <x v="3"/>
    <x v="168"/>
    <x v="5"/>
    <s v="Percent of GDP"/>
    <s v="Units"/>
    <x v="4"/>
    <n v="22.331"/>
  </r>
  <r>
    <n v="200"/>
    <x v="3"/>
    <x v="168"/>
    <x v="5"/>
    <s v="Percent of GDP"/>
    <s v="Units"/>
    <x v="5"/>
    <n v="17.302"/>
  </r>
  <r>
    <n v="200"/>
    <x v="3"/>
    <x v="168"/>
    <x v="5"/>
    <s v="Percent of GDP"/>
    <s v="Units"/>
    <x v="6"/>
    <n v="17.567"/>
  </r>
  <r>
    <n v="1"/>
    <x v="2"/>
    <x v="168"/>
    <x v="5"/>
    <s v="Percent of GDP"/>
    <s v="Units"/>
    <x v="0"/>
    <n v="13.35"/>
  </r>
  <r>
    <n v="1"/>
    <x v="2"/>
    <x v="168"/>
    <x v="5"/>
    <s v="Percent of GDP"/>
    <s v="Units"/>
    <x v="1"/>
    <n v="17.224"/>
  </r>
  <r>
    <n v="1"/>
    <x v="2"/>
    <x v="168"/>
    <x v="5"/>
    <s v="Percent of GDP"/>
    <s v="Units"/>
    <x v="2"/>
    <n v="17.491"/>
  </r>
  <r>
    <n v="1"/>
    <x v="2"/>
    <x v="168"/>
    <x v="5"/>
    <s v="Percent of GDP"/>
    <s v="Units"/>
    <x v="3"/>
    <n v="18.094999999999999"/>
  </r>
  <r>
    <n v="1"/>
    <x v="2"/>
    <x v="168"/>
    <x v="5"/>
    <s v="Percent of GDP"/>
    <s v="Units"/>
    <x v="4"/>
    <n v="22.331"/>
  </r>
  <r>
    <n v="1"/>
    <x v="2"/>
    <x v="168"/>
    <x v="5"/>
    <s v="Percent of GDP"/>
    <s v="Units"/>
    <x v="5"/>
    <n v="17.302"/>
  </r>
  <r>
    <n v="1"/>
    <x v="2"/>
    <x v="168"/>
    <x v="5"/>
    <s v="Percent of GDP"/>
    <s v="Units"/>
    <x v="6"/>
    <n v="17.567"/>
  </r>
  <r>
    <n v="603"/>
    <x v="12"/>
    <x v="168"/>
    <x v="5"/>
    <s v="Percent of GDP"/>
    <s v="Units"/>
    <x v="0"/>
    <n v="13.35"/>
  </r>
  <r>
    <n v="603"/>
    <x v="12"/>
    <x v="168"/>
    <x v="5"/>
    <s v="Percent of GDP"/>
    <s v="Units"/>
    <x v="1"/>
    <n v="17.224"/>
  </r>
  <r>
    <n v="603"/>
    <x v="12"/>
    <x v="168"/>
    <x v="5"/>
    <s v="Percent of GDP"/>
    <s v="Units"/>
    <x v="2"/>
    <n v="17.491"/>
  </r>
  <r>
    <n v="603"/>
    <x v="12"/>
    <x v="168"/>
    <x v="5"/>
    <s v="Percent of GDP"/>
    <s v="Units"/>
    <x v="3"/>
    <n v="18.094999999999999"/>
  </r>
  <r>
    <n v="603"/>
    <x v="12"/>
    <x v="168"/>
    <x v="5"/>
    <s v="Percent of GDP"/>
    <s v="Units"/>
    <x v="4"/>
    <n v="22.331"/>
  </r>
  <r>
    <n v="603"/>
    <x v="12"/>
    <x v="168"/>
    <x v="5"/>
    <s v="Percent of GDP"/>
    <s v="Units"/>
    <x v="5"/>
    <n v="17.302"/>
  </r>
  <r>
    <n v="603"/>
    <x v="12"/>
    <x v="168"/>
    <x v="5"/>
    <s v="Percent of GDP"/>
    <s v="Units"/>
    <x v="6"/>
    <n v="17.567"/>
  </r>
  <r>
    <n v="205"/>
    <x v="7"/>
    <x v="120"/>
    <x v="2"/>
    <s v="Percent of GDP"/>
    <s v="Units"/>
    <x v="0"/>
    <n v="25.61"/>
  </r>
  <r>
    <n v="205"/>
    <x v="7"/>
    <x v="120"/>
    <x v="2"/>
    <s v="Percent of GDP"/>
    <s v="Units"/>
    <x v="1"/>
    <n v="22.763000000000002"/>
  </r>
  <r>
    <n v="205"/>
    <x v="7"/>
    <x v="120"/>
    <x v="2"/>
    <s v="Percent of GDP"/>
    <s v="Units"/>
    <x v="2"/>
    <n v="18.727"/>
  </r>
  <r>
    <n v="205"/>
    <x v="7"/>
    <x v="120"/>
    <x v="2"/>
    <s v="Percent of GDP"/>
    <s v="Units"/>
    <x v="3"/>
    <n v="15.371"/>
  </r>
  <r>
    <n v="205"/>
    <x v="7"/>
    <x v="120"/>
    <x v="2"/>
    <s v="Percent of GDP"/>
    <s v="Units"/>
    <x v="4"/>
    <n v="17.742000000000001"/>
  </r>
  <r>
    <n v="205"/>
    <x v="7"/>
    <x v="120"/>
    <x v="2"/>
    <s v="Percent of GDP"/>
    <s v="Units"/>
    <x v="5"/>
    <n v="17.282"/>
  </r>
  <r>
    <n v="205"/>
    <x v="7"/>
    <x v="120"/>
    <x v="2"/>
    <s v="Percent of GDP"/>
    <s v="Units"/>
    <x v="6"/>
    <n v="15.967000000000001"/>
  </r>
  <r>
    <n v="200"/>
    <x v="3"/>
    <x v="120"/>
    <x v="2"/>
    <s v="Percent of GDP"/>
    <s v="Units"/>
    <x v="0"/>
    <n v="25.61"/>
  </r>
  <r>
    <n v="200"/>
    <x v="3"/>
    <x v="120"/>
    <x v="2"/>
    <s v="Percent of GDP"/>
    <s v="Units"/>
    <x v="1"/>
    <n v="22.763000000000002"/>
  </r>
  <r>
    <n v="200"/>
    <x v="3"/>
    <x v="120"/>
    <x v="2"/>
    <s v="Percent of GDP"/>
    <s v="Units"/>
    <x v="2"/>
    <n v="18.727"/>
  </r>
  <r>
    <n v="200"/>
    <x v="3"/>
    <x v="120"/>
    <x v="2"/>
    <s v="Percent of GDP"/>
    <s v="Units"/>
    <x v="3"/>
    <n v="15.371"/>
  </r>
  <r>
    <n v="200"/>
    <x v="3"/>
    <x v="120"/>
    <x v="2"/>
    <s v="Percent of GDP"/>
    <s v="Units"/>
    <x v="4"/>
    <n v="17.742000000000001"/>
  </r>
  <r>
    <n v="200"/>
    <x v="3"/>
    <x v="120"/>
    <x v="2"/>
    <s v="Percent of GDP"/>
    <s v="Units"/>
    <x v="5"/>
    <n v="17.282"/>
  </r>
  <r>
    <n v="200"/>
    <x v="3"/>
    <x v="120"/>
    <x v="2"/>
    <s v="Percent of GDP"/>
    <s v="Units"/>
    <x v="6"/>
    <n v="15.967000000000001"/>
  </r>
  <r>
    <n v="603"/>
    <x v="12"/>
    <x v="89"/>
    <x v="1"/>
    <s v="Percent change"/>
    <s v="Units"/>
    <x v="0"/>
    <n v="4.7050000000000001"/>
  </r>
  <r>
    <n v="603"/>
    <x v="12"/>
    <x v="89"/>
    <x v="1"/>
    <s v="Percent change"/>
    <s v="Units"/>
    <x v="1"/>
    <n v="11.358000000000001"/>
  </r>
  <r>
    <n v="603"/>
    <x v="12"/>
    <x v="89"/>
    <x v="1"/>
    <s v="Percent change"/>
    <s v="Units"/>
    <x v="2"/>
    <n v="8.9890000000000008"/>
  </r>
  <r>
    <n v="603"/>
    <x v="12"/>
    <x v="89"/>
    <x v="1"/>
    <s v="Percent change"/>
    <s v="Units"/>
    <x v="3"/>
    <n v="9.266"/>
  </r>
  <r>
    <n v="603"/>
    <x v="12"/>
    <x v="89"/>
    <x v="1"/>
    <s v="Percent change"/>
    <s v="Units"/>
    <x v="4"/>
    <n v="19.893999999999998"/>
  </r>
  <r>
    <n v="603"/>
    <x v="12"/>
    <x v="89"/>
    <x v="1"/>
    <s v="Percent change"/>
    <s v="Units"/>
    <x v="5"/>
    <n v="17.247"/>
  </r>
  <r>
    <n v="603"/>
    <x v="12"/>
    <x v="89"/>
    <x v="1"/>
    <s v="Percent change"/>
    <s v="Units"/>
    <x v="6"/>
    <n v="8.4719999999999995"/>
  </r>
  <r>
    <n v="200"/>
    <x v="3"/>
    <x v="89"/>
    <x v="1"/>
    <s v="Percent change"/>
    <s v="Units"/>
    <x v="0"/>
    <n v="4.7050000000000001"/>
  </r>
  <r>
    <n v="200"/>
    <x v="3"/>
    <x v="89"/>
    <x v="1"/>
    <s v="Percent change"/>
    <s v="Units"/>
    <x v="1"/>
    <n v="11.358000000000001"/>
  </r>
  <r>
    <n v="200"/>
    <x v="3"/>
    <x v="89"/>
    <x v="1"/>
    <s v="Percent change"/>
    <s v="Units"/>
    <x v="2"/>
    <n v="8.9890000000000008"/>
  </r>
  <r>
    <n v="200"/>
    <x v="3"/>
    <x v="89"/>
    <x v="1"/>
    <s v="Percent change"/>
    <s v="Units"/>
    <x v="3"/>
    <n v="9.266"/>
  </r>
  <r>
    <n v="200"/>
    <x v="3"/>
    <x v="89"/>
    <x v="1"/>
    <s v="Percent change"/>
    <s v="Units"/>
    <x v="4"/>
    <n v="19.893999999999998"/>
  </r>
  <r>
    <n v="200"/>
    <x v="3"/>
    <x v="89"/>
    <x v="1"/>
    <s v="Percent change"/>
    <s v="Units"/>
    <x v="5"/>
    <n v="17.247"/>
  </r>
  <r>
    <n v="200"/>
    <x v="3"/>
    <x v="89"/>
    <x v="1"/>
    <s v="Percent change"/>
    <s v="Units"/>
    <x v="6"/>
    <n v="8.4719999999999995"/>
  </r>
  <r>
    <n v="1"/>
    <x v="2"/>
    <x v="89"/>
    <x v="1"/>
    <s v="Percent change"/>
    <s v="Units"/>
    <x v="0"/>
    <n v="4.7050000000000001"/>
  </r>
  <r>
    <n v="1"/>
    <x v="2"/>
    <x v="89"/>
    <x v="1"/>
    <s v="Percent change"/>
    <s v="Units"/>
    <x v="1"/>
    <n v="11.358000000000001"/>
  </r>
  <r>
    <n v="1"/>
    <x v="2"/>
    <x v="89"/>
    <x v="1"/>
    <s v="Percent change"/>
    <s v="Units"/>
    <x v="2"/>
    <n v="8.9890000000000008"/>
  </r>
  <r>
    <n v="1"/>
    <x v="2"/>
    <x v="89"/>
    <x v="1"/>
    <s v="Percent change"/>
    <s v="Units"/>
    <x v="3"/>
    <n v="9.266"/>
  </r>
  <r>
    <n v="1"/>
    <x v="2"/>
    <x v="89"/>
    <x v="1"/>
    <s v="Percent change"/>
    <s v="Units"/>
    <x v="4"/>
    <n v="19.893999999999998"/>
  </r>
  <r>
    <n v="1"/>
    <x v="2"/>
    <x v="89"/>
    <x v="1"/>
    <s v="Percent change"/>
    <s v="Units"/>
    <x v="5"/>
    <n v="17.247"/>
  </r>
  <r>
    <n v="1"/>
    <x v="2"/>
    <x v="89"/>
    <x v="1"/>
    <s v="Percent change"/>
    <s v="Units"/>
    <x v="6"/>
    <n v="8.4719999999999995"/>
  </r>
  <r>
    <n v="200"/>
    <x v="3"/>
    <x v="182"/>
    <x v="2"/>
    <s v="Percent of GDP"/>
    <s v="Units"/>
    <x v="0"/>
    <n v="15.843999999999999"/>
  </r>
  <r>
    <n v="200"/>
    <x v="3"/>
    <x v="182"/>
    <x v="2"/>
    <s v="Percent of GDP"/>
    <s v="Units"/>
    <x v="1"/>
    <n v="18.251000000000001"/>
  </r>
  <r>
    <n v="200"/>
    <x v="3"/>
    <x v="182"/>
    <x v="2"/>
    <s v="Percent of GDP"/>
    <s v="Units"/>
    <x v="2"/>
    <n v="17.138000000000002"/>
  </r>
  <r>
    <n v="200"/>
    <x v="3"/>
    <x v="182"/>
    <x v="2"/>
    <s v="Percent of GDP"/>
    <s v="Units"/>
    <x v="3"/>
    <n v="14.304"/>
  </r>
  <r>
    <n v="200"/>
    <x v="3"/>
    <x v="182"/>
    <x v="2"/>
    <s v="Percent of GDP"/>
    <s v="Units"/>
    <x v="4"/>
    <n v="17.34"/>
  </r>
  <r>
    <n v="200"/>
    <x v="3"/>
    <x v="182"/>
    <x v="2"/>
    <s v="Percent of GDP"/>
    <s v="Units"/>
    <x v="5"/>
    <n v="17.222000000000001"/>
  </r>
  <r>
    <n v="200"/>
    <x v="3"/>
    <x v="182"/>
    <x v="2"/>
    <s v="Percent of GDP"/>
    <s v="Units"/>
    <x v="6"/>
    <n v="15.771000000000001"/>
  </r>
  <r>
    <n v="603"/>
    <x v="12"/>
    <x v="182"/>
    <x v="2"/>
    <s v="Percent of GDP"/>
    <s v="Units"/>
    <x v="0"/>
    <n v="15.843999999999999"/>
  </r>
  <r>
    <n v="603"/>
    <x v="12"/>
    <x v="182"/>
    <x v="2"/>
    <s v="Percent of GDP"/>
    <s v="Units"/>
    <x v="1"/>
    <n v="18.251000000000001"/>
  </r>
  <r>
    <n v="603"/>
    <x v="12"/>
    <x v="182"/>
    <x v="2"/>
    <s v="Percent of GDP"/>
    <s v="Units"/>
    <x v="2"/>
    <n v="17.138000000000002"/>
  </r>
  <r>
    <n v="603"/>
    <x v="12"/>
    <x v="182"/>
    <x v="2"/>
    <s v="Percent of GDP"/>
    <s v="Units"/>
    <x v="3"/>
    <n v="14.304"/>
  </r>
  <r>
    <n v="603"/>
    <x v="12"/>
    <x v="182"/>
    <x v="2"/>
    <s v="Percent of GDP"/>
    <s v="Units"/>
    <x v="4"/>
    <n v="17.34"/>
  </r>
  <r>
    <n v="603"/>
    <x v="12"/>
    <x v="182"/>
    <x v="2"/>
    <s v="Percent of GDP"/>
    <s v="Units"/>
    <x v="5"/>
    <n v="17.222000000000001"/>
  </r>
  <r>
    <n v="603"/>
    <x v="12"/>
    <x v="182"/>
    <x v="2"/>
    <s v="Percent of GDP"/>
    <s v="Units"/>
    <x v="6"/>
    <n v="15.771000000000001"/>
  </r>
  <r>
    <n v="603"/>
    <x v="12"/>
    <x v="56"/>
    <x v="4"/>
    <s v="Percent change"/>
    <s v="Units"/>
    <x v="0"/>
    <n v="8.6270000000000007"/>
  </r>
  <r>
    <n v="603"/>
    <x v="12"/>
    <x v="56"/>
    <x v="4"/>
    <s v="Percent change"/>
    <s v="Units"/>
    <x v="1"/>
    <n v="-8.0489999999999995"/>
  </r>
  <r>
    <n v="603"/>
    <x v="12"/>
    <x v="56"/>
    <x v="4"/>
    <s v="Percent change"/>
    <s v="Units"/>
    <x v="2"/>
    <n v="3.157"/>
  </r>
  <r>
    <n v="603"/>
    <x v="12"/>
    <x v="56"/>
    <x v="4"/>
    <s v="Percent change"/>
    <s v="Units"/>
    <x v="3"/>
    <n v="10.968"/>
  </r>
  <r>
    <n v="603"/>
    <x v="12"/>
    <x v="56"/>
    <x v="4"/>
    <s v="Percent change"/>
    <s v="Units"/>
    <x v="4"/>
    <n v="-3.1760000000000002"/>
  </r>
  <r>
    <n v="603"/>
    <x v="12"/>
    <x v="56"/>
    <x v="4"/>
    <s v="Percent change"/>
    <s v="Units"/>
    <x v="5"/>
    <n v="17.215"/>
  </r>
  <r>
    <n v="603"/>
    <x v="12"/>
    <x v="56"/>
    <x v="4"/>
    <s v="Percent change"/>
    <s v="Units"/>
    <x v="6"/>
    <n v="19.957000000000001"/>
  </r>
  <r>
    <n v="1"/>
    <x v="2"/>
    <x v="56"/>
    <x v="4"/>
    <s v="Percent change"/>
    <s v="Units"/>
    <x v="0"/>
    <n v="8.6270000000000007"/>
  </r>
  <r>
    <n v="1"/>
    <x v="2"/>
    <x v="56"/>
    <x v="4"/>
    <s v="Percent change"/>
    <s v="Units"/>
    <x v="1"/>
    <n v="-8.0489999999999995"/>
  </r>
  <r>
    <n v="1"/>
    <x v="2"/>
    <x v="56"/>
    <x v="4"/>
    <s v="Percent change"/>
    <s v="Units"/>
    <x v="2"/>
    <n v="3.157"/>
  </r>
  <r>
    <n v="1"/>
    <x v="2"/>
    <x v="56"/>
    <x v="4"/>
    <s v="Percent change"/>
    <s v="Units"/>
    <x v="3"/>
    <n v="10.968"/>
  </r>
  <r>
    <n v="1"/>
    <x v="2"/>
    <x v="56"/>
    <x v="4"/>
    <s v="Percent change"/>
    <s v="Units"/>
    <x v="4"/>
    <n v="-3.1760000000000002"/>
  </r>
  <r>
    <n v="1"/>
    <x v="2"/>
    <x v="56"/>
    <x v="4"/>
    <s v="Percent change"/>
    <s v="Units"/>
    <x v="5"/>
    <n v="17.215"/>
  </r>
  <r>
    <n v="1"/>
    <x v="2"/>
    <x v="56"/>
    <x v="4"/>
    <s v="Percent change"/>
    <s v="Units"/>
    <x v="6"/>
    <n v="19.957000000000001"/>
  </r>
  <r>
    <n v="200"/>
    <x v="3"/>
    <x v="56"/>
    <x v="4"/>
    <s v="Percent change"/>
    <s v="Units"/>
    <x v="0"/>
    <n v="8.6270000000000007"/>
  </r>
  <r>
    <n v="200"/>
    <x v="3"/>
    <x v="56"/>
    <x v="4"/>
    <s v="Percent change"/>
    <s v="Units"/>
    <x v="1"/>
    <n v="-8.0489999999999995"/>
  </r>
  <r>
    <n v="200"/>
    <x v="3"/>
    <x v="56"/>
    <x v="4"/>
    <s v="Percent change"/>
    <s v="Units"/>
    <x v="2"/>
    <n v="3.157"/>
  </r>
  <r>
    <n v="200"/>
    <x v="3"/>
    <x v="56"/>
    <x v="4"/>
    <s v="Percent change"/>
    <s v="Units"/>
    <x v="3"/>
    <n v="10.968"/>
  </r>
  <r>
    <n v="200"/>
    <x v="3"/>
    <x v="56"/>
    <x v="4"/>
    <s v="Percent change"/>
    <s v="Units"/>
    <x v="4"/>
    <n v="-3.1760000000000002"/>
  </r>
  <r>
    <n v="200"/>
    <x v="3"/>
    <x v="56"/>
    <x v="4"/>
    <s v="Percent change"/>
    <s v="Units"/>
    <x v="5"/>
    <n v="17.215"/>
  </r>
  <r>
    <n v="200"/>
    <x v="3"/>
    <x v="56"/>
    <x v="4"/>
    <s v="Percent change"/>
    <s v="Units"/>
    <x v="6"/>
    <n v="19.957000000000001"/>
  </r>
  <r>
    <n v="1"/>
    <x v="2"/>
    <x v="141"/>
    <x v="5"/>
    <s v="Percent of GDP"/>
    <s v="Units"/>
    <x v="0"/>
    <n v="24.154"/>
  </r>
  <r>
    <n v="1"/>
    <x v="2"/>
    <x v="141"/>
    <x v="5"/>
    <s v="Percent of GDP"/>
    <s v="Units"/>
    <x v="1"/>
    <n v="9.4480000000000004"/>
  </r>
  <r>
    <n v="1"/>
    <x v="2"/>
    <x v="141"/>
    <x v="5"/>
    <s v="Percent of GDP"/>
    <s v="Units"/>
    <x v="2"/>
    <n v="15.382"/>
  </r>
  <r>
    <n v="1"/>
    <x v="2"/>
    <x v="141"/>
    <x v="5"/>
    <s v="Percent of GDP"/>
    <s v="Units"/>
    <x v="3"/>
    <n v="16.132999999999999"/>
  </r>
  <r>
    <n v="1"/>
    <x v="2"/>
    <x v="141"/>
    <x v="5"/>
    <s v="Percent of GDP"/>
    <s v="Units"/>
    <x v="4"/>
    <n v="16.956"/>
  </r>
  <r>
    <n v="1"/>
    <x v="2"/>
    <x v="141"/>
    <x v="5"/>
    <s v="Percent of GDP"/>
    <s v="Units"/>
    <x v="5"/>
    <n v="17.190000000000001"/>
  </r>
  <r>
    <n v="1"/>
    <x v="2"/>
    <x v="141"/>
    <x v="5"/>
    <s v="Percent of GDP"/>
    <s v="Units"/>
    <x v="6"/>
    <n v="17.838999999999999"/>
  </r>
  <r>
    <n v="200"/>
    <x v="3"/>
    <x v="141"/>
    <x v="5"/>
    <s v="Percent of GDP"/>
    <s v="Units"/>
    <x v="0"/>
    <n v="24.154"/>
  </r>
  <r>
    <n v="200"/>
    <x v="3"/>
    <x v="141"/>
    <x v="5"/>
    <s v="Percent of GDP"/>
    <s v="Units"/>
    <x v="1"/>
    <n v="9.4480000000000004"/>
  </r>
  <r>
    <n v="200"/>
    <x v="3"/>
    <x v="141"/>
    <x v="5"/>
    <s v="Percent of GDP"/>
    <s v="Units"/>
    <x v="2"/>
    <n v="15.382"/>
  </r>
  <r>
    <n v="200"/>
    <x v="3"/>
    <x v="141"/>
    <x v="5"/>
    <s v="Percent of GDP"/>
    <s v="Units"/>
    <x v="3"/>
    <n v="16.132999999999999"/>
  </r>
  <r>
    <n v="200"/>
    <x v="3"/>
    <x v="141"/>
    <x v="5"/>
    <s v="Percent of GDP"/>
    <s v="Units"/>
    <x v="4"/>
    <n v="16.956"/>
  </r>
  <r>
    <n v="200"/>
    <x v="3"/>
    <x v="141"/>
    <x v="5"/>
    <s v="Percent of GDP"/>
    <s v="Units"/>
    <x v="5"/>
    <n v="17.190000000000001"/>
  </r>
  <r>
    <n v="200"/>
    <x v="3"/>
    <x v="141"/>
    <x v="5"/>
    <s v="Percent of GDP"/>
    <s v="Units"/>
    <x v="6"/>
    <n v="17.838999999999999"/>
  </r>
  <r>
    <n v="603"/>
    <x v="12"/>
    <x v="141"/>
    <x v="5"/>
    <s v="Percent of GDP"/>
    <s v="Units"/>
    <x v="0"/>
    <n v="24.154"/>
  </r>
  <r>
    <n v="603"/>
    <x v="12"/>
    <x v="141"/>
    <x v="5"/>
    <s v="Percent of GDP"/>
    <s v="Units"/>
    <x v="1"/>
    <n v="9.4480000000000004"/>
  </r>
  <r>
    <n v="603"/>
    <x v="12"/>
    <x v="141"/>
    <x v="5"/>
    <s v="Percent of GDP"/>
    <s v="Units"/>
    <x v="2"/>
    <n v="15.382"/>
  </r>
  <r>
    <n v="603"/>
    <x v="12"/>
    <x v="141"/>
    <x v="5"/>
    <s v="Percent of GDP"/>
    <s v="Units"/>
    <x v="3"/>
    <n v="16.132999999999999"/>
  </r>
  <r>
    <n v="603"/>
    <x v="12"/>
    <x v="141"/>
    <x v="5"/>
    <s v="Percent of GDP"/>
    <s v="Units"/>
    <x v="4"/>
    <n v="16.956"/>
  </r>
  <r>
    <n v="603"/>
    <x v="12"/>
    <x v="141"/>
    <x v="5"/>
    <s v="Percent of GDP"/>
    <s v="Units"/>
    <x v="5"/>
    <n v="17.190000000000001"/>
  </r>
  <r>
    <n v="603"/>
    <x v="12"/>
    <x v="141"/>
    <x v="5"/>
    <s v="Percent of GDP"/>
    <s v="Units"/>
    <x v="6"/>
    <n v="17.838999999999999"/>
  </r>
  <r>
    <n v="200"/>
    <x v="3"/>
    <x v="23"/>
    <x v="7"/>
    <s v="Percent of GDP"/>
    <s v="Units"/>
    <x v="0"/>
    <n v="14.1"/>
  </r>
  <r>
    <n v="200"/>
    <x v="3"/>
    <x v="23"/>
    <x v="7"/>
    <s v="Percent of GDP"/>
    <s v="Units"/>
    <x v="1"/>
    <n v="16.597999999999999"/>
  </r>
  <r>
    <n v="200"/>
    <x v="3"/>
    <x v="23"/>
    <x v="7"/>
    <s v="Percent of GDP"/>
    <s v="Units"/>
    <x v="2"/>
    <n v="18.207999999999998"/>
  </r>
  <r>
    <n v="200"/>
    <x v="3"/>
    <x v="23"/>
    <x v="7"/>
    <s v="Percent of GDP"/>
    <s v="Units"/>
    <x v="3"/>
    <n v="18.134"/>
  </r>
  <r>
    <n v="200"/>
    <x v="3"/>
    <x v="23"/>
    <x v="7"/>
    <s v="Percent of GDP"/>
    <s v="Units"/>
    <x v="4"/>
    <n v="18.385000000000002"/>
  </r>
  <r>
    <n v="200"/>
    <x v="3"/>
    <x v="23"/>
    <x v="7"/>
    <s v="Percent of GDP"/>
    <s v="Units"/>
    <x v="5"/>
    <n v="17.097999999999999"/>
  </r>
  <r>
    <n v="200"/>
    <x v="3"/>
    <x v="23"/>
    <x v="7"/>
    <s v="Percent of GDP"/>
    <s v="Units"/>
    <x v="6"/>
    <n v="17.928000000000001"/>
  </r>
  <r>
    <n v="205"/>
    <x v="7"/>
    <x v="23"/>
    <x v="7"/>
    <s v="Percent of GDP"/>
    <s v="Units"/>
    <x v="0"/>
    <n v="14.1"/>
  </r>
  <r>
    <n v="205"/>
    <x v="7"/>
    <x v="23"/>
    <x v="7"/>
    <s v="Percent of GDP"/>
    <s v="Units"/>
    <x v="1"/>
    <n v="16.597999999999999"/>
  </r>
  <r>
    <n v="205"/>
    <x v="7"/>
    <x v="23"/>
    <x v="7"/>
    <s v="Percent of GDP"/>
    <s v="Units"/>
    <x v="2"/>
    <n v="18.207999999999998"/>
  </r>
  <r>
    <n v="205"/>
    <x v="7"/>
    <x v="23"/>
    <x v="7"/>
    <s v="Percent of GDP"/>
    <s v="Units"/>
    <x v="3"/>
    <n v="18.134"/>
  </r>
  <r>
    <n v="205"/>
    <x v="7"/>
    <x v="23"/>
    <x v="7"/>
    <s v="Percent of GDP"/>
    <s v="Units"/>
    <x v="4"/>
    <n v="18.385000000000002"/>
  </r>
  <r>
    <n v="205"/>
    <x v="7"/>
    <x v="23"/>
    <x v="7"/>
    <s v="Percent of GDP"/>
    <s v="Units"/>
    <x v="5"/>
    <n v="17.097999999999999"/>
  </r>
  <r>
    <n v="205"/>
    <x v="7"/>
    <x v="23"/>
    <x v="7"/>
    <s v="Percent of GDP"/>
    <s v="Units"/>
    <x v="6"/>
    <n v="17.928000000000001"/>
  </r>
  <r>
    <n v="1"/>
    <x v="2"/>
    <x v="23"/>
    <x v="7"/>
    <s v="Percent of GDP"/>
    <s v="Units"/>
    <x v="0"/>
    <n v="14.1"/>
  </r>
  <r>
    <n v="1"/>
    <x v="2"/>
    <x v="23"/>
    <x v="7"/>
    <s v="Percent of GDP"/>
    <s v="Units"/>
    <x v="1"/>
    <n v="16.597999999999999"/>
  </r>
  <r>
    <n v="1"/>
    <x v="2"/>
    <x v="23"/>
    <x v="7"/>
    <s v="Percent of GDP"/>
    <s v="Units"/>
    <x v="2"/>
    <n v="18.207999999999998"/>
  </r>
  <r>
    <n v="1"/>
    <x v="2"/>
    <x v="23"/>
    <x v="7"/>
    <s v="Percent of GDP"/>
    <s v="Units"/>
    <x v="3"/>
    <n v="18.134"/>
  </r>
  <r>
    <n v="1"/>
    <x v="2"/>
    <x v="23"/>
    <x v="7"/>
    <s v="Percent of GDP"/>
    <s v="Units"/>
    <x v="4"/>
    <n v="18.385000000000002"/>
  </r>
  <r>
    <n v="1"/>
    <x v="2"/>
    <x v="23"/>
    <x v="7"/>
    <s v="Percent of GDP"/>
    <s v="Units"/>
    <x v="5"/>
    <n v="17.097999999999999"/>
  </r>
  <r>
    <n v="1"/>
    <x v="2"/>
    <x v="23"/>
    <x v="7"/>
    <s v="Percent of GDP"/>
    <s v="Units"/>
    <x v="6"/>
    <n v="17.928000000000001"/>
  </r>
  <r>
    <n v="200"/>
    <x v="3"/>
    <x v="181"/>
    <x v="3"/>
    <s v="Percent of GDP"/>
    <s v="Units"/>
    <x v="0"/>
    <n v="18.620999999999999"/>
  </r>
  <r>
    <n v="200"/>
    <x v="3"/>
    <x v="181"/>
    <x v="3"/>
    <s v="Percent of GDP"/>
    <s v="Units"/>
    <x v="1"/>
    <n v="18.55"/>
  </r>
  <r>
    <n v="200"/>
    <x v="3"/>
    <x v="181"/>
    <x v="3"/>
    <s v="Percent of GDP"/>
    <s v="Units"/>
    <x v="2"/>
    <n v="15.705"/>
  </r>
  <r>
    <n v="200"/>
    <x v="3"/>
    <x v="181"/>
    <x v="3"/>
    <s v="Percent of GDP"/>
    <s v="Units"/>
    <x v="3"/>
    <n v="14.727"/>
  </r>
  <r>
    <n v="200"/>
    <x v="3"/>
    <x v="181"/>
    <x v="3"/>
    <s v="Percent of GDP"/>
    <s v="Units"/>
    <x v="4"/>
    <n v="16.100000000000001"/>
  </r>
  <r>
    <n v="200"/>
    <x v="3"/>
    <x v="181"/>
    <x v="3"/>
    <s v="Percent of GDP"/>
    <s v="Units"/>
    <x v="5"/>
    <n v="17.091999999999999"/>
  </r>
  <r>
    <n v="200"/>
    <x v="3"/>
    <x v="181"/>
    <x v="3"/>
    <s v="Percent of GDP"/>
    <s v="Units"/>
    <x v="6"/>
    <n v="17.007000000000001"/>
  </r>
  <r>
    <n v="505"/>
    <x v="4"/>
    <x v="181"/>
    <x v="3"/>
    <s v="Percent of GDP"/>
    <s v="Units"/>
    <x v="0"/>
    <n v="18.620999999999999"/>
  </r>
  <r>
    <n v="505"/>
    <x v="4"/>
    <x v="181"/>
    <x v="3"/>
    <s v="Percent of GDP"/>
    <s v="Units"/>
    <x v="1"/>
    <n v="18.55"/>
  </r>
  <r>
    <n v="505"/>
    <x v="4"/>
    <x v="181"/>
    <x v="3"/>
    <s v="Percent of GDP"/>
    <s v="Units"/>
    <x v="2"/>
    <n v="15.705"/>
  </r>
  <r>
    <n v="505"/>
    <x v="4"/>
    <x v="181"/>
    <x v="3"/>
    <s v="Percent of GDP"/>
    <s v="Units"/>
    <x v="3"/>
    <n v="14.727"/>
  </r>
  <r>
    <n v="505"/>
    <x v="4"/>
    <x v="181"/>
    <x v="3"/>
    <s v="Percent of GDP"/>
    <s v="Units"/>
    <x v="4"/>
    <n v="16.100000000000001"/>
  </r>
  <r>
    <n v="505"/>
    <x v="4"/>
    <x v="181"/>
    <x v="3"/>
    <s v="Percent of GDP"/>
    <s v="Units"/>
    <x v="5"/>
    <n v="17.091999999999999"/>
  </r>
  <r>
    <n v="505"/>
    <x v="4"/>
    <x v="181"/>
    <x v="3"/>
    <s v="Percent of GDP"/>
    <s v="Units"/>
    <x v="6"/>
    <n v="17.007000000000001"/>
  </r>
  <r>
    <n v="1"/>
    <x v="2"/>
    <x v="120"/>
    <x v="7"/>
    <s v="Percent of GDP"/>
    <s v="Units"/>
    <x v="0"/>
    <n v="13.4"/>
  </r>
  <r>
    <n v="1"/>
    <x v="2"/>
    <x v="120"/>
    <x v="7"/>
    <s v="Percent of GDP"/>
    <s v="Units"/>
    <x v="1"/>
    <n v="9.0449999999999999"/>
  </r>
  <r>
    <n v="1"/>
    <x v="2"/>
    <x v="120"/>
    <x v="7"/>
    <s v="Percent of GDP"/>
    <s v="Units"/>
    <x v="2"/>
    <n v="8.8569999999999993"/>
  </r>
  <r>
    <n v="1"/>
    <x v="2"/>
    <x v="120"/>
    <x v="7"/>
    <s v="Percent of GDP"/>
    <s v="Units"/>
    <x v="3"/>
    <n v="9.9629999999999992"/>
  </r>
  <r>
    <n v="1"/>
    <x v="2"/>
    <x v="120"/>
    <x v="7"/>
    <s v="Percent of GDP"/>
    <s v="Units"/>
    <x v="4"/>
    <n v="14.302"/>
  </r>
  <r>
    <n v="1"/>
    <x v="2"/>
    <x v="120"/>
    <x v="7"/>
    <s v="Percent of GDP"/>
    <s v="Units"/>
    <x v="5"/>
    <n v="17.071999999999999"/>
  </r>
  <r>
    <n v="1"/>
    <x v="2"/>
    <x v="120"/>
    <x v="7"/>
    <s v="Percent of GDP"/>
    <s v="Units"/>
    <x v="6"/>
    <n v="11.331"/>
  </r>
  <r>
    <n v="200"/>
    <x v="3"/>
    <x v="120"/>
    <x v="7"/>
    <s v="Percent of GDP"/>
    <s v="Units"/>
    <x v="0"/>
    <n v="13.4"/>
  </r>
  <r>
    <n v="200"/>
    <x v="3"/>
    <x v="120"/>
    <x v="7"/>
    <s v="Percent of GDP"/>
    <s v="Units"/>
    <x v="1"/>
    <n v="9.0449999999999999"/>
  </r>
  <r>
    <n v="200"/>
    <x v="3"/>
    <x v="120"/>
    <x v="7"/>
    <s v="Percent of GDP"/>
    <s v="Units"/>
    <x v="2"/>
    <n v="8.8569999999999993"/>
  </r>
  <r>
    <n v="200"/>
    <x v="3"/>
    <x v="120"/>
    <x v="7"/>
    <s v="Percent of GDP"/>
    <s v="Units"/>
    <x v="3"/>
    <n v="9.9629999999999992"/>
  </r>
  <r>
    <n v="200"/>
    <x v="3"/>
    <x v="120"/>
    <x v="7"/>
    <s v="Percent of GDP"/>
    <s v="Units"/>
    <x v="4"/>
    <n v="14.302"/>
  </r>
  <r>
    <n v="200"/>
    <x v="3"/>
    <x v="120"/>
    <x v="7"/>
    <s v="Percent of GDP"/>
    <s v="Units"/>
    <x v="5"/>
    <n v="17.071999999999999"/>
  </r>
  <r>
    <n v="200"/>
    <x v="3"/>
    <x v="120"/>
    <x v="7"/>
    <s v="Percent of GDP"/>
    <s v="Units"/>
    <x v="6"/>
    <n v="11.331"/>
  </r>
  <r>
    <n v="205"/>
    <x v="7"/>
    <x v="120"/>
    <x v="7"/>
    <s v="Percent of GDP"/>
    <s v="Units"/>
    <x v="0"/>
    <n v="13.4"/>
  </r>
  <r>
    <n v="205"/>
    <x v="7"/>
    <x v="120"/>
    <x v="7"/>
    <s v="Percent of GDP"/>
    <s v="Units"/>
    <x v="1"/>
    <n v="9.0449999999999999"/>
  </r>
  <r>
    <n v="205"/>
    <x v="7"/>
    <x v="120"/>
    <x v="7"/>
    <s v="Percent of GDP"/>
    <s v="Units"/>
    <x v="2"/>
    <n v="8.8569999999999993"/>
  </r>
  <r>
    <n v="205"/>
    <x v="7"/>
    <x v="120"/>
    <x v="7"/>
    <s v="Percent of GDP"/>
    <s v="Units"/>
    <x v="3"/>
    <n v="9.9629999999999992"/>
  </r>
  <r>
    <n v="205"/>
    <x v="7"/>
    <x v="120"/>
    <x v="7"/>
    <s v="Percent of GDP"/>
    <s v="Units"/>
    <x v="4"/>
    <n v="14.302"/>
  </r>
  <r>
    <n v="205"/>
    <x v="7"/>
    <x v="120"/>
    <x v="7"/>
    <s v="Percent of GDP"/>
    <s v="Units"/>
    <x v="5"/>
    <n v="17.071999999999999"/>
  </r>
  <r>
    <n v="205"/>
    <x v="7"/>
    <x v="120"/>
    <x v="7"/>
    <s v="Percent of GDP"/>
    <s v="Units"/>
    <x v="6"/>
    <n v="11.331"/>
  </r>
  <r>
    <n v="603"/>
    <x v="12"/>
    <x v="179"/>
    <x v="3"/>
    <s v="Percent of GDP"/>
    <s v="Units"/>
    <x v="0"/>
    <n v="15.362"/>
  </r>
  <r>
    <n v="603"/>
    <x v="12"/>
    <x v="179"/>
    <x v="3"/>
    <s v="Percent of GDP"/>
    <s v="Units"/>
    <x v="1"/>
    <n v="16.355"/>
  </r>
  <r>
    <n v="603"/>
    <x v="12"/>
    <x v="179"/>
    <x v="3"/>
    <s v="Percent of GDP"/>
    <s v="Units"/>
    <x v="2"/>
    <n v="13.707000000000001"/>
  </r>
  <r>
    <n v="603"/>
    <x v="12"/>
    <x v="179"/>
    <x v="3"/>
    <s v="Percent of GDP"/>
    <s v="Units"/>
    <x v="3"/>
    <n v="16.315000000000001"/>
  </r>
  <r>
    <n v="603"/>
    <x v="12"/>
    <x v="179"/>
    <x v="3"/>
    <s v="Percent of GDP"/>
    <s v="Units"/>
    <x v="4"/>
    <n v="18.126999999999999"/>
  </r>
  <r>
    <n v="603"/>
    <x v="12"/>
    <x v="179"/>
    <x v="3"/>
    <s v="Percent of GDP"/>
    <s v="Units"/>
    <x v="5"/>
    <n v="17.056999999999999"/>
  </r>
  <r>
    <n v="603"/>
    <x v="12"/>
    <x v="179"/>
    <x v="3"/>
    <s v="Percent of GDP"/>
    <s v="Units"/>
    <x v="6"/>
    <n v="17.053000000000001"/>
  </r>
  <r>
    <n v="200"/>
    <x v="3"/>
    <x v="179"/>
    <x v="3"/>
    <s v="Percent of GDP"/>
    <s v="Units"/>
    <x v="0"/>
    <n v="15.362"/>
  </r>
  <r>
    <n v="200"/>
    <x v="3"/>
    <x v="179"/>
    <x v="3"/>
    <s v="Percent of GDP"/>
    <s v="Units"/>
    <x v="1"/>
    <n v="16.355"/>
  </r>
  <r>
    <n v="200"/>
    <x v="3"/>
    <x v="179"/>
    <x v="3"/>
    <s v="Percent of GDP"/>
    <s v="Units"/>
    <x v="2"/>
    <n v="13.707000000000001"/>
  </r>
  <r>
    <n v="200"/>
    <x v="3"/>
    <x v="179"/>
    <x v="3"/>
    <s v="Percent of GDP"/>
    <s v="Units"/>
    <x v="3"/>
    <n v="16.315000000000001"/>
  </r>
  <r>
    <n v="200"/>
    <x v="3"/>
    <x v="179"/>
    <x v="3"/>
    <s v="Percent of GDP"/>
    <s v="Units"/>
    <x v="4"/>
    <n v="18.126999999999999"/>
  </r>
  <r>
    <n v="200"/>
    <x v="3"/>
    <x v="179"/>
    <x v="3"/>
    <s v="Percent of GDP"/>
    <s v="Units"/>
    <x v="5"/>
    <n v="17.056999999999999"/>
  </r>
  <r>
    <n v="200"/>
    <x v="3"/>
    <x v="179"/>
    <x v="3"/>
    <s v="Percent of GDP"/>
    <s v="Units"/>
    <x v="6"/>
    <n v="17.053000000000001"/>
  </r>
  <r>
    <n v="603"/>
    <x v="12"/>
    <x v="52"/>
    <x v="3"/>
    <s v="Percent of GDP"/>
    <s v="Units"/>
    <x v="0"/>
    <n v="12.523"/>
  </r>
  <r>
    <n v="603"/>
    <x v="12"/>
    <x v="52"/>
    <x v="3"/>
    <s v="Percent of GDP"/>
    <s v="Units"/>
    <x v="1"/>
    <n v="12.095000000000001"/>
  </r>
  <r>
    <n v="603"/>
    <x v="12"/>
    <x v="52"/>
    <x v="3"/>
    <s v="Percent of GDP"/>
    <s v="Units"/>
    <x v="2"/>
    <n v="12.558999999999999"/>
  </r>
  <r>
    <n v="603"/>
    <x v="12"/>
    <x v="52"/>
    <x v="3"/>
    <s v="Percent of GDP"/>
    <s v="Units"/>
    <x v="3"/>
    <n v="14.378"/>
  </r>
  <r>
    <n v="603"/>
    <x v="12"/>
    <x v="52"/>
    <x v="3"/>
    <s v="Percent of GDP"/>
    <s v="Units"/>
    <x v="4"/>
    <n v="13.842000000000001"/>
  </r>
  <r>
    <n v="603"/>
    <x v="12"/>
    <x v="52"/>
    <x v="3"/>
    <s v="Percent of GDP"/>
    <s v="Units"/>
    <x v="5"/>
    <n v="17.045000000000002"/>
  </r>
  <r>
    <n v="603"/>
    <x v="12"/>
    <x v="52"/>
    <x v="3"/>
    <s v="Percent of GDP"/>
    <s v="Units"/>
    <x v="6"/>
    <n v="17.024999999999999"/>
  </r>
  <r>
    <n v="200"/>
    <x v="3"/>
    <x v="52"/>
    <x v="3"/>
    <s v="Percent of GDP"/>
    <s v="Units"/>
    <x v="0"/>
    <n v="12.523"/>
  </r>
  <r>
    <n v="200"/>
    <x v="3"/>
    <x v="52"/>
    <x v="3"/>
    <s v="Percent of GDP"/>
    <s v="Units"/>
    <x v="1"/>
    <n v="12.095000000000001"/>
  </r>
  <r>
    <n v="200"/>
    <x v="3"/>
    <x v="52"/>
    <x v="3"/>
    <s v="Percent of GDP"/>
    <s v="Units"/>
    <x v="2"/>
    <n v="12.558999999999999"/>
  </r>
  <r>
    <n v="200"/>
    <x v="3"/>
    <x v="52"/>
    <x v="3"/>
    <s v="Percent of GDP"/>
    <s v="Units"/>
    <x v="3"/>
    <n v="14.378"/>
  </r>
  <r>
    <n v="200"/>
    <x v="3"/>
    <x v="52"/>
    <x v="3"/>
    <s v="Percent of GDP"/>
    <s v="Units"/>
    <x v="4"/>
    <n v="13.842000000000001"/>
  </r>
  <r>
    <n v="200"/>
    <x v="3"/>
    <x v="52"/>
    <x v="3"/>
    <s v="Percent of GDP"/>
    <s v="Units"/>
    <x v="5"/>
    <n v="17.045000000000002"/>
  </r>
  <r>
    <n v="200"/>
    <x v="3"/>
    <x v="52"/>
    <x v="3"/>
    <s v="Percent of GDP"/>
    <s v="Units"/>
    <x v="6"/>
    <n v="17.024999999999999"/>
  </r>
  <r>
    <n v="200"/>
    <x v="3"/>
    <x v="186"/>
    <x v="3"/>
    <s v="Percent of GDP"/>
    <s v="Units"/>
    <x v="0"/>
    <n v="16.911999999999999"/>
  </r>
  <r>
    <n v="200"/>
    <x v="3"/>
    <x v="186"/>
    <x v="3"/>
    <s v="Percent of GDP"/>
    <s v="Units"/>
    <x v="1"/>
    <n v="25.111000000000001"/>
  </r>
  <r>
    <n v="200"/>
    <x v="3"/>
    <x v="186"/>
    <x v="3"/>
    <s v="Percent of GDP"/>
    <s v="Units"/>
    <x v="2"/>
    <n v="19.690000000000001"/>
  </r>
  <r>
    <n v="200"/>
    <x v="3"/>
    <x v="186"/>
    <x v="3"/>
    <s v="Percent of GDP"/>
    <s v="Units"/>
    <x v="3"/>
    <n v="17.643000000000001"/>
  </r>
  <r>
    <n v="200"/>
    <x v="3"/>
    <x v="186"/>
    <x v="3"/>
    <s v="Percent of GDP"/>
    <s v="Units"/>
    <x v="4"/>
    <n v="17.885999999999999"/>
  </r>
  <r>
    <n v="200"/>
    <x v="3"/>
    <x v="186"/>
    <x v="3"/>
    <s v="Percent of GDP"/>
    <s v="Units"/>
    <x v="5"/>
    <n v="17.007000000000001"/>
  </r>
  <r>
    <n v="200"/>
    <x v="3"/>
    <x v="186"/>
    <x v="3"/>
    <s v="Percent of GDP"/>
    <s v="Units"/>
    <x v="6"/>
    <n v="17.948"/>
  </r>
  <r>
    <n v="603"/>
    <x v="12"/>
    <x v="186"/>
    <x v="3"/>
    <s v="Percent of GDP"/>
    <s v="Units"/>
    <x v="0"/>
    <n v="16.911999999999999"/>
  </r>
  <r>
    <n v="603"/>
    <x v="12"/>
    <x v="186"/>
    <x v="3"/>
    <s v="Percent of GDP"/>
    <s v="Units"/>
    <x v="1"/>
    <n v="25.111000000000001"/>
  </r>
  <r>
    <n v="603"/>
    <x v="12"/>
    <x v="186"/>
    <x v="3"/>
    <s v="Percent of GDP"/>
    <s v="Units"/>
    <x v="2"/>
    <n v="19.690000000000001"/>
  </r>
  <r>
    <n v="603"/>
    <x v="12"/>
    <x v="186"/>
    <x v="3"/>
    <s v="Percent of GDP"/>
    <s v="Units"/>
    <x v="3"/>
    <n v="17.643000000000001"/>
  </r>
  <r>
    <n v="603"/>
    <x v="12"/>
    <x v="186"/>
    <x v="3"/>
    <s v="Percent of GDP"/>
    <s v="Units"/>
    <x v="4"/>
    <n v="17.885999999999999"/>
  </r>
  <r>
    <n v="603"/>
    <x v="12"/>
    <x v="186"/>
    <x v="3"/>
    <s v="Percent of GDP"/>
    <s v="Units"/>
    <x v="5"/>
    <n v="17.007000000000001"/>
  </r>
  <r>
    <n v="603"/>
    <x v="12"/>
    <x v="186"/>
    <x v="3"/>
    <s v="Percent of GDP"/>
    <s v="Units"/>
    <x v="6"/>
    <n v="17.948"/>
  </r>
  <r>
    <n v="110"/>
    <x v="0"/>
    <x v="38"/>
    <x v="7"/>
    <s v="Percent of GDP"/>
    <s v="Units"/>
    <x v="0"/>
    <n v="18.190000000000001"/>
  </r>
  <r>
    <n v="110"/>
    <x v="0"/>
    <x v="38"/>
    <x v="7"/>
    <s v="Percent of GDP"/>
    <s v="Units"/>
    <x v="1"/>
    <n v="18.981999999999999"/>
  </r>
  <r>
    <n v="110"/>
    <x v="0"/>
    <x v="38"/>
    <x v="7"/>
    <s v="Percent of GDP"/>
    <s v="Units"/>
    <x v="2"/>
    <n v="16.776"/>
  </r>
  <r>
    <n v="110"/>
    <x v="0"/>
    <x v="38"/>
    <x v="7"/>
    <s v="Percent of GDP"/>
    <s v="Units"/>
    <x v="3"/>
    <n v="15.23"/>
  </r>
  <r>
    <n v="110"/>
    <x v="0"/>
    <x v="38"/>
    <x v="7"/>
    <s v="Percent of GDP"/>
    <s v="Units"/>
    <x v="4"/>
    <n v="14.535"/>
  </r>
  <r>
    <n v="110"/>
    <x v="0"/>
    <x v="38"/>
    <x v="7"/>
    <s v="Percent of GDP"/>
    <s v="Units"/>
    <x v="5"/>
    <n v="16.994"/>
  </r>
  <r>
    <n v="110"/>
    <x v="0"/>
    <x v="38"/>
    <x v="7"/>
    <s v="Percent of GDP"/>
    <s v="Units"/>
    <x v="6"/>
    <n v="17.405999999999999"/>
  </r>
  <r>
    <n v="123"/>
    <x v="9"/>
    <x v="38"/>
    <x v="7"/>
    <s v="Percent of GDP"/>
    <s v="Units"/>
    <x v="0"/>
    <n v="18.190000000000001"/>
  </r>
  <r>
    <n v="123"/>
    <x v="9"/>
    <x v="38"/>
    <x v="7"/>
    <s v="Percent of GDP"/>
    <s v="Units"/>
    <x v="1"/>
    <n v="18.981999999999999"/>
  </r>
  <r>
    <n v="123"/>
    <x v="9"/>
    <x v="38"/>
    <x v="7"/>
    <s v="Percent of GDP"/>
    <s v="Units"/>
    <x v="2"/>
    <n v="16.776"/>
  </r>
  <r>
    <n v="123"/>
    <x v="9"/>
    <x v="38"/>
    <x v="7"/>
    <s v="Percent of GDP"/>
    <s v="Units"/>
    <x v="3"/>
    <n v="15.23"/>
  </r>
  <r>
    <n v="123"/>
    <x v="9"/>
    <x v="38"/>
    <x v="7"/>
    <s v="Percent of GDP"/>
    <s v="Units"/>
    <x v="4"/>
    <n v="14.535"/>
  </r>
  <r>
    <n v="123"/>
    <x v="9"/>
    <x v="38"/>
    <x v="7"/>
    <s v="Percent of GDP"/>
    <s v="Units"/>
    <x v="5"/>
    <n v="16.994"/>
  </r>
  <r>
    <n v="123"/>
    <x v="9"/>
    <x v="38"/>
    <x v="7"/>
    <s v="Percent of GDP"/>
    <s v="Units"/>
    <x v="6"/>
    <n v="17.405999999999999"/>
  </r>
  <r>
    <n v="1"/>
    <x v="2"/>
    <x v="38"/>
    <x v="7"/>
    <s v="Percent of GDP"/>
    <s v="Units"/>
    <x v="0"/>
    <n v="18.190000000000001"/>
  </r>
  <r>
    <n v="1"/>
    <x v="2"/>
    <x v="38"/>
    <x v="7"/>
    <s v="Percent of GDP"/>
    <s v="Units"/>
    <x v="1"/>
    <n v="18.981999999999999"/>
  </r>
  <r>
    <n v="1"/>
    <x v="2"/>
    <x v="38"/>
    <x v="7"/>
    <s v="Percent of GDP"/>
    <s v="Units"/>
    <x v="2"/>
    <n v="16.776"/>
  </r>
  <r>
    <n v="1"/>
    <x v="2"/>
    <x v="38"/>
    <x v="7"/>
    <s v="Percent of GDP"/>
    <s v="Units"/>
    <x v="3"/>
    <n v="15.23"/>
  </r>
  <r>
    <n v="1"/>
    <x v="2"/>
    <x v="38"/>
    <x v="7"/>
    <s v="Percent of GDP"/>
    <s v="Units"/>
    <x v="4"/>
    <n v="14.535"/>
  </r>
  <r>
    <n v="1"/>
    <x v="2"/>
    <x v="38"/>
    <x v="7"/>
    <s v="Percent of GDP"/>
    <s v="Units"/>
    <x v="5"/>
    <n v="16.994"/>
  </r>
  <r>
    <n v="1"/>
    <x v="2"/>
    <x v="38"/>
    <x v="7"/>
    <s v="Percent of GDP"/>
    <s v="Units"/>
    <x v="6"/>
    <n v="17.405999999999999"/>
  </r>
  <r>
    <n v="200"/>
    <x v="3"/>
    <x v="185"/>
    <x v="3"/>
    <s v="Percent of GDP"/>
    <s v="Units"/>
    <x v="0"/>
    <n v="10.538"/>
  </r>
  <r>
    <n v="200"/>
    <x v="3"/>
    <x v="185"/>
    <x v="3"/>
    <s v="Percent of GDP"/>
    <s v="Units"/>
    <x v="1"/>
    <n v="14.346"/>
  </r>
  <r>
    <n v="200"/>
    <x v="3"/>
    <x v="185"/>
    <x v="3"/>
    <s v="Percent of GDP"/>
    <s v="Units"/>
    <x v="2"/>
    <n v="13.81"/>
  </r>
  <r>
    <n v="200"/>
    <x v="3"/>
    <x v="185"/>
    <x v="3"/>
    <s v="Percent of GDP"/>
    <s v="Units"/>
    <x v="3"/>
    <n v="13.872999999999999"/>
  </r>
  <r>
    <n v="200"/>
    <x v="3"/>
    <x v="185"/>
    <x v="3"/>
    <s v="Percent of GDP"/>
    <s v="Units"/>
    <x v="4"/>
    <n v="20.359000000000002"/>
  </r>
  <r>
    <n v="200"/>
    <x v="3"/>
    <x v="185"/>
    <x v="3"/>
    <s v="Percent of GDP"/>
    <s v="Units"/>
    <x v="5"/>
    <n v="16.975000000000001"/>
  </r>
  <r>
    <n v="200"/>
    <x v="3"/>
    <x v="185"/>
    <x v="3"/>
    <s v="Percent of GDP"/>
    <s v="Units"/>
    <x v="6"/>
    <n v="16.603000000000002"/>
  </r>
  <r>
    <n v="603"/>
    <x v="12"/>
    <x v="185"/>
    <x v="3"/>
    <s v="Percent of GDP"/>
    <s v="Units"/>
    <x v="0"/>
    <n v="10.538"/>
  </r>
  <r>
    <n v="603"/>
    <x v="12"/>
    <x v="185"/>
    <x v="3"/>
    <s v="Percent of GDP"/>
    <s v="Units"/>
    <x v="1"/>
    <n v="14.346"/>
  </r>
  <r>
    <n v="603"/>
    <x v="12"/>
    <x v="185"/>
    <x v="3"/>
    <s v="Percent of GDP"/>
    <s v="Units"/>
    <x v="2"/>
    <n v="13.81"/>
  </r>
  <r>
    <n v="603"/>
    <x v="12"/>
    <x v="185"/>
    <x v="3"/>
    <s v="Percent of GDP"/>
    <s v="Units"/>
    <x v="3"/>
    <n v="13.872999999999999"/>
  </r>
  <r>
    <n v="603"/>
    <x v="12"/>
    <x v="185"/>
    <x v="3"/>
    <s v="Percent of GDP"/>
    <s v="Units"/>
    <x v="4"/>
    <n v="20.359000000000002"/>
  </r>
  <r>
    <n v="603"/>
    <x v="12"/>
    <x v="185"/>
    <x v="3"/>
    <s v="Percent of GDP"/>
    <s v="Units"/>
    <x v="5"/>
    <n v="16.975000000000001"/>
  </r>
  <r>
    <n v="603"/>
    <x v="12"/>
    <x v="185"/>
    <x v="3"/>
    <s v="Percent of GDP"/>
    <s v="Units"/>
    <x v="6"/>
    <n v="16.603000000000002"/>
  </r>
  <r>
    <n v="200"/>
    <x v="3"/>
    <x v="187"/>
    <x v="0"/>
    <s v="U.S. dollars"/>
    <s v="Billions"/>
    <x v="0"/>
    <n v="21.888000000000002"/>
  </r>
  <r>
    <n v="200"/>
    <x v="3"/>
    <x v="187"/>
    <x v="0"/>
    <s v="U.S. dollars"/>
    <s v="Billions"/>
    <x v="1"/>
    <n v="20.22"/>
  </r>
  <r>
    <n v="200"/>
    <x v="3"/>
    <x v="187"/>
    <x v="0"/>
    <s v="U.S. dollars"/>
    <s v="Billions"/>
    <x v="2"/>
    <n v="19.393999999999998"/>
  </r>
  <r>
    <n v="200"/>
    <x v="3"/>
    <x v="187"/>
    <x v="0"/>
    <s v="U.S. dollars"/>
    <s v="Billions"/>
    <x v="3"/>
    <n v="23.533999999999999"/>
  </r>
  <r>
    <n v="200"/>
    <x v="3"/>
    <x v="187"/>
    <x v="0"/>
    <s v="U.S. dollars"/>
    <s v="Billions"/>
    <x v="4"/>
    <n v="18.423999999999999"/>
  </r>
  <r>
    <n v="200"/>
    <x v="3"/>
    <x v="187"/>
    <x v="0"/>
    <s v="U.S. dollars"/>
    <s v="Billions"/>
    <x v="5"/>
    <n v="16.940000000000001"/>
  </r>
  <r>
    <n v="200"/>
    <x v="3"/>
    <x v="187"/>
    <x v="0"/>
    <s v="U.S. dollars"/>
    <s v="Billions"/>
    <x v="6"/>
    <n v="17.175999999999998"/>
  </r>
  <r>
    <n v="1"/>
    <x v="2"/>
    <x v="187"/>
    <x v="0"/>
    <s v="U.S. dollars"/>
    <s v="Billions"/>
    <x v="0"/>
    <n v="21.888000000000002"/>
  </r>
  <r>
    <n v="1"/>
    <x v="2"/>
    <x v="187"/>
    <x v="0"/>
    <s v="U.S. dollars"/>
    <s v="Billions"/>
    <x v="1"/>
    <n v="20.22"/>
  </r>
  <r>
    <n v="1"/>
    <x v="2"/>
    <x v="187"/>
    <x v="0"/>
    <s v="U.S. dollars"/>
    <s v="Billions"/>
    <x v="2"/>
    <n v="19.393999999999998"/>
  </r>
  <r>
    <n v="1"/>
    <x v="2"/>
    <x v="187"/>
    <x v="0"/>
    <s v="U.S. dollars"/>
    <s v="Billions"/>
    <x v="3"/>
    <n v="23.533999999999999"/>
  </r>
  <r>
    <n v="1"/>
    <x v="2"/>
    <x v="187"/>
    <x v="0"/>
    <s v="U.S. dollars"/>
    <s v="Billions"/>
    <x v="4"/>
    <n v="18.423999999999999"/>
  </r>
  <r>
    <n v="1"/>
    <x v="2"/>
    <x v="187"/>
    <x v="0"/>
    <s v="U.S. dollars"/>
    <s v="Billions"/>
    <x v="5"/>
    <n v="16.940000000000001"/>
  </r>
  <r>
    <n v="1"/>
    <x v="2"/>
    <x v="187"/>
    <x v="0"/>
    <s v="U.S. dollars"/>
    <s v="Billions"/>
    <x v="6"/>
    <n v="17.175999999999998"/>
  </r>
  <r>
    <n v="400"/>
    <x v="11"/>
    <x v="187"/>
    <x v="0"/>
    <s v="U.S. dollars"/>
    <s v="Billions"/>
    <x v="0"/>
    <n v="21.888000000000002"/>
  </r>
  <r>
    <n v="400"/>
    <x v="11"/>
    <x v="187"/>
    <x v="0"/>
    <s v="U.S. dollars"/>
    <s v="Billions"/>
    <x v="1"/>
    <n v="20.22"/>
  </r>
  <r>
    <n v="400"/>
    <x v="11"/>
    <x v="187"/>
    <x v="0"/>
    <s v="U.S. dollars"/>
    <s v="Billions"/>
    <x v="2"/>
    <n v="19.393999999999998"/>
  </r>
  <r>
    <n v="400"/>
    <x v="11"/>
    <x v="187"/>
    <x v="0"/>
    <s v="U.S. dollars"/>
    <s v="Billions"/>
    <x v="3"/>
    <n v="23.533999999999999"/>
  </r>
  <r>
    <n v="400"/>
    <x v="11"/>
    <x v="187"/>
    <x v="0"/>
    <s v="U.S. dollars"/>
    <s v="Billions"/>
    <x v="4"/>
    <n v="18.423999999999999"/>
  </r>
  <r>
    <n v="400"/>
    <x v="11"/>
    <x v="187"/>
    <x v="0"/>
    <s v="U.S. dollars"/>
    <s v="Billions"/>
    <x v="5"/>
    <n v="16.940000000000001"/>
  </r>
  <r>
    <n v="400"/>
    <x v="11"/>
    <x v="187"/>
    <x v="0"/>
    <s v="U.S. dollars"/>
    <s v="Billions"/>
    <x v="6"/>
    <n v="17.175999999999998"/>
  </r>
  <r>
    <n v="603"/>
    <x v="12"/>
    <x v="56"/>
    <x v="5"/>
    <s v="Percent of GDP"/>
    <s v="Units"/>
    <x v="0"/>
    <n v="29.913"/>
  </r>
  <r>
    <n v="603"/>
    <x v="12"/>
    <x v="56"/>
    <x v="5"/>
    <s v="Percent of GDP"/>
    <s v="Units"/>
    <x v="1"/>
    <n v="26.582000000000001"/>
  </r>
  <r>
    <n v="603"/>
    <x v="12"/>
    <x v="56"/>
    <x v="5"/>
    <s v="Percent of GDP"/>
    <s v="Units"/>
    <x v="2"/>
    <n v="25.167999999999999"/>
  </r>
  <r>
    <n v="603"/>
    <x v="12"/>
    <x v="56"/>
    <x v="5"/>
    <s v="Percent of GDP"/>
    <s v="Units"/>
    <x v="3"/>
    <n v="21.292999999999999"/>
  </r>
  <r>
    <n v="603"/>
    <x v="12"/>
    <x v="56"/>
    <x v="5"/>
    <s v="Percent of GDP"/>
    <s v="Units"/>
    <x v="4"/>
    <n v="19.34"/>
  </r>
  <r>
    <n v="603"/>
    <x v="12"/>
    <x v="56"/>
    <x v="5"/>
    <s v="Percent of GDP"/>
    <s v="Units"/>
    <x v="5"/>
    <n v="16.93"/>
  </r>
  <r>
    <n v="603"/>
    <x v="12"/>
    <x v="56"/>
    <x v="5"/>
    <s v="Percent of GDP"/>
    <s v="Units"/>
    <x v="6"/>
    <n v="17.376999999999999"/>
  </r>
  <r>
    <n v="200"/>
    <x v="3"/>
    <x v="56"/>
    <x v="5"/>
    <s v="Percent of GDP"/>
    <s v="Units"/>
    <x v="0"/>
    <n v="29.913"/>
  </r>
  <r>
    <n v="200"/>
    <x v="3"/>
    <x v="56"/>
    <x v="5"/>
    <s v="Percent of GDP"/>
    <s v="Units"/>
    <x v="1"/>
    <n v="26.582000000000001"/>
  </r>
  <r>
    <n v="200"/>
    <x v="3"/>
    <x v="56"/>
    <x v="5"/>
    <s v="Percent of GDP"/>
    <s v="Units"/>
    <x v="2"/>
    <n v="25.167999999999999"/>
  </r>
  <r>
    <n v="200"/>
    <x v="3"/>
    <x v="56"/>
    <x v="5"/>
    <s v="Percent of GDP"/>
    <s v="Units"/>
    <x v="3"/>
    <n v="21.292999999999999"/>
  </r>
  <r>
    <n v="200"/>
    <x v="3"/>
    <x v="56"/>
    <x v="5"/>
    <s v="Percent of GDP"/>
    <s v="Units"/>
    <x v="4"/>
    <n v="19.34"/>
  </r>
  <r>
    <n v="200"/>
    <x v="3"/>
    <x v="56"/>
    <x v="5"/>
    <s v="Percent of GDP"/>
    <s v="Units"/>
    <x v="5"/>
    <n v="16.93"/>
  </r>
  <r>
    <n v="200"/>
    <x v="3"/>
    <x v="56"/>
    <x v="5"/>
    <s v="Percent of GDP"/>
    <s v="Units"/>
    <x v="6"/>
    <n v="17.376999999999999"/>
  </r>
  <r>
    <n v="1"/>
    <x v="2"/>
    <x v="56"/>
    <x v="5"/>
    <s v="Percent of GDP"/>
    <s v="Units"/>
    <x v="0"/>
    <n v="29.913"/>
  </r>
  <r>
    <n v="1"/>
    <x v="2"/>
    <x v="56"/>
    <x v="5"/>
    <s v="Percent of GDP"/>
    <s v="Units"/>
    <x v="1"/>
    <n v="26.582000000000001"/>
  </r>
  <r>
    <n v="1"/>
    <x v="2"/>
    <x v="56"/>
    <x v="5"/>
    <s v="Percent of GDP"/>
    <s v="Units"/>
    <x v="2"/>
    <n v="25.167999999999999"/>
  </r>
  <r>
    <n v="1"/>
    <x v="2"/>
    <x v="56"/>
    <x v="5"/>
    <s v="Percent of GDP"/>
    <s v="Units"/>
    <x v="3"/>
    <n v="21.292999999999999"/>
  </r>
  <r>
    <n v="1"/>
    <x v="2"/>
    <x v="56"/>
    <x v="5"/>
    <s v="Percent of GDP"/>
    <s v="Units"/>
    <x v="4"/>
    <n v="19.34"/>
  </r>
  <r>
    <n v="1"/>
    <x v="2"/>
    <x v="56"/>
    <x v="5"/>
    <s v="Percent of GDP"/>
    <s v="Units"/>
    <x v="5"/>
    <n v="16.93"/>
  </r>
  <r>
    <n v="1"/>
    <x v="2"/>
    <x v="56"/>
    <x v="5"/>
    <s v="Percent of GDP"/>
    <s v="Units"/>
    <x v="6"/>
    <n v="17.376999999999999"/>
  </r>
  <r>
    <n v="400"/>
    <x v="11"/>
    <x v="187"/>
    <x v="1"/>
    <s v="Percent change"/>
    <s v="Units"/>
    <x v="0"/>
    <n v="15.689"/>
  </r>
  <r>
    <n v="400"/>
    <x v="11"/>
    <x v="187"/>
    <x v="1"/>
    <s v="Percent change"/>
    <s v="Units"/>
    <x v="1"/>
    <n v="21.672999999999998"/>
  </r>
  <r>
    <n v="400"/>
    <x v="11"/>
    <x v="187"/>
    <x v="1"/>
    <s v="Percent change"/>
    <s v="Units"/>
    <x v="2"/>
    <n v="31.463999999999999"/>
  </r>
  <r>
    <n v="400"/>
    <x v="11"/>
    <x v="187"/>
    <x v="1"/>
    <s v="Percent change"/>
    <s v="Units"/>
    <x v="3"/>
    <n v="29.510999999999999"/>
  </r>
  <r>
    <n v="400"/>
    <x v="11"/>
    <x v="187"/>
    <x v="1"/>
    <s v="Percent change"/>
    <s v="Units"/>
    <x v="4"/>
    <n v="-1.2250000000000001"/>
  </r>
  <r>
    <n v="400"/>
    <x v="11"/>
    <x v="187"/>
    <x v="1"/>
    <s v="Percent change"/>
    <s v="Units"/>
    <x v="5"/>
    <n v="16.908999999999999"/>
  </r>
  <r>
    <n v="400"/>
    <x v="11"/>
    <x v="187"/>
    <x v="1"/>
    <s v="Percent change"/>
    <s v="Units"/>
    <x v="6"/>
    <n v="17.273"/>
  </r>
  <r>
    <n v="1"/>
    <x v="2"/>
    <x v="0"/>
    <x v="5"/>
    <s v="Percent of GDP"/>
    <s v="Units"/>
    <x v="0"/>
    <n v="19.405999999999999"/>
  </r>
  <r>
    <n v="1"/>
    <x v="2"/>
    <x v="0"/>
    <x v="5"/>
    <s v="Percent of GDP"/>
    <s v="Units"/>
    <x v="1"/>
    <n v="18.463000000000001"/>
  </r>
  <r>
    <n v="1"/>
    <x v="2"/>
    <x v="0"/>
    <x v="5"/>
    <s v="Percent of GDP"/>
    <s v="Units"/>
    <x v="2"/>
    <n v="17.803999999999998"/>
  </r>
  <r>
    <n v="1"/>
    <x v="2"/>
    <x v="0"/>
    <x v="5"/>
    <s v="Percent of GDP"/>
    <s v="Units"/>
    <x v="3"/>
    <n v="18.256"/>
  </r>
  <r>
    <n v="1"/>
    <x v="2"/>
    <x v="0"/>
    <x v="5"/>
    <s v="Percent of GDP"/>
    <s v="Units"/>
    <x v="4"/>
    <n v="16.584"/>
  </r>
  <r>
    <n v="1"/>
    <x v="2"/>
    <x v="0"/>
    <x v="5"/>
    <s v="Percent of GDP"/>
    <s v="Units"/>
    <x v="5"/>
    <n v="16.908999999999999"/>
  </r>
  <r>
    <n v="1"/>
    <x v="2"/>
    <x v="0"/>
    <x v="5"/>
    <s v="Percent of GDP"/>
    <s v="Units"/>
    <x v="6"/>
    <n v="17.137"/>
  </r>
  <r>
    <n v="1"/>
    <x v="2"/>
    <x v="187"/>
    <x v="1"/>
    <s v="Percent change"/>
    <s v="Units"/>
    <x v="0"/>
    <n v="15.689"/>
  </r>
  <r>
    <n v="1"/>
    <x v="2"/>
    <x v="187"/>
    <x v="1"/>
    <s v="Percent change"/>
    <s v="Units"/>
    <x v="1"/>
    <n v="21.672999999999998"/>
  </r>
  <r>
    <n v="1"/>
    <x v="2"/>
    <x v="187"/>
    <x v="1"/>
    <s v="Percent change"/>
    <s v="Units"/>
    <x v="2"/>
    <n v="31.463999999999999"/>
  </r>
  <r>
    <n v="1"/>
    <x v="2"/>
    <x v="187"/>
    <x v="1"/>
    <s v="Percent change"/>
    <s v="Units"/>
    <x v="3"/>
    <n v="29.510999999999999"/>
  </r>
  <r>
    <n v="1"/>
    <x v="2"/>
    <x v="187"/>
    <x v="1"/>
    <s v="Percent change"/>
    <s v="Units"/>
    <x v="4"/>
    <n v="-1.2250000000000001"/>
  </r>
  <r>
    <n v="1"/>
    <x v="2"/>
    <x v="187"/>
    <x v="1"/>
    <s v="Percent change"/>
    <s v="Units"/>
    <x v="5"/>
    <n v="16.908999999999999"/>
  </r>
  <r>
    <n v="1"/>
    <x v="2"/>
    <x v="187"/>
    <x v="1"/>
    <s v="Percent change"/>
    <s v="Units"/>
    <x v="6"/>
    <n v="17.273"/>
  </r>
  <r>
    <n v="200"/>
    <x v="3"/>
    <x v="187"/>
    <x v="1"/>
    <s v="Percent change"/>
    <s v="Units"/>
    <x v="0"/>
    <n v="15.689"/>
  </r>
  <r>
    <n v="200"/>
    <x v="3"/>
    <x v="187"/>
    <x v="1"/>
    <s v="Percent change"/>
    <s v="Units"/>
    <x v="1"/>
    <n v="21.672999999999998"/>
  </r>
  <r>
    <n v="200"/>
    <x v="3"/>
    <x v="187"/>
    <x v="1"/>
    <s v="Percent change"/>
    <s v="Units"/>
    <x v="2"/>
    <n v="31.463999999999999"/>
  </r>
  <r>
    <n v="200"/>
    <x v="3"/>
    <x v="187"/>
    <x v="1"/>
    <s v="Percent change"/>
    <s v="Units"/>
    <x v="3"/>
    <n v="29.510999999999999"/>
  </r>
  <r>
    <n v="200"/>
    <x v="3"/>
    <x v="187"/>
    <x v="1"/>
    <s v="Percent change"/>
    <s v="Units"/>
    <x v="4"/>
    <n v="-1.2250000000000001"/>
  </r>
  <r>
    <n v="200"/>
    <x v="3"/>
    <x v="187"/>
    <x v="1"/>
    <s v="Percent change"/>
    <s v="Units"/>
    <x v="5"/>
    <n v="16.908999999999999"/>
  </r>
  <r>
    <n v="200"/>
    <x v="3"/>
    <x v="187"/>
    <x v="1"/>
    <s v="Percent change"/>
    <s v="Units"/>
    <x v="6"/>
    <n v="17.273"/>
  </r>
  <r>
    <n v="119"/>
    <x v="1"/>
    <x v="0"/>
    <x v="5"/>
    <s v="Percent of GDP"/>
    <s v="Units"/>
    <x v="0"/>
    <n v="19.405999999999999"/>
  </r>
  <r>
    <n v="119"/>
    <x v="1"/>
    <x v="0"/>
    <x v="5"/>
    <s v="Percent of GDP"/>
    <s v="Units"/>
    <x v="1"/>
    <n v="18.463000000000001"/>
  </r>
  <r>
    <n v="119"/>
    <x v="1"/>
    <x v="0"/>
    <x v="5"/>
    <s v="Percent of GDP"/>
    <s v="Units"/>
    <x v="2"/>
    <n v="17.803999999999998"/>
  </r>
  <r>
    <n v="119"/>
    <x v="1"/>
    <x v="0"/>
    <x v="5"/>
    <s v="Percent of GDP"/>
    <s v="Units"/>
    <x v="3"/>
    <n v="18.256"/>
  </r>
  <r>
    <n v="119"/>
    <x v="1"/>
    <x v="0"/>
    <x v="5"/>
    <s v="Percent of GDP"/>
    <s v="Units"/>
    <x v="4"/>
    <n v="16.584"/>
  </r>
  <r>
    <n v="119"/>
    <x v="1"/>
    <x v="0"/>
    <x v="5"/>
    <s v="Percent of GDP"/>
    <s v="Units"/>
    <x v="5"/>
    <n v="16.908999999999999"/>
  </r>
  <r>
    <n v="119"/>
    <x v="1"/>
    <x v="0"/>
    <x v="5"/>
    <s v="Percent of GDP"/>
    <s v="Units"/>
    <x v="6"/>
    <n v="17.137"/>
  </r>
  <r>
    <n v="110"/>
    <x v="0"/>
    <x v="0"/>
    <x v="5"/>
    <s v="Percent of GDP"/>
    <s v="Units"/>
    <x v="0"/>
    <n v="19.405999999999999"/>
  </r>
  <r>
    <n v="110"/>
    <x v="0"/>
    <x v="0"/>
    <x v="5"/>
    <s v="Percent of GDP"/>
    <s v="Units"/>
    <x v="1"/>
    <n v="18.463000000000001"/>
  </r>
  <r>
    <n v="110"/>
    <x v="0"/>
    <x v="0"/>
    <x v="5"/>
    <s v="Percent of GDP"/>
    <s v="Units"/>
    <x v="2"/>
    <n v="17.803999999999998"/>
  </r>
  <r>
    <n v="110"/>
    <x v="0"/>
    <x v="0"/>
    <x v="5"/>
    <s v="Percent of GDP"/>
    <s v="Units"/>
    <x v="3"/>
    <n v="18.256"/>
  </r>
  <r>
    <n v="110"/>
    <x v="0"/>
    <x v="0"/>
    <x v="5"/>
    <s v="Percent of GDP"/>
    <s v="Units"/>
    <x v="4"/>
    <n v="16.584"/>
  </r>
  <r>
    <n v="110"/>
    <x v="0"/>
    <x v="0"/>
    <x v="5"/>
    <s v="Percent of GDP"/>
    <s v="Units"/>
    <x v="5"/>
    <n v="16.908999999999999"/>
  </r>
  <r>
    <n v="110"/>
    <x v="0"/>
    <x v="0"/>
    <x v="5"/>
    <s v="Percent of GDP"/>
    <s v="Units"/>
    <x v="6"/>
    <n v="17.137"/>
  </r>
  <r>
    <n v="603"/>
    <x v="12"/>
    <x v="152"/>
    <x v="5"/>
    <s v="Percent of GDP"/>
    <s v="Units"/>
    <x v="0"/>
    <n v="33.679000000000002"/>
  </r>
  <r>
    <n v="603"/>
    <x v="12"/>
    <x v="152"/>
    <x v="5"/>
    <s v="Percent of GDP"/>
    <s v="Units"/>
    <x v="1"/>
    <n v="8.7639999999999993"/>
  </r>
  <r>
    <n v="603"/>
    <x v="12"/>
    <x v="152"/>
    <x v="5"/>
    <s v="Percent of GDP"/>
    <s v="Units"/>
    <x v="2"/>
    <n v="28.36"/>
  </r>
  <r>
    <n v="603"/>
    <x v="12"/>
    <x v="152"/>
    <x v="5"/>
    <s v="Percent of GDP"/>
    <s v="Units"/>
    <x v="3"/>
    <n v="35.018000000000001"/>
  </r>
  <r>
    <n v="603"/>
    <x v="12"/>
    <x v="152"/>
    <x v="5"/>
    <s v="Percent of GDP"/>
    <s v="Units"/>
    <x v="4"/>
    <n v="20.911000000000001"/>
  </r>
  <r>
    <n v="603"/>
    <x v="12"/>
    <x v="152"/>
    <x v="5"/>
    <s v="Percent of GDP"/>
    <s v="Units"/>
    <x v="5"/>
    <n v="16.907"/>
  </r>
  <r>
    <n v="603"/>
    <x v="12"/>
    <x v="152"/>
    <x v="5"/>
    <s v="Percent of GDP"/>
    <s v="Units"/>
    <x v="6"/>
    <n v="16.2"/>
  </r>
  <r>
    <n v="200"/>
    <x v="3"/>
    <x v="152"/>
    <x v="5"/>
    <s v="Percent of GDP"/>
    <s v="Units"/>
    <x v="0"/>
    <n v="33.679000000000002"/>
  </r>
  <r>
    <n v="200"/>
    <x v="3"/>
    <x v="152"/>
    <x v="5"/>
    <s v="Percent of GDP"/>
    <s v="Units"/>
    <x v="1"/>
    <n v="8.7639999999999993"/>
  </r>
  <r>
    <n v="200"/>
    <x v="3"/>
    <x v="152"/>
    <x v="5"/>
    <s v="Percent of GDP"/>
    <s v="Units"/>
    <x v="2"/>
    <n v="28.36"/>
  </r>
  <r>
    <n v="200"/>
    <x v="3"/>
    <x v="152"/>
    <x v="5"/>
    <s v="Percent of GDP"/>
    <s v="Units"/>
    <x v="3"/>
    <n v="35.018000000000001"/>
  </r>
  <r>
    <n v="200"/>
    <x v="3"/>
    <x v="152"/>
    <x v="5"/>
    <s v="Percent of GDP"/>
    <s v="Units"/>
    <x v="4"/>
    <n v="20.911000000000001"/>
  </r>
  <r>
    <n v="200"/>
    <x v="3"/>
    <x v="152"/>
    <x v="5"/>
    <s v="Percent of GDP"/>
    <s v="Units"/>
    <x v="5"/>
    <n v="16.907"/>
  </r>
  <r>
    <n v="200"/>
    <x v="3"/>
    <x v="152"/>
    <x v="5"/>
    <s v="Percent of GDP"/>
    <s v="Units"/>
    <x v="6"/>
    <n v="16.2"/>
  </r>
  <r>
    <n v="1"/>
    <x v="2"/>
    <x v="152"/>
    <x v="5"/>
    <s v="Percent of GDP"/>
    <s v="Units"/>
    <x v="0"/>
    <n v="33.679000000000002"/>
  </r>
  <r>
    <n v="1"/>
    <x v="2"/>
    <x v="152"/>
    <x v="5"/>
    <s v="Percent of GDP"/>
    <s v="Units"/>
    <x v="1"/>
    <n v="8.7639999999999993"/>
  </r>
  <r>
    <n v="1"/>
    <x v="2"/>
    <x v="152"/>
    <x v="5"/>
    <s v="Percent of GDP"/>
    <s v="Units"/>
    <x v="2"/>
    <n v="28.36"/>
  </r>
  <r>
    <n v="1"/>
    <x v="2"/>
    <x v="152"/>
    <x v="5"/>
    <s v="Percent of GDP"/>
    <s v="Units"/>
    <x v="3"/>
    <n v="35.018000000000001"/>
  </r>
  <r>
    <n v="1"/>
    <x v="2"/>
    <x v="152"/>
    <x v="5"/>
    <s v="Percent of GDP"/>
    <s v="Units"/>
    <x v="4"/>
    <n v="20.911000000000001"/>
  </r>
  <r>
    <n v="1"/>
    <x v="2"/>
    <x v="152"/>
    <x v="5"/>
    <s v="Percent of GDP"/>
    <s v="Units"/>
    <x v="5"/>
    <n v="16.907"/>
  </r>
  <r>
    <n v="1"/>
    <x v="2"/>
    <x v="152"/>
    <x v="5"/>
    <s v="Percent of GDP"/>
    <s v="Units"/>
    <x v="6"/>
    <n v="16.2"/>
  </r>
  <r>
    <n v="603"/>
    <x v="12"/>
    <x v="158"/>
    <x v="5"/>
    <s v="Percent of GDP"/>
    <s v="Units"/>
    <x v="0"/>
    <n v="11.566000000000001"/>
  </r>
  <r>
    <n v="603"/>
    <x v="12"/>
    <x v="158"/>
    <x v="5"/>
    <s v="Percent of GDP"/>
    <s v="Units"/>
    <x v="1"/>
    <n v="13.05"/>
  </r>
  <r>
    <n v="603"/>
    <x v="12"/>
    <x v="158"/>
    <x v="5"/>
    <s v="Percent of GDP"/>
    <s v="Units"/>
    <x v="2"/>
    <n v="14.882"/>
  </r>
  <r>
    <n v="603"/>
    <x v="12"/>
    <x v="158"/>
    <x v="5"/>
    <s v="Percent of GDP"/>
    <s v="Units"/>
    <x v="3"/>
    <n v="14.676"/>
  </r>
  <r>
    <n v="603"/>
    <x v="12"/>
    <x v="158"/>
    <x v="5"/>
    <s v="Percent of GDP"/>
    <s v="Units"/>
    <x v="4"/>
    <n v="12.832000000000001"/>
  </r>
  <r>
    <n v="603"/>
    <x v="12"/>
    <x v="158"/>
    <x v="5"/>
    <s v="Percent of GDP"/>
    <s v="Units"/>
    <x v="5"/>
    <n v="16.844000000000001"/>
  </r>
  <r>
    <n v="603"/>
    <x v="12"/>
    <x v="158"/>
    <x v="5"/>
    <s v="Percent of GDP"/>
    <s v="Units"/>
    <x v="6"/>
    <n v="19.486999999999998"/>
  </r>
  <r>
    <n v="1"/>
    <x v="2"/>
    <x v="158"/>
    <x v="5"/>
    <s v="Percent of GDP"/>
    <s v="Units"/>
    <x v="0"/>
    <n v="11.566000000000001"/>
  </r>
  <r>
    <n v="1"/>
    <x v="2"/>
    <x v="158"/>
    <x v="5"/>
    <s v="Percent of GDP"/>
    <s v="Units"/>
    <x v="1"/>
    <n v="13.05"/>
  </r>
  <r>
    <n v="1"/>
    <x v="2"/>
    <x v="158"/>
    <x v="5"/>
    <s v="Percent of GDP"/>
    <s v="Units"/>
    <x v="2"/>
    <n v="14.882"/>
  </r>
  <r>
    <n v="1"/>
    <x v="2"/>
    <x v="158"/>
    <x v="5"/>
    <s v="Percent of GDP"/>
    <s v="Units"/>
    <x v="3"/>
    <n v="14.676"/>
  </r>
  <r>
    <n v="1"/>
    <x v="2"/>
    <x v="158"/>
    <x v="5"/>
    <s v="Percent of GDP"/>
    <s v="Units"/>
    <x v="4"/>
    <n v="12.832000000000001"/>
  </r>
  <r>
    <n v="1"/>
    <x v="2"/>
    <x v="158"/>
    <x v="5"/>
    <s v="Percent of GDP"/>
    <s v="Units"/>
    <x v="5"/>
    <n v="16.844000000000001"/>
  </r>
  <r>
    <n v="1"/>
    <x v="2"/>
    <x v="158"/>
    <x v="5"/>
    <s v="Percent of GDP"/>
    <s v="Units"/>
    <x v="6"/>
    <n v="19.486999999999998"/>
  </r>
  <r>
    <n v="200"/>
    <x v="3"/>
    <x v="158"/>
    <x v="5"/>
    <s v="Percent of GDP"/>
    <s v="Units"/>
    <x v="0"/>
    <n v="11.566000000000001"/>
  </r>
  <r>
    <n v="200"/>
    <x v="3"/>
    <x v="158"/>
    <x v="5"/>
    <s v="Percent of GDP"/>
    <s v="Units"/>
    <x v="1"/>
    <n v="13.05"/>
  </r>
  <r>
    <n v="200"/>
    <x v="3"/>
    <x v="158"/>
    <x v="5"/>
    <s v="Percent of GDP"/>
    <s v="Units"/>
    <x v="2"/>
    <n v="14.882"/>
  </r>
  <r>
    <n v="200"/>
    <x v="3"/>
    <x v="158"/>
    <x v="5"/>
    <s v="Percent of GDP"/>
    <s v="Units"/>
    <x v="3"/>
    <n v="14.676"/>
  </r>
  <r>
    <n v="200"/>
    <x v="3"/>
    <x v="158"/>
    <x v="5"/>
    <s v="Percent of GDP"/>
    <s v="Units"/>
    <x v="4"/>
    <n v="12.832000000000001"/>
  </r>
  <r>
    <n v="200"/>
    <x v="3"/>
    <x v="158"/>
    <x v="5"/>
    <s v="Percent of GDP"/>
    <s v="Units"/>
    <x v="5"/>
    <n v="16.844000000000001"/>
  </r>
  <r>
    <n v="200"/>
    <x v="3"/>
    <x v="158"/>
    <x v="5"/>
    <s v="Percent of GDP"/>
    <s v="Units"/>
    <x v="6"/>
    <n v="19.486999999999998"/>
  </r>
  <r>
    <n v="119"/>
    <x v="1"/>
    <x v="5"/>
    <x v="7"/>
    <s v="Percent of GDP"/>
    <s v="Units"/>
    <x v="0"/>
    <n v="18.25"/>
  </r>
  <r>
    <n v="119"/>
    <x v="1"/>
    <x v="5"/>
    <x v="7"/>
    <s v="Percent of GDP"/>
    <s v="Units"/>
    <x v="1"/>
    <n v="17.526"/>
  </r>
  <r>
    <n v="119"/>
    <x v="1"/>
    <x v="5"/>
    <x v="7"/>
    <s v="Percent of GDP"/>
    <s v="Units"/>
    <x v="2"/>
    <n v="17.547999999999998"/>
  </r>
  <r>
    <n v="119"/>
    <x v="1"/>
    <x v="5"/>
    <x v="7"/>
    <s v="Percent of GDP"/>
    <s v="Units"/>
    <x v="3"/>
    <n v="19.327999999999999"/>
  </r>
  <r>
    <n v="119"/>
    <x v="1"/>
    <x v="5"/>
    <x v="7"/>
    <s v="Percent of GDP"/>
    <s v="Units"/>
    <x v="4"/>
    <n v="18.373000000000001"/>
  </r>
  <r>
    <n v="119"/>
    <x v="1"/>
    <x v="5"/>
    <x v="7"/>
    <s v="Percent of GDP"/>
    <s v="Units"/>
    <x v="5"/>
    <n v="16.826000000000001"/>
  </r>
  <r>
    <n v="119"/>
    <x v="1"/>
    <x v="5"/>
    <x v="7"/>
    <s v="Percent of GDP"/>
    <s v="Units"/>
    <x v="6"/>
    <n v="17.183"/>
  </r>
  <r>
    <n v="110"/>
    <x v="0"/>
    <x v="5"/>
    <x v="7"/>
    <s v="Percent of GDP"/>
    <s v="Units"/>
    <x v="0"/>
    <n v="18.25"/>
  </r>
  <r>
    <n v="110"/>
    <x v="0"/>
    <x v="5"/>
    <x v="7"/>
    <s v="Percent of GDP"/>
    <s v="Units"/>
    <x v="1"/>
    <n v="17.526"/>
  </r>
  <r>
    <n v="110"/>
    <x v="0"/>
    <x v="5"/>
    <x v="7"/>
    <s v="Percent of GDP"/>
    <s v="Units"/>
    <x v="2"/>
    <n v="17.547999999999998"/>
  </r>
  <r>
    <n v="110"/>
    <x v="0"/>
    <x v="5"/>
    <x v="7"/>
    <s v="Percent of GDP"/>
    <s v="Units"/>
    <x v="3"/>
    <n v="19.327999999999999"/>
  </r>
  <r>
    <n v="110"/>
    <x v="0"/>
    <x v="5"/>
    <x v="7"/>
    <s v="Percent of GDP"/>
    <s v="Units"/>
    <x v="4"/>
    <n v="18.373000000000001"/>
  </r>
  <r>
    <n v="110"/>
    <x v="0"/>
    <x v="5"/>
    <x v="7"/>
    <s v="Percent of GDP"/>
    <s v="Units"/>
    <x v="5"/>
    <n v="16.826000000000001"/>
  </r>
  <r>
    <n v="110"/>
    <x v="0"/>
    <x v="5"/>
    <x v="7"/>
    <s v="Percent of GDP"/>
    <s v="Units"/>
    <x v="6"/>
    <n v="17.183"/>
  </r>
  <r>
    <n v="1"/>
    <x v="2"/>
    <x v="5"/>
    <x v="7"/>
    <s v="Percent of GDP"/>
    <s v="Units"/>
    <x v="0"/>
    <n v="18.25"/>
  </r>
  <r>
    <n v="1"/>
    <x v="2"/>
    <x v="5"/>
    <x v="7"/>
    <s v="Percent of GDP"/>
    <s v="Units"/>
    <x v="1"/>
    <n v="17.526"/>
  </r>
  <r>
    <n v="1"/>
    <x v="2"/>
    <x v="5"/>
    <x v="7"/>
    <s v="Percent of GDP"/>
    <s v="Units"/>
    <x v="2"/>
    <n v="17.547999999999998"/>
  </r>
  <r>
    <n v="1"/>
    <x v="2"/>
    <x v="5"/>
    <x v="7"/>
    <s v="Percent of GDP"/>
    <s v="Units"/>
    <x v="3"/>
    <n v="19.327999999999999"/>
  </r>
  <r>
    <n v="1"/>
    <x v="2"/>
    <x v="5"/>
    <x v="7"/>
    <s v="Percent of GDP"/>
    <s v="Units"/>
    <x v="4"/>
    <n v="18.373000000000001"/>
  </r>
  <r>
    <n v="1"/>
    <x v="2"/>
    <x v="5"/>
    <x v="7"/>
    <s v="Percent of GDP"/>
    <s v="Units"/>
    <x v="5"/>
    <n v="16.826000000000001"/>
  </r>
  <r>
    <n v="1"/>
    <x v="2"/>
    <x v="5"/>
    <x v="7"/>
    <s v="Percent of GDP"/>
    <s v="Units"/>
    <x v="6"/>
    <n v="17.183"/>
  </r>
  <r>
    <n v="200"/>
    <x v="3"/>
    <x v="68"/>
    <x v="7"/>
    <s v="Percent of GDP"/>
    <s v="Units"/>
    <x v="0"/>
    <n v="14.33"/>
  </r>
  <r>
    <n v="200"/>
    <x v="3"/>
    <x v="68"/>
    <x v="7"/>
    <s v="Percent of GDP"/>
    <s v="Units"/>
    <x v="1"/>
    <n v="13.507"/>
  </r>
  <r>
    <n v="200"/>
    <x v="3"/>
    <x v="68"/>
    <x v="7"/>
    <s v="Percent of GDP"/>
    <s v="Units"/>
    <x v="2"/>
    <n v="16.863"/>
  </r>
  <r>
    <n v="200"/>
    <x v="3"/>
    <x v="68"/>
    <x v="7"/>
    <s v="Percent of GDP"/>
    <s v="Units"/>
    <x v="3"/>
    <n v="16.66"/>
  </r>
  <r>
    <n v="200"/>
    <x v="3"/>
    <x v="68"/>
    <x v="7"/>
    <s v="Percent of GDP"/>
    <s v="Units"/>
    <x v="4"/>
    <n v="16.372"/>
  </r>
  <r>
    <n v="200"/>
    <x v="3"/>
    <x v="68"/>
    <x v="7"/>
    <s v="Percent of GDP"/>
    <s v="Units"/>
    <x v="5"/>
    <n v="16.780999999999999"/>
  </r>
  <r>
    <n v="200"/>
    <x v="3"/>
    <x v="68"/>
    <x v="7"/>
    <s v="Percent of GDP"/>
    <s v="Units"/>
    <x v="6"/>
    <n v="17.071999999999999"/>
  </r>
  <r>
    <n v="205"/>
    <x v="7"/>
    <x v="68"/>
    <x v="7"/>
    <s v="Percent of GDP"/>
    <s v="Units"/>
    <x v="0"/>
    <n v="14.33"/>
  </r>
  <r>
    <n v="205"/>
    <x v="7"/>
    <x v="68"/>
    <x v="7"/>
    <s v="Percent of GDP"/>
    <s v="Units"/>
    <x v="1"/>
    <n v="13.507"/>
  </r>
  <r>
    <n v="205"/>
    <x v="7"/>
    <x v="68"/>
    <x v="7"/>
    <s v="Percent of GDP"/>
    <s v="Units"/>
    <x v="2"/>
    <n v="16.863"/>
  </r>
  <r>
    <n v="205"/>
    <x v="7"/>
    <x v="68"/>
    <x v="7"/>
    <s v="Percent of GDP"/>
    <s v="Units"/>
    <x v="3"/>
    <n v="16.66"/>
  </r>
  <r>
    <n v="205"/>
    <x v="7"/>
    <x v="68"/>
    <x v="7"/>
    <s v="Percent of GDP"/>
    <s v="Units"/>
    <x v="4"/>
    <n v="16.372"/>
  </r>
  <r>
    <n v="205"/>
    <x v="7"/>
    <x v="68"/>
    <x v="7"/>
    <s v="Percent of GDP"/>
    <s v="Units"/>
    <x v="5"/>
    <n v="16.780999999999999"/>
  </r>
  <r>
    <n v="205"/>
    <x v="7"/>
    <x v="68"/>
    <x v="7"/>
    <s v="Percent of GDP"/>
    <s v="Units"/>
    <x v="6"/>
    <n v="17.071999999999999"/>
  </r>
  <r>
    <n v="1"/>
    <x v="2"/>
    <x v="68"/>
    <x v="7"/>
    <s v="Percent of GDP"/>
    <s v="Units"/>
    <x v="0"/>
    <n v="14.33"/>
  </r>
  <r>
    <n v="1"/>
    <x v="2"/>
    <x v="68"/>
    <x v="7"/>
    <s v="Percent of GDP"/>
    <s v="Units"/>
    <x v="1"/>
    <n v="13.507"/>
  </r>
  <r>
    <n v="1"/>
    <x v="2"/>
    <x v="68"/>
    <x v="7"/>
    <s v="Percent of GDP"/>
    <s v="Units"/>
    <x v="2"/>
    <n v="16.863"/>
  </r>
  <r>
    <n v="1"/>
    <x v="2"/>
    <x v="68"/>
    <x v="7"/>
    <s v="Percent of GDP"/>
    <s v="Units"/>
    <x v="3"/>
    <n v="16.66"/>
  </r>
  <r>
    <n v="1"/>
    <x v="2"/>
    <x v="68"/>
    <x v="7"/>
    <s v="Percent of GDP"/>
    <s v="Units"/>
    <x v="4"/>
    <n v="16.372"/>
  </r>
  <r>
    <n v="1"/>
    <x v="2"/>
    <x v="68"/>
    <x v="7"/>
    <s v="Percent of GDP"/>
    <s v="Units"/>
    <x v="5"/>
    <n v="16.780999999999999"/>
  </r>
  <r>
    <n v="1"/>
    <x v="2"/>
    <x v="68"/>
    <x v="7"/>
    <s v="Percent of GDP"/>
    <s v="Units"/>
    <x v="6"/>
    <n v="17.071999999999999"/>
  </r>
  <r>
    <n v="123"/>
    <x v="9"/>
    <x v="20"/>
    <x v="3"/>
    <s v="Percent of GDP"/>
    <s v="Units"/>
    <x v="0"/>
    <n v="17.280999999999999"/>
  </r>
  <r>
    <n v="123"/>
    <x v="9"/>
    <x v="20"/>
    <x v="3"/>
    <s v="Percent of GDP"/>
    <s v="Units"/>
    <x v="1"/>
    <n v="18.161999999999999"/>
  </r>
  <r>
    <n v="123"/>
    <x v="9"/>
    <x v="20"/>
    <x v="3"/>
    <s v="Percent of GDP"/>
    <s v="Units"/>
    <x v="2"/>
    <n v="17.393999999999998"/>
  </r>
  <r>
    <n v="123"/>
    <x v="9"/>
    <x v="20"/>
    <x v="3"/>
    <s v="Percent of GDP"/>
    <s v="Units"/>
    <x v="3"/>
    <n v="16.12"/>
  </r>
  <r>
    <n v="123"/>
    <x v="9"/>
    <x v="20"/>
    <x v="3"/>
    <s v="Percent of GDP"/>
    <s v="Units"/>
    <x v="4"/>
    <n v="16.399999999999999"/>
  </r>
  <r>
    <n v="123"/>
    <x v="9"/>
    <x v="20"/>
    <x v="3"/>
    <s v="Percent of GDP"/>
    <s v="Units"/>
    <x v="5"/>
    <n v="16.77"/>
  </r>
  <r>
    <n v="123"/>
    <x v="9"/>
    <x v="20"/>
    <x v="3"/>
    <s v="Percent of GDP"/>
    <s v="Units"/>
    <x v="6"/>
    <n v="17.14"/>
  </r>
  <r>
    <n v="110"/>
    <x v="0"/>
    <x v="20"/>
    <x v="3"/>
    <s v="Percent of GDP"/>
    <s v="Units"/>
    <x v="0"/>
    <n v="17.280999999999999"/>
  </r>
  <r>
    <n v="110"/>
    <x v="0"/>
    <x v="20"/>
    <x v="3"/>
    <s v="Percent of GDP"/>
    <s v="Units"/>
    <x v="1"/>
    <n v="18.161999999999999"/>
  </r>
  <r>
    <n v="110"/>
    <x v="0"/>
    <x v="20"/>
    <x v="3"/>
    <s v="Percent of GDP"/>
    <s v="Units"/>
    <x v="2"/>
    <n v="17.393999999999998"/>
  </r>
  <r>
    <n v="110"/>
    <x v="0"/>
    <x v="20"/>
    <x v="3"/>
    <s v="Percent of GDP"/>
    <s v="Units"/>
    <x v="3"/>
    <n v="16.12"/>
  </r>
  <r>
    <n v="110"/>
    <x v="0"/>
    <x v="20"/>
    <x v="3"/>
    <s v="Percent of GDP"/>
    <s v="Units"/>
    <x v="4"/>
    <n v="16.399999999999999"/>
  </r>
  <r>
    <n v="110"/>
    <x v="0"/>
    <x v="20"/>
    <x v="3"/>
    <s v="Percent of GDP"/>
    <s v="Units"/>
    <x v="5"/>
    <n v="16.77"/>
  </r>
  <r>
    <n v="110"/>
    <x v="0"/>
    <x v="20"/>
    <x v="3"/>
    <s v="Percent of GDP"/>
    <s v="Units"/>
    <x v="6"/>
    <n v="17.14"/>
  </r>
  <r>
    <n v="1"/>
    <x v="2"/>
    <x v="159"/>
    <x v="7"/>
    <s v="Percent of GDP"/>
    <s v="Units"/>
    <x v="0"/>
    <n v="14.378"/>
  </r>
  <r>
    <n v="1"/>
    <x v="2"/>
    <x v="159"/>
    <x v="7"/>
    <s v="Percent of GDP"/>
    <s v="Units"/>
    <x v="1"/>
    <n v="17.768000000000001"/>
  </r>
  <r>
    <n v="1"/>
    <x v="2"/>
    <x v="159"/>
    <x v="7"/>
    <s v="Percent of GDP"/>
    <s v="Units"/>
    <x v="2"/>
    <n v="17.888000000000002"/>
  </r>
  <r>
    <n v="1"/>
    <x v="2"/>
    <x v="159"/>
    <x v="7"/>
    <s v="Percent of GDP"/>
    <s v="Units"/>
    <x v="3"/>
    <n v="17.891999999999999"/>
  </r>
  <r>
    <n v="1"/>
    <x v="2"/>
    <x v="159"/>
    <x v="7"/>
    <s v="Percent of GDP"/>
    <s v="Units"/>
    <x v="4"/>
    <n v="16.006"/>
  </r>
  <r>
    <n v="1"/>
    <x v="2"/>
    <x v="159"/>
    <x v="7"/>
    <s v="Percent of GDP"/>
    <s v="Units"/>
    <x v="5"/>
    <n v="16.728000000000002"/>
  </r>
  <r>
    <n v="1"/>
    <x v="2"/>
    <x v="159"/>
    <x v="7"/>
    <s v="Percent of GDP"/>
    <s v="Units"/>
    <x v="6"/>
    <n v="17.146999999999998"/>
  </r>
  <r>
    <n v="200"/>
    <x v="3"/>
    <x v="159"/>
    <x v="7"/>
    <s v="Percent of GDP"/>
    <s v="Units"/>
    <x v="0"/>
    <n v="14.378"/>
  </r>
  <r>
    <n v="200"/>
    <x v="3"/>
    <x v="159"/>
    <x v="7"/>
    <s v="Percent of GDP"/>
    <s v="Units"/>
    <x v="1"/>
    <n v="17.768000000000001"/>
  </r>
  <r>
    <n v="200"/>
    <x v="3"/>
    <x v="159"/>
    <x v="7"/>
    <s v="Percent of GDP"/>
    <s v="Units"/>
    <x v="2"/>
    <n v="17.888000000000002"/>
  </r>
  <r>
    <n v="200"/>
    <x v="3"/>
    <x v="159"/>
    <x v="7"/>
    <s v="Percent of GDP"/>
    <s v="Units"/>
    <x v="3"/>
    <n v="17.891999999999999"/>
  </r>
  <r>
    <n v="200"/>
    <x v="3"/>
    <x v="159"/>
    <x v="7"/>
    <s v="Percent of GDP"/>
    <s v="Units"/>
    <x v="4"/>
    <n v="16.006"/>
  </r>
  <r>
    <n v="200"/>
    <x v="3"/>
    <x v="159"/>
    <x v="7"/>
    <s v="Percent of GDP"/>
    <s v="Units"/>
    <x v="5"/>
    <n v="16.728000000000002"/>
  </r>
  <r>
    <n v="200"/>
    <x v="3"/>
    <x v="159"/>
    <x v="7"/>
    <s v="Percent of GDP"/>
    <s v="Units"/>
    <x v="6"/>
    <n v="17.146999999999998"/>
  </r>
  <r>
    <n v="205"/>
    <x v="7"/>
    <x v="159"/>
    <x v="7"/>
    <s v="Percent of GDP"/>
    <s v="Units"/>
    <x v="0"/>
    <n v="14.378"/>
  </r>
  <r>
    <n v="205"/>
    <x v="7"/>
    <x v="159"/>
    <x v="7"/>
    <s v="Percent of GDP"/>
    <s v="Units"/>
    <x v="1"/>
    <n v="17.768000000000001"/>
  </r>
  <r>
    <n v="205"/>
    <x v="7"/>
    <x v="159"/>
    <x v="7"/>
    <s v="Percent of GDP"/>
    <s v="Units"/>
    <x v="2"/>
    <n v="17.888000000000002"/>
  </r>
  <r>
    <n v="205"/>
    <x v="7"/>
    <x v="159"/>
    <x v="7"/>
    <s v="Percent of GDP"/>
    <s v="Units"/>
    <x v="3"/>
    <n v="17.891999999999999"/>
  </r>
  <r>
    <n v="205"/>
    <x v="7"/>
    <x v="159"/>
    <x v="7"/>
    <s v="Percent of GDP"/>
    <s v="Units"/>
    <x v="4"/>
    <n v="16.006"/>
  </r>
  <r>
    <n v="205"/>
    <x v="7"/>
    <x v="159"/>
    <x v="7"/>
    <s v="Percent of GDP"/>
    <s v="Units"/>
    <x v="5"/>
    <n v="16.728000000000002"/>
  </r>
  <r>
    <n v="205"/>
    <x v="7"/>
    <x v="159"/>
    <x v="7"/>
    <s v="Percent of GDP"/>
    <s v="Units"/>
    <x v="6"/>
    <n v="17.146999999999998"/>
  </r>
  <r>
    <n v="1"/>
    <x v="2"/>
    <x v="140"/>
    <x v="5"/>
    <s v="Percent of GDP"/>
    <s v="Units"/>
    <x v="0"/>
    <n v="17.922999999999998"/>
  </r>
  <r>
    <n v="1"/>
    <x v="2"/>
    <x v="140"/>
    <x v="5"/>
    <s v="Percent of GDP"/>
    <s v="Units"/>
    <x v="1"/>
    <n v="18.829000000000001"/>
  </r>
  <r>
    <n v="1"/>
    <x v="2"/>
    <x v="140"/>
    <x v="5"/>
    <s v="Percent of GDP"/>
    <s v="Units"/>
    <x v="2"/>
    <n v="18.975000000000001"/>
  </r>
  <r>
    <n v="1"/>
    <x v="2"/>
    <x v="140"/>
    <x v="5"/>
    <s v="Percent of GDP"/>
    <s v="Units"/>
    <x v="3"/>
    <n v="16.5"/>
  </r>
  <r>
    <n v="1"/>
    <x v="2"/>
    <x v="140"/>
    <x v="5"/>
    <s v="Percent of GDP"/>
    <s v="Units"/>
    <x v="4"/>
    <n v="17.908999999999999"/>
  </r>
  <r>
    <n v="1"/>
    <x v="2"/>
    <x v="140"/>
    <x v="5"/>
    <s v="Percent of GDP"/>
    <s v="Units"/>
    <x v="5"/>
    <n v="16.706"/>
  </r>
  <r>
    <n v="1"/>
    <x v="2"/>
    <x v="140"/>
    <x v="5"/>
    <s v="Percent of GDP"/>
    <s v="Units"/>
    <x v="6"/>
    <n v="17.309999999999999"/>
  </r>
  <r>
    <n v="205"/>
    <x v="7"/>
    <x v="140"/>
    <x v="5"/>
    <s v="Percent of GDP"/>
    <s v="Units"/>
    <x v="0"/>
    <n v="17.922999999999998"/>
  </r>
  <r>
    <n v="205"/>
    <x v="7"/>
    <x v="140"/>
    <x v="5"/>
    <s v="Percent of GDP"/>
    <s v="Units"/>
    <x v="1"/>
    <n v="18.829000000000001"/>
  </r>
  <r>
    <n v="205"/>
    <x v="7"/>
    <x v="140"/>
    <x v="5"/>
    <s v="Percent of GDP"/>
    <s v="Units"/>
    <x v="2"/>
    <n v="18.975000000000001"/>
  </r>
  <r>
    <n v="205"/>
    <x v="7"/>
    <x v="140"/>
    <x v="5"/>
    <s v="Percent of GDP"/>
    <s v="Units"/>
    <x v="3"/>
    <n v="16.5"/>
  </r>
  <r>
    <n v="205"/>
    <x v="7"/>
    <x v="140"/>
    <x v="5"/>
    <s v="Percent of GDP"/>
    <s v="Units"/>
    <x v="4"/>
    <n v="17.908999999999999"/>
  </r>
  <r>
    <n v="205"/>
    <x v="7"/>
    <x v="140"/>
    <x v="5"/>
    <s v="Percent of GDP"/>
    <s v="Units"/>
    <x v="5"/>
    <n v="16.706"/>
  </r>
  <r>
    <n v="205"/>
    <x v="7"/>
    <x v="140"/>
    <x v="5"/>
    <s v="Percent of GDP"/>
    <s v="Units"/>
    <x v="6"/>
    <n v="17.309999999999999"/>
  </r>
  <r>
    <n v="200"/>
    <x v="3"/>
    <x v="140"/>
    <x v="5"/>
    <s v="Percent of GDP"/>
    <s v="Units"/>
    <x v="0"/>
    <n v="17.922999999999998"/>
  </r>
  <r>
    <n v="200"/>
    <x v="3"/>
    <x v="140"/>
    <x v="5"/>
    <s v="Percent of GDP"/>
    <s v="Units"/>
    <x v="1"/>
    <n v="18.829000000000001"/>
  </r>
  <r>
    <n v="200"/>
    <x v="3"/>
    <x v="140"/>
    <x v="5"/>
    <s v="Percent of GDP"/>
    <s v="Units"/>
    <x v="2"/>
    <n v="18.975000000000001"/>
  </r>
  <r>
    <n v="200"/>
    <x v="3"/>
    <x v="140"/>
    <x v="5"/>
    <s v="Percent of GDP"/>
    <s v="Units"/>
    <x v="3"/>
    <n v="16.5"/>
  </r>
  <r>
    <n v="200"/>
    <x v="3"/>
    <x v="140"/>
    <x v="5"/>
    <s v="Percent of GDP"/>
    <s v="Units"/>
    <x v="4"/>
    <n v="17.908999999999999"/>
  </r>
  <r>
    <n v="200"/>
    <x v="3"/>
    <x v="140"/>
    <x v="5"/>
    <s v="Percent of GDP"/>
    <s v="Units"/>
    <x v="5"/>
    <n v="16.706"/>
  </r>
  <r>
    <n v="200"/>
    <x v="3"/>
    <x v="140"/>
    <x v="5"/>
    <s v="Percent of GDP"/>
    <s v="Units"/>
    <x v="6"/>
    <n v="17.309999999999999"/>
  </r>
  <r>
    <n v="1"/>
    <x v="2"/>
    <x v="80"/>
    <x v="5"/>
    <s v="Percent of GDP"/>
    <s v="Units"/>
    <x v="0"/>
    <n v="18.91"/>
  </r>
  <r>
    <n v="1"/>
    <x v="2"/>
    <x v="80"/>
    <x v="5"/>
    <s v="Percent of GDP"/>
    <s v="Units"/>
    <x v="1"/>
    <n v="17.754000000000001"/>
  </r>
  <r>
    <n v="1"/>
    <x v="2"/>
    <x v="80"/>
    <x v="5"/>
    <s v="Percent of GDP"/>
    <s v="Units"/>
    <x v="2"/>
    <n v="19.053000000000001"/>
  </r>
  <r>
    <n v="1"/>
    <x v="2"/>
    <x v="80"/>
    <x v="5"/>
    <s v="Percent of GDP"/>
    <s v="Units"/>
    <x v="3"/>
    <n v="17.809999999999999"/>
  </r>
  <r>
    <n v="1"/>
    <x v="2"/>
    <x v="80"/>
    <x v="5"/>
    <s v="Percent of GDP"/>
    <s v="Units"/>
    <x v="4"/>
    <n v="13.103"/>
  </r>
  <r>
    <n v="1"/>
    <x v="2"/>
    <x v="80"/>
    <x v="5"/>
    <s v="Percent of GDP"/>
    <s v="Units"/>
    <x v="5"/>
    <n v="16.678000000000001"/>
  </r>
  <r>
    <n v="1"/>
    <x v="2"/>
    <x v="80"/>
    <x v="5"/>
    <s v="Percent of GDP"/>
    <s v="Units"/>
    <x v="6"/>
    <n v="17.8"/>
  </r>
  <r>
    <n v="200"/>
    <x v="3"/>
    <x v="80"/>
    <x v="5"/>
    <s v="Percent of GDP"/>
    <s v="Units"/>
    <x v="0"/>
    <n v="18.91"/>
  </r>
  <r>
    <n v="200"/>
    <x v="3"/>
    <x v="80"/>
    <x v="5"/>
    <s v="Percent of GDP"/>
    <s v="Units"/>
    <x v="1"/>
    <n v="17.754000000000001"/>
  </r>
  <r>
    <n v="200"/>
    <x v="3"/>
    <x v="80"/>
    <x v="5"/>
    <s v="Percent of GDP"/>
    <s v="Units"/>
    <x v="2"/>
    <n v="19.053000000000001"/>
  </r>
  <r>
    <n v="200"/>
    <x v="3"/>
    <x v="80"/>
    <x v="5"/>
    <s v="Percent of GDP"/>
    <s v="Units"/>
    <x v="3"/>
    <n v="17.809999999999999"/>
  </r>
  <r>
    <n v="200"/>
    <x v="3"/>
    <x v="80"/>
    <x v="5"/>
    <s v="Percent of GDP"/>
    <s v="Units"/>
    <x v="4"/>
    <n v="13.103"/>
  </r>
  <r>
    <n v="200"/>
    <x v="3"/>
    <x v="80"/>
    <x v="5"/>
    <s v="Percent of GDP"/>
    <s v="Units"/>
    <x v="5"/>
    <n v="16.678000000000001"/>
  </r>
  <r>
    <n v="200"/>
    <x v="3"/>
    <x v="80"/>
    <x v="5"/>
    <s v="Percent of GDP"/>
    <s v="Units"/>
    <x v="6"/>
    <n v="17.8"/>
  </r>
  <r>
    <n v="603"/>
    <x v="12"/>
    <x v="80"/>
    <x v="5"/>
    <s v="Percent of GDP"/>
    <s v="Units"/>
    <x v="0"/>
    <n v="18.91"/>
  </r>
  <r>
    <n v="603"/>
    <x v="12"/>
    <x v="80"/>
    <x v="5"/>
    <s v="Percent of GDP"/>
    <s v="Units"/>
    <x v="1"/>
    <n v="17.754000000000001"/>
  </r>
  <r>
    <n v="603"/>
    <x v="12"/>
    <x v="80"/>
    <x v="5"/>
    <s v="Percent of GDP"/>
    <s v="Units"/>
    <x v="2"/>
    <n v="19.053000000000001"/>
  </r>
  <r>
    <n v="603"/>
    <x v="12"/>
    <x v="80"/>
    <x v="5"/>
    <s v="Percent of GDP"/>
    <s v="Units"/>
    <x v="3"/>
    <n v="17.809999999999999"/>
  </r>
  <r>
    <n v="603"/>
    <x v="12"/>
    <x v="80"/>
    <x v="5"/>
    <s v="Percent of GDP"/>
    <s v="Units"/>
    <x v="4"/>
    <n v="13.103"/>
  </r>
  <r>
    <n v="603"/>
    <x v="12"/>
    <x v="80"/>
    <x v="5"/>
    <s v="Percent of GDP"/>
    <s v="Units"/>
    <x v="5"/>
    <n v="16.678000000000001"/>
  </r>
  <r>
    <n v="603"/>
    <x v="12"/>
    <x v="80"/>
    <x v="5"/>
    <s v="Percent of GDP"/>
    <s v="Units"/>
    <x v="6"/>
    <n v="17.8"/>
  </r>
  <r>
    <n v="200"/>
    <x v="3"/>
    <x v="87"/>
    <x v="2"/>
    <s v="Percent of GDP"/>
    <s v="Units"/>
    <x v="0"/>
    <n v="14.971"/>
  </r>
  <r>
    <n v="200"/>
    <x v="3"/>
    <x v="87"/>
    <x v="2"/>
    <s v="Percent of GDP"/>
    <s v="Units"/>
    <x v="1"/>
    <n v="14.068"/>
  </r>
  <r>
    <n v="200"/>
    <x v="3"/>
    <x v="87"/>
    <x v="2"/>
    <s v="Percent of GDP"/>
    <s v="Units"/>
    <x v="2"/>
    <n v="15.182"/>
  </r>
  <r>
    <n v="200"/>
    <x v="3"/>
    <x v="87"/>
    <x v="2"/>
    <s v="Percent of GDP"/>
    <s v="Units"/>
    <x v="3"/>
    <n v="15.839"/>
  </r>
  <r>
    <n v="200"/>
    <x v="3"/>
    <x v="87"/>
    <x v="2"/>
    <s v="Percent of GDP"/>
    <s v="Units"/>
    <x v="4"/>
    <n v="15.731"/>
  </r>
  <r>
    <n v="200"/>
    <x v="3"/>
    <x v="87"/>
    <x v="2"/>
    <s v="Percent of GDP"/>
    <s v="Units"/>
    <x v="5"/>
    <n v="16.667000000000002"/>
  </r>
  <r>
    <n v="200"/>
    <x v="3"/>
    <x v="87"/>
    <x v="2"/>
    <s v="Percent of GDP"/>
    <s v="Units"/>
    <x v="6"/>
    <n v="17.274000000000001"/>
  </r>
  <r>
    <n v="603"/>
    <x v="12"/>
    <x v="87"/>
    <x v="2"/>
    <s v="Percent of GDP"/>
    <s v="Units"/>
    <x v="0"/>
    <n v="14.971"/>
  </r>
  <r>
    <n v="603"/>
    <x v="12"/>
    <x v="87"/>
    <x v="2"/>
    <s v="Percent of GDP"/>
    <s v="Units"/>
    <x v="1"/>
    <n v="14.068"/>
  </r>
  <r>
    <n v="603"/>
    <x v="12"/>
    <x v="87"/>
    <x v="2"/>
    <s v="Percent of GDP"/>
    <s v="Units"/>
    <x v="2"/>
    <n v="15.182"/>
  </r>
  <r>
    <n v="603"/>
    <x v="12"/>
    <x v="87"/>
    <x v="2"/>
    <s v="Percent of GDP"/>
    <s v="Units"/>
    <x v="3"/>
    <n v="15.839"/>
  </r>
  <r>
    <n v="603"/>
    <x v="12"/>
    <x v="87"/>
    <x v="2"/>
    <s v="Percent of GDP"/>
    <s v="Units"/>
    <x v="4"/>
    <n v="15.731"/>
  </r>
  <r>
    <n v="603"/>
    <x v="12"/>
    <x v="87"/>
    <x v="2"/>
    <s v="Percent of GDP"/>
    <s v="Units"/>
    <x v="5"/>
    <n v="16.667000000000002"/>
  </r>
  <r>
    <n v="603"/>
    <x v="12"/>
    <x v="87"/>
    <x v="2"/>
    <s v="Percent of GDP"/>
    <s v="Units"/>
    <x v="6"/>
    <n v="17.274000000000001"/>
  </r>
  <r>
    <n v="200"/>
    <x v="3"/>
    <x v="178"/>
    <x v="5"/>
    <s v="Percent of GDP"/>
    <s v="Units"/>
    <x v="0"/>
    <n v="26.826000000000001"/>
  </r>
  <r>
    <n v="200"/>
    <x v="3"/>
    <x v="178"/>
    <x v="5"/>
    <s v="Percent of GDP"/>
    <s v="Units"/>
    <x v="1"/>
    <n v="5.5949999999999998"/>
  </r>
  <r>
    <n v="200"/>
    <x v="3"/>
    <x v="178"/>
    <x v="5"/>
    <s v="Percent of GDP"/>
    <s v="Units"/>
    <x v="2"/>
    <n v="10.781000000000001"/>
  </r>
  <r>
    <n v="200"/>
    <x v="3"/>
    <x v="178"/>
    <x v="5"/>
    <s v="Percent of GDP"/>
    <s v="Units"/>
    <x v="3"/>
    <n v="18.231000000000002"/>
  </r>
  <r>
    <n v="200"/>
    <x v="3"/>
    <x v="178"/>
    <x v="5"/>
    <s v="Percent of GDP"/>
    <s v="Units"/>
    <x v="4"/>
    <n v="15.194000000000001"/>
  </r>
  <r>
    <n v="200"/>
    <x v="3"/>
    <x v="178"/>
    <x v="5"/>
    <s v="Percent of GDP"/>
    <s v="Units"/>
    <x v="5"/>
    <n v="16.622"/>
  </r>
  <r>
    <n v="200"/>
    <x v="3"/>
    <x v="178"/>
    <x v="5"/>
    <s v="Percent of GDP"/>
    <s v="Units"/>
    <x v="6"/>
    <n v="17.542000000000002"/>
  </r>
  <r>
    <n v="1"/>
    <x v="2"/>
    <x v="178"/>
    <x v="5"/>
    <s v="Percent of GDP"/>
    <s v="Units"/>
    <x v="0"/>
    <n v="26.826000000000001"/>
  </r>
  <r>
    <n v="1"/>
    <x v="2"/>
    <x v="178"/>
    <x v="5"/>
    <s v="Percent of GDP"/>
    <s v="Units"/>
    <x v="1"/>
    <n v="5.5949999999999998"/>
  </r>
  <r>
    <n v="1"/>
    <x v="2"/>
    <x v="178"/>
    <x v="5"/>
    <s v="Percent of GDP"/>
    <s v="Units"/>
    <x v="2"/>
    <n v="10.781000000000001"/>
  </r>
  <r>
    <n v="1"/>
    <x v="2"/>
    <x v="178"/>
    <x v="5"/>
    <s v="Percent of GDP"/>
    <s v="Units"/>
    <x v="3"/>
    <n v="18.231000000000002"/>
  </r>
  <r>
    <n v="1"/>
    <x v="2"/>
    <x v="178"/>
    <x v="5"/>
    <s v="Percent of GDP"/>
    <s v="Units"/>
    <x v="4"/>
    <n v="15.194000000000001"/>
  </r>
  <r>
    <n v="1"/>
    <x v="2"/>
    <x v="178"/>
    <x v="5"/>
    <s v="Percent of GDP"/>
    <s v="Units"/>
    <x v="5"/>
    <n v="16.622"/>
  </r>
  <r>
    <n v="1"/>
    <x v="2"/>
    <x v="178"/>
    <x v="5"/>
    <s v="Percent of GDP"/>
    <s v="Units"/>
    <x v="6"/>
    <n v="17.542000000000002"/>
  </r>
  <r>
    <n v="205"/>
    <x v="7"/>
    <x v="178"/>
    <x v="5"/>
    <s v="Percent of GDP"/>
    <s v="Units"/>
    <x v="0"/>
    <n v="26.826000000000001"/>
  </r>
  <r>
    <n v="205"/>
    <x v="7"/>
    <x v="178"/>
    <x v="5"/>
    <s v="Percent of GDP"/>
    <s v="Units"/>
    <x v="1"/>
    <n v="5.5949999999999998"/>
  </r>
  <r>
    <n v="205"/>
    <x v="7"/>
    <x v="178"/>
    <x v="5"/>
    <s v="Percent of GDP"/>
    <s v="Units"/>
    <x v="2"/>
    <n v="10.781000000000001"/>
  </r>
  <r>
    <n v="205"/>
    <x v="7"/>
    <x v="178"/>
    <x v="5"/>
    <s v="Percent of GDP"/>
    <s v="Units"/>
    <x v="3"/>
    <n v="18.231000000000002"/>
  </r>
  <r>
    <n v="205"/>
    <x v="7"/>
    <x v="178"/>
    <x v="5"/>
    <s v="Percent of GDP"/>
    <s v="Units"/>
    <x v="4"/>
    <n v="15.194000000000001"/>
  </r>
  <r>
    <n v="205"/>
    <x v="7"/>
    <x v="178"/>
    <x v="5"/>
    <s v="Percent of GDP"/>
    <s v="Units"/>
    <x v="5"/>
    <n v="16.622"/>
  </r>
  <r>
    <n v="205"/>
    <x v="7"/>
    <x v="178"/>
    <x v="5"/>
    <s v="Percent of GDP"/>
    <s v="Units"/>
    <x v="6"/>
    <n v="17.542000000000002"/>
  </r>
  <r>
    <n v="205"/>
    <x v="7"/>
    <x v="106"/>
    <x v="7"/>
    <s v="Percent of GDP"/>
    <s v="Units"/>
    <x v="0"/>
    <n v="19.875"/>
  </r>
  <r>
    <n v="205"/>
    <x v="7"/>
    <x v="106"/>
    <x v="7"/>
    <s v="Percent of GDP"/>
    <s v="Units"/>
    <x v="1"/>
    <n v="15.778"/>
  </r>
  <r>
    <n v="205"/>
    <x v="7"/>
    <x v="106"/>
    <x v="7"/>
    <s v="Percent of GDP"/>
    <s v="Units"/>
    <x v="2"/>
    <n v="16.835000000000001"/>
  </r>
  <r>
    <n v="205"/>
    <x v="7"/>
    <x v="106"/>
    <x v="7"/>
    <s v="Percent of GDP"/>
    <s v="Units"/>
    <x v="3"/>
    <n v="15.132999999999999"/>
  </r>
  <r>
    <n v="205"/>
    <x v="7"/>
    <x v="106"/>
    <x v="7"/>
    <s v="Percent of GDP"/>
    <s v="Units"/>
    <x v="4"/>
    <n v="15.936"/>
  </r>
  <r>
    <n v="205"/>
    <x v="7"/>
    <x v="106"/>
    <x v="7"/>
    <s v="Percent of GDP"/>
    <s v="Units"/>
    <x v="5"/>
    <n v="16.611000000000001"/>
  </r>
  <r>
    <n v="205"/>
    <x v="7"/>
    <x v="106"/>
    <x v="7"/>
    <s v="Percent of GDP"/>
    <s v="Units"/>
    <x v="6"/>
    <n v="16.305"/>
  </r>
  <r>
    <n v="200"/>
    <x v="3"/>
    <x v="106"/>
    <x v="7"/>
    <s v="Percent of GDP"/>
    <s v="Units"/>
    <x v="0"/>
    <n v="19.875"/>
  </r>
  <r>
    <n v="200"/>
    <x v="3"/>
    <x v="106"/>
    <x v="7"/>
    <s v="Percent of GDP"/>
    <s v="Units"/>
    <x v="1"/>
    <n v="15.778"/>
  </r>
  <r>
    <n v="200"/>
    <x v="3"/>
    <x v="106"/>
    <x v="7"/>
    <s v="Percent of GDP"/>
    <s v="Units"/>
    <x v="2"/>
    <n v="16.835000000000001"/>
  </r>
  <r>
    <n v="200"/>
    <x v="3"/>
    <x v="106"/>
    <x v="7"/>
    <s v="Percent of GDP"/>
    <s v="Units"/>
    <x v="3"/>
    <n v="15.132999999999999"/>
  </r>
  <r>
    <n v="200"/>
    <x v="3"/>
    <x v="106"/>
    <x v="7"/>
    <s v="Percent of GDP"/>
    <s v="Units"/>
    <x v="4"/>
    <n v="15.936"/>
  </r>
  <r>
    <n v="200"/>
    <x v="3"/>
    <x v="106"/>
    <x v="7"/>
    <s v="Percent of GDP"/>
    <s v="Units"/>
    <x v="5"/>
    <n v="16.611000000000001"/>
  </r>
  <r>
    <n v="200"/>
    <x v="3"/>
    <x v="106"/>
    <x v="7"/>
    <s v="Percent of GDP"/>
    <s v="Units"/>
    <x v="6"/>
    <n v="16.305"/>
  </r>
  <r>
    <n v="1"/>
    <x v="2"/>
    <x v="106"/>
    <x v="7"/>
    <s v="Percent of GDP"/>
    <s v="Units"/>
    <x v="0"/>
    <n v="19.875"/>
  </r>
  <r>
    <n v="1"/>
    <x v="2"/>
    <x v="106"/>
    <x v="7"/>
    <s v="Percent of GDP"/>
    <s v="Units"/>
    <x v="1"/>
    <n v="15.778"/>
  </r>
  <r>
    <n v="1"/>
    <x v="2"/>
    <x v="106"/>
    <x v="7"/>
    <s v="Percent of GDP"/>
    <s v="Units"/>
    <x v="2"/>
    <n v="16.835000000000001"/>
  </r>
  <r>
    <n v="1"/>
    <x v="2"/>
    <x v="106"/>
    <x v="7"/>
    <s v="Percent of GDP"/>
    <s v="Units"/>
    <x v="3"/>
    <n v="15.132999999999999"/>
  </r>
  <r>
    <n v="1"/>
    <x v="2"/>
    <x v="106"/>
    <x v="7"/>
    <s v="Percent of GDP"/>
    <s v="Units"/>
    <x v="4"/>
    <n v="15.936"/>
  </r>
  <r>
    <n v="1"/>
    <x v="2"/>
    <x v="106"/>
    <x v="7"/>
    <s v="Percent of GDP"/>
    <s v="Units"/>
    <x v="5"/>
    <n v="16.611000000000001"/>
  </r>
  <r>
    <n v="1"/>
    <x v="2"/>
    <x v="106"/>
    <x v="7"/>
    <s v="Percent of GDP"/>
    <s v="Units"/>
    <x v="6"/>
    <n v="16.305"/>
  </r>
  <r>
    <n v="603"/>
    <x v="12"/>
    <x v="25"/>
    <x v="2"/>
    <s v="Percent of GDP"/>
    <s v="Units"/>
    <x v="0"/>
    <n v="10.826000000000001"/>
  </r>
  <r>
    <n v="603"/>
    <x v="12"/>
    <x v="25"/>
    <x v="2"/>
    <s v="Percent of GDP"/>
    <s v="Units"/>
    <x v="1"/>
    <n v="13.275"/>
  </r>
  <r>
    <n v="603"/>
    <x v="12"/>
    <x v="25"/>
    <x v="2"/>
    <s v="Percent of GDP"/>
    <s v="Units"/>
    <x v="2"/>
    <n v="15.348000000000001"/>
  </r>
  <r>
    <n v="603"/>
    <x v="12"/>
    <x v="25"/>
    <x v="2"/>
    <s v="Percent of GDP"/>
    <s v="Units"/>
    <x v="3"/>
    <n v="16.599"/>
  </r>
  <r>
    <n v="603"/>
    <x v="12"/>
    <x v="25"/>
    <x v="2"/>
    <s v="Percent of GDP"/>
    <s v="Units"/>
    <x v="4"/>
    <n v="16.456"/>
  </r>
  <r>
    <n v="603"/>
    <x v="12"/>
    <x v="25"/>
    <x v="2"/>
    <s v="Percent of GDP"/>
    <s v="Units"/>
    <x v="5"/>
    <n v="16.489000000000001"/>
  </r>
  <r>
    <n v="603"/>
    <x v="12"/>
    <x v="25"/>
    <x v="2"/>
    <s v="Percent of GDP"/>
    <s v="Units"/>
    <x v="6"/>
    <n v="16.465"/>
  </r>
  <r>
    <n v="200"/>
    <x v="3"/>
    <x v="25"/>
    <x v="2"/>
    <s v="Percent of GDP"/>
    <s v="Units"/>
    <x v="0"/>
    <n v="10.826000000000001"/>
  </r>
  <r>
    <n v="200"/>
    <x v="3"/>
    <x v="25"/>
    <x v="2"/>
    <s v="Percent of GDP"/>
    <s v="Units"/>
    <x v="1"/>
    <n v="13.275"/>
  </r>
  <r>
    <n v="200"/>
    <x v="3"/>
    <x v="25"/>
    <x v="2"/>
    <s v="Percent of GDP"/>
    <s v="Units"/>
    <x v="2"/>
    <n v="15.348000000000001"/>
  </r>
  <r>
    <n v="200"/>
    <x v="3"/>
    <x v="25"/>
    <x v="2"/>
    <s v="Percent of GDP"/>
    <s v="Units"/>
    <x v="3"/>
    <n v="16.599"/>
  </r>
  <r>
    <n v="200"/>
    <x v="3"/>
    <x v="25"/>
    <x v="2"/>
    <s v="Percent of GDP"/>
    <s v="Units"/>
    <x v="4"/>
    <n v="16.456"/>
  </r>
  <r>
    <n v="200"/>
    <x v="3"/>
    <x v="25"/>
    <x v="2"/>
    <s v="Percent of GDP"/>
    <s v="Units"/>
    <x v="5"/>
    <n v="16.489000000000001"/>
  </r>
  <r>
    <n v="200"/>
    <x v="3"/>
    <x v="25"/>
    <x v="2"/>
    <s v="Percent of GDP"/>
    <s v="Units"/>
    <x v="6"/>
    <n v="16.465"/>
  </r>
  <r>
    <n v="200"/>
    <x v="3"/>
    <x v="184"/>
    <x v="2"/>
    <s v="Percent of GDP"/>
    <s v="Units"/>
    <x v="0"/>
    <n v="14.935"/>
  </r>
  <r>
    <n v="200"/>
    <x v="3"/>
    <x v="184"/>
    <x v="2"/>
    <s v="Percent of GDP"/>
    <s v="Units"/>
    <x v="1"/>
    <n v="15.397"/>
  </r>
  <r>
    <n v="200"/>
    <x v="3"/>
    <x v="184"/>
    <x v="2"/>
    <s v="Percent of GDP"/>
    <s v="Units"/>
    <x v="2"/>
    <n v="19.085999999999999"/>
  </r>
  <r>
    <n v="200"/>
    <x v="3"/>
    <x v="184"/>
    <x v="2"/>
    <s v="Percent of GDP"/>
    <s v="Units"/>
    <x v="3"/>
    <n v="15.249000000000001"/>
  </r>
  <r>
    <n v="200"/>
    <x v="3"/>
    <x v="184"/>
    <x v="2"/>
    <s v="Percent of GDP"/>
    <s v="Units"/>
    <x v="4"/>
    <n v="13.901999999999999"/>
  </r>
  <r>
    <n v="200"/>
    <x v="3"/>
    <x v="184"/>
    <x v="2"/>
    <s v="Percent of GDP"/>
    <s v="Units"/>
    <x v="5"/>
    <n v="16.488"/>
  </r>
  <r>
    <n v="200"/>
    <x v="3"/>
    <x v="184"/>
    <x v="2"/>
    <s v="Percent of GDP"/>
    <s v="Units"/>
    <x v="6"/>
    <n v="16.146999999999998"/>
  </r>
  <r>
    <n v="603"/>
    <x v="12"/>
    <x v="184"/>
    <x v="2"/>
    <s v="Percent of GDP"/>
    <s v="Units"/>
    <x v="0"/>
    <n v="14.935"/>
  </r>
  <r>
    <n v="603"/>
    <x v="12"/>
    <x v="184"/>
    <x v="2"/>
    <s v="Percent of GDP"/>
    <s v="Units"/>
    <x v="1"/>
    <n v="15.397"/>
  </r>
  <r>
    <n v="603"/>
    <x v="12"/>
    <x v="184"/>
    <x v="2"/>
    <s v="Percent of GDP"/>
    <s v="Units"/>
    <x v="2"/>
    <n v="19.085999999999999"/>
  </r>
  <r>
    <n v="603"/>
    <x v="12"/>
    <x v="184"/>
    <x v="2"/>
    <s v="Percent of GDP"/>
    <s v="Units"/>
    <x v="3"/>
    <n v="15.249000000000001"/>
  </r>
  <r>
    <n v="603"/>
    <x v="12"/>
    <x v="184"/>
    <x v="2"/>
    <s v="Percent of GDP"/>
    <s v="Units"/>
    <x v="4"/>
    <n v="13.901999999999999"/>
  </r>
  <r>
    <n v="603"/>
    <x v="12"/>
    <x v="184"/>
    <x v="2"/>
    <s v="Percent of GDP"/>
    <s v="Units"/>
    <x v="5"/>
    <n v="16.488"/>
  </r>
  <r>
    <n v="603"/>
    <x v="12"/>
    <x v="184"/>
    <x v="2"/>
    <s v="Percent of GDP"/>
    <s v="Units"/>
    <x v="6"/>
    <n v="16.146999999999998"/>
  </r>
  <r>
    <n v="505"/>
    <x v="4"/>
    <x v="112"/>
    <x v="3"/>
    <s v="Percent of GDP"/>
    <s v="Units"/>
    <x v="0"/>
    <n v="17.587"/>
  </r>
  <r>
    <n v="505"/>
    <x v="4"/>
    <x v="112"/>
    <x v="3"/>
    <s v="Percent of GDP"/>
    <s v="Units"/>
    <x v="1"/>
    <n v="20.306000000000001"/>
  </r>
  <r>
    <n v="505"/>
    <x v="4"/>
    <x v="112"/>
    <x v="3"/>
    <s v="Percent of GDP"/>
    <s v="Units"/>
    <x v="2"/>
    <n v="20.988"/>
  </r>
  <r>
    <n v="505"/>
    <x v="4"/>
    <x v="112"/>
    <x v="3"/>
    <s v="Percent of GDP"/>
    <s v="Units"/>
    <x v="3"/>
    <n v="16.771000000000001"/>
  </r>
  <r>
    <n v="505"/>
    <x v="4"/>
    <x v="112"/>
    <x v="3"/>
    <s v="Percent of GDP"/>
    <s v="Units"/>
    <x v="4"/>
    <n v="17.774999999999999"/>
  </r>
  <r>
    <n v="505"/>
    <x v="4"/>
    <x v="112"/>
    <x v="3"/>
    <s v="Percent of GDP"/>
    <s v="Units"/>
    <x v="5"/>
    <n v="16.466000000000001"/>
  </r>
  <r>
    <n v="505"/>
    <x v="4"/>
    <x v="112"/>
    <x v="3"/>
    <s v="Percent of GDP"/>
    <s v="Units"/>
    <x v="6"/>
    <n v="16.495999999999999"/>
  </r>
  <r>
    <n v="200"/>
    <x v="3"/>
    <x v="112"/>
    <x v="3"/>
    <s v="Percent of GDP"/>
    <s v="Units"/>
    <x v="0"/>
    <n v="17.587"/>
  </r>
  <r>
    <n v="200"/>
    <x v="3"/>
    <x v="112"/>
    <x v="3"/>
    <s v="Percent of GDP"/>
    <s v="Units"/>
    <x v="1"/>
    <n v="20.306000000000001"/>
  </r>
  <r>
    <n v="200"/>
    <x v="3"/>
    <x v="112"/>
    <x v="3"/>
    <s v="Percent of GDP"/>
    <s v="Units"/>
    <x v="2"/>
    <n v="20.988"/>
  </r>
  <r>
    <n v="200"/>
    <x v="3"/>
    <x v="112"/>
    <x v="3"/>
    <s v="Percent of GDP"/>
    <s v="Units"/>
    <x v="3"/>
    <n v="16.771000000000001"/>
  </r>
  <r>
    <n v="200"/>
    <x v="3"/>
    <x v="112"/>
    <x v="3"/>
    <s v="Percent of GDP"/>
    <s v="Units"/>
    <x v="4"/>
    <n v="17.774999999999999"/>
  </r>
  <r>
    <n v="200"/>
    <x v="3"/>
    <x v="112"/>
    <x v="3"/>
    <s v="Percent of GDP"/>
    <s v="Units"/>
    <x v="5"/>
    <n v="16.466000000000001"/>
  </r>
  <r>
    <n v="200"/>
    <x v="3"/>
    <x v="112"/>
    <x v="3"/>
    <s v="Percent of GDP"/>
    <s v="Units"/>
    <x v="6"/>
    <n v="16.495999999999999"/>
  </r>
  <r>
    <n v="603"/>
    <x v="12"/>
    <x v="179"/>
    <x v="0"/>
    <s v="U.S. dollars"/>
    <s v="Billions"/>
    <x v="0"/>
    <n v="14.105"/>
  </r>
  <r>
    <n v="603"/>
    <x v="12"/>
    <x v="179"/>
    <x v="0"/>
    <s v="U.S. dollars"/>
    <s v="Billions"/>
    <x v="1"/>
    <n v="13.051"/>
  </r>
  <r>
    <n v="603"/>
    <x v="12"/>
    <x v="179"/>
    <x v="0"/>
    <s v="U.S. dollars"/>
    <s v="Billions"/>
    <x v="2"/>
    <n v="14.555"/>
  </r>
  <r>
    <n v="603"/>
    <x v="12"/>
    <x v="179"/>
    <x v="0"/>
    <s v="U.S. dollars"/>
    <s v="Billions"/>
    <x v="3"/>
    <n v="15.285"/>
  </r>
  <r>
    <n v="603"/>
    <x v="12"/>
    <x v="179"/>
    <x v="0"/>
    <s v="U.S. dollars"/>
    <s v="Billions"/>
    <x v="4"/>
    <n v="15.753"/>
  </r>
  <r>
    <n v="603"/>
    <x v="12"/>
    <x v="179"/>
    <x v="0"/>
    <s v="U.S. dollars"/>
    <s v="Billions"/>
    <x v="5"/>
    <n v="16.465"/>
  </r>
  <r>
    <n v="603"/>
    <x v="12"/>
    <x v="179"/>
    <x v="0"/>
    <s v="U.S. dollars"/>
    <s v="Billions"/>
    <x v="6"/>
    <n v="17.917000000000002"/>
  </r>
  <r>
    <n v="200"/>
    <x v="3"/>
    <x v="179"/>
    <x v="0"/>
    <s v="U.S. dollars"/>
    <s v="Billions"/>
    <x v="0"/>
    <n v="14.105"/>
  </r>
  <r>
    <n v="200"/>
    <x v="3"/>
    <x v="179"/>
    <x v="0"/>
    <s v="U.S. dollars"/>
    <s v="Billions"/>
    <x v="1"/>
    <n v="13.051"/>
  </r>
  <r>
    <n v="200"/>
    <x v="3"/>
    <x v="179"/>
    <x v="0"/>
    <s v="U.S. dollars"/>
    <s v="Billions"/>
    <x v="2"/>
    <n v="14.555"/>
  </r>
  <r>
    <n v="200"/>
    <x v="3"/>
    <x v="179"/>
    <x v="0"/>
    <s v="U.S. dollars"/>
    <s v="Billions"/>
    <x v="3"/>
    <n v="15.285"/>
  </r>
  <r>
    <n v="200"/>
    <x v="3"/>
    <x v="179"/>
    <x v="0"/>
    <s v="U.S. dollars"/>
    <s v="Billions"/>
    <x v="4"/>
    <n v="15.753"/>
  </r>
  <r>
    <n v="200"/>
    <x v="3"/>
    <x v="179"/>
    <x v="0"/>
    <s v="U.S. dollars"/>
    <s v="Billions"/>
    <x v="5"/>
    <n v="16.465"/>
  </r>
  <r>
    <n v="200"/>
    <x v="3"/>
    <x v="179"/>
    <x v="0"/>
    <s v="U.S. dollars"/>
    <s v="Billions"/>
    <x v="6"/>
    <n v="17.917000000000002"/>
  </r>
  <r>
    <n v="1"/>
    <x v="2"/>
    <x v="179"/>
    <x v="0"/>
    <s v="U.S. dollars"/>
    <s v="Billions"/>
    <x v="0"/>
    <n v="14.105"/>
  </r>
  <r>
    <n v="1"/>
    <x v="2"/>
    <x v="179"/>
    <x v="0"/>
    <s v="U.S. dollars"/>
    <s v="Billions"/>
    <x v="1"/>
    <n v="13.051"/>
  </r>
  <r>
    <n v="1"/>
    <x v="2"/>
    <x v="179"/>
    <x v="0"/>
    <s v="U.S. dollars"/>
    <s v="Billions"/>
    <x v="2"/>
    <n v="14.555"/>
  </r>
  <r>
    <n v="1"/>
    <x v="2"/>
    <x v="179"/>
    <x v="0"/>
    <s v="U.S. dollars"/>
    <s v="Billions"/>
    <x v="3"/>
    <n v="15.285"/>
  </r>
  <r>
    <n v="1"/>
    <x v="2"/>
    <x v="179"/>
    <x v="0"/>
    <s v="U.S. dollars"/>
    <s v="Billions"/>
    <x v="4"/>
    <n v="15.753"/>
  </r>
  <r>
    <n v="1"/>
    <x v="2"/>
    <x v="179"/>
    <x v="0"/>
    <s v="U.S. dollars"/>
    <s v="Billions"/>
    <x v="5"/>
    <n v="16.465"/>
  </r>
  <r>
    <n v="1"/>
    <x v="2"/>
    <x v="179"/>
    <x v="0"/>
    <s v="U.S. dollars"/>
    <s v="Billions"/>
    <x v="6"/>
    <n v="17.917000000000002"/>
  </r>
  <r>
    <n v="603"/>
    <x v="12"/>
    <x v="80"/>
    <x v="2"/>
    <s v="Percent of GDP"/>
    <s v="Units"/>
    <x v="0"/>
    <n v="14.978"/>
  </r>
  <r>
    <n v="603"/>
    <x v="12"/>
    <x v="80"/>
    <x v="2"/>
    <s v="Percent of GDP"/>
    <s v="Units"/>
    <x v="1"/>
    <n v="14.951000000000001"/>
  </r>
  <r>
    <n v="603"/>
    <x v="12"/>
    <x v="80"/>
    <x v="2"/>
    <s v="Percent of GDP"/>
    <s v="Units"/>
    <x v="2"/>
    <n v="15.694000000000001"/>
  </r>
  <r>
    <n v="603"/>
    <x v="12"/>
    <x v="80"/>
    <x v="2"/>
    <s v="Percent of GDP"/>
    <s v="Units"/>
    <x v="3"/>
    <n v="15.004"/>
  </r>
  <r>
    <n v="603"/>
    <x v="12"/>
    <x v="80"/>
    <x v="2"/>
    <s v="Percent of GDP"/>
    <s v="Units"/>
    <x v="4"/>
    <n v="16.021999999999998"/>
  </r>
  <r>
    <n v="603"/>
    <x v="12"/>
    <x v="80"/>
    <x v="2"/>
    <s v="Percent of GDP"/>
    <s v="Units"/>
    <x v="5"/>
    <n v="16.452000000000002"/>
  </r>
  <r>
    <n v="603"/>
    <x v="12"/>
    <x v="80"/>
    <x v="2"/>
    <s v="Percent of GDP"/>
    <s v="Units"/>
    <x v="6"/>
    <n v="16.966000000000001"/>
  </r>
  <r>
    <n v="200"/>
    <x v="3"/>
    <x v="80"/>
    <x v="2"/>
    <s v="Percent of GDP"/>
    <s v="Units"/>
    <x v="0"/>
    <n v="14.978"/>
  </r>
  <r>
    <n v="200"/>
    <x v="3"/>
    <x v="80"/>
    <x v="2"/>
    <s v="Percent of GDP"/>
    <s v="Units"/>
    <x v="1"/>
    <n v="14.951000000000001"/>
  </r>
  <r>
    <n v="200"/>
    <x v="3"/>
    <x v="80"/>
    <x v="2"/>
    <s v="Percent of GDP"/>
    <s v="Units"/>
    <x v="2"/>
    <n v="15.694000000000001"/>
  </r>
  <r>
    <n v="200"/>
    <x v="3"/>
    <x v="80"/>
    <x v="2"/>
    <s v="Percent of GDP"/>
    <s v="Units"/>
    <x v="3"/>
    <n v="15.004"/>
  </r>
  <r>
    <n v="200"/>
    <x v="3"/>
    <x v="80"/>
    <x v="2"/>
    <s v="Percent of GDP"/>
    <s v="Units"/>
    <x v="4"/>
    <n v="16.021999999999998"/>
  </r>
  <r>
    <n v="200"/>
    <x v="3"/>
    <x v="80"/>
    <x v="2"/>
    <s v="Percent of GDP"/>
    <s v="Units"/>
    <x v="5"/>
    <n v="16.452000000000002"/>
  </r>
  <r>
    <n v="200"/>
    <x v="3"/>
    <x v="80"/>
    <x v="2"/>
    <s v="Percent of GDP"/>
    <s v="Units"/>
    <x v="6"/>
    <n v="16.966000000000001"/>
  </r>
  <r>
    <n v="603"/>
    <x v="12"/>
    <x v="170"/>
    <x v="7"/>
    <s v="Percent of GDP"/>
    <s v="Units"/>
    <x v="0"/>
    <n v="22.532"/>
  </r>
  <r>
    <n v="603"/>
    <x v="12"/>
    <x v="170"/>
    <x v="7"/>
    <s v="Percent of GDP"/>
    <s v="Units"/>
    <x v="1"/>
    <n v="17.186"/>
  </r>
  <r>
    <n v="603"/>
    <x v="12"/>
    <x v="170"/>
    <x v="7"/>
    <s v="Percent of GDP"/>
    <s v="Units"/>
    <x v="2"/>
    <n v="21.27"/>
  </r>
  <r>
    <n v="603"/>
    <x v="12"/>
    <x v="170"/>
    <x v="7"/>
    <s v="Percent of GDP"/>
    <s v="Units"/>
    <x v="3"/>
    <n v="18.957999999999998"/>
  </r>
  <r>
    <n v="603"/>
    <x v="12"/>
    <x v="170"/>
    <x v="7"/>
    <s v="Percent of GDP"/>
    <s v="Units"/>
    <x v="4"/>
    <n v="17.187000000000001"/>
  </r>
  <r>
    <n v="603"/>
    <x v="12"/>
    <x v="170"/>
    <x v="7"/>
    <s v="Percent of GDP"/>
    <s v="Units"/>
    <x v="5"/>
    <n v="16.449000000000002"/>
  </r>
  <r>
    <n v="603"/>
    <x v="12"/>
    <x v="170"/>
    <x v="7"/>
    <s v="Percent of GDP"/>
    <s v="Units"/>
    <x v="6"/>
    <n v="16.684000000000001"/>
  </r>
  <r>
    <n v="200"/>
    <x v="3"/>
    <x v="170"/>
    <x v="7"/>
    <s v="Percent of GDP"/>
    <s v="Units"/>
    <x v="0"/>
    <n v="22.532"/>
  </r>
  <r>
    <n v="200"/>
    <x v="3"/>
    <x v="170"/>
    <x v="7"/>
    <s v="Percent of GDP"/>
    <s v="Units"/>
    <x v="1"/>
    <n v="17.186"/>
  </r>
  <r>
    <n v="200"/>
    <x v="3"/>
    <x v="170"/>
    <x v="7"/>
    <s v="Percent of GDP"/>
    <s v="Units"/>
    <x v="2"/>
    <n v="21.27"/>
  </r>
  <r>
    <n v="200"/>
    <x v="3"/>
    <x v="170"/>
    <x v="7"/>
    <s v="Percent of GDP"/>
    <s v="Units"/>
    <x v="3"/>
    <n v="18.957999999999998"/>
  </r>
  <r>
    <n v="200"/>
    <x v="3"/>
    <x v="170"/>
    <x v="7"/>
    <s v="Percent of GDP"/>
    <s v="Units"/>
    <x v="4"/>
    <n v="17.187000000000001"/>
  </r>
  <r>
    <n v="200"/>
    <x v="3"/>
    <x v="170"/>
    <x v="7"/>
    <s v="Percent of GDP"/>
    <s v="Units"/>
    <x v="5"/>
    <n v="16.449000000000002"/>
  </r>
  <r>
    <n v="200"/>
    <x v="3"/>
    <x v="170"/>
    <x v="7"/>
    <s v="Percent of GDP"/>
    <s v="Units"/>
    <x v="6"/>
    <n v="16.684000000000001"/>
  </r>
  <r>
    <n v="1"/>
    <x v="2"/>
    <x v="170"/>
    <x v="7"/>
    <s v="Percent of GDP"/>
    <s v="Units"/>
    <x v="0"/>
    <n v="22.532"/>
  </r>
  <r>
    <n v="1"/>
    <x v="2"/>
    <x v="170"/>
    <x v="7"/>
    <s v="Percent of GDP"/>
    <s v="Units"/>
    <x v="1"/>
    <n v="17.186"/>
  </r>
  <r>
    <n v="1"/>
    <x v="2"/>
    <x v="170"/>
    <x v="7"/>
    <s v="Percent of GDP"/>
    <s v="Units"/>
    <x v="2"/>
    <n v="21.27"/>
  </r>
  <r>
    <n v="1"/>
    <x v="2"/>
    <x v="170"/>
    <x v="7"/>
    <s v="Percent of GDP"/>
    <s v="Units"/>
    <x v="3"/>
    <n v="18.957999999999998"/>
  </r>
  <r>
    <n v="1"/>
    <x v="2"/>
    <x v="170"/>
    <x v="7"/>
    <s v="Percent of GDP"/>
    <s v="Units"/>
    <x v="4"/>
    <n v="17.187000000000001"/>
  </r>
  <r>
    <n v="1"/>
    <x v="2"/>
    <x v="170"/>
    <x v="7"/>
    <s v="Percent of GDP"/>
    <s v="Units"/>
    <x v="5"/>
    <n v="16.449000000000002"/>
  </r>
  <r>
    <n v="1"/>
    <x v="2"/>
    <x v="170"/>
    <x v="7"/>
    <s v="Percent of GDP"/>
    <s v="Units"/>
    <x v="6"/>
    <n v="16.684000000000001"/>
  </r>
  <r>
    <n v="603"/>
    <x v="12"/>
    <x v="85"/>
    <x v="2"/>
    <s v="Percent of GDP"/>
    <s v="Units"/>
    <x v="0"/>
    <n v="15.225"/>
  </r>
  <r>
    <n v="603"/>
    <x v="12"/>
    <x v="85"/>
    <x v="2"/>
    <s v="Percent of GDP"/>
    <s v="Units"/>
    <x v="1"/>
    <n v="14.884"/>
  </r>
  <r>
    <n v="603"/>
    <x v="12"/>
    <x v="85"/>
    <x v="2"/>
    <s v="Percent of GDP"/>
    <s v="Units"/>
    <x v="2"/>
    <n v="14.856"/>
  </r>
  <r>
    <n v="603"/>
    <x v="12"/>
    <x v="85"/>
    <x v="2"/>
    <s v="Percent of GDP"/>
    <s v="Units"/>
    <x v="3"/>
    <n v="15.212999999999999"/>
  </r>
  <r>
    <n v="603"/>
    <x v="12"/>
    <x v="85"/>
    <x v="2"/>
    <s v="Percent of GDP"/>
    <s v="Units"/>
    <x v="4"/>
    <n v="15.622"/>
  </r>
  <r>
    <n v="603"/>
    <x v="12"/>
    <x v="85"/>
    <x v="2"/>
    <s v="Percent of GDP"/>
    <s v="Units"/>
    <x v="5"/>
    <n v="16.440999999999999"/>
  </r>
  <r>
    <n v="603"/>
    <x v="12"/>
    <x v="85"/>
    <x v="2"/>
    <s v="Percent of GDP"/>
    <s v="Units"/>
    <x v="6"/>
    <n v="16.635000000000002"/>
  </r>
  <r>
    <n v="200"/>
    <x v="3"/>
    <x v="85"/>
    <x v="2"/>
    <s v="Percent of GDP"/>
    <s v="Units"/>
    <x v="0"/>
    <n v="15.225"/>
  </r>
  <r>
    <n v="200"/>
    <x v="3"/>
    <x v="85"/>
    <x v="2"/>
    <s v="Percent of GDP"/>
    <s v="Units"/>
    <x v="1"/>
    <n v="14.884"/>
  </r>
  <r>
    <n v="200"/>
    <x v="3"/>
    <x v="85"/>
    <x v="2"/>
    <s v="Percent of GDP"/>
    <s v="Units"/>
    <x v="2"/>
    <n v="14.856"/>
  </r>
  <r>
    <n v="200"/>
    <x v="3"/>
    <x v="85"/>
    <x v="2"/>
    <s v="Percent of GDP"/>
    <s v="Units"/>
    <x v="3"/>
    <n v="15.212999999999999"/>
  </r>
  <r>
    <n v="200"/>
    <x v="3"/>
    <x v="85"/>
    <x v="2"/>
    <s v="Percent of GDP"/>
    <s v="Units"/>
    <x v="4"/>
    <n v="15.622"/>
  </r>
  <r>
    <n v="200"/>
    <x v="3"/>
    <x v="85"/>
    <x v="2"/>
    <s v="Percent of GDP"/>
    <s v="Units"/>
    <x v="5"/>
    <n v="16.440999999999999"/>
  </r>
  <r>
    <n v="200"/>
    <x v="3"/>
    <x v="85"/>
    <x v="2"/>
    <s v="Percent of GDP"/>
    <s v="Units"/>
    <x v="6"/>
    <n v="16.635000000000002"/>
  </r>
  <r>
    <n v="200"/>
    <x v="3"/>
    <x v="173"/>
    <x v="3"/>
    <s v="Percent of GDP"/>
    <s v="Units"/>
    <x v="0"/>
    <n v="14.978"/>
  </r>
  <r>
    <n v="200"/>
    <x v="3"/>
    <x v="173"/>
    <x v="3"/>
    <s v="Percent of GDP"/>
    <s v="Units"/>
    <x v="1"/>
    <n v="17.131"/>
  </r>
  <r>
    <n v="200"/>
    <x v="3"/>
    <x v="173"/>
    <x v="3"/>
    <s v="Percent of GDP"/>
    <s v="Units"/>
    <x v="2"/>
    <n v="15.167999999999999"/>
  </r>
  <r>
    <n v="200"/>
    <x v="3"/>
    <x v="173"/>
    <x v="3"/>
    <s v="Percent of GDP"/>
    <s v="Units"/>
    <x v="3"/>
    <n v="14.535"/>
  </r>
  <r>
    <n v="200"/>
    <x v="3"/>
    <x v="173"/>
    <x v="3"/>
    <s v="Percent of GDP"/>
    <s v="Units"/>
    <x v="4"/>
    <n v="15.472"/>
  </r>
  <r>
    <n v="200"/>
    <x v="3"/>
    <x v="173"/>
    <x v="3"/>
    <s v="Percent of GDP"/>
    <s v="Units"/>
    <x v="5"/>
    <n v="16.439"/>
  </r>
  <r>
    <n v="200"/>
    <x v="3"/>
    <x v="173"/>
    <x v="3"/>
    <s v="Percent of GDP"/>
    <s v="Units"/>
    <x v="6"/>
    <n v="15.834"/>
  </r>
  <r>
    <n v="603"/>
    <x v="12"/>
    <x v="173"/>
    <x v="3"/>
    <s v="Percent of GDP"/>
    <s v="Units"/>
    <x v="0"/>
    <n v="14.978"/>
  </r>
  <r>
    <n v="603"/>
    <x v="12"/>
    <x v="173"/>
    <x v="3"/>
    <s v="Percent of GDP"/>
    <s v="Units"/>
    <x v="1"/>
    <n v="17.131"/>
  </r>
  <r>
    <n v="603"/>
    <x v="12"/>
    <x v="173"/>
    <x v="3"/>
    <s v="Percent of GDP"/>
    <s v="Units"/>
    <x v="2"/>
    <n v="15.167999999999999"/>
  </r>
  <r>
    <n v="603"/>
    <x v="12"/>
    <x v="173"/>
    <x v="3"/>
    <s v="Percent of GDP"/>
    <s v="Units"/>
    <x v="3"/>
    <n v="14.535"/>
  </r>
  <r>
    <n v="603"/>
    <x v="12"/>
    <x v="173"/>
    <x v="3"/>
    <s v="Percent of GDP"/>
    <s v="Units"/>
    <x v="4"/>
    <n v="15.472"/>
  </r>
  <r>
    <n v="603"/>
    <x v="12"/>
    <x v="173"/>
    <x v="3"/>
    <s v="Percent of GDP"/>
    <s v="Units"/>
    <x v="5"/>
    <n v="16.439"/>
  </r>
  <r>
    <n v="603"/>
    <x v="12"/>
    <x v="173"/>
    <x v="3"/>
    <s v="Percent of GDP"/>
    <s v="Units"/>
    <x v="6"/>
    <n v="15.834"/>
  </r>
  <r>
    <n v="200"/>
    <x v="3"/>
    <x v="175"/>
    <x v="5"/>
    <s v="Percent of GDP"/>
    <s v="Units"/>
    <x v="0"/>
    <n v="25.5"/>
  </r>
  <r>
    <n v="200"/>
    <x v="3"/>
    <x v="175"/>
    <x v="5"/>
    <s v="Percent of GDP"/>
    <s v="Units"/>
    <x v="1"/>
    <n v="4.4050000000000002"/>
  </r>
  <r>
    <n v="200"/>
    <x v="3"/>
    <x v="175"/>
    <x v="5"/>
    <s v="Percent of GDP"/>
    <s v="Units"/>
    <x v="2"/>
    <n v="5.2759999999999998"/>
  </r>
  <r>
    <n v="200"/>
    <x v="3"/>
    <x v="175"/>
    <x v="5"/>
    <s v="Percent of GDP"/>
    <s v="Units"/>
    <x v="3"/>
    <n v="14.912000000000001"/>
  </r>
  <r>
    <n v="200"/>
    <x v="3"/>
    <x v="175"/>
    <x v="5"/>
    <s v="Percent of GDP"/>
    <s v="Units"/>
    <x v="4"/>
    <n v="14.519"/>
  </r>
  <r>
    <n v="200"/>
    <x v="3"/>
    <x v="175"/>
    <x v="5"/>
    <s v="Percent of GDP"/>
    <s v="Units"/>
    <x v="5"/>
    <n v="16.407"/>
  </r>
  <r>
    <n v="200"/>
    <x v="3"/>
    <x v="175"/>
    <x v="5"/>
    <s v="Percent of GDP"/>
    <s v="Units"/>
    <x v="6"/>
    <n v="18.417999999999999"/>
  </r>
  <r>
    <n v="205"/>
    <x v="7"/>
    <x v="175"/>
    <x v="5"/>
    <s v="Percent of GDP"/>
    <s v="Units"/>
    <x v="0"/>
    <n v="25.5"/>
  </r>
  <r>
    <n v="205"/>
    <x v="7"/>
    <x v="175"/>
    <x v="5"/>
    <s v="Percent of GDP"/>
    <s v="Units"/>
    <x v="1"/>
    <n v="4.4050000000000002"/>
  </r>
  <r>
    <n v="205"/>
    <x v="7"/>
    <x v="175"/>
    <x v="5"/>
    <s v="Percent of GDP"/>
    <s v="Units"/>
    <x v="2"/>
    <n v="5.2759999999999998"/>
  </r>
  <r>
    <n v="205"/>
    <x v="7"/>
    <x v="175"/>
    <x v="5"/>
    <s v="Percent of GDP"/>
    <s v="Units"/>
    <x v="3"/>
    <n v="14.912000000000001"/>
  </r>
  <r>
    <n v="205"/>
    <x v="7"/>
    <x v="175"/>
    <x v="5"/>
    <s v="Percent of GDP"/>
    <s v="Units"/>
    <x v="4"/>
    <n v="14.519"/>
  </r>
  <r>
    <n v="205"/>
    <x v="7"/>
    <x v="175"/>
    <x v="5"/>
    <s v="Percent of GDP"/>
    <s v="Units"/>
    <x v="5"/>
    <n v="16.407"/>
  </r>
  <r>
    <n v="205"/>
    <x v="7"/>
    <x v="175"/>
    <x v="5"/>
    <s v="Percent of GDP"/>
    <s v="Units"/>
    <x v="6"/>
    <n v="18.417999999999999"/>
  </r>
  <r>
    <n v="1"/>
    <x v="2"/>
    <x v="175"/>
    <x v="5"/>
    <s v="Percent of GDP"/>
    <s v="Units"/>
    <x v="0"/>
    <n v="25.5"/>
  </r>
  <r>
    <n v="1"/>
    <x v="2"/>
    <x v="175"/>
    <x v="5"/>
    <s v="Percent of GDP"/>
    <s v="Units"/>
    <x v="1"/>
    <n v="4.4050000000000002"/>
  </r>
  <r>
    <n v="1"/>
    <x v="2"/>
    <x v="175"/>
    <x v="5"/>
    <s v="Percent of GDP"/>
    <s v="Units"/>
    <x v="2"/>
    <n v="5.2759999999999998"/>
  </r>
  <r>
    <n v="1"/>
    <x v="2"/>
    <x v="175"/>
    <x v="5"/>
    <s v="Percent of GDP"/>
    <s v="Units"/>
    <x v="3"/>
    <n v="14.912000000000001"/>
  </r>
  <r>
    <n v="1"/>
    <x v="2"/>
    <x v="175"/>
    <x v="5"/>
    <s v="Percent of GDP"/>
    <s v="Units"/>
    <x v="4"/>
    <n v="14.519"/>
  </r>
  <r>
    <n v="1"/>
    <x v="2"/>
    <x v="175"/>
    <x v="5"/>
    <s v="Percent of GDP"/>
    <s v="Units"/>
    <x v="5"/>
    <n v="16.407"/>
  </r>
  <r>
    <n v="1"/>
    <x v="2"/>
    <x v="175"/>
    <x v="5"/>
    <s v="Percent of GDP"/>
    <s v="Units"/>
    <x v="6"/>
    <n v="18.417999999999999"/>
  </r>
  <r>
    <n v="200"/>
    <x v="3"/>
    <x v="185"/>
    <x v="7"/>
    <s v="Percent of GDP"/>
    <s v="Units"/>
    <x v="0"/>
    <n v="16.992999999999999"/>
  </r>
  <r>
    <n v="200"/>
    <x v="3"/>
    <x v="185"/>
    <x v="7"/>
    <s v="Percent of GDP"/>
    <s v="Units"/>
    <x v="1"/>
    <n v="12.581"/>
  </r>
  <r>
    <n v="200"/>
    <x v="3"/>
    <x v="185"/>
    <x v="7"/>
    <s v="Percent of GDP"/>
    <s v="Units"/>
    <x v="2"/>
    <n v="15.288"/>
  </r>
  <r>
    <n v="200"/>
    <x v="3"/>
    <x v="185"/>
    <x v="7"/>
    <s v="Percent of GDP"/>
    <s v="Units"/>
    <x v="3"/>
    <n v="12.092000000000001"/>
  </r>
  <r>
    <n v="200"/>
    <x v="3"/>
    <x v="185"/>
    <x v="7"/>
    <s v="Percent of GDP"/>
    <s v="Units"/>
    <x v="4"/>
    <n v="18.344000000000001"/>
  </r>
  <r>
    <n v="200"/>
    <x v="3"/>
    <x v="185"/>
    <x v="7"/>
    <s v="Percent of GDP"/>
    <s v="Units"/>
    <x v="5"/>
    <n v="16.370999999999999"/>
  </r>
  <r>
    <n v="200"/>
    <x v="3"/>
    <x v="185"/>
    <x v="7"/>
    <s v="Percent of GDP"/>
    <s v="Units"/>
    <x v="6"/>
    <n v="16.417000000000002"/>
  </r>
  <r>
    <n v="1"/>
    <x v="2"/>
    <x v="185"/>
    <x v="7"/>
    <s v="Percent of GDP"/>
    <s v="Units"/>
    <x v="0"/>
    <n v="16.992999999999999"/>
  </r>
  <r>
    <n v="1"/>
    <x v="2"/>
    <x v="185"/>
    <x v="7"/>
    <s v="Percent of GDP"/>
    <s v="Units"/>
    <x v="1"/>
    <n v="12.581"/>
  </r>
  <r>
    <n v="1"/>
    <x v="2"/>
    <x v="185"/>
    <x v="7"/>
    <s v="Percent of GDP"/>
    <s v="Units"/>
    <x v="2"/>
    <n v="15.288"/>
  </r>
  <r>
    <n v="1"/>
    <x v="2"/>
    <x v="185"/>
    <x v="7"/>
    <s v="Percent of GDP"/>
    <s v="Units"/>
    <x v="3"/>
    <n v="12.092000000000001"/>
  </r>
  <r>
    <n v="1"/>
    <x v="2"/>
    <x v="185"/>
    <x v="7"/>
    <s v="Percent of GDP"/>
    <s v="Units"/>
    <x v="4"/>
    <n v="18.344000000000001"/>
  </r>
  <r>
    <n v="1"/>
    <x v="2"/>
    <x v="185"/>
    <x v="7"/>
    <s v="Percent of GDP"/>
    <s v="Units"/>
    <x v="5"/>
    <n v="16.370999999999999"/>
  </r>
  <r>
    <n v="1"/>
    <x v="2"/>
    <x v="185"/>
    <x v="7"/>
    <s v="Percent of GDP"/>
    <s v="Units"/>
    <x v="6"/>
    <n v="16.417000000000002"/>
  </r>
  <r>
    <n v="603"/>
    <x v="12"/>
    <x v="185"/>
    <x v="7"/>
    <s v="Percent of GDP"/>
    <s v="Units"/>
    <x v="0"/>
    <n v="16.992999999999999"/>
  </r>
  <r>
    <n v="603"/>
    <x v="12"/>
    <x v="185"/>
    <x v="7"/>
    <s v="Percent of GDP"/>
    <s v="Units"/>
    <x v="1"/>
    <n v="12.581"/>
  </r>
  <r>
    <n v="603"/>
    <x v="12"/>
    <x v="185"/>
    <x v="7"/>
    <s v="Percent of GDP"/>
    <s v="Units"/>
    <x v="2"/>
    <n v="15.288"/>
  </r>
  <r>
    <n v="603"/>
    <x v="12"/>
    <x v="185"/>
    <x v="7"/>
    <s v="Percent of GDP"/>
    <s v="Units"/>
    <x v="3"/>
    <n v="12.092000000000001"/>
  </r>
  <r>
    <n v="603"/>
    <x v="12"/>
    <x v="185"/>
    <x v="7"/>
    <s v="Percent of GDP"/>
    <s v="Units"/>
    <x v="4"/>
    <n v="18.344000000000001"/>
  </r>
  <r>
    <n v="603"/>
    <x v="12"/>
    <x v="185"/>
    <x v="7"/>
    <s v="Percent of GDP"/>
    <s v="Units"/>
    <x v="5"/>
    <n v="16.370999999999999"/>
  </r>
  <r>
    <n v="603"/>
    <x v="12"/>
    <x v="185"/>
    <x v="7"/>
    <s v="Percent of GDP"/>
    <s v="Units"/>
    <x v="6"/>
    <n v="16.417000000000002"/>
  </r>
  <r>
    <n v="200"/>
    <x v="3"/>
    <x v="166"/>
    <x v="0"/>
    <s v="U.S. dollars"/>
    <s v="Billions"/>
    <x v="0"/>
    <n v="14.436"/>
  </r>
  <r>
    <n v="200"/>
    <x v="3"/>
    <x v="166"/>
    <x v="0"/>
    <s v="U.S. dollars"/>
    <s v="Billions"/>
    <x v="1"/>
    <n v="11.407999999999999"/>
  </r>
  <r>
    <n v="200"/>
    <x v="3"/>
    <x v="166"/>
    <x v="0"/>
    <s v="U.S. dollars"/>
    <s v="Billions"/>
    <x v="2"/>
    <n v="11.484"/>
  </r>
  <r>
    <n v="200"/>
    <x v="3"/>
    <x v="166"/>
    <x v="0"/>
    <s v="U.S. dollars"/>
    <s v="Billions"/>
    <x v="3"/>
    <n v="12.949"/>
  </r>
  <r>
    <n v="200"/>
    <x v="3"/>
    <x v="166"/>
    <x v="0"/>
    <s v="U.S. dollars"/>
    <s v="Billions"/>
    <x v="4"/>
    <n v="14.371"/>
  </r>
  <r>
    <n v="200"/>
    <x v="3"/>
    <x v="166"/>
    <x v="0"/>
    <s v="U.S. dollars"/>
    <s v="Billions"/>
    <x v="5"/>
    <n v="16.359000000000002"/>
  </r>
  <r>
    <n v="200"/>
    <x v="3"/>
    <x v="166"/>
    <x v="0"/>
    <s v="U.S. dollars"/>
    <s v="Billions"/>
    <x v="6"/>
    <n v="17.651"/>
  </r>
  <r>
    <n v="603"/>
    <x v="12"/>
    <x v="166"/>
    <x v="0"/>
    <s v="U.S. dollars"/>
    <s v="Billions"/>
    <x v="0"/>
    <n v="14.436"/>
  </r>
  <r>
    <n v="603"/>
    <x v="12"/>
    <x v="166"/>
    <x v="0"/>
    <s v="U.S. dollars"/>
    <s v="Billions"/>
    <x v="1"/>
    <n v="11.407999999999999"/>
  </r>
  <r>
    <n v="603"/>
    <x v="12"/>
    <x v="166"/>
    <x v="0"/>
    <s v="U.S. dollars"/>
    <s v="Billions"/>
    <x v="2"/>
    <n v="11.484"/>
  </r>
  <r>
    <n v="603"/>
    <x v="12"/>
    <x v="166"/>
    <x v="0"/>
    <s v="U.S. dollars"/>
    <s v="Billions"/>
    <x v="3"/>
    <n v="12.949"/>
  </r>
  <r>
    <n v="603"/>
    <x v="12"/>
    <x v="166"/>
    <x v="0"/>
    <s v="U.S. dollars"/>
    <s v="Billions"/>
    <x v="4"/>
    <n v="14.371"/>
  </r>
  <r>
    <n v="603"/>
    <x v="12"/>
    <x v="166"/>
    <x v="0"/>
    <s v="U.S. dollars"/>
    <s v="Billions"/>
    <x v="5"/>
    <n v="16.359000000000002"/>
  </r>
  <r>
    <n v="603"/>
    <x v="12"/>
    <x v="166"/>
    <x v="0"/>
    <s v="U.S. dollars"/>
    <s v="Billions"/>
    <x v="6"/>
    <n v="17.651"/>
  </r>
  <r>
    <n v="1"/>
    <x v="2"/>
    <x v="166"/>
    <x v="0"/>
    <s v="U.S. dollars"/>
    <s v="Billions"/>
    <x v="0"/>
    <n v="14.436"/>
  </r>
  <r>
    <n v="1"/>
    <x v="2"/>
    <x v="166"/>
    <x v="0"/>
    <s v="U.S. dollars"/>
    <s v="Billions"/>
    <x v="1"/>
    <n v="11.407999999999999"/>
  </r>
  <r>
    <n v="1"/>
    <x v="2"/>
    <x v="166"/>
    <x v="0"/>
    <s v="U.S. dollars"/>
    <s v="Billions"/>
    <x v="2"/>
    <n v="11.484"/>
  </r>
  <r>
    <n v="1"/>
    <x v="2"/>
    <x v="166"/>
    <x v="0"/>
    <s v="U.S. dollars"/>
    <s v="Billions"/>
    <x v="3"/>
    <n v="12.949"/>
  </r>
  <r>
    <n v="1"/>
    <x v="2"/>
    <x v="166"/>
    <x v="0"/>
    <s v="U.S. dollars"/>
    <s v="Billions"/>
    <x v="4"/>
    <n v="14.371"/>
  </r>
  <r>
    <n v="1"/>
    <x v="2"/>
    <x v="166"/>
    <x v="0"/>
    <s v="U.S. dollars"/>
    <s v="Billions"/>
    <x v="5"/>
    <n v="16.359000000000002"/>
  </r>
  <r>
    <n v="1"/>
    <x v="2"/>
    <x v="166"/>
    <x v="0"/>
    <s v="U.S. dollars"/>
    <s v="Billions"/>
    <x v="6"/>
    <n v="17.651"/>
  </r>
  <r>
    <n v="603"/>
    <x v="12"/>
    <x v="102"/>
    <x v="3"/>
    <s v="Percent of GDP"/>
    <s v="Units"/>
    <x v="0"/>
    <n v="18.664999999999999"/>
  </r>
  <r>
    <n v="603"/>
    <x v="12"/>
    <x v="102"/>
    <x v="3"/>
    <s v="Percent of GDP"/>
    <s v="Units"/>
    <x v="1"/>
    <n v="16.579999999999998"/>
  </r>
  <r>
    <n v="603"/>
    <x v="12"/>
    <x v="102"/>
    <x v="3"/>
    <s v="Percent of GDP"/>
    <s v="Units"/>
    <x v="2"/>
    <n v="16.940000000000001"/>
  </r>
  <r>
    <n v="603"/>
    <x v="12"/>
    <x v="102"/>
    <x v="3"/>
    <s v="Percent of GDP"/>
    <s v="Units"/>
    <x v="3"/>
    <n v="17.056000000000001"/>
  </r>
  <r>
    <n v="603"/>
    <x v="12"/>
    <x v="102"/>
    <x v="3"/>
    <s v="Percent of GDP"/>
    <s v="Units"/>
    <x v="4"/>
    <n v="16.628"/>
  </r>
  <r>
    <n v="603"/>
    <x v="12"/>
    <x v="102"/>
    <x v="3"/>
    <s v="Percent of GDP"/>
    <s v="Units"/>
    <x v="5"/>
    <n v="16.344999999999999"/>
  </r>
  <r>
    <n v="603"/>
    <x v="12"/>
    <x v="102"/>
    <x v="3"/>
    <s v="Percent of GDP"/>
    <s v="Units"/>
    <x v="6"/>
    <n v="15.974"/>
  </r>
  <r>
    <n v="200"/>
    <x v="3"/>
    <x v="102"/>
    <x v="3"/>
    <s v="Percent of GDP"/>
    <s v="Units"/>
    <x v="0"/>
    <n v="18.664999999999999"/>
  </r>
  <r>
    <n v="200"/>
    <x v="3"/>
    <x v="102"/>
    <x v="3"/>
    <s v="Percent of GDP"/>
    <s v="Units"/>
    <x v="1"/>
    <n v="16.579999999999998"/>
  </r>
  <r>
    <n v="200"/>
    <x v="3"/>
    <x v="102"/>
    <x v="3"/>
    <s v="Percent of GDP"/>
    <s v="Units"/>
    <x v="2"/>
    <n v="16.940000000000001"/>
  </r>
  <r>
    <n v="200"/>
    <x v="3"/>
    <x v="102"/>
    <x v="3"/>
    <s v="Percent of GDP"/>
    <s v="Units"/>
    <x v="3"/>
    <n v="17.056000000000001"/>
  </r>
  <r>
    <n v="200"/>
    <x v="3"/>
    <x v="102"/>
    <x v="3"/>
    <s v="Percent of GDP"/>
    <s v="Units"/>
    <x v="4"/>
    <n v="16.628"/>
  </r>
  <r>
    <n v="200"/>
    <x v="3"/>
    <x v="102"/>
    <x v="3"/>
    <s v="Percent of GDP"/>
    <s v="Units"/>
    <x v="5"/>
    <n v="16.344999999999999"/>
  </r>
  <r>
    <n v="200"/>
    <x v="3"/>
    <x v="102"/>
    <x v="3"/>
    <s v="Percent of GDP"/>
    <s v="Units"/>
    <x v="6"/>
    <n v="15.974"/>
  </r>
  <r>
    <n v="1"/>
    <x v="2"/>
    <x v="102"/>
    <x v="5"/>
    <s v="Percent of GDP"/>
    <s v="Units"/>
    <x v="0"/>
    <n v="14.401"/>
  </r>
  <r>
    <n v="1"/>
    <x v="2"/>
    <x v="102"/>
    <x v="5"/>
    <s v="Percent of GDP"/>
    <s v="Units"/>
    <x v="1"/>
    <n v="13.512"/>
  </r>
  <r>
    <n v="1"/>
    <x v="2"/>
    <x v="102"/>
    <x v="5"/>
    <s v="Percent of GDP"/>
    <s v="Units"/>
    <x v="2"/>
    <n v="14.436999999999999"/>
  </r>
  <r>
    <n v="1"/>
    <x v="2"/>
    <x v="102"/>
    <x v="5"/>
    <s v="Percent of GDP"/>
    <s v="Units"/>
    <x v="3"/>
    <n v="15.288"/>
  </r>
  <r>
    <n v="1"/>
    <x v="2"/>
    <x v="102"/>
    <x v="5"/>
    <s v="Percent of GDP"/>
    <s v="Units"/>
    <x v="4"/>
    <n v="15.759"/>
  </r>
  <r>
    <n v="1"/>
    <x v="2"/>
    <x v="102"/>
    <x v="5"/>
    <s v="Percent of GDP"/>
    <s v="Units"/>
    <x v="5"/>
    <n v="16.234000000000002"/>
  </r>
  <r>
    <n v="1"/>
    <x v="2"/>
    <x v="102"/>
    <x v="5"/>
    <s v="Percent of GDP"/>
    <s v="Units"/>
    <x v="6"/>
    <n v="16.616"/>
  </r>
  <r>
    <n v="603"/>
    <x v="12"/>
    <x v="102"/>
    <x v="5"/>
    <s v="Percent of GDP"/>
    <s v="Units"/>
    <x v="0"/>
    <n v="14.401"/>
  </r>
  <r>
    <n v="603"/>
    <x v="12"/>
    <x v="102"/>
    <x v="5"/>
    <s v="Percent of GDP"/>
    <s v="Units"/>
    <x v="1"/>
    <n v="13.512"/>
  </r>
  <r>
    <n v="603"/>
    <x v="12"/>
    <x v="102"/>
    <x v="5"/>
    <s v="Percent of GDP"/>
    <s v="Units"/>
    <x v="2"/>
    <n v="14.436999999999999"/>
  </r>
  <r>
    <n v="603"/>
    <x v="12"/>
    <x v="102"/>
    <x v="5"/>
    <s v="Percent of GDP"/>
    <s v="Units"/>
    <x v="3"/>
    <n v="15.288"/>
  </r>
  <r>
    <n v="603"/>
    <x v="12"/>
    <x v="102"/>
    <x v="5"/>
    <s v="Percent of GDP"/>
    <s v="Units"/>
    <x v="4"/>
    <n v="15.759"/>
  </r>
  <r>
    <n v="603"/>
    <x v="12"/>
    <x v="102"/>
    <x v="5"/>
    <s v="Percent of GDP"/>
    <s v="Units"/>
    <x v="5"/>
    <n v="16.234000000000002"/>
  </r>
  <r>
    <n v="603"/>
    <x v="12"/>
    <x v="102"/>
    <x v="5"/>
    <s v="Percent of GDP"/>
    <s v="Units"/>
    <x v="6"/>
    <n v="16.616"/>
  </r>
  <r>
    <n v="200"/>
    <x v="3"/>
    <x v="102"/>
    <x v="5"/>
    <s v="Percent of GDP"/>
    <s v="Units"/>
    <x v="0"/>
    <n v="14.401"/>
  </r>
  <r>
    <n v="200"/>
    <x v="3"/>
    <x v="102"/>
    <x v="5"/>
    <s v="Percent of GDP"/>
    <s v="Units"/>
    <x v="1"/>
    <n v="13.512"/>
  </r>
  <r>
    <n v="200"/>
    <x v="3"/>
    <x v="102"/>
    <x v="5"/>
    <s v="Percent of GDP"/>
    <s v="Units"/>
    <x v="2"/>
    <n v="14.436999999999999"/>
  </r>
  <r>
    <n v="200"/>
    <x v="3"/>
    <x v="102"/>
    <x v="5"/>
    <s v="Percent of GDP"/>
    <s v="Units"/>
    <x v="3"/>
    <n v="15.288"/>
  </r>
  <r>
    <n v="200"/>
    <x v="3"/>
    <x v="102"/>
    <x v="5"/>
    <s v="Percent of GDP"/>
    <s v="Units"/>
    <x v="4"/>
    <n v="15.759"/>
  </r>
  <r>
    <n v="200"/>
    <x v="3"/>
    <x v="102"/>
    <x v="5"/>
    <s v="Percent of GDP"/>
    <s v="Units"/>
    <x v="5"/>
    <n v="16.234000000000002"/>
  </r>
  <r>
    <n v="200"/>
    <x v="3"/>
    <x v="102"/>
    <x v="5"/>
    <s v="Percent of GDP"/>
    <s v="Units"/>
    <x v="6"/>
    <n v="16.616"/>
  </r>
  <r>
    <n v="110"/>
    <x v="0"/>
    <x v="20"/>
    <x v="2"/>
    <s v="Percent of GDP"/>
    <s v="Units"/>
    <x v="0"/>
    <n v="15.505000000000001"/>
  </r>
  <r>
    <n v="110"/>
    <x v="0"/>
    <x v="20"/>
    <x v="2"/>
    <s v="Percent of GDP"/>
    <s v="Units"/>
    <x v="1"/>
    <n v="15.246"/>
  </r>
  <r>
    <n v="110"/>
    <x v="0"/>
    <x v="20"/>
    <x v="2"/>
    <s v="Percent of GDP"/>
    <s v="Units"/>
    <x v="2"/>
    <n v="15.331"/>
  </r>
  <r>
    <n v="110"/>
    <x v="0"/>
    <x v="20"/>
    <x v="2"/>
    <s v="Percent of GDP"/>
    <s v="Units"/>
    <x v="3"/>
    <n v="15.631"/>
  </r>
  <r>
    <n v="110"/>
    <x v="0"/>
    <x v="20"/>
    <x v="2"/>
    <s v="Percent of GDP"/>
    <s v="Units"/>
    <x v="4"/>
    <n v="15.930999999999999"/>
  </r>
  <r>
    <n v="110"/>
    <x v="0"/>
    <x v="20"/>
    <x v="2"/>
    <s v="Percent of GDP"/>
    <s v="Units"/>
    <x v="5"/>
    <n v="16.231000000000002"/>
  </r>
  <r>
    <n v="110"/>
    <x v="0"/>
    <x v="20"/>
    <x v="2"/>
    <s v="Percent of GDP"/>
    <s v="Units"/>
    <x v="6"/>
    <n v="16.530999999999999"/>
  </r>
  <r>
    <n v="123"/>
    <x v="9"/>
    <x v="20"/>
    <x v="2"/>
    <s v="Percent of GDP"/>
    <s v="Units"/>
    <x v="0"/>
    <n v="15.505000000000001"/>
  </r>
  <r>
    <n v="123"/>
    <x v="9"/>
    <x v="20"/>
    <x v="2"/>
    <s v="Percent of GDP"/>
    <s v="Units"/>
    <x v="1"/>
    <n v="15.246"/>
  </r>
  <r>
    <n v="123"/>
    <x v="9"/>
    <x v="20"/>
    <x v="2"/>
    <s v="Percent of GDP"/>
    <s v="Units"/>
    <x v="2"/>
    <n v="15.331"/>
  </r>
  <r>
    <n v="123"/>
    <x v="9"/>
    <x v="20"/>
    <x v="2"/>
    <s v="Percent of GDP"/>
    <s v="Units"/>
    <x v="3"/>
    <n v="15.631"/>
  </r>
  <r>
    <n v="123"/>
    <x v="9"/>
    <x v="20"/>
    <x v="2"/>
    <s v="Percent of GDP"/>
    <s v="Units"/>
    <x v="4"/>
    <n v="15.930999999999999"/>
  </r>
  <r>
    <n v="123"/>
    <x v="9"/>
    <x v="20"/>
    <x v="2"/>
    <s v="Percent of GDP"/>
    <s v="Units"/>
    <x v="5"/>
    <n v="16.231000000000002"/>
  </r>
  <r>
    <n v="123"/>
    <x v="9"/>
    <x v="20"/>
    <x v="2"/>
    <s v="Percent of GDP"/>
    <s v="Units"/>
    <x v="6"/>
    <n v="16.530999999999999"/>
  </r>
  <r>
    <n v="1"/>
    <x v="2"/>
    <x v="15"/>
    <x v="6"/>
    <s v="Percent change"/>
    <s v="Units"/>
    <x v="0"/>
    <n v="-9.6539999999999999"/>
  </r>
  <r>
    <n v="1"/>
    <x v="2"/>
    <x v="15"/>
    <x v="6"/>
    <s v="Percent change"/>
    <s v="Units"/>
    <x v="1"/>
    <n v="-14.856"/>
  </r>
  <r>
    <n v="1"/>
    <x v="2"/>
    <x v="15"/>
    <x v="6"/>
    <s v="Percent change"/>
    <s v="Units"/>
    <x v="2"/>
    <n v="15.164"/>
  </r>
  <r>
    <n v="1"/>
    <x v="2"/>
    <x v="15"/>
    <x v="6"/>
    <s v="Percent change"/>
    <s v="Units"/>
    <x v="3"/>
    <n v="8.8849999999999998"/>
  </r>
  <r>
    <n v="1"/>
    <x v="2"/>
    <x v="15"/>
    <x v="6"/>
    <s v="Percent change"/>
    <s v="Units"/>
    <x v="4"/>
    <n v="-2.15"/>
  </r>
  <r>
    <n v="1"/>
    <x v="2"/>
    <x v="15"/>
    <x v="6"/>
    <s v="Percent change"/>
    <s v="Units"/>
    <x v="5"/>
    <n v="16.199000000000002"/>
  </r>
  <r>
    <n v="1"/>
    <x v="2"/>
    <x v="15"/>
    <x v="6"/>
    <s v="Percent change"/>
    <s v="Units"/>
    <x v="6"/>
    <n v="12.805999999999999"/>
  </r>
  <r>
    <n v="510"/>
    <x v="10"/>
    <x v="15"/>
    <x v="6"/>
    <s v="Percent change"/>
    <s v="Units"/>
    <x v="0"/>
    <n v="-9.6539999999999999"/>
  </r>
  <r>
    <n v="510"/>
    <x v="10"/>
    <x v="15"/>
    <x v="6"/>
    <s v="Percent change"/>
    <s v="Units"/>
    <x v="1"/>
    <n v="-14.856"/>
  </r>
  <r>
    <n v="510"/>
    <x v="10"/>
    <x v="15"/>
    <x v="6"/>
    <s v="Percent change"/>
    <s v="Units"/>
    <x v="2"/>
    <n v="15.164"/>
  </r>
  <r>
    <n v="510"/>
    <x v="10"/>
    <x v="15"/>
    <x v="6"/>
    <s v="Percent change"/>
    <s v="Units"/>
    <x v="3"/>
    <n v="8.8849999999999998"/>
  </r>
  <r>
    <n v="510"/>
    <x v="10"/>
    <x v="15"/>
    <x v="6"/>
    <s v="Percent change"/>
    <s v="Units"/>
    <x v="4"/>
    <n v="-2.15"/>
  </r>
  <r>
    <n v="510"/>
    <x v="10"/>
    <x v="15"/>
    <x v="6"/>
    <s v="Percent change"/>
    <s v="Units"/>
    <x v="5"/>
    <n v="16.199000000000002"/>
  </r>
  <r>
    <n v="510"/>
    <x v="10"/>
    <x v="15"/>
    <x v="6"/>
    <s v="Percent change"/>
    <s v="Units"/>
    <x v="6"/>
    <n v="12.805999999999999"/>
  </r>
  <r>
    <n v="200"/>
    <x v="3"/>
    <x v="15"/>
    <x v="6"/>
    <s v="Percent change"/>
    <s v="Units"/>
    <x v="0"/>
    <n v="-9.6539999999999999"/>
  </r>
  <r>
    <n v="200"/>
    <x v="3"/>
    <x v="15"/>
    <x v="6"/>
    <s v="Percent change"/>
    <s v="Units"/>
    <x v="1"/>
    <n v="-14.856"/>
  </r>
  <r>
    <n v="200"/>
    <x v="3"/>
    <x v="15"/>
    <x v="6"/>
    <s v="Percent change"/>
    <s v="Units"/>
    <x v="2"/>
    <n v="15.164"/>
  </r>
  <r>
    <n v="200"/>
    <x v="3"/>
    <x v="15"/>
    <x v="6"/>
    <s v="Percent change"/>
    <s v="Units"/>
    <x v="3"/>
    <n v="8.8849999999999998"/>
  </r>
  <r>
    <n v="200"/>
    <x v="3"/>
    <x v="15"/>
    <x v="6"/>
    <s v="Percent change"/>
    <s v="Units"/>
    <x v="4"/>
    <n v="-2.15"/>
  </r>
  <r>
    <n v="200"/>
    <x v="3"/>
    <x v="15"/>
    <x v="6"/>
    <s v="Percent change"/>
    <s v="Units"/>
    <x v="5"/>
    <n v="16.199000000000002"/>
  </r>
  <r>
    <n v="200"/>
    <x v="3"/>
    <x v="15"/>
    <x v="6"/>
    <s v="Percent change"/>
    <s v="Units"/>
    <x v="6"/>
    <n v="12.805999999999999"/>
  </r>
  <r>
    <n v="505"/>
    <x v="4"/>
    <x v="15"/>
    <x v="6"/>
    <s v="Percent change"/>
    <s v="Units"/>
    <x v="0"/>
    <n v="-9.6539999999999999"/>
  </r>
  <r>
    <n v="505"/>
    <x v="4"/>
    <x v="15"/>
    <x v="6"/>
    <s v="Percent change"/>
    <s v="Units"/>
    <x v="1"/>
    <n v="-14.856"/>
  </r>
  <r>
    <n v="505"/>
    <x v="4"/>
    <x v="15"/>
    <x v="6"/>
    <s v="Percent change"/>
    <s v="Units"/>
    <x v="2"/>
    <n v="15.164"/>
  </r>
  <r>
    <n v="505"/>
    <x v="4"/>
    <x v="15"/>
    <x v="6"/>
    <s v="Percent change"/>
    <s v="Units"/>
    <x v="3"/>
    <n v="8.8849999999999998"/>
  </r>
  <r>
    <n v="505"/>
    <x v="4"/>
    <x v="15"/>
    <x v="6"/>
    <s v="Percent change"/>
    <s v="Units"/>
    <x v="4"/>
    <n v="-2.15"/>
  </r>
  <r>
    <n v="505"/>
    <x v="4"/>
    <x v="15"/>
    <x v="6"/>
    <s v="Percent change"/>
    <s v="Units"/>
    <x v="5"/>
    <n v="16.199000000000002"/>
  </r>
  <r>
    <n v="505"/>
    <x v="4"/>
    <x v="15"/>
    <x v="6"/>
    <s v="Percent change"/>
    <s v="Units"/>
    <x v="6"/>
    <n v="12.805999999999999"/>
  </r>
  <r>
    <n v="200"/>
    <x v="3"/>
    <x v="89"/>
    <x v="3"/>
    <s v="Percent of GDP"/>
    <s v="Units"/>
    <x v="0"/>
    <n v="13.323"/>
  </r>
  <r>
    <n v="200"/>
    <x v="3"/>
    <x v="89"/>
    <x v="3"/>
    <s v="Percent of GDP"/>
    <s v="Units"/>
    <x v="1"/>
    <n v="12.555999999999999"/>
  </r>
  <r>
    <n v="200"/>
    <x v="3"/>
    <x v="89"/>
    <x v="3"/>
    <s v="Percent of GDP"/>
    <s v="Units"/>
    <x v="2"/>
    <n v="13.782999999999999"/>
  </r>
  <r>
    <n v="200"/>
    <x v="3"/>
    <x v="89"/>
    <x v="3"/>
    <s v="Percent of GDP"/>
    <s v="Units"/>
    <x v="3"/>
    <n v="17.468"/>
  </r>
  <r>
    <n v="200"/>
    <x v="3"/>
    <x v="89"/>
    <x v="3"/>
    <s v="Percent of GDP"/>
    <s v="Units"/>
    <x v="4"/>
    <n v="17.370999999999999"/>
  </r>
  <r>
    <n v="200"/>
    <x v="3"/>
    <x v="89"/>
    <x v="3"/>
    <s v="Percent of GDP"/>
    <s v="Units"/>
    <x v="5"/>
    <n v="16.175000000000001"/>
  </r>
  <r>
    <n v="200"/>
    <x v="3"/>
    <x v="89"/>
    <x v="3"/>
    <s v="Percent of GDP"/>
    <s v="Units"/>
    <x v="6"/>
    <n v="15.534000000000001"/>
  </r>
  <r>
    <n v="603"/>
    <x v="12"/>
    <x v="89"/>
    <x v="3"/>
    <s v="Percent of GDP"/>
    <s v="Units"/>
    <x v="0"/>
    <n v="13.323"/>
  </r>
  <r>
    <n v="603"/>
    <x v="12"/>
    <x v="89"/>
    <x v="3"/>
    <s v="Percent of GDP"/>
    <s v="Units"/>
    <x v="1"/>
    <n v="12.555999999999999"/>
  </r>
  <r>
    <n v="603"/>
    <x v="12"/>
    <x v="89"/>
    <x v="3"/>
    <s v="Percent of GDP"/>
    <s v="Units"/>
    <x v="2"/>
    <n v="13.782999999999999"/>
  </r>
  <r>
    <n v="603"/>
    <x v="12"/>
    <x v="89"/>
    <x v="3"/>
    <s v="Percent of GDP"/>
    <s v="Units"/>
    <x v="3"/>
    <n v="17.468"/>
  </r>
  <r>
    <n v="603"/>
    <x v="12"/>
    <x v="89"/>
    <x v="3"/>
    <s v="Percent of GDP"/>
    <s v="Units"/>
    <x v="4"/>
    <n v="17.370999999999999"/>
  </r>
  <r>
    <n v="603"/>
    <x v="12"/>
    <x v="89"/>
    <x v="3"/>
    <s v="Percent of GDP"/>
    <s v="Units"/>
    <x v="5"/>
    <n v="16.175000000000001"/>
  </r>
  <r>
    <n v="603"/>
    <x v="12"/>
    <x v="89"/>
    <x v="3"/>
    <s v="Percent of GDP"/>
    <s v="Units"/>
    <x v="6"/>
    <n v="15.534000000000001"/>
  </r>
  <r>
    <n v="1"/>
    <x v="2"/>
    <x v="74"/>
    <x v="7"/>
    <s v="Percent of GDP"/>
    <s v="Units"/>
    <x v="0"/>
    <n v="16.064"/>
  </r>
  <r>
    <n v="1"/>
    <x v="2"/>
    <x v="74"/>
    <x v="7"/>
    <s v="Percent of GDP"/>
    <s v="Units"/>
    <x v="1"/>
    <n v="16.163"/>
  </r>
  <r>
    <n v="1"/>
    <x v="2"/>
    <x v="74"/>
    <x v="7"/>
    <s v="Percent of GDP"/>
    <s v="Units"/>
    <x v="2"/>
    <n v="18.582000000000001"/>
  </r>
  <r>
    <n v="1"/>
    <x v="2"/>
    <x v="74"/>
    <x v="7"/>
    <s v="Percent of GDP"/>
    <s v="Units"/>
    <x v="3"/>
    <n v="18.271000000000001"/>
  </r>
  <r>
    <n v="1"/>
    <x v="2"/>
    <x v="74"/>
    <x v="7"/>
    <s v="Percent of GDP"/>
    <s v="Units"/>
    <x v="4"/>
    <n v="15.4"/>
  </r>
  <r>
    <n v="1"/>
    <x v="2"/>
    <x v="74"/>
    <x v="7"/>
    <s v="Percent of GDP"/>
    <s v="Units"/>
    <x v="5"/>
    <n v="16.167999999999999"/>
  </r>
  <r>
    <n v="1"/>
    <x v="2"/>
    <x v="74"/>
    <x v="7"/>
    <s v="Percent of GDP"/>
    <s v="Units"/>
    <x v="6"/>
    <n v="16.442"/>
  </r>
  <r>
    <n v="200"/>
    <x v="3"/>
    <x v="74"/>
    <x v="7"/>
    <s v="Percent of GDP"/>
    <s v="Units"/>
    <x v="0"/>
    <n v="16.064"/>
  </r>
  <r>
    <n v="200"/>
    <x v="3"/>
    <x v="74"/>
    <x v="7"/>
    <s v="Percent of GDP"/>
    <s v="Units"/>
    <x v="1"/>
    <n v="16.163"/>
  </r>
  <r>
    <n v="200"/>
    <x v="3"/>
    <x v="74"/>
    <x v="7"/>
    <s v="Percent of GDP"/>
    <s v="Units"/>
    <x v="2"/>
    <n v="18.582000000000001"/>
  </r>
  <r>
    <n v="200"/>
    <x v="3"/>
    <x v="74"/>
    <x v="7"/>
    <s v="Percent of GDP"/>
    <s v="Units"/>
    <x v="3"/>
    <n v="18.271000000000001"/>
  </r>
  <r>
    <n v="200"/>
    <x v="3"/>
    <x v="74"/>
    <x v="7"/>
    <s v="Percent of GDP"/>
    <s v="Units"/>
    <x v="4"/>
    <n v="15.4"/>
  </r>
  <r>
    <n v="200"/>
    <x v="3"/>
    <x v="74"/>
    <x v="7"/>
    <s v="Percent of GDP"/>
    <s v="Units"/>
    <x v="5"/>
    <n v="16.167999999999999"/>
  </r>
  <r>
    <n v="200"/>
    <x v="3"/>
    <x v="74"/>
    <x v="7"/>
    <s v="Percent of GDP"/>
    <s v="Units"/>
    <x v="6"/>
    <n v="16.442"/>
  </r>
  <r>
    <n v="205"/>
    <x v="7"/>
    <x v="74"/>
    <x v="7"/>
    <s v="Percent of GDP"/>
    <s v="Units"/>
    <x v="0"/>
    <n v="16.064"/>
  </r>
  <r>
    <n v="205"/>
    <x v="7"/>
    <x v="74"/>
    <x v="7"/>
    <s v="Percent of GDP"/>
    <s v="Units"/>
    <x v="1"/>
    <n v="16.163"/>
  </r>
  <r>
    <n v="205"/>
    <x v="7"/>
    <x v="74"/>
    <x v="7"/>
    <s v="Percent of GDP"/>
    <s v="Units"/>
    <x v="2"/>
    <n v="18.582000000000001"/>
  </r>
  <r>
    <n v="205"/>
    <x v="7"/>
    <x v="74"/>
    <x v="7"/>
    <s v="Percent of GDP"/>
    <s v="Units"/>
    <x v="3"/>
    <n v="18.271000000000001"/>
  </r>
  <r>
    <n v="205"/>
    <x v="7"/>
    <x v="74"/>
    <x v="7"/>
    <s v="Percent of GDP"/>
    <s v="Units"/>
    <x v="4"/>
    <n v="15.4"/>
  </r>
  <r>
    <n v="205"/>
    <x v="7"/>
    <x v="74"/>
    <x v="7"/>
    <s v="Percent of GDP"/>
    <s v="Units"/>
    <x v="5"/>
    <n v="16.167999999999999"/>
  </r>
  <r>
    <n v="205"/>
    <x v="7"/>
    <x v="74"/>
    <x v="7"/>
    <s v="Percent of GDP"/>
    <s v="Units"/>
    <x v="6"/>
    <n v="16.442"/>
  </r>
  <r>
    <n v="1"/>
    <x v="2"/>
    <x v="136"/>
    <x v="7"/>
    <s v="Percent of GDP"/>
    <s v="Units"/>
    <x v="0"/>
    <n v="15.276"/>
  </r>
  <r>
    <n v="1"/>
    <x v="2"/>
    <x v="136"/>
    <x v="7"/>
    <s v="Percent of GDP"/>
    <s v="Units"/>
    <x v="1"/>
    <n v="13.879"/>
  </r>
  <r>
    <n v="1"/>
    <x v="2"/>
    <x v="136"/>
    <x v="7"/>
    <s v="Percent of GDP"/>
    <s v="Units"/>
    <x v="2"/>
    <n v="17.399000000000001"/>
  </r>
  <r>
    <n v="1"/>
    <x v="2"/>
    <x v="136"/>
    <x v="7"/>
    <s v="Percent of GDP"/>
    <s v="Units"/>
    <x v="3"/>
    <n v="17.347999999999999"/>
  </r>
  <r>
    <n v="1"/>
    <x v="2"/>
    <x v="136"/>
    <x v="7"/>
    <s v="Percent of GDP"/>
    <s v="Units"/>
    <x v="4"/>
    <n v="16.026"/>
  </r>
  <r>
    <n v="1"/>
    <x v="2"/>
    <x v="136"/>
    <x v="7"/>
    <s v="Percent of GDP"/>
    <s v="Units"/>
    <x v="5"/>
    <n v="16.126000000000001"/>
  </r>
  <r>
    <n v="1"/>
    <x v="2"/>
    <x v="136"/>
    <x v="7"/>
    <s v="Percent of GDP"/>
    <s v="Units"/>
    <x v="6"/>
    <n v="16.155999999999999"/>
  </r>
  <r>
    <n v="603"/>
    <x v="12"/>
    <x v="136"/>
    <x v="7"/>
    <s v="Percent of GDP"/>
    <s v="Units"/>
    <x v="0"/>
    <n v="15.276"/>
  </r>
  <r>
    <n v="603"/>
    <x v="12"/>
    <x v="136"/>
    <x v="7"/>
    <s v="Percent of GDP"/>
    <s v="Units"/>
    <x v="1"/>
    <n v="13.879"/>
  </r>
  <r>
    <n v="603"/>
    <x v="12"/>
    <x v="136"/>
    <x v="7"/>
    <s v="Percent of GDP"/>
    <s v="Units"/>
    <x v="2"/>
    <n v="17.399000000000001"/>
  </r>
  <r>
    <n v="603"/>
    <x v="12"/>
    <x v="136"/>
    <x v="7"/>
    <s v="Percent of GDP"/>
    <s v="Units"/>
    <x v="3"/>
    <n v="17.347999999999999"/>
  </r>
  <r>
    <n v="603"/>
    <x v="12"/>
    <x v="136"/>
    <x v="7"/>
    <s v="Percent of GDP"/>
    <s v="Units"/>
    <x v="4"/>
    <n v="16.026"/>
  </r>
  <r>
    <n v="603"/>
    <x v="12"/>
    <x v="136"/>
    <x v="7"/>
    <s v="Percent of GDP"/>
    <s v="Units"/>
    <x v="5"/>
    <n v="16.126000000000001"/>
  </r>
  <r>
    <n v="603"/>
    <x v="12"/>
    <x v="136"/>
    <x v="7"/>
    <s v="Percent of GDP"/>
    <s v="Units"/>
    <x v="6"/>
    <n v="16.155999999999999"/>
  </r>
  <r>
    <n v="200"/>
    <x v="3"/>
    <x v="136"/>
    <x v="7"/>
    <s v="Percent of GDP"/>
    <s v="Units"/>
    <x v="0"/>
    <n v="15.276"/>
  </r>
  <r>
    <n v="200"/>
    <x v="3"/>
    <x v="136"/>
    <x v="7"/>
    <s v="Percent of GDP"/>
    <s v="Units"/>
    <x v="1"/>
    <n v="13.879"/>
  </r>
  <r>
    <n v="200"/>
    <x v="3"/>
    <x v="136"/>
    <x v="7"/>
    <s v="Percent of GDP"/>
    <s v="Units"/>
    <x v="2"/>
    <n v="17.399000000000001"/>
  </r>
  <r>
    <n v="200"/>
    <x v="3"/>
    <x v="136"/>
    <x v="7"/>
    <s v="Percent of GDP"/>
    <s v="Units"/>
    <x v="3"/>
    <n v="17.347999999999999"/>
  </r>
  <r>
    <n v="200"/>
    <x v="3"/>
    <x v="136"/>
    <x v="7"/>
    <s v="Percent of GDP"/>
    <s v="Units"/>
    <x v="4"/>
    <n v="16.026"/>
  </r>
  <r>
    <n v="200"/>
    <x v="3"/>
    <x v="136"/>
    <x v="7"/>
    <s v="Percent of GDP"/>
    <s v="Units"/>
    <x v="5"/>
    <n v="16.126000000000001"/>
  </r>
  <r>
    <n v="200"/>
    <x v="3"/>
    <x v="136"/>
    <x v="7"/>
    <s v="Percent of GDP"/>
    <s v="Units"/>
    <x v="6"/>
    <n v="16.155999999999999"/>
  </r>
  <r>
    <n v="205"/>
    <x v="7"/>
    <x v="114"/>
    <x v="7"/>
    <s v="Percent of GDP"/>
    <s v="Units"/>
    <x v="0"/>
    <n v="23.471"/>
  </r>
  <r>
    <n v="205"/>
    <x v="7"/>
    <x v="114"/>
    <x v="7"/>
    <s v="Percent of GDP"/>
    <s v="Units"/>
    <x v="1"/>
    <n v="24.04"/>
  </r>
  <r>
    <n v="205"/>
    <x v="7"/>
    <x v="114"/>
    <x v="7"/>
    <s v="Percent of GDP"/>
    <s v="Units"/>
    <x v="2"/>
    <n v="35.26"/>
  </r>
  <r>
    <n v="205"/>
    <x v="7"/>
    <x v="114"/>
    <x v="7"/>
    <s v="Percent of GDP"/>
    <s v="Units"/>
    <x v="3"/>
    <n v="37.237000000000002"/>
  </r>
  <r>
    <n v="205"/>
    <x v="7"/>
    <x v="114"/>
    <x v="7"/>
    <s v="Percent of GDP"/>
    <s v="Units"/>
    <x v="4"/>
    <n v="27.097000000000001"/>
  </r>
  <r>
    <n v="205"/>
    <x v="7"/>
    <x v="114"/>
    <x v="7"/>
    <s v="Percent of GDP"/>
    <s v="Units"/>
    <x v="5"/>
    <n v="16.116"/>
  </r>
  <r>
    <n v="205"/>
    <x v="7"/>
    <x v="114"/>
    <x v="7"/>
    <s v="Percent of GDP"/>
    <s v="Units"/>
    <x v="6"/>
    <n v="14.936999999999999"/>
  </r>
  <r>
    <n v="200"/>
    <x v="3"/>
    <x v="114"/>
    <x v="7"/>
    <s v="Percent of GDP"/>
    <s v="Units"/>
    <x v="0"/>
    <n v="23.471"/>
  </r>
  <r>
    <n v="200"/>
    <x v="3"/>
    <x v="114"/>
    <x v="7"/>
    <s v="Percent of GDP"/>
    <s v="Units"/>
    <x v="1"/>
    <n v="24.04"/>
  </r>
  <r>
    <n v="200"/>
    <x v="3"/>
    <x v="114"/>
    <x v="7"/>
    <s v="Percent of GDP"/>
    <s v="Units"/>
    <x v="2"/>
    <n v="35.26"/>
  </r>
  <r>
    <n v="200"/>
    <x v="3"/>
    <x v="114"/>
    <x v="7"/>
    <s v="Percent of GDP"/>
    <s v="Units"/>
    <x v="3"/>
    <n v="37.237000000000002"/>
  </r>
  <r>
    <n v="200"/>
    <x v="3"/>
    <x v="114"/>
    <x v="7"/>
    <s v="Percent of GDP"/>
    <s v="Units"/>
    <x v="4"/>
    <n v="27.097000000000001"/>
  </r>
  <r>
    <n v="200"/>
    <x v="3"/>
    <x v="114"/>
    <x v="7"/>
    <s v="Percent of GDP"/>
    <s v="Units"/>
    <x v="5"/>
    <n v="16.116"/>
  </r>
  <r>
    <n v="200"/>
    <x v="3"/>
    <x v="114"/>
    <x v="7"/>
    <s v="Percent of GDP"/>
    <s v="Units"/>
    <x v="6"/>
    <n v="14.936999999999999"/>
  </r>
  <r>
    <n v="1"/>
    <x v="2"/>
    <x v="114"/>
    <x v="7"/>
    <s v="Percent of GDP"/>
    <s v="Units"/>
    <x v="0"/>
    <n v="23.471"/>
  </r>
  <r>
    <n v="1"/>
    <x v="2"/>
    <x v="114"/>
    <x v="7"/>
    <s v="Percent of GDP"/>
    <s v="Units"/>
    <x v="1"/>
    <n v="24.04"/>
  </r>
  <r>
    <n v="1"/>
    <x v="2"/>
    <x v="114"/>
    <x v="7"/>
    <s v="Percent of GDP"/>
    <s v="Units"/>
    <x v="2"/>
    <n v="35.26"/>
  </r>
  <r>
    <n v="1"/>
    <x v="2"/>
    <x v="114"/>
    <x v="7"/>
    <s v="Percent of GDP"/>
    <s v="Units"/>
    <x v="3"/>
    <n v="37.237000000000002"/>
  </r>
  <r>
    <n v="1"/>
    <x v="2"/>
    <x v="114"/>
    <x v="7"/>
    <s v="Percent of GDP"/>
    <s v="Units"/>
    <x v="4"/>
    <n v="27.097000000000001"/>
  </r>
  <r>
    <n v="1"/>
    <x v="2"/>
    <x v="114"/>
    <x v="7"/>
    <s v="Percent of GDP"/>
    <s v="Units"/>
    <x v="5"/>
    <n v="16.116"/>
  </r>
  <r>
    <n v="1"/>
    <x v="2"/>
    <x v="114"/>
    <x v="7"/>
    <s v="Percent of GDP"/>
    <s v="Units"/>
    <x v="6"/>
    <n v="14.936999999999999"/>
  </r>
  <r>
    <n v="200"/>
    <x v="3"/>
    <x v="102"/>
    <x v="2"/>
    <s v="Percent of GDP"/>
    <s v="Units"/>
    <x v="0"/>
    <n v="15.420999999999999"/>
  </r>
  <r>
    <n v="200"/>
    <x v="3"/>
    <x v="102"/>
    <x v="2"/>
    <s v="Percent of GDP"/>
    <s v="Units"/>
    <x v="1"/>
    <n v="13.391999999999999"/>
  </r>
  <r>
    <n v="200"/>
    <x v="3"/>
    <x v="102"/>
    <x v="2"/>
    <s v="Percent of GDP"/>
    <s v="Units"/>
    <x v="2"/>
    <n v="13.956"/>
  </r>
  <r>
    <n v="200"/>
    <x v="3"/>
    <x v="102"/>
    <x v="2"/>
    <s v="Percent of GDP"/>
    <s v="Units"/>
    <x v="3"/>
    <n v="15.946"/>
  </r>
  <r>
    <n v="200"/>
    <x v="3"/>
    <x v="102"/>
    <x v="2"/>
    <s v="Percent of GDP"/>
    <s v="Units"/>
    <x v="4"/>
    <n v="15.975"/>
  </r>
  <r>
    <n v="200"/>
    <x v="3"/>
    <x v="102"/>
    <x v="2"/>
    <s v="Percent of GDP"/>
    <s v="Units"/>
    <x v="5"/>
    <n v="15.967000000000001"/>
  </r>
  <r>
    <n v="200"/>
    <x v="3"/>
    <x v="102"/>
    <x v="2"/>
    <s v="Percent of GDP"/>
    <s v="Units"/>
    <x v="6"/>
    <n v="15.532"/>
  </r>
  <r>
    <n v="603"/>
    <x v="12"/>
    <x v="102"/>
    <x v="2"/>
    <s v="Percent of GDP"/>
    <s v="Units"/>
    <x v="0"/>
    <n v="15.420999999999999"/>
  </r>
  <r>
    <n v="603"/>
    <x v="12"/>
    <x v="102"/>
    <x v="2"/>
    <s v="Percent of GDP"/>
    <s v="Units"/>
    <x v="1"/>
    <n v="13.391999999999999"/>
  </r>
  <r>
    <n v="603"/>
    <x v="12"/>
    <x v="102"/>
    <x v="2"/>
    <s v="Percent of GDP"/>
    <s v="Units"/>
    <x v="2"/>
    <n v="13.956"/>
  </r>
  <r>
    <n v="603"/>
    <x v="12"/>
    <x v="102"/>
    <x v="2"/>
    <s v="Percent of GDP"/>
    <s v="Units"/>
    <x v="3"/>
    <n v="15.946"/>
  </r>
  <r>
    <n v="603"/>
    <x v="12"/>
    <x v="102"/>
    <x v="2"/>
    <s v="Percent of GDP"/>
    <s v="Units"/>
    <x v="4"/>
    <n v="15.975"/>
  </r>
  <r>
    <n v="603"/>
    <x v="12"/>
    <x v="102"/>
    <x v="2"/>
    <s v="Percent of GDP"/>
    <s v="Units"/>
    <x v="5"/>
    <n v="15.967000000000001"/>
  </r>
  <r>
    <n v="603"/>
    <x v="12"/>
    <x v="102"/>
    <x v="2"/>
    <s v="Percent of GDP"/>
    <s v="Units"/>
    <x v="6"/>
    <n v="15.532"/>
  </r>
  <r>
    <n v="200"/>
    <x v="3"/>
    <x v="185"/>
    <x v="2"/>
    <s v="Percent of GDP"/>
    <s v="Units"/>
    <x v="0"/>
    <n v="10.445"/>
  </r>
  <r>
    <n v="200"/>
    <x v="3"/>
    <x v="185"/>
    <x v="2"/>
    <s v="Percent of GDP"/>
    <s v="Units"/>
    <x v="1"/>
    <n v="15.526999999999999"/>
  </r>
  <r>
    <n v="200"/>
    <x v="3"/>
    <x v="185"/>
    <x v="2"/>
    <s v="Percent of GDP"/>
    <s v="Units"/>
    <x v="2"/>
    <n v="12.364000000000001"/>
  </r>
  <r>
    <n v="200"/>
    <x v="3"/>
    <x v="185"/>
    <x v="2"/>
    <s v="Percent of GDP"/>
    <s v="Units"/>
    <x v="3"/>
    <n v="18.036000000000001"/>
  </r>
  <r>
    <n v="200"/>
    <x v="3"/>
    <x v="185"/>
    <x v="2"/>
    <s v="Percent of GDP"/>
    <s v="Units"/>
    <x v="4"/>
    <n v="19.103999999999999"/>
  </r>
  <r>
    <n v="200"/>
    <x v="3"/>
    <x v="185"/>
    <x v="2"/>
    <s v="Percent of GDP"/>
    <s v="Units"/>
    <x v="5"/>
    <n v="15.926"/>
  </r>
  <r>
    <n v="200"/>
    <x v="3"/>
    <x v="185"/>
    <x v="2"/>
    <s v="Percent of GDP"/>
    <s v="Units"/>
    <x v="6"/>
    <n v="15.916"/>
  </r>
  <r>
    <n v="603"/>
    <x v="12"/>
    <x v="185"/>
    <x v="2"/>
    <s v="Percent of GDP"/>
    <s v="Units"/>
    <x v="0"/>
    <n v="10.445"/>
  </r>
  <r>
    <n v="603"/>
    <x v="12"/>
    <x v="185"/>
    <x v="2"/>
    <s v="Percent of GDP"/>
    <s v="Units"/>
    <x v="1"/>
    <n v="15.526999999999999"/>
  </r>
  <r>
    <n v="603"/>
    <x v="12"/>
    <x v="185"/>
    <x v="2"/>
    <s v="Percent of GDP"/>
    <s v="Units"/>
    <x v="2"/>
    <n v="12.364000000000001"/>
  </r>
  <r>
    <n v="603"/>
    <x v="12"/>
    <x v="185"/>
    <x v="2"/>
    <s v="Percent of GDP"/>
    <s v="Units"/>
    <x v="3"/>
    <n v="18.036000000000001"/>
  </r>
  <r>
    <n v="603"/>
    <x v="12"/>
    <x v="185"/>
    <x v="2"/>
    <s v="Percent of GDP"/>
    <s v="Units"/>
    <x v="4"/>
    <n v="19.103999999999999"/>
  </r>
  <r>
    <n v="603"/>
    <x v="12"/>
    <x v="185"/>
    <x v="2"/>
    <s v="Percent of GDP"/>
    <s v="Units"/>
    <x v="5"/>
    <n v="15.926"/>
  </r>
  <r>
    <n v="603"/>
    <x v="12"/>
    <x v="185"/>
    <x v="2"/>
    <s v="Percent of GDP"/>
    <s v="Units"/>
    <x v="6"/>
    <n v="15.916"/>
  </r>
  <r>
    <n v="200"/>
    <x v="3"/>
    <x v="63"/>
    <x v="2"/>
    <s v="Percent of GDP"/>
    <s v="Units"/>
    <x v="0"/>
    <n v="14.396000000000001"/>
  </r>
  <r>
    <n v="200"/>
    <x v="3"/>
    <x v="63"/>
    <x v="2"/>
    <s v="Percent of GDP"/>
    <s v="Units"/>
    <x v="1"/>
    <n v="14.186999999999999"/>
  </r>
  <r>
    <n v="200"/>
    <x v="3"/>
    <x v="63"/>
    <x v="2"/>
    <s v="Percent of GDP"/>
    <s v="Units"/>
    <x v="2"/>
    <n v="15.599"/>
  </r>
  <r>
    <n v="200"/>
    <x v="3"/>
    <x v="63"/>
    <x v="2"/>
    <s v="Percent of GDP"/>
    <s v="Units"/>
    <x v="3"/>
    <n v="15.265000000000001"/>
  </r>
  <r>
    <n v="200"/>
    <x v="3"/>
    <x v="63"/>
    <x v="2"/>
    <s v="Percent of GDP"/>
    <s v="Units"/>
    <x v="4"/>
    <n v="15.955"/>
  </r>
  <r>
    <n v="200"/>
    <x v="3"/>
    <x v="63"/>
    <x v="2"/>
    <s v="Percent of GDP"/>
    <s v="Units"/>
    <x v="5"/>
    <n v="15.884"/>
  </r>
  <r>
    <n v="200"/>
    <x v="3"/>
    <x v="63"/>
    <x v="2"/>
    <s v="Percent of GDP"/>
    <s v="Units"/>
    <x v="6"/>
    <n v="15.269"/>
  </r>
  <r>
    <n v="205"/>
    <x v="7"/>
    <x v="63"/>
    <x v="2"/>
    <s v="Percent of GDP"/>
    <s v="Units"/>
    <x v="0"/>
    <n v="14.396000000000001"/>
  </r>
  <r>
    <n v="205"/>
    <x v="7"/>
    <x v="63"/>
    <x v="2"/>
    <s v="Percent of GDP"/>
    <s v="Units"/>
    <x v="1"/>
    <n v="14.186999999999999"/>
  </r>
  <r>
    <n v="205"/>
    <x v="7"/>
    <x v="63"/>
    <x v="2"/>
    <s v="Percent of GDP"/>
    <s v="Units"/>
    <x v="2"/>
    <n v="15.599"/>
  </r>
  <r>
    <n v="205"/>
    <x v="7"/>
    <x v="63"/>
    <x v="2"/>
    <s v="Percent of GDP"/>
    <s v="Units"/>
    <x v="3"/>
    <n v="15.265000000000001"/>
  </r>
  <r>
    <n v="205"/>
    <x v="7"/>
    <x v="63"/>
    <x v="2"/>
    <s v="Percent of GDP"/>
    <s v="Units"/>
    <x v="4"/>
    <n v="15.955"/>
  </r>
  <r>
    <n v="205"/>
    <x v="7"/>
    <x v="63"/>
    <x v="2"/>
    <s v="Percent of GDP"/>
    <s v="Units"/>
    <x v="5"/>
    <n v="15.884"/>
  </r>
  <r>
    <n v="205"/>
    <x v="7"/>
    <x v="63"/>
    <x v="2"/>
    <s v="Percent of GDP"/>
    <s v="Units"/>
    <x v="6"/>
    <n v="15.269"/>
  </r>
  <r>
    <n v="903"/>
    <x v="8"/>
    <x v="135"/>
    <x v="0"/>
    <s v="U.S. dollars"/>
    <s v="Billions"/>
    <x v="0"/>
    <n v="12.609"/>
  </r>
  <r>
    <n v="903"/>
    <x v="8"/>
    <x v="135"/>
    <x v="0"/>
    <s v="U.S. dollars"/>
    <s v="Billions"/>
    <x v="1"/>
    <n v="12.385"/>
  </r>
  <r>
    <n v="903"/>
    <x v="8"/>
    <x v="135"/>
    <x v="0"/>
    <s v="U.S. dollars"/>
    <s v="Billions"/>
    <x v="2"/>
    <n v="14.007999999999999"/>
  </r>
  <r>
    <n v="903"/>
    <x v="8"/>
    <x v="135"/>
    <x v="0"/>
    <s v="U.S. dollars"/>
    <s v="Billions"/>
    <x v="3"/>
    <n v="13.734999999999999"/>
  </r>
  <r>
    <n v="903"/>
    <x v="8"/>
    <x v="135"/>
    <x v="0"/>
    <s v="U.S. dollars"/>
    <s v="Billions"/>
    <x v="4"/>
    <n v="14.769"/>
  </r>
  <r>
    <n v="903"/>
    <x v="8"/>
    <x v="135"/>
    <x v="0"/>
    <s v="U.S. dollars"/>
    <s v="Billions"/>
    <x v="5"/>
    <n v="15.872999999999999"/>
  </r>
  <r>
    <n v="903"/>
    <x v="8"/>
    <x v="135"/>
    <x v="0"/>
    <s v="U.S. dollars"/>
    <s v="Billions"/>
    <x v="6"/>
    <n v="16.904"/>
  </r>
  <r>
    <n v="200"/>
    <x v="3"/>
    <x v="135"/>
    <x v="0"/>
    <s v="U.S. dollars"/>
    <s v="Billions"/>
    <x v="0"/>
    <n v="12.609"/>
  </r>
  <r>
    <n v="200"/>
    <x v="3"/>
    <x v="135"/>
    <x v="0"/>
    <s v="U.S. dollars"/>
    <s v="Billions"/>
    <x v="1"/>
    <n v="12.385"/>
  </r>
  <r>
    <n v="200"/>
    <x v="3"/>
    <x v="135"/>
    <x v="0"/>
    <s v="U.S. dollars"/>
    <s v="Billions"/>
    <x v="2"/>
    <n v="14.007999999999999"/>
  </r>
  <r>
    <n v="200"/>
    <x v="3"/>
    <x v="135"/>
    <x v="0"/>
    <s v="U.S. dollars"/>
    <s v="Billions"/>
    <x v="3"/>
    <n v="13.734999999999999"/>
  </r>
  <r>
    <n v="200"/>
    <x v="3"/>
    <x v="135"/>
    <x v="0"/>
    <s v="U.S. dollars"/>
    <s v="Billions"/>
    <x v="4"/>
    <n v="14.769"/>
  </r>
  <r>
    <n v="200"/>
    <x v="3"/>
    <x v="135"/>
    <x v="0"/>
    <s v="U.S. dollars"/>
    <s v="Billions"/>
    <x v="5"/>
    <n v="15.872999999999999"/>
  </r>
  <r>
    <n v="200"/>
    <x v="3"/>
    <x v="135"/>
    <x v="0"/>
    <s v="U.S. dollars"/>
    <s v="Billions"/>
    <x v="6"/>
    <n v="16.904"/>
  </r>
  <r>
    <n v="1"/>
    <x v="2"/>
    <x v="135"/>
    <x v="0"/>
    <s v="U.S. dollars"/>
    <s v="Billions"/>
    <x v="0"/>
    <n v="12.609"/>
  </r>
  <r>
    <n v="1"/>
    <x v="2"/>
    <x v="135"/>
    <x v="0"/>
    <s v="U.S. dollars"/>
    <s v="Billions"/>
    <x v="1"/>
    <n v="12.385"/>
  </r>
  <r>
    <n v="1"/>
    <x v="2"/>
    <x v="135"/>
    <x v="0"/>
    <s v="U.S. dollars"/>
    <s v="Billions"/>
    <x v="2"/>
    <n v="14.007999999999999"/>
  </r>
  <r>
    <n v="1"/>
    <x v="2"/>
    <x v="135"/>
    <x v="0"/>
    <s v="U.S. dollars"/>
    <s v="Billions"/>
    <x v="3"/>
    <n v="13.734999999999999"/>
  </r>
  <r>
    <n v="1"/>
    <x v="2"/>
    <x v="135"/>
    <x v="0"/>
    <s v="U.S. dollars"/>
    <s v="Billions"/>
    <x v="4"/>
    <n v="14.769"/>
  </r>
  <r>
    <n v="1"/>
    <x v="2"/>
    <x v="135"/>
    <x v="0"/>
    <s v="U.S. dollars"/>
    <s v="Billions"/>
    <x v="5"/>
    <n v="15.872999999999999"/>
  </r>
  <r>
    <n v="1"/>
    <x v="2"/>
    <x v="135"/>
    <x v="0"/>
    <s v="U.S. dollars"/>
    <s v="Billions"/>
    <x v="6"/>
    <n v="16.904"/>
  </r>
  <r>
    <n v="1"/>
    <x v="2"/>
    <x v="7"/>
    <x v="7"/>
    <s v="Percent of GDP"/>
    <s v="Units"/>
    <x v="0"/>
    <n v="15.516999999999999"/>
  </r>
  <r>
    <n v="1"/>
    <x v="2"/>
    <x v="7"/>
    <x v="7"/>
    <s v="Percent of GDP"/>
    <s v="Units"/>
    <x v="1"/>
    <n v="16.116"/>
  </r>
  <r>
    <n v="1"/>
    <x v="2"/>
    <x v="7"/>
    <x v="7"/>
    <s v="Percent of GDP"/>
    <s v="Units"/>
    <x v="2"/>
    <n v="19.521999999999998"/>
  </r>
  <r>
    <n v="1"/>
    <x v="2"/>
    <x v="7"/>
    <x v="7"/>
    <s v="Percent of GDP"/>
    <s v="Units"/>
    <x v="3"/>
    <n v="18.088000000000001"/>
  </r>
  <r>
    <n v="1"/>
    <x v="2"/>
    <x v="7"/>
    <x v="7"/>
    <s v="Percent of GDP"/>
    <s v="Units"/>
    <x v="4"/>
    <n v="16.085999999999999"/>
  </r>
  <r>
    <n v="1"/>
    <x v="2"/>
    <x v="7"/>
    <x v="7"/>
    <s v="Percent of GDP"/>
    <s v="Units"/>
    <x v="5"/>
    <n v="15.87"/>
  </r>
  <r>
    <n v="1"/>
    <x v="2"/>
    <x v="7"/>
    <x v="7"/>
    <s v="Percent of GDP"/>
    <s v="Units"/>
    <x v="6"/>
    <n v="15.691000000000001"/>
  </r>
  <r>
    <n v="200"/>
    <x v="3"/>
    <x v="7"/>
    <x v="7"/>
    <s v="Percent of GDP"/>
    <s v="Units"/>
    <x v="0"/>
    <n v="15.516999999999999"/>
  </r>
  <r>
    <n v="200"/>
    <x v="3"/>
    <x v="7"/>
    <x v="7"/>
    <s v="Percent of GDP"/>
    <s v="Units"/>
    <x v="1"/>
    <n v="16.116"/>
  </r>
  <r>
    <n v="200"/>
    <x v="3"/>
    <x v="7"/>
    <x v="7"/>
    <s v="Percent of GDP"/>
    <s v="Units"/>
    <x v="2"/>
    <n v="19.521999999999998"/>
  </r>
  <r>
    <n v="200"/>
    <x v="3"/>
    <x v="7"/>
    <x v="7"/>
    <s v="Percent of GDP"/>
    <s v="Units"/>
    <x v="3"/>
    <n v="18.088000000000001"/>
  </r>
  <r>
    <n v="200"/>
    <x v="3"/>
    <x v="7"/>
    <x v="7"/>
    <s v="Percent of GDP"/>
    <s v="Units"/>
    <x v="4"/>
    <n v="16.085999999999999"/>
  </r>
  <r>
    <n v="200"/>
    <x v="3"/>
    <x v="7"/>
    <x v="7"/>
    <s v="Percent of GDP"/>
    <s v="Units"/>
    <x v="5"/>
    <n v="15.87"/>
  </r>
  <r>
    <n v="200"/>
    <x v="3"/>
    <x v="7"/>
    <x v="7"/>
    <s v="Percent of GDP"/>
    <s v="Units"/>
    <x v="6"/>
    <n v="15.691000000000001"/>
  </r>
  <r>
    <n v="205"/>
    <x v="7"/>
    <x v="7"/>
    <x v="7"/>
    <s v="Percent of GDP"/>
    <s v="Units"/>
    <x v="0"/>
    <n v="15.516999999999999"/>
  </r>
  <r>
    <n v="205"/>
    <x v="7"/>
    <x v="7"/>
    <x v="7"/>
    <s v="Percent of GDP"/>
    <s v="Units"/>
    <x v="1"/>
    <n v="16.116"/>
  </r>
  <r>
    <n v="205"/>
    <x v="7"/>
    <x v="7"/>
    <x v="7"/>
    <s v="Percent of GDP"/>
    <s v="Units"/>
    <x v="2"/>
    <n v="19.521999999999998"/>
  </r>
  <r>
    <n v="205"/>
    <x v="7"/>
    <x v="7"/>
    <x v="7"/>
    <s v="Percent of GDP"/>
    <s v="Units"/>
    <x v="3"/>
    <n v="18.088000000000001"/>
  </r>
  <r>
    <n v="205"/>
    <x v="7"/>
    <x v="7"/>
    <x v="7"/>
    <s v="Percent of GDP"/>
    <s v="Units"/>
    <x v="4"/>
    <n v="16.085999999999999"/>
  </r>
  <r>
    <n v="205"/>
    <x v="7"/>
    <x v="7"/>
    <x v="7"/>
    <s v="Percent of GDP"/>
    <s v="Units"/>
    <x v="5"/>
    <n v="15.87"/>
  </r>
  <r>
    <n v="205"/>
    <x v="7"/>
    <x v="7"/>
    <x v="7"/>
    <s v="Percent of GDP"/>
    <s v="Units"/>
    <x v="6"/>
    <n v="15.691000000000001"/>
  </r>
  <r>
    <n v="200"/>
    <x v="3"/>
    <x v="149"/>
    <x v="2"/>
    <s v="Percent of GDP"/>
    <s v="Units"/>
    <x v="0"/>
    <n v="28.745999999999999"/>
  </r>
  <r>
    <n v="200"/>
    <x v="3"/>
    <x v="149"/>
    <x v="2"/>
    <s v="Percent of GDP"/>
    <s v="Units"/>
    <x v="1"/>
    <n v="17.462"/>
  </r>
  <r>
    <n v="200"/>
    <x v="3"/>
    <x v="149"/>
    <x v="2"/>
    <s v="Percent of GDP"/>
    <s v="Units"/>
    <x v="2"/>
    <n v="21.12"/>
  </r>
  <r>
    <n v="200"/>
    <x v="3"/>
    <x v="149"/>
    <x v="2"/>
    <s v="Percent of GDP"/>
    <s v="Units"/>
    <x v="3"/>
    <n v="28.907"/>
  </r>
  <r>
    <n v="200"/>
    <x v="3"/>
    <x v="149"/>
    <x v="2"/>
    <s v="Percent of GDP"/>
    <s v="Units"/>
    <x v="4"/>
    <n v="15.715"/>
  </r>
  <r>
    <n v="200"/>
    <x v="3"/>
    <x v="149"/>
    <x v="2"/>
    <s v="Percent of GDP"/>
    <s v="Units"/>
    <x v="5"/>
    <n v="15.771000000000001"/>
  </r>
  <r>
    <n v="200"/>
    <x v="3"/>
    <x v="149"/>
    <x v="2"/>
    <s v="Percent of GDP"/>
    <s v="Units"/>
    <x v="6"/>
    <n v="15.585000000000001"/>
  </r>
  <r>
    <n v="505"/>
    <x v="4"/>
    <x v="149"/>
    <x v="2"/>
    <s v="Percent of GDP"/>
    <s v="Units"/>
    <x v="0"/>
    <n v="28.745999999999999"/>
  </r>
  <r>
    <n v="505"/>
    <x v="4"/>
    <x v="149"/>
    <x v="2"/>
    <s v="Percent of GDP"/>
    <s v="Units"/>
    <x v="1"/>
    <n v="17.462"/>
  </r>
  <r>
    <n v="505"/>
    <x v="4"/>
    <x v="149"/>
    <x v="2"/>
    <s v="Percent of GDP"/>
    <s v="Units"/>
    <x v="2"/>
    <n v="21.12"/>
  </r>
  <r>
    <n v="505"/>
    <x v="4"/>
    <x v="149"/>
    <x v="2"/>
    <s v="Percent of GDP"/>
    <s v="Units"/>
    <x v="3"/>
    <n v="28.907"/>
  </r>
  <r>
    <n v="505"/>
    <x v="4"/>
    <x v="149"/>
    <x v="2"/>
    <s v="Percent of GDP"/>
    <s v="Units"/>
    <x v="4"/>
    <n v="15.715"/>
  </r>
  <r>
    <n v="505"/>
    <x v="4"/>
    <x v="149"/>
    <x v="2"/>
    <s v="Percent of GDP"/>
    <s v="Units"/>
    <x v="5"/>
    <n v="15.771000000000001"/>
  </r>
  <r>
    <n v="505"/>
    <x v="4"/>
    <x v="149"/>
    <x v="2"/>
    <s v="Percent of GDP"/>
    <s v="Units"/>
    <x v="6"/>
    <n v="15.585000000000001"/>
  </r>
  <r>
    <n v="505"/>
    <x v="4"/>
    <x v="181"/>
    <x v="2"/>
    <s v="Percent of GDP"/>
    <s v="Units"/>
    <x v="0"/>
    <n v="15.417999999999999"/>
  </r>
  <r>
    <n v="505"/>
    <x v="4"/>
    <x v="181"/>
    <x v="2"/>
    <s v="Percent of GDP"/>
    <s v="Units"/>
    <x v="1"/>
    <n v="12.99"/>
  </r>
  <r>
    <n v="505"/>
    <x v="4"/>
    <x v="181"/>
    <x v="2"/>
    <s v="Percent of GDP"/>
    <s v="Units"/>
    <x v="2"/>
    <n v="15.036"/>
  </r>
  <r>
    <n v="505"/>
    <x v="4"/>
    <x v="181"/>
    <x v="2"/>
    <s v="Percent of GDP"/>
    <s v="Units"/>
    <x v="3"/>
    <n v="14.787000000000001"/>
  </r>
  <r>
    <n v="505"/>
    <x v="4"/>
    <x v="181"/>
    <x v="2"/>
    <s v="Percent of GDP"/>
    <s v="Units"/>
    <x v="4"/>
    <n v="15.675000000000001"/>
  </r>
  <r>
    <n v="505"/>
    <x v="4"/>
    <x v="181"/>
    <x v="2"/>
    <s v="Percent of GDP"/>
    <s v="Units"/>
    <x v="5"/>
    <n v="15.675000000000001"/>
  </r>
  <r>
    <n v="505"/>
    <x v="4"/>
    <x v="181"/>
    <x v="2"/>
    <s v="Percent of GDP"/>
    <s v="Units"/>
    <x v="6"/>
    <n v="15.76"/>
  </r>
  <r>
    <n v="200"/>
    <x v="3"/>
    <x v="181"/>
    <x v="2"/>
    <s v="Percent of GDP"/>
    <s v="Units"/>
    <x v="0"/>
    <n v="15.417999999999999"/>
  </r>
  <r>
    <n v="200"/>
    <x v="3"/>
    <x v="181"/>
    <x v="2"/>
    <s v="Percent of GDP"/>
    <s v="Units"/>
    <x v="1"/>
    <n v="12.99"/>
  </r>
  <r>
    <n v="200"/>
    <x v="3"/>
    <x v="181"/>
    <x v="2"/>
    <s v="Percent of GDP"/>
    <s v="Units"/>
    <x v="2"/>
    <n v="15.036"/>
  </r>
  <r>
    <n v="200"/>
    <x v="3"/>
    <x v="181"/>
    <x v="2"/>
    <s v="Percent of GDP"/>
    <s v="Units"/>
    <x v="3"/>
    <n v="14.787000000000001"/>
  </r>
  <r>
    <n v="200"/>
    <x v="3"/>
    <x v="181"/>
    <x v="2"/>
    <s v="Percent of GDP"/>
    <s v="Units"/>
    <x v="4"/>
    <n v="15.675000000000001"/>
  </r>
  <r>
    <n v="200"/>
    <x v="3"/>
    <x v="181"/>
    <x v="2"/>
    <s v="Percent of GDP"/>
    <s v="Units"/>
    <x v="5"/>
    <n v="15.675000000000001"/>
  </r>
  <r>
    <n v="200"/>
    <x v="3"/>
    <x v="181"/>
    <x v="2"/>
    <s v="Percent of GDP"/>
    <s v="Units"/>
    <x v="6"/>
    <n v="15.76"/>
  </r>
  <r>
    <n v="200"/>
    <x v="3"/>
    <x v="149"/>
    <x v="0"/>
    <s v="U.S. dollars"/>
    <s v="Billions"/>
    <x v="0"/>
    <n v="13.468999999999999"/>
  </r>
  <r>
    <n v="200"/>
    <x v="3"/>
    <x v="149"/>
    <x v="0"/>
    <s v="U.S. dollars"/>
    <s v="Billions"/>
    <x v="1"/>
    <n v="12.006"/>
  </r>
  <r>
    <n v="200"/>
    <x v="3"/>
    <x v="149"/>
    <x v="0"/>
    <s v="U.S. dollars"/>
    <s v="Billions"/>
    <x v="2"/>
    <n v="14.006"/>
  </r>
  <r>
    <n v="200"/>
    <x v="3"/>
    <x v="149"/>
    <x v="0"/>
    <s v="U.S. dollars"/>
    <s v="Billions"/>
    <x v="3"/>
    <n v="16.681999999999999"/>
  </r>
  <r>
    <n v="200"/>
    <x v="3"/>
    <x v="149"/>
    <x v="0"/>
    <s v="U.S. dollars"/>
    <s v="Billions"/>
    <x v="4"/>
    <n v="15.128"/>
  </r>
  <r>
    <n v="200"/>
    <x v="3"/>
    <x v="149"/>
    <x v="0"/>
    <s v="U.S. dollars"/>
    <s v="Billions"/>
    <x v="5"/>
    <n v="15.51"/>
  </r>
  <r>
    <n v="200"/>
    <x v="3"/>
    <x v="149"/>
    <x v="0"/>
    <s v="U.S. dollars"/>
    <s v="Billions"/>
    <x v="6"/>
    <n v="16.318999999999999"/>
  </r>
  <r>
    <n v="505"/>
    <x v="4"/>
    <x v="149"/>
    <x v="0"/>
    <s v="U.S. dollars"/>
    <s v="Billions"/>
    <x v="0"/>
    <n v="13.468999999999999"/>
  </r>
  <r>
    <n v="505"/>
    <x v="4"/>
    <x v="149"/>
    <x v="0"/>
    <s v="U.S. dollars"/>
    <s v="Billions"/>
    <x v="1"/>
    <n v="12.006"/>
  </r>
  <r>
    <n v="505"/>
    <x v="4"/>
    <x v="149"/>
    <x v="0"/>
    <s v="U.S. dollars"/>
    <s v="Billions"/>
    <x v="2"/>
    <n v="14.006"/>
  </r>
  <r>
    <n v="505"/>
    <x v="4"/>
    <x v="149"/>
    <x v="0"/>
    <s v="U.S. dollars"/>
    <s v="Billions"/>
    <x v="3"/>
    <n v="16.681999999999999"/>
  </r>
  <r>
    <n v="505"/>
    <x v="4"/>
    <x v="149"/>
    <x v="0"/>
    <s v="U.S. dollars"/>
    <s v="Billions"/>
    <x v="4"/>
    <n v="15.128"/>
  </r>
  <r>
    <n v="505"/>
    <x v="4"/>
    <x v="149"/>
    <x v="0"/>
    <s v="U.S. dollars"/>
    <s v="Billions"/>
    <x v="5"/>
    <n v="15.51"/>
  </r>
  <r>
    <n v="505"/>
    <x v="4"/>
    <x v="149"/>
    <x v="0"/>
    <s v="U.S. dollars"/>
    <s v="Billions"/>
    <x v="6"/>
    <n v="16.318999999999999"/>
  </r>
  <r>
    <n v="1"/>
    <x v="2"/>
    <x v="149"/>
    <x v="0"/>
    <s v="U.S. dollars"/>
    <s v="Billions"/>
    <x v="0"/>
    <n v="13.468999999999999"/>
  </r>
  <r>
    <n v="1"/>
    <x v="2"/>
    <x v="149"/>
    <x v="0"/>
    <s v="U.S. dollars"/>
    <s v="Billions"/>
    <x v="1"/>
    <n v="12.006"/>
  </r>
  <r>
    <n v="1"/>
    <x v="2"/>
    <x v="149"/>
    <x v="0"/>
    <s v="U.S. dollars"/>
    <s v="Billions"/>
    <x v="2"/>
    <n v="14.006"/>
  </r>
  <r>
    <n v="1"/>
    <x v="2"/>
    <x v="149"/>
    <x v="0"/>
    <s v="U.S. dollars"/>
    <s v="Billions"/>
    <x v="3"/>
    <n v="16.681999999999999"/>
  </r>
  <r>
    <n v="1"/>
    <x v="2"/>
    <x v="149"/>
    <x v="0"/>
    <s v="U.S. dollars"/>
    <s v="Billions"/>
    <x v="4"/>
    <n v="15.128"/>
  </r>
  <r>
    <n v="1"/>
    <x v="2"/>
    <x v="149"/>
    <x v="0"/>
    <s v="U.S. dollars"/>
    <s v="Billions"/>
    <x v="5"/>
    <n v="15.51"/>
  </r>
  <r>
    <n v="1"/>
    <x v="2"/>
    <x v="149"/>
    <x v="0"/>
    <s v="U.S. dollars"/>
    <s v="Billions"/>
    <x v="6"/>
    <n v="16.318999999999999"/>
  </r>
  <r>
    <n v="110"/>
    <x v="0"/>
    <x v="53"/>
    <x v="5"/>
    <s v="Percent of GDP"/>
    <s v="Units"/>
    <x v="0"/>
    <n v="10.175000000000001"/>
  </r>
  <r>
    <n v="110"/>
    <x v="0"/>
    <x v="53"/>
    <x v="5"/>
    <s v="Percent of GDP"/>
    <s v="Units"/>
    <x v="1"/>
    <n v="7.0720000000000001"/>
  </r>
  <r>
    <n v="110"/>
    <x v="0"/>
    <x v="53"/>
    <x v="5"/>
    <s v="Percent of GDP"/>
    <s v="Units"/>
    <x v="2"/>
    <n v="10.576000000000001"/>
  </r>
  <r>
    <n v="110"/>
    <x v="0"/>
    <x v="53"/>
    <x v="5"/>
    <s v="Percent of GDP"/>
    <s v="Units"/>
    <x v="3"/>
    <n v="10.375"/>
  </r>
  <r>
    <n v="110"/>
    <x v="0"/>
    <x v="53"/>
    <x v="5"/>
    <s v="Percent of GDP"/>
    <s v="Units"/>
    <x v="4"/>
    <n v="9.8699999999999992"/>
  </r>
  <r>
    <n v="110"/>
    <x v="0"/>
    <x v="53"/>
    <x v="5"/>
    <s v="Percent of GDP"/>
    <s v="Units"/>
    <x v="5"/>
    <n v="15.509"/>
  </r>
  <r>
    <n v="110"/>
    <x v="0"/>
    <x v="53"/>
    <x v="5"/>
    <s v="Percent of GDP"/>
    <s v="Units"/>
    <x v="6"/>
    <n v="18.172999999999998"/>
  </r>
  <r>
    <n v="163"/>
    <x v="5"/>
    <x v="53"/>
    <x v="5"/>
    <s v="Percent of GDP"/>
    <s v="Units"/>
    <x v="0"/>
    <n v="10.175000000000001"/>
  </r>
  <r>
    <n v="163"/>
    <x v="5"/>
    <x v="53"/>
    <x v="5"/>
    <s v="Percent of GDP"/>
    <s v="Units"/>
    <x v="1"/>
    <n v="7.0720000000000001"/>
  </r>
  <r>
    <n v="163"/>
    <x v="5"/>
    <x v="53"/>
    <x v="5"/>
    <s v="Percent of GDP"/>
    <s v="Units"/>
    <x v="2"/>
    <n v="10.576000000000001"/>
  </r>
  <r>
    <n v="163"/>
    <x v="5"/>
    <x v="53"/>
    <x v="5"/>
    <s v="Percent of GDP"/>
    <s v="Units"/>
    <x v="3"/>
    <n v="10.375"/>
  </r>
  <r>
    <n v="163"/>
    <x v="5"/>
    <x v="53"/>
    <x v="5"/>
    <s v="Percent of GDP"/>
    <s v="Units"/>
    <x v="4"/>
    <n v="9.8699999999999992"/>
  </r>
  <r>
    <n v="163"/>
    <x v="5"/>
    <x v="53"/>
    <x v="5"/>
    <s v="Percent of GDP"/>
    <s v="Units"/>
    <x v="5"/>
    <n v="15.509"/>
  </r>
  <r>
    <n v="163"/>
    <x v="5"/>
    <x v="53"/>
    <x v="5"/>
    <s v="Percent of GDP"/>
    <s v="Units"/>
    <x v="6"/>
    <n v="18.172999999999998"/>
  </r>
  <r>
    <n v="1"/>
    <x v="2"/>
    <x v="53"/>
    <x v="5"/>
    <s v="Percent of GDP"/>
    <s v="Units"/>
    <x v="0"/>
    <n v="10.175000000000001"/>
  </r>
  <r>
    <n v="1"/>
    <x v="2"/>
    <x v="53"/>
    <x v="5"/>
    <s v="Percent of GDP"/>
    <s v="Units"/>
    <x v="1"/>
    <n v="7.0720000000000001"/>
  </r>
  <r>
    <n v="1"/>
    <x v="2"/>
    <x v="53"/>
    <x v="5"/>
    <s v="Percent of GDP"/>
    <s v="Units"/>
    <x v="2"/>
    <n v="10.576000000000001"/>
  </r>
  <r>
    <n v="1"/>
    <x v="2"/>
    <x v="53"/>
    <x v="5"/>
    <s v="Percent of GDP"/>
    <s v="Units"/>
    <x v="3"/>
    <n v="10.375"/>
  </r>
  <r>
    <n v="1"/>
    <x v="2"/>
    <x v="53"/>
    <x v="5"/>
    <s v="Percent of GDP"/>
    <s v="Units"/>
    <x v="4"/>
    <n v="9.8699999999999992"/>
  </r>
  <r>
    <n v="1"/>
    <x v="2"/>
    <x v="53"/>
    <x v="5"/>
    <s v="Percent of GDP"/>
    <s v="Units"/>
    <x v="5"/>
    <n v="15.509"/>
  </r>
  <r>
    <n v="1"/>
    <x v="2"/>
    <x v="53"/>
    <x v="5"/>
    <s v="Percent of GDP"/>
    <s v="Units"/>
    <x v="6"/>
    <n v="18.172999999999998"/>
  </r>
  <r>
    <n v="998"/>
    <x v="6"/>
    <x v="53"/>
    <x v="5"/>
    <s v="Percent of GDP"/>
    <s v="Units"/>
    <x v="0"/>
    <n v="10.175000000000001"/>
  </r>
  <r>
    <n v="998"/>
    <x v="6"/>
    <x v="53"/>
    <x v="5"/>
    <s v="Percent of GDP"/>
    <s v="Units"/>
    <x v="1"/>
    <n v="7.0720000000000001"/>
  </r>
  <r>
    <n v="998"/>
    <x v="6"/>
    <x v="53"/>
    <x v="5"/>
    <s v="Percent of GDP"/>
    <s v="Units"/>
    <x v="2"/>
    <n v="10.576000000000001"/>
  </r>
  <r>
    <n v="998"/>
    <x v="6"/>
    <x v="53"/>
    <x v="5"/>
    <s v="Percent of GDP"/>
    <s v="Units"/>
    <x v="3"/>
    <n v="10.375"/>
  </r>
  <r>
    <n v="998"/>
    <x v="6"/>
    <x v="53"/>
    <x v="5"/>
    <s v="Percent of GDP"/>
    <s v="Units"/>
    <x v="4"/>
    <n v="9.8699999999999992"/>
  </r>
  <r>
    <n v="998"/>
    <x v="6"/>
    <x v="53"/>
    <x v="5"/>
    <s v="Percent of GDP"/>
    <s v="Units"/>
    <x v="5"/>
    <n v="15.509"/>
  </r>
  <r>
    <n v="998"/>
    <x v="6"/>
    <x v="53"/>
    <x v="5"/>
    <s v="Percent of GDP"/>
    <s v="Units"/>
    <x v="6"/>
    <n v="18.172999999999998"/>
  </r>
  <r>
    <n v="110"/>
    <x v="0"/>
    <x v="0"/>
    <x v="10"/>
    <s v="Percent"/>
    <s v="Units"/>
    <x v="0"/>
    <n v="15.846"/>
  </r>
  <r>
    <n v="110"/>
    <x v="0"/>
    <x v="0"/>
    <x v="10"/>
    <s v="Percent"/>
    <s v="Units"/>
    <x v="1"/>
    <n v="15.957000000000001"/>
  </r>
  <r>
    <n v="110"/>
    <x v="0"/>
    <x v="0"/>
    <x v="10"/>
    <s v="Percent"/>
    <s v="Units"/>
    <x v="2"/>
    <n v="15.867000000000001"/>
  </r>
  <r>
    <n v="110"/>
    <x v="0"/>
    <x v="0"/>
    <x v="10"/>
    <s v="Percent"/>
    <s v="Units"/>
    <x v="3"/>
    <n v="15.648"/>
  </r>
  <r>
    <n v="110"/>
    <x v="0"/>
    <x v="0"/>
    <x v="10"/>
    <s v="Percent"/>
    <s v="Units"/>
    <x v="4"/>
    <n v="15.563000000000001"/>
  </r>
  <r>
    <n v="110"/>
    <x v="0"/>
    <x v="0"/>
    <x v="10"/>
    <s v="Percent"/>
    <s v="Units"/>
    <x v="5"/>
    <n v="15.500999999999999"/>
  </r>
  <r>
    <n v="110"/>
    <x v="0"/>
    <x v="0"/>
    <x v="10"/>
    <s v="Percent"/>
    <s v="Units"/>
    <x v="6"/>
    <n v="15.302"/>
  </r>
  <r>
    <n v="200"/>
    <x v="3"/>
    <x v="153"/>
    <x v="0"/>
    <s v="U.S. dollars"/>
    <s v="Billions"/>
    <x v="0"/>
    <n v="13.977"/>
  </r>
  <r>
    <n v="200"/>
    <x v="3"/>
    <x v="153"/>
    <x v="0"/>
    <s v="U.S. dollars"/>
    <s v="Billions"/>
    <x v="1"/>
    <n v="11.484999999999999"/>
  </r>
  <r>
    <n v="200"/>
    <x v="3"/>
    <x v="153"/>
    <x v="0"/>
    <s v="U.S. dollars"/>
    <s v="Billions"/>
    <x v="2"/>
    <n v="13.387"/>
  </r>
  <r>
    <n v="200"/>
    <x v="3"/>
    <x v="153"/>
    <x v="0"/>
    <s v="U.S. dollars"/>
    <s v="Billions"/>
    <x v="3"/>
    <n v="13.961"/>
  </r>
  <r>
    <n v="200"/>
    <x v="3"/>
    <x v="153"/>
    <x v="0"/>
    <s v="U.S. dollars"/>
    <s v="Billions"/>
    <x v="4"/>
    <n v="14.423"/>
  </r>
  <r>
    <n v="200"/>
    <x v="3"/>
    <x v="153"/>
    <x v="0"/>
    <s v="U.S. dollars"/>
    <s v="Billions"/>
    <x v="5"/>
    <n v="15.500999999999999"/>
  </r>
  <r>
    <n v="200"/>
    <x v="3"/>
    <x v="153"/>
    <x v="0"/>
    <s v="U.S. dollars"/>
    <s v="Billions"/>
    <x v="6"/>
    <n v="16.228999999999999"/>
  </r>
  <r>
    <n v="1"/>
    <x v="2"/>
    <x v="153"/>
    <x v="0"/>
    <s v="U.S. dollars"/>
    <s v="Billions"/>
    <x v="0"/>
    <n v="13.977"/>
  </r>
  <r>
    <n v="1"/>
    <x v="2"/>
    <x v="153"/>
    <x v="0"/>
    <s v="U.S. dollars"/>
    <s v="Billions"/>
    <x v="1"/>
    <n v="11.484999999999999"/>
  </r>
  <r>
    <n v="1"/>
    <x v="2"/>
    <x v="153"/>
    <x v="0"/>
    <s v="U.S. dollars"/>
    <s v="Billions"/>
    <x v="2"/>
    <n v="13.387"/>
  </r>
  <r>
    <n v="1"/>
    <x v="2"/>
    <x v="153"/>
    <x v="0"/>
    <s v="U.S. dollars"/>
    <s v="Billions"/>
    <x v="3"/>
    <n v="13.961"/>
  </r>
  <r>
    <n v="1"/>
    <x v="2"/>
    <x v="153"/>
    <x v="0"/>
    <s v="U.S. dollars"/>
    <s v="Billions"/>
    <x v="4"/>
    <n v="14.423"/>
  </r>
  <r>
    <n v="1"/>
    <x v="2"/>
    <x v="153"/>
    <x v="0"/>
    <s v="U.S. dollars"/>
    <s v="Billions"/>
    <x v="5"/>
    <n v="15.500999999999999"/>
  </r>
  <r>
    <n v="1"/>
    <x v="2"/>
    <x v="153"/>
    <x v="0"/>
    <s v="U.S. dollars"/>
    <s v="Billions"/>
    <x v="6"/>
    <n v="16.228999999999999"/>
  </r>
  <r>
    <n v="603"/>
    <x v="12"/>
    <x v="153"/>
    <x v="0"/>
    <s v="U.S. dollars"/>
    <s v="Billions"/>
    <x v="0"/>
    <n v="13.977"/>
  </r>
  <r>
    <n v="603"/>
    <x v="12"/>
    <x v="153"/>
    <x v="0"/>
    <s v="U.S. dollars"/>
    <s v="Billions"/>
    <x v="1"/>
    <n v="11.484999999999999"/>
  </r>
  <r>
    <n v="603"/>
    <x v="12"/>
    <x v="153"/>
    <x v="0"/>
    <s v="U.S. dollars"/>
    <s v="Billions"/>
    <x v="2"/>
    <n v="13.387"/>
  </r>
  <r>
    <n v="603"/>
    <x v="12"/>
    <x v="153"/>
    <x v="0"/>
    <s v="U.S. dollars"/>
    <s v="Billions"/>
    <x v="3"/>
    <n v="13.961"/>
  </r>
  <r>
    <n v="603"/>
    <x v="12"/>
    <x v="153"/>
    <x v="0"/>
    <s v="U.S. dollars"/>
    <s v="Billions"/>
    <x v="4"/>
    <n v="14.423"/>
  </r>
  <r>
    <n v="603"/>
    <x v="12"/>
    <x v="153"/>
    <x v="0"/>
    <s v="U.S. dollars"/>
    <s v="Billions"/>
    <x v="5"/>
    <n v="15.500999999999999"/>
  </r>
  <r>
    <n v="603"/>
    <x v="12"/>
    <x v="153"/>
    <x v="0"/>
    <s v="U.S. dollars"/>
    <s v="Billions"/>
    <x v="6"/>
    <n v="16.228999999999999"/>
  </r>
  <r>
    <n v="119"/>
    <x v="1"/>
    <x v="0"/>
    <x v="10"/>
    <s v="Percent"/>
    <s v="Units"/>
    <x v="0"/>
    <n v="15.846"/>
  </r>
  <r>
    <n v="119"/>
    <x v="1"/>
    <x v="0"/>
    <x v="10"/>
    <s v="Percent"/>
    <s v="Units"/>
    <x v="1"/>
    <n v="15.957000000000001"/>
  </r>
  <r>
    <n v="119"/>
    <x v="1"/>
    <x v="0"/>
    <x v="10"/>
    <s v="Percent"/>
    <s v="Units"/>
    <x v="2"/>
    <n v="15.867000000000001"/>
  </r>
  <r>
    <n v="119"/>
    <x v="1"/>
    <x v="0"/>
    <x v="10"/>
    <s v="Percent"/>
    <s v="Units"/>
    <x v="3"/>
    <n v="15.648"/>
  </r>
  <r>
    <n v="119"/>
    <x v="1"/>
    <x v="0"/>
    <x v="10"/>
    <s v="Percent"/>
    <s v="Units"/>
    <x v="4"/>
    <n v="15.563000000000001"/>
  </r>
  <r>
    <n v="119"/>
    <x v="1"/>
    <x v="0"/>
    <x v="10"/>
    <s v="Percent"/>
    <s v="Units"/>
    <x v="5"/>
    <n v="15.500999999999999"/>
  </r>
  <r>
    <n v="119"/>
    <x v="1"/>
    <x v="0"/>
    <x v="10"/>
    <s v="Percent"/>
    <s v="Units"/>
    <x v="6"/>
    <n v="15.302"/>
  </r>
  <r>
    <n v="603"/>
    <x v="12"/>
    <x v="94"/>
    <x v="2"/>
    <s v="Percent of GDP"/>
    <s v="Units"/>
    <x v="0"/>
    <n v="18.004000000000001"/>
  </r>
  <r>
    <n v="603"/>
    <x v="12"/>
    <x v="94"/>
    <x v="2"/>
    <s v="Percent of GDP"/>
    <s v="Units"/>
    <x v="1"/>
    <n v="17.55"/>
  </r>
  <r>
    <n v="603"/>
    <x v="12"/>
    <x v="94"/>
    <x v="2"/>
    <s v="Percent of GDP"/>
    <s v="Units"/>
    <x v="2"/>
    <n v="18.355"/>
  </r>
  <r>
    <n v="603"/>
    <x v="12"/>
    <x v="94"/>
    <x v="2"/>
    <s v="Percent of GDP"/>
    <s v="Units"/>
    <x v="3"/>
    <n v="14.811"/>
  </r>
  <r>
    <n v="603"/>
    <x v="12"/>
    <x v="94"/>
    <x v="2"/>
    <s v="Percent of GDP"/>
    <s v="Units"/>
    <x v="4"/>
    <n v="10.518000000000001"/>
  </r>
  <r>
    <n v="603"/>
    <x v="12"/>
    <x v="94"/>
    <x v="2"/>
    <s v="Percent of GDP"/>
    <s v="Units"/>
    <x v="5"/>
    <n v="15.472"/>
  </r>
  <r>
    <n v="603"/>
    <x v="12"/>
    <x v="94"/>
    <x v="2"/>
    <s v="Percent of GDP"/>
    <s v="Units"/>
    <x v="6"/>
    <n v="16.927"/>
  </r>
  <r>
    <n v="200"/>
    <x v="3"/>
    <x v="94"/>
    <x v="2"/>
    <s v="Percent of GDP"/>
    <s v="Units"/>
    <x v="0"/>
    <n v="18.004000000000001"/>
  </r>
  <r>
    <n v="200"/>
    <x v="3"/>
    <x v="94"/>
    <x v="2"/>
    <s v="Percent of GDP"/>
    <s v="Units"/>
    <x v="1"/>
    <n v="17.55"/>
  </r>
  <r>
    <n v="200"/>
    <x v="3"/>
    <x v="94"/>
    <x v="2"/>
    <s v="Percent of GDP"/>
    <s v="Units"/>
    <x v="2"/>
    <n v="18.355"/>
  </r>
  <r>
    <n v="200"/>
    <x v="3"/>
    <x v="94"/>
    <x v="2"/>
    <s v="Percent of GDP"/>
    <s v="Units"/>
    <x v="3"/>
    <n v="14.811"/>
  </r>
  <r>
    <n v="200"/>
    <x v="3"/>
    <x v="94"/>
    <x v="2"/>
    <s v="Percent of GDP"/>
    <s v="Units"/>
    <x v="4"/>
    <n v="10.518000000000001"/>
  </r>
  <r>
    <n v="200"/>
    <x v="3"/>
    <x v="94"/>
    <x v="2"/>
    <s v="Percent of GDP"/>
    <s v="Units"/>
    <x v="5"/>
    <n v="15.472"/>
  </r>
  <r>
    <n v="200"/>
    <x v="3"/>
    <x v="94"/>
    <x v="2"/>
    <s v="Percent of GDP"/>
    <s v="Units"/>
    <x v="6"/>
    <n v="16.927"/>
  </r>
  <r>
    <n v="200"/>
    <x v="3"/>
    <x v="40"/>
    <x v="7"/>
    <s v="Percent of GDP"/>
    <s v="Units"/>
    <x v="0"/>
    <n v="15.821"/>
  </r>
  <r>
    <n v="200"/>
    <x v="3"/>
    <x v="40"/>
    <x v="7"/>
    <s v="Percent of GDP"/>
    <s v="Units"/>
    <x v="1"/>
    <n v="12.538"/>
  </r>
  <r>
    <n v="200"/>
    <x v="3"/>
    <x v="40"/>
    <x v="7"/>
    <s v="Percent of GDP"/>
    <s v="Units"/>
    <x v="2"/>
    <n v="13.045"/>
  </r>
  <r>
    <n v="200"/>
    <x v="3"/>
    <x v="40"/>
    <x v="7"/>
    <s v="Percent of GDP"/>
    <s v="Units"/>
    <x v="3"/>
    <n v="15.379"/>
  </r>
  <r>
    <n v="200"/>
    <x v="3"/>
    <x v="40"/>
    <x v="7"/>
    <s v="Percent of GDP"/>
    <s v="Units"/>
    <x v="4"/>
    <n v="15.624000000000001"/>
  </r>
  <r>
    <n v="200"/>
    <x v="3"/>
    <x v="40"/>
    <x v="7"/>
    <s v="Percent of GDP"/>
    <s v="Units"/>
    <x v="5"/>
    <n v="15.438000000000001"/>
  </r>
  <r>
    <n v="200"/>
    <x v="3"/>
    <x v="40"/>
    <x v="7"/>
    <s v="Percent of GDP"/>
    <s v="Units"/>
    <x v="6"/>
    <n v="15.696"/>
  </r>
  <r>
    <n v="603"/>
    <x v="12"/>
    <x v="40"/>
    <x v="7"/>
    <s v="Percent of GDP"/>
    <s v="Units"/>
    <x v="0"/>
    <n v="15.821"/>
  </r>
  <r>
    <n v="603"/>
    <x v="12"/>
    <x v="40"/>
    <x v="7"/>
    <s v="Percent of GDP"/>
    <s v="Units"/>
    <x v="1"/>
    <n v="12.538"/>
  </r>
  <r>
    <n v="603"/>
    <x v="12"/>
    <x v="40"/>
    <x v="7"/>
    <s v="Percent of GDP"/>
    <s v="Units"/>
    <x v="2"/>
    <n v="13.045"/>
  </r>
  <r>
    <n v="603"/>
    <x v="12"/>
    <x v="40"/>
    <x v="7"/>
    <s v="Percent of GDP"/>
    <s v="Units"/>
    <x v="3"/>
    <n v="15.379"/>
  </r>
  <r>
    <n v="603"/>
    <x v="12"/>
    <x v="40"/>
    <x v="7"/>
    <s v="Percent of GDP"/>
    <s v="Units"/>
    <x v="4"/>
    <n v="15.624000000000001"/>
  </r>
  <r>
    <n v="603"/>
    <x v="12"/>
    <x v="40"/>
    <x v="7"/>
    <s v="Percent of GDP"/>
    <s v="Units"/>
    <x v="5"/>
    <n v="15.438000000000001"/>
  </r>
  <r>
    <n v="603"/>
    <x v="12"/>
    <x v="40"/>
    <x v="7"/>
    <s v="Percent of GDP"/>
    <s v="Units"/>
    <x v="6"/>
    <n v="15.696"/>
  </r>
  <r>
    <n v="1"/>
    <x v="2"/>
    <x v="40"/>
    <x v="7"/>
    <s v="Percent of GDP"/>
    <s v="Units"/>
    <x v="0"/>
    <n v="15.821"/>
  </r>
  <r>
    <n v="1"/>
    <x v="2"/>
    <x v="40"/>
    <x v="7"/>
    <s v="Percent of GDP"/>
    <s v="Units"/>
    <x v="1"/>
    <n v="12.538"/>
  </r>
  <r>
    <n v="1"/>
    <x v="2"/>
    <x v="40"/>
    <x v="7"/>
    <s v="Percent of GDP"/>
    <s v="Units"/>
    <x v="2"/>
    <n v="13.045"/>
  </r>
  <r>
    <n v="1"/>
    <x v="2"/>
    <x v="40"/>
    <x v="7"/>
    <s v="Percent of GDP"/>
    <s v="Units"/>
    <x v="3"/>
    <n v="15.379"/>
  </r>
  <r>
    <n v="1"/>
    <x v="2"/>
    <x v="40"/>
    <x v="7"/>
    <s v="Percent of GDP"/>
    <s v="Units"/>
    <x v="4"/>
    <n v="15.624000000000001"/>
  </r>
  <r>
    <n v="1"/>
    <x v="2"/>
    <x v="40"/>
    <x v="7"/>
    <s v="Percent of GDP"/>
    <s v="Units"/>
    <x v="5"/>
    <n v="15.438000000000001"/>
  </r>
  <r>
    <n v="1"/>
    <x v="2"/>
    <x v="40"/>
    <x v="7"/>
    <s v="Percent of GDP"/>
    <s v="Units"/>
    <x v="6"/>
    <n v="15.696"/>
  </r>
  <r>
    <n v="200"/>
    <x v="3"/>
    <x v="97"/>
    <x v="2"/>
    <s v="Percent of GDP"/>
    <s v="Units"/>
    <x v="0"/>
    <n v="13.454000000000001"/>
  </r>
  <r>
    <n v="200"/>
    <x v="3"/>
    <x v="97"/>
    <x v="2"/>
    <s v="Percent of GDP"/>
    <s v="Units"/>
    <x v="1"/>
    <n v="13.68"/>
  </r>
  <r>
    <n v="200"/>
    <x v="3"/>
    <x v="97"/>
    <x v="2"/>
    <s v="Percent of GDP"/>
    <s v="Units"/>
    <x v="2"/>
    <n v="14.006"/>
  </r>
  <r>
    <n v="200"/>
    <x v="3"/>
    <x v="97"/>
    <x v="2"/>
    <s v="Percent of GDP"/>
    <s v="Units"/>
    <x v="3"/>
    <n v="13.819000000000001"/>
  </r>
  <r>
    <n v="200"/>
    <x v="3"/>
    <x v="97"/>
    <x v="2"/>
    <s v="Percent of GDP"/>
    <s v="Units"/>
    <x v="4"/>
    <n v="14.079000000000001"/>
  </r>
  <r>
    <n v="200"/>
    <x v="3"/>
    <x v="97"/>
    <x v="2"/>
    <s v="Percent of GDP"/>
    <s v="Units"/>
    <x v="5"/>
    <n v="15.358000000000001"/>
  </r>
  <r>
    <n v="200"/>
    <x v="3"/>
    <x v="97"/>
    <x v="2"/>
    <s v="Percent of GDP"/>
    <s v="Units"/>
    <x v="6"/>
    <n v="16.184999999999999"/>
  </r>
  <r>
    <n v="603"/>
    <x v="12"/>
    <x v="97"/>
    <x v="2"/>
    <s v="Percent of GDP"/>
    <s v="Units"/>
    <x v="0"/>
    <n v="13.454000000000001"/>
  </r>
  <r>
    <n v="603"/>
    <x v="12"/>
    <x v="97"/>
    <x v="2"/>
    <s v="Percent of GDP"/>
    <s v="Units"/>
    <x v="1"/>
    <n v="13.68"/>
  </r>
  <r>
    <n v="603"/>
    <x v="12"/>
    <x v="97"/>
    <x v="2"/>
    <s v="Percent of GDP"/>
    <s v="Units"/>
    <x v="2"/>
    <n v="14.006"/>
  </r>
  <r>
    <n v="603"/>
    <x v="12"/>
    <x v="97"/>
    <x v="2"/>
    <s v="Percent of GDP"/>
    <s v="Units"/>
    <x v="3"/>
    <n v="13.819000000000001"/>
  </r>
  <r>
    <n v="603"/>
    <x v="12"/>
    <x v="97"/>
    <x v="2"/>
    <s v="Percent of GDP"/>
    <s v="Units"/>
    <x v="4"/>
    <n v="14.079000000000001"/>
  </r>
  <r>
    <n v="603"/>
    <x v="12"/>
    <x v="97"/>
    <x v="2"/>
    <s v="Percent of GDP"/>
    <s v="Units"/>
    <x v="5"/>
    <n v="15.358000000000001"/>
  </r>
  <r>
    <n v="603"/>
    <x v="12"/>
    <x v="97"/>
    <x v="2"/>
    <s v="Percent of GDP"/>
    <s v="Units"/>
    <x v="6"/>
    <n v="16.184999999999999"/>
  </r>
  <r>
    <n v="200"/>
    <x v="3"/>
    <x v="74"/>
    <x v="2"/>
    <s v="Percent of GDP"/>
    <s v="Units"/>
    <x v="0"/>
    <n v="15.002000000000001"/>
  </r>
  <r>
    <n v="200"/>
    <x v="3"/>
    <x v="74"/>
    <x v="2"/>
    <s v="Percent of GDP"/>
    <s v="Units"/>
    <x v="1"/>
    <n v="13.912000000000001"/>
  </r>
  <r>
    <n v="200"/>
    <x v="3"/>
    <x v="74"/>
    <x v="2"/>
    <s v="Percent of GDP"/>
    <s v="Units"/>
    <x v="2"/>
    <n v="15.686999999999999"/>
  </r>
  <r>
    <n v="200"/>
    <x v="3"/>
    <x v="74"/>
    <x v="2"/>
    <s v="Percent of GDP"/>
    <s v="Units"/>
    <x v="3"/>
    <n v="16.382999999999999"/>
  </r>
  <r>
    <n v="200"/>
    <x v="3"/>
    <x v="74"/>
    <x v="2"/>
    <s v="Percent of GDP"/>
    <s v="Units"/>
    <x v="4"/>
    <n v="15.269"/>
  </r>
  <r>
    <n v="200"/>
    <x v="3"/>
    <x v="74"/>
    <x v="2"/>
    <s v="Percent of GDP"/>
    <s v="Units"/>
    <x v="5"/>
    <n v="15.286"/>
  </r>
  <r>
    <n v="200"/>
    <x v="3"/>
    <x v="74"/>
    <x v="2"/>
    <s v="Percent of GDP"/>
    <s v="Units"/>
    <x v="6"/>
    <n v="15.333"/>
  </r>
  <r>
    <n v="205"/>
    <x v="7"/>
    <x v="74"/>
    <x v="2"/>
    <s v="Percent of GDP"/>
    <s v="Units"/>
    <x v="0"/>
    <n v="15.002000000000001"/>
  </r>
  <r>
    <n v="205"/>
    <x v="7"/>
    <x v="74"/>
    <x v="2"/>
    <s v="Percent of GDP"/>
    <s v="Units"/>
    <x v="1"/>
    <n v="13.912000000000001"/>
  </r>
  <r>
    <n v="205"/>
    <x v="7"/>
    <x v="74"/>
    <x v="2"/>
    <s v="Percent of GDP"/>
    <s v="Units"/>
    <x v="2"/>
    <n v="15.686999999999999"/>
  </r>
  <r>
    <n v="205"/>
    <x v="7"/>
    <x v="74"/>
    <x v="2"/>
    <s v="Percent of GDP"/>
    <s v="Units"/>
    <x v="3"/>
    <n v="16.382999999999999"/>
  </r>
  <r>
    <n v="205"/>
    <x v="7"/>
    <x v="74"/>
    <x v="2"/>
    <s v="Percent of GDP"/>
    <s v="Units"/>
    <x v="4"/>
    <n v="15.269"/>
  </r>
  <r>
    <n v="205"/>
    <x v="7"/>
    <x v="74"/>
    <x v="2"/>
    <s v="Percent of GDP"/>
    <s v="Units"/>
    <x v="5"/>
    <n v="15.286"/>
  </r>
  <r>
    <n v="205"/>
    <x v="7"/>
    <x v="74"/>
    <x v="2"/>
    <s v="Percent of GDP"/>
    <s v="Units"/>
    <x v="6"/>
    <n v="15.333"/>
  </r>
  <r>
    <n v="1"/>
    <x v="2"/>
    <x v="161"/>
    <x v="7"/>
    <s v="Percent of GDP"/>
    <s v="Units"/>
    <x v="0"/>
    <n v="13.57"/>
  </r>
  <r>
    <n v="1"/>
    <x v="2"/>
    <x v="161"/>
    <x v="7"/>
    <s v="Percent of GDP"/>
    <s v="Units"/>
    <x v="1"/>
    <n v="12.263"/>
  </r>
  <r>
    <n v="1"/>
    <x v="2"/>
    <x v="161"/>
    <x v="7"/>
    <s v="Percent of GDP"/>
    <s v="Units"/>
    <x v="2"/>
    <n v="13.625999999999999"/>
  </r>
  <r>
    <n v="1"/>
    <x v="2"/>
    <x v="161"/>
    <x v="7"/>
    <s v="Percent of GDP"/>
    <s v="Units"/>
    <x v="3"/>
    <n v="11.788"/>
  </r>
  <r>
    <n v="1"/>
    <x v="2"/>
    <x v="161"/>
    <x v="7"/>
    <s v="Percent of GDP"/>
    <s v="Units"/>
    <x v="4"/>
    <n v="15.265000000000001"/>
  </r>
  <r>
    <n v="1"/>
    <x v="2"/>
    <x v="161"/>
    <x v="7"/>
    <s v="Percent of GDP"/>
    <s v="Units"/>
    <x v="5"/>
    <n v="15.269"/>
  </r>
  <r>
    <n v="1"/>
    <x v="2"/>
    <x v="161"/>
    <x v="7"/>
    <s v="Percent of GDP"/>
    <s v="Units"/>
    <x v="6"/>
    <n v="15.054"/>
  </r>
  <r>
    <n v="603"/>
    <x v="12"/>
    <x v="161"/>
    <x v="7"/>
    <s v="Percent of GDP"/>
    <s v="Units"/>
    <x v="0"/>
    <n v="13.57"/>
  </r>
  <r>
    <n v="603"/>
    <x v="12"/>
    <x v="161"/>
    <x v="7"/>
    <s v="Percent of GDP"/>
    <s v="Units"/>
    <x v="1"/>
    <n v="12.263"/>
  </r>
  <r>
    <n v="603"/>
    <x v="12"/>
    <x v="161"/>
    <x v="7"/>
    <s v="Percent of GDP"/>
    <s v="Units"/>
    <x v="2"/>
    <n v="13.625999999999999"/>
  </r>
  <r>
    <n v="603"/>
    <x v="12"/>
    <x v="161"/>
    <x v="7"/>
    <s v="Percent of GDP"/>
    <s v="Units"/>
    <x v="3"/>
    <n v="11.788"/>
  </r>
  <r>
    <n v="603"/>
    <x v="12"/>
    <x v="161"/>
    <x v="7"/>
    <s v="Percent of GDP"/>
    <s v="Units"/>
    <x v="4"/>
    <n v="15.265000000000001"/>
  </r>
  <r>
    <n v="603"/>
    <x v="12"/>
    <x v="161"/>
    <x v="7"/>
    <s v="Percent of GDP"/>
    <s v="Units"/>
    <x v="5"/>
    <n v="15.269"/>
  </r>
  <r>
    <n v="603"/>
    <x v="12"/>
    <x v="161"/>
    <x v="7"/>
    <s v="Percent of GDP"/>
    <s v="Units"/>
    <x v="6"/>
    <n v="15.054"/>
  </r>
  <r>
    <n v="200"/>
    <x v="3"/>
    <x v="161"/>
    <x v="7"/>
    <s v="Percent of GDP"/>
    <s v="Units"/>
    <x v="0"/>
    <n v="13.57"/>
  </r>
  <r>
    <n v="200"/>
    <x v="3"/>
    <x v="161"/>
    <x v="7"/>
    <s v="Percent of GDP"/>
    <s v="Units"/>
    <x v="1"/>
    <n v="12.263"/>
  </r>
  <r>
    <n v="200"/>
    <x v="3"/>
    <x v="161"/>
    <x v="7"/>
    <s v="Percent of GDP"/>
    <s v="Units"/>
    <x v="2"/>
    <n v="13.625999999999999"/>
  </r>
  <r>
    <n v="200"/>
    <x v="3"/>
    <x v="161"/>
    <x v="7"/>
    <s v="Percent of GDP"/>
    <s v="Units"/>
    <x v="3"/>
    <n v="11.788"/>
  </r>
  <r>
    <n v="200"/>
    <x v="3"/>
    <x v="161"/>
    <x v="7"/>
    <s v="Percent of GDP"/>
    <s v="Units"/>
    <x v="4"/>
    <n v="15.265000000000001"/>
  </r>
  <r>
    <n v="200"/>
    <x v="3"/>
    <x v="161"/>
    <x v="7"/>
    <s v="Percent of GDP"/>
    <s v="Units"/>
    <x v="5"/>
    <n v="15.269"/>
  </r>
  <r>
    <n v="200"/>
    <x v="3"/>
    <x v="161"/>
    <x v="7"/>
    <s v="Percent of GDP"/>
    <s v="Units"/>
    <x v="6"/>
    <n v="15.054"/>
  </r>
  <r>
    <n v="510"/>
    <x v="10"/>
    <x v="15"/>
    <x v="2"/>
    <s v="Percent of GDP"/>
    <s v="Units"/>
    <x v="0"/>
    <n v="14.268000000000001"/>
  </r>
  <r>
    <n v="510"/>
    <x v="10"/>
    <x v="15"/>
    <x v="2"/>
    <s v="Percent of GDP"/>
    <s v="Units"/>
    <x v="1"/>
    <n v="12.352"/>
  </r>
  <r>
    <n v="510"/>
    <x v="10"/>
    <x v="15"/>
    <x v="2"/>
    <s v="Percent of GDP"/>
    <s v="Units"/>
    <x v="2"/>
    <n v="13.718999999999999"/>
  </r>
  <r>
    <n v="510"/>
    <x v="10"/>
    <x v="15"/>
    <x v="2"/>
    <s v="Percent of GDP"/>
    <s v="Units"/>
    <x v="3"/>
    <n v="15.17"/>
  </r>
  <r>
    <n v="510"/>
    <x v="10"/>
    <x v="15"/>
    <x v="2"/>
    <s v="Percent of GDP"/>
    <s v="Units"/>
    <x v="4"/>
    <n v="14.987"/>
  </r>
  <r>
    <n v="510"/>
    <x v="10"/>
    <x v="15"/>
    <x v="2"/>
    <s v="Percent of GDP"/>
    <s v="Units"/>
    <x v="5"/>
    <n v="15.237"/>
  </r>
  <r>
    <n v="510"/>
    <x v="10"/>
    <x v="15"/>
    <x v="2"/>
    <s v="Percent of GDP"/>
    <s v="Units"/>
    <x v="6"/>
    <n v="15.327999999999999"/>
  </r>
  <r>
    <n v="505"/>
    <x v="4"/>
    <x v="15"/>
    <x v="2"/>
    <s v="Percent of GDP"/>
    <s v="Units"/>
    <x v="0"/>
    <n v="14.268000000000001"/>
  </r>
  <r>
    <n v="505"/>
    <x v="4"/>
    <x v="15"/>
    <x v="2"/>
    <s v="Percent of GDP"/>
    <s v="Units"/>
    <x v="1"/>
    <n v="12.352"/>
  </r>
  <r>
    <n v="505"/>
    <x v="4"/>
    <x v="15"/>
    <x v="2"/>
    <s v="Percent of GDP"/>
    <s v="Units"/>
    <x v="2"/>
    <n v="13.718999999999999"/>
  </r>
  <r>
    <n v="505"/>
    <x v="4"/>
    <x v="15"/>
    <x v="2"/>
    <s v="Percent of GDP"/>
    <s v="Units"/>
    <x v="3"/>
    <n v="15.17"/>
  </r>
  <r>
    <n v="505"/>
    <x v="4"/>
    <x v="15"/>
    <x v="2"/>
    <s v="Percent of GDP"/>
    <s v="Units"/>
    <x v="4"/>
    <n v="14.987"/>
  </r>
  <r>
    <n v="505"/>
    <x v="4"/>
    <x v="15"/>
    <x v="2"/>
    <s v="Percent of GDP"/>
    <s v="Units"/>
    <x v="5"/>
    <n v="15.237"/>
  </r>
  <r>
    <n v="505"/>
    <x v="4"/>
    <x v="15"/>
    <x v="2"/>
    <s v="Percent of GDP"/>
    <s v="Units"/>
    <x v="6"/>
    <n v="15.327999999999999"/>
  </r>
  <r>
    <n v="200"/>
    <x v="3"/>
    <x v="15"/>
    <x v="2"/>
    <s v="Percent of GDP"/>
    <s v="Units"/>
    <x v="0"/>
    <n v="14.268000000000001"/>
  </r>
  <r>
    <n v="200"/>
    <x v="3"/>
    <x v="15"/>
    <x v="2"/>
    <s v="Percent of GDP"/>
    <s v="Units"/>
    <x v="1"/>
    <n v="12.352"/>
  </r>
  <r>
    <n v="200"/>
    <x v="3"/>
    <x v="15"/>
    <x v="2"/>
    <s v="Percent of GDP"/>
    <s v="Units"/>
    <x v="2"/>
    <n v="13.718999999999999"/>
  </r>
  <r>
    <n v="200"/>
    <x v="3"/>
    <x v="15"/>
    <x v="2"/>
    <s v="Percent of GDP"/>
    <s v="Units"/>
    <x v="3"/>
    <n v="15.17"/>
  </r>
  <r>
    <n v="200"/>
    <x v="3"/>
    <x v="15"/>
    <x v="2"/>
    <s v="Percent of GDP"/>
    <s v="Units"/>
    <x v="4"/>
    <n v="14.987"/>
  </r>
  <r>
    <n v="200"/>
    <x v="3"/>
    <x v="15"/>
    <x v="2"/>
    <s v="Percent of GDP"/>
    <s v="Units"/>
    <x v="5"/>
    <n v="15.237"/>
  </r>
  <r>
    <n v="200"/>
    <x v="3"/>
    <x v="15"/>
    <x v="2"/>
    <s v="Percent of GDP"/>
    <s v="Units"/>
    <x v="6"/>
    <n v="15.327999999999999"/>
  </r>
  <r>
    <n v="603"/>
    <x v="12"/>
    <x v="144"/>
    <x v="2"/>
    <s v="Percent of GDP"/>
    <s v="Units"/>
    <x v="0"/>
    <n v="14.061999999999999"/>
  </r>
  <r>
    <n v="603"/>
    <x v="12"/>
    <x v="144"/>
    <x v="2"/>
    <s v="Percent of GDP"/>
    <s v="Units"/>
    <x v="1"/>
    <n v="14.388999999999999"/>
  </r>
  <r>
    <n v="603"/>
    <x v="12"/>
    <x v="144"/>
    <x v="2"/>
    <s v="Percent of GDP"/>
    <s v="Units"/>
    <x v="2"/>
    <n v="14.146000000000001"/>
  </r>
  <r>
    <n v="603"/>
    <x v="12"/>
    <x v="144"/>
    <x v="2"/>
    <s v="Percent of GDP"/>
    <s v="Units"/>
    <x v="3"/>
    <n v="14.308999999999999"/>
  </r>
  <r>
    <n v="603"/>
    <x v="12"/>
    <x v="144"/>
    <x v="2"/>
    <s v="Percent of GDP"/>
    <s v="Units"/>
    <x v="4"/>
    <n v="14.872"/>
  </r>
  <r>
    <n v="603"/>
    <x v="12"/>
    <x v="144"/>
    <x v="2"/>
    <s v="Percent of GDP"/>
    <s v="Units"/>
    <x v="5"/>
    <n v="15.214"/>
  </r>
  <r>
    <n v="603"/>
    <x v="12"/>
    <x v="144"/>
    <x v="2"/>
    <s v="Percent of GDP"/>
    <s v="Units"/>
    <x v="6"/>
    <n v="15.731"/>
  </r>
  <r>
    <n v="200"/>
    <x v="3"/>
    <x v="144"/>
    <x v="2"/>
    <s v="Percent of GDP"/>
    <s v="Units"/>
    <x v="0"/>
    <n v="14.061999999999999"/>
  </r>
  <r>
    <n v="200"/>
    <x v="3"/>
    <x v="144"/>
    <x v="2"/>
    <s v="Percent of GDP"/>
    <s v="Units"/>
    <x v="1"/>
    <n v="14.388999999999999"/>
  </r>
  <r>
    <n v="200"/>
    <x v="3"/>
    <x v="144"/>
    <x v="2"/>
    <s v="Percent of GDP"/>
    <s v="Units"/>
    <x v="2"/>
    <n v="14.146000000000001"/>
  </r>
  <r>
    <n v="200"/>
    <x v="3"/>
    <x v="144"/>
    <x v="2"/>
    <s v="Percent of GDP"/>
    <s v="Units"/>
    <x v="3"/>
    <n v="14.308999999999999"/>
  </r>
  <r>
    <n v="200"/>
    <x v="3"/>
    <x v="144"/>
    <x v="2"/>
    <s v="Percent of GDP"/>
    <s v="Units"/>
    <x v="4"/>
    <n v="14.872"/>
  </r>
  <r>
    <n v="200"/>
    <x v="3"/>
    <x v="144"/>
    <x v="2"/>
    <s v="Percent of GDP"/>
    <s v="Units"/>
    <x v="5"/>
    <n v="15.214"/>
  </r>
  <r>
    <n v="200"/>
    <x v="3"/>
    <x v="144"/>
    <x v="2"/>
    <s v="Percent of GDP"/>
    <s v="Units"/>
    <x v="6"/>
    <n v="15.731"/>
  </r>
  <r>
    <n v="603"/>
    <x v="12"/>
    <x v="186"/>
    <x v="7"/>
    <s v="Percent of GDP"/>
    <s v="Units"/>
    <x v="0"/>
    <n v="14.664999999999999"/>
  </r>
  <r>
    <n v="603"/>
    <x v="12"/>
    <x v="186"/>
    <x v="7"/>
    <s v="Percent of GDP"/>
    <s v="Units"/>
    <x v="1"/>
    <n v="18.887"/>
  </r>
  <r>
    <n v="603"/>
    <x v="12"/>
    <x v="186"/>
    <x v="7"/>
    <s v="Percent of GDP"/>
    <s v="Units"/>
    <x v="2"/>
    <n v="15.723000000000001"/>
  </r>
  <r>
    <n v="603"/>
    <x v="12"/>
    <x v="186"/>
    <x v="7"/>
    <s v="Percent of GDP"/>
    <s v="Units"/>
    <x v="3"/>
    <n v="14.851000000000001"/>
  </r>
  <r>
    <n v="603"/>
    <x v="12"/>
    <x v="186"/>
    <x v="7"/>
    <s v="Percent of GDP"/>
    <s v="Units"/>
    <x v="4"/>
    <n v="15.006"/>
  </r>
  <r>
    <n v="603"/>
    <x v="12"/>
    <x v="186"/>
    <x v="7"/>
    <s v="Percent of GDP"/>
    <s v="Units"/>
    <x v="5"/>
    <n v="15.192"/>
  </r>
  <r>
    <n v="603"/>
    <x v="12"/>
    <x v="186"/>
    <x v="7"/>
    <s v="Percent of GDP"/>
    <s v="Units"/>
    <x v="6"/>
    <n v="16.745000000000001"/>
  </r>
  <r>
    <n v="1"/>
    <x v="2"/>
    <x v="186"/>
    <x v="7"/>
    <s v="Percent of GDP"/>
    <s v="Units"/>
    <x v="0"/>
    <n v="14.664999999999999"/>
  </r>
  <r>
    <n v="1"/>
    <x v="2"/>
    <x v="186"/>
    <x v="7"/>
    <s v="Percent of GDP"/>
    <s v="Units"/>
    <x v="1"/>
    <n v="18.887"/>
  </r>
  <r>
    <n v="1"/>
    <x v="2"/>
    <x v="186"/>
    <x v="7"/>
    <s v="Percent of GDP"/>
    <s v="Units"/>
    <x v="2"/>
    <n v="15.723000000000001"/>
  </r>
  <r>
    <n v="1"/>
    <x v="2"/>
    <x v="186"/>
    <x v="7"/>
    <s v="Percent of GDP"/>
    <s v="Units"/>
    <x v="3"/>
    <n v="14.851000000000001"/>
  </r>
  <r>
    <n v="1"/>
    <x v="2"/>
    <x v="186"/>
    <x v="7"/>
    <s v="Percent of GDP"/>
    <s v="Units"/>
    <x v="4"/>
    <n v="15.006"/>
  </r>
  <r>
    <n v="1"/>
    <x v="2"/>
    <x v="186"/>
    <x v="7"/>
    <s v="Percent of GDP"/>
    <s v="Units"/>
    <x v="5"/>
    <n v="15.192"/>
  </r>
  <r>
    <n v="1"/>
    <x v="2"/>
    <x v="186"/>
    <x v="7"/>
    <s v="Percent of GDP"/>
    <s v="Units"/>
    <x v="6"/>
    <n v="16.745000000000001"/>
  </r>
  <r>
    <n v="200"/>
    <x v="3"/>
    <x v="186"/>
    <x v="7"/>
    <s v="Percent of GDP"/>
    <s v="Units"/>
    <x v="0"/>
    <n v="14.664999999999999"/>
  </r>
  <r>
    <n v="200"/>
    <x v="3"/>
    <x v="186"/>
    <x v="7"/>
    <s v="Percent of GDP"/>
    <s v="Units"/>
    <x v="1"/>
    <n v="18.887"/>
  </r>
  <r>
    <n v="200"/>
    <x v="3"/>
    <x v="186"/>
    <x v="7"/>
    <s v="Percent of GDP"/>
    <s v="Units"/>
    <x v="2"/>
    <n v="15.723000000000001"/>
  </r>
  <r>
    <n v="200"/>
    <x v="3"/>
    <x v="186"/>
    <x v="7"/>
    <s v="Percent of GDP"/>
    <s v="Units"/>
    <x v="3"/>
    <n v="14.851000000000001"/>
  </r>
  <r>
    <n v="200"/>
    <x v="3"/>
    <x v="186"/>
    <x v="7"/>
    <s v="Percent of GDP"/>
    <s v="Units"/>
    <x v="4"/>
    <n v="15.006"/>
  </r>
  <r>
    <n v="200"/>
    <x v="3"/>
    <x v="186"/>
    <x v="7"/>
    <s v="Percent of GDP"/>
    <s v="Units"/>
    <x v="5"/>
    <n v="15.192"/>
  </r>
  <r>
    <n v="200"/>
    <x v="3"/>
    <x v="186"/>
    <x v="7"/>
    <s v="Percent of GDP"/>
    <s v="Units"/>
    <x v="6"/>
    <n v="16.745000000000001"/>
  </r>
  <r>
    <n v="505"/>
    <x v="4"/>
    <x v="181"/>
    <x v="0"/>
    <s v="U.S. dollars"/>
    <s v="Billions"/>
    <x v="0"/>
    <n v="18.77"/>
  </r>
  <r>
    <n v="505"/>
    <x v="4"/>
    <x v="181"/>
    <x v="0"/>
    <s v="U.S. dollars"/>
    <s v="Billions"/>
    <x v="1"/>
    <n v="18.510999999999999"/>
  </r>
  <r>
    <n v="505"/>
    <x v="4"/>
    <x v="181"/>
    <x v="0"/>
    <s v="U.S. dollars"/>
    <s v="Billions"/>
    <x v="2"/>
    <n v="18.533000000000001"/>
  </r>
  <r>
    <n v="505"/>
    <x v="4"/>
    <x v="181"/>
    <x v="0"/>
    <s v="U.S. dollars"/>
    <s v="Billions"/>
    <x v="3"/>
    <n v="15.121"/>
  </r>
  <r>
    <n v="505"/>
    <x v="4"/>
    <x v="181"/>
    <x v="0"/>
    <s v="U.S. dollars"/>
    <s v="Billions"/>
    <x v="4"/>
    <n v="15.196999999999999"/>
  </r>
  <r>
    <n v="505"/>
    <x v="4"/>
    <x v="181"/>
    <x v="0"/>
    <s v="U.S. dollars"/>
    <s v="Billions"/>
    <x v="5"/>
    <n v="15.19"/>
  </r>
  <r>
    <n v="505"/>
    <x v="4"/>
    <x v="181"/>
    <x v="0"/>
    <s v="U.S. dollars"/>
    <s v="Billions"/>
    <x v="6"/>
    <n v="16.221"/>
  </r>
  <r>
    <n v="200"/>
    <x v="3"/>
    <x v="181"/>
    <x v="0"/>
    <s v="U.S. dollars"/>
    <s v="Billions"/>
    <x v="0"/>
    <n v="18.77"/>
  </r>
  <r>
    <n v="200"/>
    <x v="3"/>
    <x v="181"/>
    <x v="0"/>
    <s v="U.S. dollars"/>
    <s v="Billions"/>
    <x v="1"/>
    <n v="18.510999999999999"/>
  </r>
  <r>
    <n v="200"/>
    <x v="3"/>
    <x v="181"/>
    <x v="0"/>
    <s v="U.S. dollars"/>
    <s v="Billions"/>
    <x v="2"/>
    <n v="18.533000000000001"/>
  </r>
  <r>
    <n v="200"/>
    <x v="3"/>
    <x v="181"/>
    <x v="0"/>
    <s v="U.S. dollars"/>
    <s v="Billions"/>
    <x v="3"/>
    <n v="15.121"/>
  </r>
  <r>
    <n v="200"/>
    <x v="3"/>
    <x v="181"/>
    <x v="0"/>
    <s v="U.S. dollars"/>
    <s v="Billions"/>
    <x v="4"/>
    <n v="15.196999999999999"/>
  </r>
  <r>
    <n v="200"/>
    <x v="3"/>
    <x v="181"/>
    <x v="0"/>
    <s v="U.S. dollars"/>
    <s v="Billions"/>
    <x v="5"/>
    <n v="15.19"/>
  </r>
  <r>
    <n v="200"/>
    <x v="3"/>
    <x v="181"/>
    <x v="0"/>
    <s v="U.S. dollars"/>
    <s v="Billions"/>
    <x v="6"/>
    <n v="16.221"/>
  </r>
  <r>
    <n v="1"/>
    <x v="2"/>
    <x v="181"/>
    <x v="0"/>
    <s v="U.S. dollars"/>
    <s v="Billions"/>
    <x v="0"/>
    <n v="18.77"/>
  </r>
  <r>
    <n v="1"/>
    <x v="2"/>
    <x v="181"/>
    <x v="0"/>
    <s v="U.S. dollars"/>
    <s v="Billions"/>
    <x v="1"/>
    <n v="18.510999999999999"/>
  </r>
  <r>
    <n v="1"/>
    <x v="2"/>
    <x v="181"/>
    <x v="0"/>
    <s v="U.S. dollars"/>
    <s v="Billions"/>
    <x v="2"/>
    <n v="18.533000000000001"/>
  </r>
  <r>
    <n v="1"/>
    <x v="2"/>
    <x v="181"/>
    <x v="0"/>
    <s v="U.S. dollars"/>
    <s v="Billions"/>
    <x v="3"/>
    <n v="15.121"/>
  </r>
  <r>
    <n v="1"/>
    <x v="2"/>
    <x v="181"/>
    <x v="0"/>
    <s v="U.S. dollars"/>
    <s v="Billions"/>
    <x v="4"/>
    <n v="15.196999999999999"/>
  </r>
  <r>
    <n v="1"/>
    <x v="2"/>
    <x v="181"/>
    <x v="0"/>
    <s v="U.S. dollars"/>
    <s v="Billions"/>
    <x v="5"/>
    <n v="15.19"/>
  </r>
  <r>
    <n v="1"/>
    <x v="2"/>
    <x v="181"/>
    <x v="0"/>
    <s v="U.S. dollars"/>
    <s v="Billions"/>
    <x v="6"/>
    <n v="16.221"/>
  </r>
  <r>
    <n v="1"/>
    <x v="2"/>
    <x v="171"/>
    <x v="7"/>
    <s v="Percent of GDP"/>
    <s v="Units"/>
    <x v="0"/>
    <n v="10.891999999999999"/>
  </r>
  <r>
    <n v="1"/>
    <x v="2"/>
    <x v="171"/>
    <x v="7"/>
    <s v="Percent of GDP"/>
    <s v="Units"/>
    <x v="1"/>
    <n v="4.6619999999999999"/>
  </r>
  <r>
    <n v="1"/>
    <x v="2"/>
    <x v="171"/>
    <x v="7"/>
    <s v="Percent of GDP"/>
    <s v="Units"/>
    <x v="2"/>
    <n v="4.7649999999999997"/>
  </r>
  <r>
    <n v="1"/>
    <x v="2"/>
    <x v="171"/>
    <x v="7"/>
    <s v="Percent of GDP"/>
    <s v="Units"/>
    <x v="3"/>
    <n v="13.635"/>
  </r>
  <r>
    <n v="1"/>
    <x v="2"/>
    <x v="171"/>
    <x v="7"/>
    <s v="Percent of GDP"/>
    <s v="Units"/>
    <x v="4"/>
    <n v="18.266999999999999"/>
  </r>
  <r>
    <n v="1"/>
    <x v="2"/>
    <x v="171"/>
    <x v="7"/>
    <s v="Percent of GDP"/>
    <s v="Units"/>
    <x v="5"/>
    <n v="15.141"/>
  </r>
  <r>
    <n v="1"/>
    <x v="2"/>
    <x v="171"/>
    <x v="7"/>
    <s v="Percent of GDP"/>
    <s v="Units"/>
    <x v="6"/>
    <n v="16.527000000000001"/>
  </r>
  <r>
    <n v="200"/>
    <x v="3"/>
    <x v="171"/>
    <x v="7"/>
    <s v="Percent of GDP"/>
    <s v="Units"/>
    <x v="0"/>
    <n v="10.891999999999999"/>
  </r>
  <r>
    <n v="200"/>
    <x v="3"/>
    <x v="171"/>
    <x v="7"/>
    <s v="Percent of GDP"/>
    <s v="Units"/>
    <x v="1"/>
    <n v="4.6619999999999999"/>
  </r>
  <r>
    <n v="200"/>
    <x v="3"/>
    <x v="171"/>
    <x v="7"/>
    <s v="Percent of GDP"/>
    <s v="Units"/>
    <x v="2"/>
    <n v="4.7649999999999997"/>
  </r>
  <r>
    <n v="200"/>
    <x v="3"/>
    <x v="171"/>
    <x v="7"/>
    <s v="Percent of GDP"/>
    <s v="Units"/>
    <x v="3"/>
    <n v="13.635"/>
  </r>
  <r>
    <n v="200"/>
    <x v="3"/>
    <x v="171"/>
    <x v="7"/>
    <s v="Percent of GDP"/>
    <s v="Units"/>
    <x v="4"/>
    <n v="18.266999999999999"/>
  </r>
  <r>
    <n v="200"/>
    <x v="3"/>
    <x v="171"/>
    <x v="7"/>
    <s v="Percent of GDP"/>
    <s v="Units"/>
    <x v="5"/>
    <n v="15.141"/>
  </r>
  <r>
    <n v="200"/>
    <x v="3"/>
    <x v="171"/>
    <x v="7"/>
    <s v="Percent of GDP"/>
    <s v="Units"/>
    <x v="6"/>
    <n v="16.527000000000001"/>
  </r>
  <r>
    <n v="603"/>
    <x v="12"/>
    <x v="171"/>
    <x v="7"/>
    <s v="Percent of GDP"/>
    <s v="Units"/>
    <x v="0"/>
    <n v="10.891999999999999"/>
  </r>
  <r>
    <n v="603"/>
    <x v="12"/>
    <x v="171"/>
    <x v="7"/>
    <s v="Percent of GDP"/>
    <s v="Units"/>
    <x v="1"/>
    <n v="4.6619999999999999"/>
  </r>
  <r>
    <n v="603"/>
    <x v="12"/>
    <x v="171"/>
    <x v="7"/>
    <s v="Percent of GDP"/>
    <s v="Units"/>
    <x v="2"/>
    <n v="4.7649999999999997"/>
  </r>
  <r>
    <n v="603"/>
    <x v="12"/>
    <x v="171"/>
    <x v="7"/>
    <s v="Percent of GDP"/>
    <s v="Units"/>
    <x v="3"/>
    <n v="13.635"/>
  </r>
  <r>
    <n v="603"/>
    <x v="12"/>
    <x v="171"/>
    <x v="7"/>
    <s v="Percent of GDP"/>
    <s v="Units"/>
    <x v="4"/>
    <n v="18.266999999999999"/>
  </r>
  <r>
    <n v="603"/>
    <x v="12"/>
    <x v="171"/>
    <x v="7"/>
    <s v="Percent of GDP"/>
    <s v="Units"/>
    <x v="5"/>
    <n v="15.141"/>
  </r>
  <r>
    <n v="603"/>
    <x v="12"/>
    <x v="171"/>
    <x v="7"/>
    <s v="Percent of GDP"/>
    <s v="Units"/>
    <x v="6"/>
    <n v="16.527000000000001"/>
  </r>
  <r>
    <n v="200"/>
    <x v="3"/>
    <x v="168"/>
    <x v="1"/>
    <s v="Percent change"/>
    <s v="Units"/>
    <x v="0"/>
    <n v="7.1159999999999997"/>
  </r>
  <r>
    <n v="200"/>
    <x v="3"/>
    <x v="168"/>
    <x v="1"/>
    <s v="Percent change"/>
    <s v="Units"/>
    <x v="1"/>
    <n v="5.931"/>
  </r>
  <r>
    <n v="200"/>
    <x v="3"/>
    <x v="168"/>
    <x v="1"/>
    <s v="Percent change"/>
    <s v="Units"/>
    <x v="2"/>
    <n v="7.37"/>
  </r>
  <r>
    <n v="200"/>
    <x v="3"/>
    <x v="168"/>
    <x v="1"/>
    <s v="Percent change"/>
    <s v="Units"/>
    <x v="3"/>
    <n v="11.513"/>
  </r>
  <r>
    <n v="200"/>
    <x v="3"/>
    <x v="168"/>
    <x v="1"/>
    <s v="Percent change"/>
    <s v="Units"/>
    <x v="4"/>
    <n v="16.966000000000001"/>
  </r>
  <r>
    <n v="200"/>
    <x v="3"/>
    <x v="168"/>
    <x v="1"/>
    <s v="Percent change"/>
    <s v="Units"/>
    <x v="5"/>
    <n v="15.122999999999999"/>
  </r>
  <r>
    <n v="200"/>
    <x v="3"/>
    <x v="168"/>
    <x v="1"/>
    <s v="Percent change"/>
    <s v="Units"/>
    <x v="6"/>
    <n v="10.523"/>
  </r>
  <r>
    <n v="603"/>
    <x v="12"/>
    <x v="168"/>
    <x v="1"/>
    <s v="Percent change"/>
    <s v="Units"/>
    <x v="0"/>
    <n v="7.1159999999999997"/>
  </r>
  <r>
    <n v="603"/>
    <x v="12"/>
    <x v="168"/>
    <x v="1"/>
    <s v="Percent change"/>
    <s v="Units"/>
    <x v="1"/>
    <n v="5.931"/>
  </r>
  <r>
    <n v="603"/>
    <x v="12"/>
    <x v="168"/>
    <x v="1"/>
    <s v="Percent change"/>
    <s v="Units"/>
    <x v="2"/>
    <n v="7.37"/>
  </r>
  <r>
    <n v="603"/>
    <x v="12"/>
    <x v="168"/>
    <x v="1"/>
    <s v="Percent change"/>
    <s v="Units"/>
    <x v="3"/>
    <n v="11.513"/>
  </r>
  <r>
    <n v="603"/>
    <x v="12"/>
    <x v="168"/>
    <x v="1"/>
    <s v="Percent change"/>
    <s v="Units"/>
    <x v="4"/>
    <n v="16.966000000000001"/>
  </r>
  <r>
    <n v="603"/>
    <x v="12"/>
    <x v="168"/>
    <x v="1"/>
    <s v="Percent change"/>
    <s v="Units"/>
    <x v="5"/>
    <n v="15.122999999999999"/>
  </r>
  <r>
    <n v="603"/>
    <x v="12"/>
    <x v="168"/>
    <x v="1"/>
    <s v="Percent change"/>
    <s v="Units"/>
    <x v="6"/>
    <n v="10.523"/>
  </r>
  <r>
    <n v="1"/>
    <x v="2"/>
    <x v="168"/>
    <x v="1"/>
    <s v="Percent change"/>
    <s v="Units"/>
    <x v="0"/>
    <n v="7.1159999999999997"/>
  </r>
  <r>
    <n v="1"/>
    <x v="2"/>
    <x v="168"/>
    <x v="1"/>
    <s v="Percent change"/>
    <s v="Units"/>
    <x v="1"/>
    <n v="5.931"/>
  </r>
  <r>
    <n v="1"/>
    <x v="2"/>
    <x v="168"/>
    <x v="1"/>
    <s v="Percent change"/>
    <s v="Units"/>
    <x v="2"/>
    <n v="7.37"/>
  </r>
  <r>
    <n v="1"/>
    <x v="2"/>
    <x v="168"/>
    <x v="1"/>
    <s v="Percent change"/>
    <s v="Units"/>
    <x v="3"/>
    <n v="11.513"/>
  </r>
  <r>
    <n v="1"/>
    <x v="2"/>
    <x v="168"/>
    <x v="1"/>
    <s v="Percent change"/>
    <s v="Units"/>
    <x v="4"/>
    <n v="16.966000000000001"/>
  </r>
  <r>
    <n v="1"/>
    <x v="2"/>
    <x v="168"/>
    <x v="1"/>
    <s v="Percent change"/>
    <s v="Units"/>
    <x v="5"/>
    <n v="15.122999999999999"/>
  </r>
  <r>
    <n v="1"/>
    <x v="2"/>
    <x v="168"/>
    <x v="1"/>
    <s v="Percent change"/>
    <s v="Units"/>
    <x v="6"/>
    <n v="10.523"/>
  </r>
  <r>
    <n v="505"/>
    <x v="4"/>
    <x v="93"/>
    <x v="1"/>
    <s v="Percent change"/>
    <s v="Units"/>
    <x v="0"/>
    <n v="8.6270000000000007"/>
  </r>
  <r>
    <n v="505"/>
    <x v="4"/>
    <x v="93"/>
    <x v="1"/>
    <s v="Percent change"/>
    <s v="Units"/>
    <x v="1"/>
    <n v="5.7249999999999996"/>
  </r>
  <r>
    <n v="505"/>
    <x v="4"/>
    <x v="93"/>
    <x v="1"/>
    <s v="Percent change"/>
    <s v="Units"/>
    <x v="2"/>
    <n v="3.6419999999999999"/>
  </r>
  <r>
    <n v="505"/>
    <x v="4"/>
    <x v="93"/>
    <x v="1"/>
    <s v="Percent change"/>
    <s v="Units"/>
    <x v="3"/>
    <n v="18.385000000000002"/>
  </r>
  <r>
    <n v="505"/>
    <x v="4"/>
    <x v="93"/>
    <x v="1"/>
    <s v="Percent change"/>
    <s v="Units"/>
    <x v="4"/>
    <n v="27.1"/>
  </r>
  <r>
    <n v="505"/>
    <x v="4"/>
    <x v="93"/>
    <x v="1"/>
    <s v="Percent change"/>
    <s v="Units"/>
    <x v="5"/>
    <n v="15"/>
  </r>
  <r>
    <n v="505"/>
    <x v="4"/>
    <x v="93"/>
    <x v="1"/>
    <s v="Percent change"/>
    <s v="Units"/>
    <x v="6"/>
    <n v="7.8"/>
  </r>
  <r>
    <n v="200"/>
    <x v="3"/>
    <x v="93"/>
    <x v="1"/>
    <s v="Percent change"/>
    <s v="Units"/>
    <x v="0"/>
    <n v="8.6270000000000007"/>
  </r>
  <r>
    <n v="200"/>
    <x v="3"/>
    <x v="93"/>
    <x v="1"/>
    <s v="Percent change"/>
    <s v="Units"/>
    <x v="1"/>
    <n v="5.7249999999999996"/>
  </r>
  <r>
    <n v="200"/>
    <x v="3"/>
    <x v="93"/>
    <x v="1"/>
    <s v="Percent change"/>
    <s v="Units"/>
    <x v="2"/>
    <n v="3.6419999999999999"/>
  </r>
  <r>
    <n v="200"/>
    <x v="3"/>
    <x v="93"/>
    <x v="1"/>
    <s v="Percent change"/>
    <s v="Units"/>
    <x v="3"/>
    <n v="18.385000000000002"/>
  </r>
  <r>
    <n v="200"/>
    <x v="3"/>
    <x v="93"/>
    <x v="1"/>
    <s v="Percent change"/>
    <s v="Units"/>
    <x v="4"/>
    <n v="27.1"/>
  </r>
  <r>
    <n v="200"/>
    <x v="3"/>
    <x v="93"/>
    <x v="1"/>
    <s v="Percent change"/>
    <s v="Units"/>
    <x v="5"/>
    <n v="15"/>
  </r>
  <r>
    <n v="200"/>
    <x v="3"/>
    <x v="93"/>
    <x v="1"/>
    <s v="Percent change"/>
    <s v="Units"/>
    <x v="6"/>
    <n v="7.8"/>
  </r>
  <r>
    <n v="1"/>
    <x v="2"/>
    <x v="93"/>
    <x v="1"/>
    <s v="Percent change"/>
    <s v="Units"/>
    <x v="0"/>
    <n v="8.6270000000000007"/>
  </r>
  <r>
    <n v="1"/>
    <x v="2"/>
    <x v="93"/>
    <x v="1"/>
    <s v="Percent change"/>
    <s v="Units"/>
    <x v="1"/>
    <n v="5.7249999999999996"/>
  </r>
  <r>
    <n v="1"/>
    <x v="2"/>
    <x v="93"/>
    <x v="1"/>
    <s v="Percent change"/>
    <s v="Units"/>
    <x v="2"/>
    <n v="3.6419999999999999"/>
  </r>
  <r>
    <n v="1"/>
    <x v="2"/>
    <x v="93"/>
    <x v="1"/>
    <s v="Percent change"/>
    <s v="Units"/>
    <x v="3"/>
    <n v="18.385000000000002"/>
  </r>
  <r>
    <n v="1"/>
    <x v="2"/>
    <x v="93"/>
    <x v="1"/>
    <s v="Percent change"/>
    <s v="Units"/>
    <x v="4"/>
    <n v="27.1"/>
  </r>
  <r>
    <n v="1"/>
    <x v="2"/>
    <x v="93"/>
    <x v="1"/>
    <s v="Percent change"/>
    <s v="Units"/>
    <x v="5"/>
    <n v="15"/>
  </r>
  <r>
    <n v="1"/>
    <x v="2"/>
    <x v="93"/>
    <x v="1"/>
    <s v="Percent change"/>
    <s v="Units"/>
    <x v="6"/>
    <n v="7.8"/>
  </r>
  <r>
    <n v="123"/>
    <x v="9"/>
    <x v="30"/>
    <x v="9"/>
    <s v="Percent of GDP"/>
    <s v="Units"/>
    <x v="0"/>
    <n v="6.5220000000000002"/>
  </r>
  <r>
    <n v="123"/>
    <x v="9"/>
    <x v="30"/>
    <x v="9"/>
    <s v="Percent of GDP"/>
    <s v="Units"/>
    <x v="1"/>
    <n v="-2.5590000000000002"/>
  </r>
  <r>
    <n v="123"/>
    <x v="9"/>
    <x v="30"/>
    <x v="9"/>
    <s v="Percent of GDP"/>
    <s v="Units"/>
    <x v="2"/>
    <n v="10.332000000000001"/>
  </r>
  <r>
    <n v="123"/>
    <x v="9"/>
    <x v="30"/>
    <x v="9"/>
    <s v="Percent of GDP"/>
    <s v="Units"/>
    <x v="3"/>
    <n v="25.408999999999999"/>
  </r>
  <r>
    <n v="123"/>
    <x v="9"/>
    <x v="30"/>
    <x v="9"/>
    <s v="Percent of GDP"/>
    <s v="Units"/>
    <x v="4"/>
    <n v="14.180999999999999"/>
  </r>
  <r>
    <n v="123"/>
    <x v="9"/>
    <x v="30"/>
    <x v="9"/>
    <s v="Percent of GDP"/>
    <s v="Units"/>
    <x v="5"/>
    <n v="14.859"/>
  </r>
  <r>
    <n v="123"/>
    <x v="9"/>
    <x v="30"/>
    <x v="9"/>
    <s v="Percent of GDP"/>
    <s v="Units"/>
    <x v="6"/>
    <n v="13.256"/>
  </r>
  <r>
    <n v="110"/>
    <x v="0"/>
    <x v="30"/>
    <x v="9"/>
    <s v="Percent of GDP"/>
    <s v="Units"/>
    <x v="0"/>
    <n v="6.5220000000000002"/>
  </r>
  <r>
    <n v="110"/>
    <x v="0"/>
    <x v="30"/>
    <x v="9"/>
    <s v="Percent of GDP"/>
    <s v="Units"/>
    <x v="1"/>
    <n v="-2.5590000000000002"/>
  </r>
  <r>
    <n v="110"/>
    <x v="0"/>
    <x v="30"/>
    <x v="9"/>
    <s v="Percent of GDP"/>
    <s v="Units"/>
    <x v="2"/>
    <n v="10.332000000000001"/>
  </r>
  <r>
    <n v="110"/>
    <x v="0"/>
    <x v="30"/>
    <x v="9"/>
    <s v="Percent of GDP"/>
    <s v="Units"/>
    <x v="3"/>
    <n v="25.408999999999999"/>
  </r>
  <r>
    <n v="110"/>
    <x v="0"/>
    <x v="30"/>
    <x v="9"/>
    <s v="Percent of GDP"/>
    <s v="Units"/>
    <x v="4"/>
    <n v="14.180999999999999"/>
  </r>
  <r>
    <n v="110"/>
    <x v="0"/>
    <x v="30"/>
    <x v="9"/>
    <s v="Percent of GDP"/>
    <s v="Units"/>
    <x v="5"/>
    <n v="14.859"/>
  </r>
  <r>
    <n v="110"/>
    <x v="0"/>
    <x v="30"/>
    <x v="9"/>
    <s v="Percent of GDP"/>
    <s v="Units"/>
    <x v="6"/>
    <n v="13.256"/>
  </r>
  <r>
    <n v="1"/>
    <x v="2"/>
    <x v="119"/>
    <x v="5"/>
    <s v="Percent of GDP"/>
    <s v="Units"/>
    <x v="0"/>
    <n v="13.494"/>
  </r>
  <r>
    <n v="1"/>
    <x v="2"/>
    <x v="119"/>
    <x v="5"/>
    <s v="Percent of GDP"/>
    <s v="Units"/>
    <x v="1"/>
    <n v="21.957999999999998"/>
  </r>
  <r>
    <n v="1"/>
    <x v="2"/>
    <x v="119"/>
    <x v="5"/>
    <s v="Percent of GDP"/>
    <s v="Units"/>
    <x v="2"/>
    <n v="15.409000000000001"/>
  </r>
  <r>
    <n v="1"/>
    <x v="2"/>
    <x v="119"/>
    <x v="5"/>
    <s v="Percent of GDP"/>
    <s v="Units"/>
    <x v="3"/>
    <n v="-20.873000000000001"/>
  </r>
  <r>
    <n v="1"/>
    <x v="2"/>
    <x v="119"/>
    <x v="5"/>
    <s v="Percent of GDP"/>
    <s v="Units"/>
    <x v="4"/>
    <n v="-7.1369999999999996"/>
  </r>
  <r>
    <n v="1"/>
    <x v="2"/>
    <x v="119"/>
    <x v="5"/>
    <s v="Percent of GDP"/>
    <s v="Units"/>
    <x v="5"/>
    <n v="14.794"/>
  </r>
  <r>
    <n v="1"/>
    <x v="2"/>
    <x v="119"/>
    <x v="5"/>
    <s v="Percent of GDP"/>
    <s v="Units"/>
    <x v="6"/>
    <n v="17.126000000000001"/>
  </r>
  <r>
    <n v="200"/>
    <x v="3"/>
    <x v="119"/>
    <x v="5"/>
    <s v="Percent of GDP"/>
    <s v="Units"/>
    <x v="0"/>
    <n v="13.494"/>
  </r>
  <r>
    <n v="200"/>
    <x v="3"/>
    <x v="119"/>
    <x v="5"/>
    <s v="Percent of GDP"/>
    <s v="Units"/>
    <x v="1"/>
    <n v="21.957999999999998"/>
  </r>
  <r>
    <n v="200"/>
    <x v="3"/>
    <x v="119"/>
    <x v="5"/>
    <s v="Percent of GDP"/>
    <s v="Units"/>
    <x v="2"/>
    <n v="15.409000000000001"/>
  </r>
  <r>
    <n v="200"/>
    <x v="3"/>
    <x v="119"/>
    <x v="5"/>
    <s v="Percent of GDP"/>
    <s v="Units"/>
    <x v="3"/>
    <n v="-20.873000000000001"/>
  </r>
  <r>
    <n v="200"/>
    <x v="3"/>
    <x v="119"/>
    <x v="5"/>
    <s v="Percent of GDP"/>
    <s v="Units"/>
    <x v="4"/>
    <n v="-7.1369999999999996"/>
  </r>
  <r>
    <n v="200"/>
    <x v="3"/>
    <x v="119"/>
    <x v="5"/>
    <s v="Percent of GDP"/>
    <s v="Units"/>
    <x v="5"/>
    <n v="14.794"/>
  </r>
  <r>
    <n v="200"/>
    <x v="3"/>
    <x v="119"/>
    <x v="5"/>
    <s v="Percent of GDP"/>
    <s v="Units"/>
    <x v="6"/>
    <n v="17.126000000000001"/>
  </r>
  <r>
    <n v="400"/>
    <x v="11"/>
    <x v="119"/>
    <x v="5"/>
    <s v="Percent of GDP"/>
    <s v="Units"/>
    <x v="0"/>
    <n v="13.494"/>
  </r>
  <r>
    <n v="400"/>
    <x v="11"/>
    <x v="119"/>
    <x v="5"/>
    <s v="Percent of GDP"/>
    <s v="Units"/>
    <x v="1"/>
    <n v="21.957999999999998"/>
  </r>
  <r>
    <n v="400"/>
    <x v="11"/>
    <x v="119"/>
    <x v="5"/>
    <s v="Percent of GDP"/>
    <s v="Units"/>
    <x v="2"/>
    <n v="15.409000000000001"/>
  </r>
  <r>
    <n v="400"/>
    <x v="11"/>
    <x v="119"/>
    <x v="5"/>
    <s v="Percent of GDP"/>
    <s v="Units"/>
    <x v="3"/>
    <n v="-20.873000000000001"/>
  </r>
  <r>
    <n v="400"/>
    <x v="11"/>
    <x v="119"/>
    <x v="5"/>
    <s v="Percent of GDP"/>
    <s v="Units"/>
    <x v="4"/>
    <n v="-7.1369999999999996"/>
  </r>
  <r>
    <n v="400"/>
    <x v="11"/>
    <x v="119"/>
    <x v="5"/>
    <s v="Percent of GDP"/>
    <s v="Units"/>
    <x v="5"/>
    <n v="14.794"/>
  </r>
  <r>
    <n v="400"/>
    <x v="11"/>
    <x v="119"/>
    <x v="5"/>
    <s v="Percent of GDP"/>
    <s v="Units"/>
    <x v="6"/>
    <n v="17.126000000000001"/>
  </r>
  <r>
    <n v="1"/>
    <x v="2"/>
    <x v="129"/>
    <x v="4"/>
    <s v="Percent change"/>
    <s v="Units"/>
    <x v="0"/>
    <n v="-15.813000000000001"/>
  </r>
  <r>
    <n v="1"/>
    <x v="2"/>
    <x v="129"/>
    <x v="4"/>
    <s v="Percent change"/>
    <s v="Units"/>
    <x v="1"/>
    <n v="-15.366"/>
  </r>
  <r>
    <n v="1"/>
    <x v="2"/>
    <x v="129"/>
    <x v="4"/>
    <s v="Percent change"/>
    <s v="Units"/>
    <x v="2"/>
    <n v="5.1349999999999998"/>
  </r>
  <r>
    <n v="1"/>
    <x v="2"/>
    <x v="129"/>
    <x v="4"/>
    <s v="Percent change"/>
    <s v="Units"/>
    <x v="3"/>
    <n v="-2.1779999999999999"/>
  </r>
  <r>
    <n v="1"/>
    <x v="2"/>
    <x v="129"/>
    <x v="4"/>
    <s v="Percent change"/>
    <s v="Units"/>
    <x v="4"/>
    <n v="15.645"/>
  </r>
  <r>
    <n v="1"/>
    <x v="2"/>
    <x v="129"/>
    <x v="4"/>
    <s v="Percent change"/>
    <s v="Units"/>
    <x v="5"/>
    <n v="14.779"/>
  </r>
  <r>
    <n v="1"/>
    <x v="2"/>
    <x v="129"/>
    <x v="4"/>
    <s v="Percent change"/>
    <s v="Units"/>
    <x v="6"/>
    <n v="7.7270000000000003"/>
  </r>
  <r>
    <n v="603"/>
    <x v="12"/>
    <x v="129"/>
    <x v="4"/>
    <s v="Percent change"/>
    <s v="Units"/>
    <x v="0"/>
    <n v="-15.813000000000001"/>
  </r>
  <r>
    <n v="603"/>
    <x v="12"/>
    <x v="129"/>
    <x v="4"/>
    <s v="Percent change"/>
    <s v="Units"/>
    <x v="1"/>
    <n v="-15.366"/>
  </r>
  <r>
    <n v="603"/>
    <x v="12"/>
    <x v="129"/>
    <x v="4"/>
    <s v="Percent change"/>
    <s v="Units"/>
    <x v="2"/>
    <n v="5.1349999999999998"/>
  </r>
  <r>
    <n v="603"/>
    <x v="12"/>
    <x v="129"/>
    <x v="4"/>
    <s v="Percent change"/>
    <s v="Units"/>
    <x v="3"/>
    <n v="-2.1779999999999999"/>
  </r>
  <r>
    <n v="603"/>
    <x v="12"/>
    <x v="129"/>
    <x v="4"/>
    <s v="Percent change"/>
    <s v="Units"/>
    <x v="4"/>
    <n v="15.645"/>
  </r>
  <r>
    <n v="603"/>
    <x v="12"/>
    <x v="129"/>
    <x v="4"/>
    <s v="Percent change"/>
    <s v="Units"/>
    <x v="5"/>
    <n v="14.779"/>
  </r>
  <r>
    <n v="603"/>
    <x v="12"/>
    <x v="129"/>
    <x v="4"/>
    <s v="Percent change"/>
    <s v="Units"/>
    <x v="6"/>
    <n v="7.7270000000000003"/>
  </r>
  <r>
    <n v="200"/>
    <x v="3"/>
    <x v="129"/>
    <x v="4"/>
    <s v="Percent change"/>
    <s v="Units"/>
    <x v="0"/>
    <n v="-15.813000000000001"/>
  </r>
  <r>
    <n v="200"/>
    <x v="3"/>
    <x v="129"/>
    <x v="4"/>
    <s v="Percent change"/>
    <s v="Units"/>
    <x v="1"/>
    <n v="-15.366"/>
  </r>
  <r>
    <n v="200"/>
    <x v="3"/>
    <x v="129"/>
    <x v="4"/>
    <s v="Percent change"/>
    <s v="Units"/>
    <x v="2"/>
    <n v="5.1349999999999998"/>
  </r>
  <r>
    <n v="200"/>
    <x v="3"/>
    <x v="129"/>
    <x v="4"/>
    <s v="Percent change"/>
    <s v="Units"/>
    <x v="3"/>
    <n v="-2.1779999999999999"/>
  </r>
  <r>
    <n v="200"/>
    <x v="3"/>
    <x v="129"/>
    <x v="4"/>
    <s v="Percent change"/>
    <s v="Units"/>
    <x v="4"/>
    <n v="15.645"/>
  </r>
  <r>
    <n v="200"/>
    <x v="3"/>
    <x v="129"/>
    <x v="4"/>
    <s v="Percent change"/>
    <s v="Units"/>
    <x v="5"/>
    <n v="14.779"/>
  </r>
  <r>
    <n v="200"/>
    <x v="3"/>
    <x v="129"/>
    <x v="4"/>
    <s v="Percent change"/>
    <s v="Units"/>
    <x v="6"/>
    <n v="7.7270000000000003"/>
  </r>
  <r>
    <n v="200"/>
    <x v="3"/>
    <x v="112"/>
    <x v="2"/>
    <s v="Percent of GDP"/>
    <s v="Units"/>
    <x v="0"/>
    <n v="19.774999999999999"/>
  </r>
  <r>
    <n v="200"/>
    <x v="3"/>
    <x v="112"/>
    <x v="2"/>
    <s v="Percent of GDP"/>
    <s v="Units"/>
    <x v="1"/>
    <n v="17.777999999999999"/>
  </r>
  <r>
    <n v="200"/>
    <x v="3"/>
    <x v="112"/>
    <x v="2"/>
    <s v="Percent of GDP"/>
    <s v="Units"/>
    <x v="2"/>
    <n v="15.811"/>
  </r>
  <r>
    <n v="200"/>
    <x v="3"/>
    <x v="112"/>
    <x v="2"/>
    <s v="Percent of GDP"/>
    <s v="Units"/>
    <x v="3"/>
    <n v="17.015999999999998"/>
  </r>
  <r>
    <n v="200"/>
    <x v="3"/>
    <x v="112"/>
    <x v="2"/>
    <s v="Percent of GDP"/>
    <s v="Units"/>
    <x v="4"/>
    <n v="15.526999999999999"/>
  </r>
  <r>
    <n v="200"/>
    <x v="3"/>
    <x v="112"/>
    <x v="2"/>
    <s v="Percent of GDP"/>
    <s v="Units"/>
    <x v="5"/>
    <n v="14.747"/>
  </r>
  <r>
    <n v="200"/>
    <x v="3"/>
    <x v="112"/>
    <x v="2"/>
    <s v="Percent of GDP"/>
    <s v="Units"/>
    <x v="6"/>
    <n v="14.824"/>
  </r>
  <r>
    <n v="505"/>
    <x v="4"/>
    <x v="112"/>
    <x v="2"/>
    <s v="Percent of GDP"/>
    <s v="Units"/>
    <x v="0"/>
    <n v="19.774999999999999"/>
  </r>
  <r>
    <n v="505"/>
    <x v="4"/>
    <x v="112"/>
    <x v="2"/>
    <s v="Percent of GDP"/>
    <s v="Units"/>
    <x v="1"/>
    <n v="17.777999999999999"/>
  </r>
  <r>
    <n v="505"/>
    <x v="4"/>
    <x v="112"/>
    <x v="2"/>
    <s v="Percent of GDP"/>
    <s v="Units"/>
    <x v="2"/>
    <n v="15.811"/>
  </r>
  <r>
    <n v="505"/>
    <x v="4"/>
    <x v="112"/>
    <x v="2"/>
    <s v="Percent of GDP"/>
    <s v="Units"/>
    <x v="3"/>
    <n v="17.015999999999998"/>
  </r>
  <r>
    <n v="505"/>
    <x v="4"/>
    <x v="112"/>
    <x v="2"/>
    <s v="Percent of GDP"/>
    <s v="Units"/>
    <x v="4"/>
    <n v="15.526999999999999"/>
  </r>
  <r>
    <n v="505"/>
    <x v="4"/>
    <x v="112"/>
    <x v="2"/>
    <s v="Percent of GDP"/>
    <s v="Units"/>
    <x v="5"/>
    <n v="14.747"/>
  </r>
  <r>
    <n v="505"/>
    <x v="4"/>
    <x v="112"/>
    <x v="2"/>
    <s v="Percent of GDP"/>
    <s v="Units"/>
    <x v="6"/>
    <n v="14.824"/>
  </r>
  <r>
    <n v="603"/>
    <x v="12"/>
    <x v="89"/>
    <x v="2"/>
    <s v="Percent of GDP"/>
    <s v="Units"/>
    <x v="0"/>
    <n v="10.96"/>
  </r>
  <r>
    <n v="603"/>
    <x v="12"/>
    <x v="89"/>
    <x v="2"/>
    <s v="Percent of GDP"/>
    <s v="Units"/>
    <x v="1"/>
    <n v="9.3580000000000005"/>
  </r>
  <r>
    <n v="603"/>
    <x v="12"/>
    <x v="89"/>
    <x v="2"/>
    <s v="Percent of GDP"/>
    <s v="Units"/>
    <x v="2"/>
    <n v="12.032"/>
  </r>
  <r>
    <n v="603"/>
    <x v="12"/>
    <x v="89"/>
    <x v="2"/>
    <s v="Percent of GDP"/>
    <s v="Units"/>
    <x v="3"/>
    <n v="16.946999999999999"/>
  </r>
  <r>
    <n v="603"/>
    <x v="12"/>
    <x v="89"/>
    <x v="2"/>
    <s v="Percent of GDP"/>
    <s v="Units"/>
    <x v="4"/>
    <n v="15.127000000000001"/>
  </r>
  <r>
    <n v="603"/>
    <x v="12"/>
    <x v="89"/>
    <x v="2"/>
    <s v="Percent of GDP"/>
    <s v="Units"/>
    <x v="5"/>
    <n v="14.605"/>
  </r>
  <r>
    <n v="603"/>
    <x v="12"/>
    <x v="89"/>
    <x v="2"/>
    <s v="Percent of GDP"/>
    <s v="Units"/>
    <x v="6"/>
    <n v="14.355"/>
  </r>
  <r>
    <n v="200"/>
    <x v="3"/>
    <x v="89"/>
    <x v="2"/>
    <s v="Percent of GDP"/>
    <s v="Units"/>
    <x v="0"/>
    <n v="10.96"/>
  </r>
  <r>
    <n v="200"/>
    <x v="3"/>
    <x v="89"/>
    <x v="2"/>
    <s v="Percent of GDP"/>
    <s v="Units"/>
    <x v="1"/>
    <n v="9.3580000000000005"/>
  </r>
  <r>
    <n v="200"/>
    <x v="3"/>
    <x v="89"/>
    <x v="2"/>
    <s v="Percent of GDP"/>
    <s v="Units"/>
    <x v="2"/>
    <n v="12.032"/>
  </r>
  <r>
    <n v="200"/>
    <x v="3"/>
    <x v="89"/>
    <x v="2"/>
    <s v="Percent of GDP"/>
    <s v="Units"/>
    <x v="3"/>
    <n v="16.946999999999999"/>
  </r>
  <r>
    <n v="200"/>
    <x v="3"/>
    <x v="89"/>
    <x v="2"/>
    <s v="Percent of GDP"/>
    <s v="Units"/>
    <x v="4"/>
    <n v="15.127000000000001"/>
  </r>
  <r>
    <n v="200"/>
    <x v="3"/>
    <x v="89"/>
    <x v="2"/>
    <s v="Percent of GDP"/>
    <s v="Units"/>
    <x v="5"/>
    <n v="14.605"/>
  </r>
  <r>
    <n v="200"/>
    <x v="3"/>
    <x v="89"/>
    <x v="2"/>
    <s v="Percent of GDP"/>
    <s v="Units"/>
    <x v="6"/>
    <n v="14.355"/>
  </r>
  <r>
    <n v="603"/>
    <x v="12"/>
    <x v="173"/>
    <x v="7"/>
    <s v="Percent of GDP"/>
    <s v="Units"/>
    <x v="0"/>
    <n v="17.311"/>
  </r>
  <r>
    <n v="603"/>
    <x v="12"/>
    <x v="173"/>
    <x v="7"/>
    <s v="Percent of GDP"/>
    <s v="Units"/>
    <x v="1"/>
    <n v="17.195"/>
  </r>
  <r>
    <n v="603"/>
    <x v="12"/>
    <x v="173"/>
    <x v="7"/>
    <s v="Percent of GDP"/>
    <s v="Units"/>
    <x v="2"/>
    <n v="17.834"/>
  </r>
  <r>
    <n v="603"/>
    <x v="12"/>
    <x v="173"/>
    <x v="7"/>
    <s v="Percent of GDP"/>
    <s v="Units"/>
    <x v="3"/>
    <n v="17.364999999999998"/>
  </r>
  <r>
    <n v="603"/>
    <x v="12"/>
    <x v="173"/>
    <x v="7"/>
    <s v="Percent of GDP"/>
    <s v="Units"/>
    <x v="4"/>
    <n v="15.702"/>
  </r>
  <r>
    <n v="603"/>
    <x v="12"/>
    <x v="173"/>
    <x v="7"/>
    <s v="Percent of GDP"/>
    <s v="Units"/>
    <x v="5"/>
    <n v="14.583"/>
  </r>
  <r>
    <n v="603"/>
    <x v="12"/>
    <x v="173"/>
    <x v="7"/>
    <s v="Percent of GDP"/>
    <s v="Units"/>
    <x v="6"/>
    <n v="14.362"/>
  </r>
  <r>
    <n v="200"/>
    <x v="3"/>
    <x v="173"/>
    <x v="7"/>
    <s v="Percent of GDP"/>
    <s v="Units"/>
    <x v="0"/>
    <n v="17.311"/>
  </r>
  <r>
    <n v="200"/>
    <x v="3"/>
    <x v="173"/>
    <x v="7"/>
    <s v="Percent of GDP"/>
    <s v="Units"/>
    <x v="1"/>
    <n v="17.195"/>
  </r>
  <r>
    <n v="200"/>
    <x v="3"/>
    <x v="173"/>
    <x v="7"/>
    <s v="Percent of GDP"/>
    <s v="Units"/>
    <x v="2"/>
    <n v="17.834"/>
  </r>
  <r>
    <n v="200"/>
    <x v="3"/>
    <x v="173"/>
    <x v="7"/>
    <s v="Percent of GDP"/>
    <s v="Units"/>
    <x v="3"/>
    <n v="17.364999999999998"/>
  </r>
  <r>
    <n v="200"/>
    <x v="3"/>
    <x v="173"/>
    <x v="7"/>
    <s v="Percent of GDP"/>
    <s v="Units"/>
    <x v="4"/>
    <n v="15.702"/>
  </r>
  <r>
    <n v="200"/>
    <x v="3"/>
    <x v="173"/>
    <x v="7"/>
    <s v="Percent of GDP"/>
    <s v="Units"/>
    <x v="5"/>
    <n v="14.583"/>
  </r>
  <r>
    <n v="200"/>
    <x v="3"/>
    <x v="173"/>
    <x v="7"/>
    <s v="Percent of GDP"/>
    <s v="Units"/>
    <x v="6"/>
    <n v="14.362"/>
  </r>
  <r>
    <n v="1"/>
    <x v="2"/>
    <x v="173"/>
    <x v="7"/>
    <s v="Percent of GDP"/>
    <s v="Units"/>
    <x v="0"/>
    <n v="17.311"/>
  </r>
  <r>
    <n v="1"/>
    <x v="2"/>
    <x v="173"/>
    <x v="7"/>
    <s v="Percent of GDP"/>
    <s v="Units"/>
    <x v="1"/>
    <n v="17.195"/>
  </r>
  <r>
    <n v="1"/>
    <x v="2"/>
    <x v="173"/>
    <x v="7"/>
    <s v="Percent of GDP"/>
    <s v="Units"/>
    <x v="2"/>
    <n v="17.834"/>
  </r>
  <r>
    <n v="1"/>
    <x v="2"/>
    <x v="173"/>
    <x v="7"/>
    <s v="Percent of GDP"/>
    <s v="Units"/>
    <x v="3"/>
    <n v="17.364999999999998"/>
  </r>
  <r>
    <n v="1"/>
    <x v="2"/>
    <x v="173"/>
    <x v="7"/>
    <s v="Percent of GDP"/>
    <s v="Units"/>
    <x v="4"/>
    <n v="15.702"/>
  </r>
  <r>
    <n v="1"/>
    <x v="2"/>
    <x v="173"/>
    <x v="7"/>
    <s v="Percent of GDP"/>
    <s v="Units"/>
    <x v="5"/>
    <n v="14.583"/>
  </r>
  <r>
    <n v="1"/>
    <x v="2"/>
    <x v="173"/>
    <x v="7"/>
    <s v="Percent of GDP"/>
    <s v="Units"/>
    <x v="6"/>
    <n v="14.362"/>
  </r>
  <r>
    <n v="200"/>
    <x v="3"/>
    <x v="7"/>
    <x v="5"/>
    <s v="Percent of GDP"/>
    <s v="Units"/>
    <x v="0"/>
    <n v="11.885999999999999"/>
  </r>
  <r>
    <n v="200"/>
    <x v="3"/>
    <x v="7"/>
    <x v="5"/>
    <s v="Percent of GDP"/>
    <s v="Units"/>
    <x v="1"/>
    <n v="14.205"/>
  </r>
  <r>
    <n v="200"/>
    <x v="3"/>
    <x v="7"/>
    <x v="5"/>
    <s v="Percent of GDP"/>
    <s v="Units"/>
    <x v="2"/>
    <n v="16.747"/>
  </r>
  <r>
    <n v="200"/>
    <x v="3"/>
    <x v="7"/>
    <x v="5"/>
    <s v="Percent of GDP"/>
    <s v="Units"/>
    <x v="3"/>
    <n v="15.616"/>
  </r>
  <r>
    <n v="200"/>
    <x v="3"/>
    <x v="7"/>
    <x v="5"/>
    <s v="Percent of GDP"/>
    <s v="Units"/>
    <x v="4"/>
    <n v="14.77"/>
  </r>
  <r>
    <n v="200"/>
    <x v="3"/>
    <x v="7"/>
    <x v="5"/>
    <s v="Percent of GDP"/>
    <s v="Units"/>
    <x v="5"/>
    <n v="14.502000000000001"/>
  </r>
  <r>
    <n v="200"/>
    <x v="3"/>
    <x v="7"/>
    <x v="5"/>
    <s v="Percent of GDP"/>
    <s v="Units"/>
    <x v="6"/>
    <n v="14.225"/>
  </r>
  <r>
    <n v="205"/>
    <x v="7"/>
    <x v="7"/>
    <x v="5"/>
    <s v="Percent of GDP"/>
    <s v="Units"/>
    <x v="0"/>
    <n v="11.885999999999999"/>
  </r>
  <r>
    <n v="205"/>
    <x v="7"/>
    <x v="7"/>
    <x v="5"/>
    <s v="Percent of GDP"/>
    <s v="Units"/>
    <x v="1"/>
    <n v="14.205"/>
  </r>
  <r>
    <n v="205"/>
    <x v="7"/>
    <x v="7"/>
    <x v="5"/>
    <s v="Percent of GDP"/>
    <s v="Units"/>
    <x v="2"/>
    <n v="16.747"/>
  </r>
  <r>
    <n v="205"/>
    <x v="7"/>
    <x v="7"/>
    <x v="5"/>
    <s v="Percent of GDP"/>
    <s v="Units"/>
    <x v="3"/>
    <n v="15.616"/>
  </r>
  <r>
    <n v="205"/>
    <x v="7"/>
    <x v="7"/>
    <x v="5"/>
    <s v="Percent of GDP"/>
    <s v="Units"/>
    <x v="4"/>
    <n v="14.77"/>
  </r>
  <r>
    <n v="205"/>
    <x v="7"/>
    <x v="7"/>
    <x v="5"/>
    <s v="Percent of GDP"/>
    <s v="Units"/>
    <x v="5"/>
    <n v="14.502000000000001"/>
  </r>
  <r>
    <n v="205"/>
    <x v="7"/>
    <x v="7"/>
    <x v="5"/>
    <s v="Percent of GDP"/>
    <s v="Units"/>
    <x v="6"/>
    <n v="14.225"/>
  </r>
  <r>
    <n v="1"/>
    <x v="2"/>
    <x v="7"/>
    <x v="5"/>
    <s v="Percent of GDP"/>
    <s v="Units"/>
    <x v="0"/>
    <n v="11.885999999999999"/>
  </r>
  <r>
    <n v="1"/>
    <x v="2"/>
    <x v="7"/>
    <x v="5"/>
    <s v="Percent of GDP"/>
    <s v="Units"/>
    <x v="1"/>
    <n v="14.205"/>
  </r>
  <r>
    <n v="1"/>
    <x v="2"/>
    <x v="7"/>
    <x v="5"/>
    <s v="Percent of GDP"/>
    <s v="Units"/>
    <x v="2"/>
    <n v="16.747"/>
  </r>
  <r>
    <n v="1"/>
    <x v="2"/>
    <x v="7"/>
    <x v="5"/>
    <s v="Percent of GDP"/>
    <s v="Units"/>
    <x v="3"/>
    <n v="15.616"/>
  </r>
  <r>
    <n v="1"/>
    <x v="2"/>
    <x v="7"/>
    <x v="5"/>
    <s v="Percent of GDP"/>
    <s v="Units"/>
    <x v="4"/>
    <n v="14.77"/>
  </r>
  <r>
    <n v="1"/>
    <x v="2"/>
    <x v="7"/>
    <x v="5"/>
    <s v="Percent of GDP"/>
    <s v="Units"/>
    <x v="5"/>
    <n v="14.502000000000001"/>
  </r>
  <r>
    <n v="1"/>
    <x v="2"/>
    <x v="7"/>
    <x v="5"/>
    <s v="Percent of GDP"/>
    <s v="Units"/>
    <x v="6"/>
    <n v="14.225"/>
  </r>
  <r>
    <n v="205"/>
    <x v="7"/>
    <x v="68"/>
    <x v="3"/>
    <s v="Percent of GDP"/>
    <s v="Units"/>
    <x v="0"/>
    <n v="13.441000000000001"/>
  </r>
  <r>
    <n v="205"/>
    <x v="7"/>
    <x v="68"/>
    <x v="3"/>
    <s v="Percent of GDP"/>
    <s v="Units"/>
    <x v="1"/>
    <n v="15.586"/>
  </r>
  <r>
    <n v="205"/>
    <x v="7"/>
    <x v="68"/>
    <x v="3"/>
    <s v="Percent of GDP"/>
    <s v="Units"/>
    <x v="2"/>
    <n v="13.532"/>
  </r>
  <r>
    <n v="205"/>
    <x v="7"/>
    <x v="68"/>
    <x v="3"/>
    <s v="Percent of GDP"/>
    <s v="Units"/>
    <x v="3"/>
    <n v="14.363"/>
  </r>
  <r>
    <n v="205"/>
    <x v="7"/>
    <x v="68"/>
    <x v="3"/>
    <s v="Percent of GDP"/>
    <s v="Units"/>
    <x v="4"/>
    <n v="14.044"/>
  </r>
  <r>
    <n v="205"/>
    <x v="7"/>
    <x v="68"/>
    <x v="3"/>
    <s v="Percent of GDP"/>
    <s v="Units"/>
    <x v="5"/>
    <n v="14.423999999999999"/>
  </r>
  <r>
    <n v="205"/>
    <x v="7"/>
    <x v="68"/>
    <x v="3"/>
    <s v="Percent of GDP"/>
    <s v="Units"/>
    <x v="6"/>
    <n v="15.288"/>
  </r>
  <r>
    <n v="200"/>
    <x v="3"/>
    <x v="68"/>
    <x v="3"/>
    <s v="Percent of GDP"/>
    <s v="Units"/>
    <x v="0"/>
    <n v="13.441000000000001"/>
  </r>
  <r>
    <n v="200"/>
    <x v="3"/>
    <x v="68"/>
    <x v="3"/>
    <s v="Percent of GDP"/>
    <s v="Units"/>
    <x v="1"/>
    <n v="15.586"/>
  </r>
  <r>
    <n v="200"/>
    <x v="3"/>
    <x v="68"/>
    <x v="3"/>
    <s v="Percent of GDP"/>
    <s v="Units"/>
    <x v="2"/>
    <n v="13.532"/>
  </r>
  <r>
    <n v="200"/>
    <x v="3"/>
    <x v="68"/>
    <x v="3"/>
    <s v="Percent of GDP"/>
    <s v="Units"/>
    <x v="3"/>
    <n v="14.363"/>
  </r>
  <r>
    <n v="200"/>
    <x v="3"/>
    <x v="68"/>
    <x v="3"/>
    <s v="Percent of GDP"/>
    <s v="Units"/>
    <x v="4"/>
    <n v="14.044"/>
  </r>
  <r>
    <n v="200"/>
    <x v="3"/>
    <x v="68"/>
    <x v="3"/>
    <s v="Percent of GDP"/>
    <s v="Units"/>
    <x v="5"/>
    <n v="14.423999999999999"/>
  </r>
  <r>
    <n v="200"/>
    <x v="3"/>
    <x v="68"/>
    <x v="3"/>
    <s v="Percent of GDP"/>
    <s v="Units"/>
    <x v="6"/>
    <n v="15.288"/>
  </r>
  <r>
    <n v="1"/>
    <x v="2"/>
    <x v="175"/>
    <x v="0"/>
    <s v="U.S. dollars"/>
    <s v="Billions"/>
    <x v="0"/>
    <n v="13.058999999999999"/>
  </r>
  <r>
    <n v="1"/>
    <x v="2"/>
    <x v="175"/>
    <x v="0"/>
    <s v="U.S. dollars"/>
    <s v="Billions"/>
    <x v="1"/>
    <n v="9.7550000000000008"/>
  </r>
  <r>
    <n v="1"/>
    <x v="2"/>
    <x v="175"/>
    <x v="0"/>
    <s v="U.S. dollars"/>
    <s v="Billions"/>
    <x v="2"/>
    <n v="11.528"/>
  </r>
  <r>
    <n v="1"/>
    <x v="2"/>
    <x v="175"/>
    <x v="0"/>
    <s v="U.S. dollars"/>
    <s v="Billions"/>
    <x v="3"/>
    <n v="12.897"/>
  </r>
  <r>
    <n v="1"/>
    <x v="2"/>
    <x v="175"/>
    <x v="0"/>
    <s v="U.S. dollars"/>
    <s v="Billions"/>
    <x v="4"/>
    <n v="13.816000000000001"/>
  </r>
  <r>
    <n v="1"/>
    <x v="2"/>
    <x v="175"/>
    <x v="0"/>
    <s v="U.S. dollars"/>
    <s v="Billions"/>
    <x v="5"/>
    <n v="14.39"/>
  </r>
  <r>
    <n v="1"/>
    <x v="2"/>
    <x v="175"/>
    <x v="0"/>
    <s v="U.S. dollars"/>
    <s v="Billions"/>
    <x v="6"/>
    <n v="14.926"/>
  </r>
  <r>
    <n v="200"/>
    <x v="3"/>
    <x v="175"/>
    <x v="0"/>
    <s v="U.S. dollars"/>
    <s v="Billions"/>
    <x v="0"/>
    <n v="13.058999999999999"/>
  </r>
  <r>
    <n v="200"/>
    <x v="3"/>
    <x v="175"/>
    <x v="0"/>
    <s v="U.S. dollars"/>
    <s v="Billions"/>
    <x v="1"/>
    <n v="9.7550000000000008"/>
  </r>
  <r>
    <n v="200"/>
    <x v="3"/>
    <x v="175"/>
    <x v="0"/>
    <s v="U.S. dollars"/>
    <s v="Billions"/>
    <x v="2"/>
    <n v="11.528"/>
  </r>
  <r>
    <n v="200"/>
    <x v="3"/>
    <x v="175"/>
    <x v="0"/>
    <s v="U.S. dollars"/>
    <s v="Billions"/>
    <x v="3"/>
    <n v="12.897"/>
  </r>
  <r>
    <n v="200"/>
    <x v="3"/>
    <x v="175"/>
    <x v="0"/>
    <s v="U.S. dollars"/>
    <s v="Billions"/>
    <x v="4"/>
    <n v="13.816000000000001"/>
  </r>
  <r>
    <n v="200"/>
    <x v="3"/>
    <x v="175"/>
    <x v="0"/>
    <s v="U.S. dollars"/>
    <s v="Billions"/>
    <x v="5"/>
    <n v="14.39"/>
  </r>
  <r>
    <n v="200"/>
    <x v="3"/>
    <x v="175"/>
    <x v="0"/>
    <s v="U.S. dollars"/>
    <s v="Billions"/>
    <x v="6"/>
    <n v="14.926"/>
  </r>
  <r>
    <n v="205"/>
    <x v="7"/>
    <x v="175"/>
    <x v="0"/>
    <s v="U.S. dollars"/>
    <s v="Billions"/>
    <x v="0"/>
    <n v="13.058999999999999"/>
  </r>
  <r>
    <n v="205"/>
    <x v="7"/>
    <x v="175"/>
    <x v="0"/>
    <s v="U.S. dollars"/>
    <s v="Billions"/>
    <x v="1"/>
    <n v="9.7550000000000008"/>
  </r>
  <r>
    <n v="205"/>
    <x v="7"/>
    <x v="175"/>
    <x v="0"/>
    <s v="U.S. dollars"/>
    <s v="Billions"/>
    <x v="2"/>
    <n v="11.528"/>
  </r>
  <r>
    <n v="205"/>
    <x v="7"/>
    <x v="175"/>
    <x v="0"/>
    <s v="U.S. dollars"/>
    <s v="Billions"/>
    <x v="3"/>
    <n v="12.897"/>
  </r>
  <r>
    <n v="205"/>
    <x v="7"/>
    <x v="175"/>
    <x v="0"/>
    <s v="U.S. dollars"/>
    <s v="Billions"/>
    <x v="4"/>
    <n v="13.816000000000001"/>
  </r>
  <r>
    <n v="205"/>
    <x v="7"/>
    <x v="175"/>
    <x v="0"/>
    <s v="U.S. dollars"/>
    <s v="Billions"/>
    <x v="5"/>
    <n v="14.39"/>
  </r>
  <r>
    <n v="205"/>
    <x v="7"/>
    <x v="175"/>
    <x v="0"/>
    <s v="U.S. dollars"/>
    <s v="Billions"/>
    <x v="6"/>
    <n v="14.926"/>
  </r>
  <r>
    <n v="1"/>
    <x v="2"/>
    <x v="158"/>
    <x v="4"/>
    <s v="Percent change"/>
    <s v="Units"/>
    <x v="0"/>
    <n v="-5.14"/>
  </r>
  <r>
    <n v="1"/>
    <x v="2"/>
    <x v="158"/>
    <x v="4"/>
    <s v="Percent change"/>
    <s v="Units"/>
    <x v="1"/>
    <n v="-15.329000000000001"/>
  </r>
  <r>
    <n v="1"/>
    <x v="2"/>
    <x v="158"/>
    <x v="4"/>
    <s v="Percent change"/>
    <s v="Units"/>
    <x v="2"/>
    <n v="34.518000000000001"/>
  </r>
  <r>
    <n v="1"/>
    <x v="2"/>
    <x v="158"/>
    <x v="4"/>
    <s v="Percent change"/>
    <s v="Units"/>
    <x v="3"/>
    <n v="14.760999999999999"/>
  </r>
  <r>
    <n v="1"/>
    <x v="2"/>
    <x v="158"/>
    <x v="4"/>
    <s v="Percent change"/>
    <s v="Units"/>
    <x v="4"/>
    <n v="19.292000000000002"/>
  </r>
  <r>
    <n v="1"/>
    <x v="2"/>
    <x v="158"/>
    <x v="4"/>
    <s v="Percent change"/>
    <s v="Units"/>
    <x v="5"/>
    <n v="14.239000000000001"/>
  </r>
  <r>
    <n v="1"/>
    <x v="2"/>
    <x v="158"/>
    <x v="4"/>
    <s v="Percent change"/>
    <s v="Units"/>
    <x v="6"/>
    <n v="8.2070000000000007"/>
  </r>
  <r>
    <n v="603"/>
    <x v="12"/>
    <x v="158"/>
    <x v="4"/>
    <s v="Percent change"/>
    <s v="Units"/>
    <x v="0"/>
    <n v="-5.14"/>
  </r>
  <r>
    <n v="603"/>
    <x v="12"/>
    <x v="158"/>
    <x v="4"/>
    <s v="Percent change"/>
    <s v="Units"/>
    <x v="1"/>
    <n v="-15.329000000000001"/>
  </r>
  <r>
    <n v="603"/>
    <x v="12"/>
    <x v="158"/>
    <x v="4"/>
    <s v="Percent change"/>
    <s v="Units"/>
    <x v="2"/>
    <n v="34.518000000000001"/>
  </r>
  <r>
    <n v="603"/>
    <x v="12"/>
    <x v="158"/>
    <x v="4"/>
    <s v="Percent change"/>
    <s v="Units"/>
    <x v="3"/>
    <n v="14.760999999999999"/>
  </r>
  <r>
    <n v="603"/>
    <x v="12"/>
    <x v="158"/>
    <x v="4"/>
    <s v="Percent change"/>
    <s v="Units"/>
    <x v="4"/>
    <n v="19.292000000000002"/>
  </r>
  <r>
    <n v="603"/>
    <x v="12"/>
    <x v="158"/>
    <x v="4"/>
    <s v="Percent change"/>
    <s v="Units"/>
    <x v="5"/>
    <n v="14.239000000000001"/>
  </r>
  <r>
    <n v="603"/>
    <x v="12"/>
    <x v="158"/>
    <x v="4"/>
    <s v="Percent change"/>
    <s v="Units"/>
    <x v="6"/>
    <n v="8.2070000000000007"/>
  </r>
  <r>
    <n v="200"/>
    <x v="3"/>
    <x v="158"/>
    <x v="4"/>
    <s v="Percent change"/>
    <s v="Units"/>
    <x v="0"/>
    <n v="-5.14"/>
  </r>
  <r>
    <n v="200"/>
    <x v="3"/>
    <x v="158"/>
    <x v="4"/>
    <s v="Percent change"/>
    <s v="Units"/>
    <x v="1"/>
    <n v="-15.329000000000001"/>
  </r>
  <r>
    <n v="200"/>
    <x v="3"/>
    <x v="158"/>
    <x v="4"/>
    <s v="Percent change"/>
    <s v="Units"/>
    <x v="2"/>
    <n v="34.518000000000001"/>
  </r>
  <r>
    <n v="200"/>
    <x v="3"/>
    <x v="158"/>
    <x v="4"/>
    <s v="Percent change"/>
    <s v="Units"/>
    <x v="3"/>
    <n v="14.760999999999999"/>
  </r>
  <r>
    <n v="200"/>
    <x v="3"/>
    <x v="158"/>
    <x v="4"/>
    <s v="Percent change"/>
    <s v="Units"/>
    <x v="4"/>
    <n v="19.292000000000002"/>
  </r>
  <r>
    <n v="200"/>
    <x v="3"/>
    <x v="158"/>
    <x v="4"/>
    <s v="Percent change"/>
    <s v="Units"/>
    <x v="5"/>
    <n v="14.239000000000001"/>
  </r>
  <r>
    <n v="200"/>
    <x v="3"/>
    <x v="158"/>
    <x v="4"/>
    <s v="Percent change"/>
    <s v="Units"/>
    <x v="6"/>
    <n v="8.2070000000000007"/>
  </r>
  <r>
    <n v="603"/>
    <x v="12"/>
    <x v="144"/>
    <x v="4"/>
    <s v="Percent change"/>
    <s v="Units"/>
    <x v="0"/>
    <n v="-11.929"/>
  </r>
  <r>
    <n v="603"/>
    <x v="12"/>
    <x v="144"/>
    <x v="4"/>
    <s v="Percent change"/>
    <s v="Units"/>
    <x v="1"/>
    <n v="5.4320000000000004"/>
  </r>
  <r>
    <n v="603"/>
    <x v="12"/>
    <x v="144"/>
    <x v="4"/>
    <s v="Percent change"/>
    <s v="Units"/>
    <x v="2"/>
    <n v="-4.4489999999999998"/>
  </r>
  <r>
    <n v="603"/>
    <x v="12"/>
    <x v="144"/>
    <x v="4"/>
    <s v="Percent change"/>
    <s v="Units"/>
    <x v="3"/>
    <n v="-12.476000000000001"/>
  </r>
  <r>
    <n v="603"/>
    <x v="12"/>
    <x v="144"/>
    <x v="4"/>
    <s v="Percent change"/>
    <s v="Units"/>
    <x v="4"/>
    <n v="18.803999999999998"/>
  </r>
  <r>
    <n v="603"/>
    <x v="12"/>
    <x v="144"/>
    <x v="4"/>
    <s v="Percent change"/>
    <s v="Units"/>
    <x v="5"/>
    <n v="14.236000000000001"/>
  </r>
  <r>
    <n v="603"/>
    <x v="12"/>
    <x v="144"/>
    <x v="4"/>
    <s v="Percent change"/>
    <s v="Units"/>
    <x v="6"/>
    <n v="9.9160000000000004"/>
  </r>
  <r>
    <n v="200"/>
    <x v="3"/>
    <x v="144"/>
    <x v="4"/>
    <s v="Percent change"/>
    <s v="Units"/>
    <x v="0"/>
    <n v="-11.929"/>
  </r>
  <r>
    <n v="200"/>
    <x v="3"/>
    <x v="144"/>
    <x v="4"/>
    <s v="Percent change"/>
    <s v="Units"/>
    <x v="1"/>
    <n v="5.4320000000000004"/>
  </r>
  <r>
    <n v="200"/>
    <x v="3"/>
    <x v="144"/>
    <x v="4"/>
    <s v="Percent change"/>
    <s v="Units"/>
    <x v="2"/>
    <n v="-4.4489999999999998"/>
  </r>
  <r>
    <n v="200"/>
    <x v="3"/>
    <x v="144"/>
    <x v="4"/>
    <s v="Percent change"/>
    <s v="Units"/>
    <x v="3"/>
    <n v="-12.476000000000001"/>
  </r>
  <r>
    <n v="200"/>
    <x v="3"/>
    <x v="144"/>
    <x v="4"/>
    <s v="Percent change"/>
    <s v="Units"/>
    <x v="4"/>
    <n v="18.803999999999998"/>
  </r>
  <r>
    <n v="200"/>
    <x v="3"/>
    <x v="144"/>
    <x v="4"/>
    <s v="Percent change"/>
    <s v="Units"/>
    <x v="5"/>
    <n v="14.236000000000001"/>
  </r>
  <r>
    <n v="200"/>
    <x v="3"/>
    <x v="144"/>
    <x v="4"/>
    <s v="Percent change"/>
    <s v="Units"/>
    <x v="6"/>
    <n v="9.9160000000000004"/>
  </r>
  <r>
    <n v="1"/>
    <x v="2"/>
    <x v="144"/>
    <x v="4"/>
    <s v="Percent change"/>
    <s v="Units"/>
    <x v="0"/>
    <n v="-11.929"/>
  </r>
  <r>
    <n v="1"/>
    <x v="2"/>
    <x v="144"/>
    <x v="4"/>
    <s v="Percent change"/>
    <s v="Units"/>
    <x v="1"/>
    <n v="5.4320000000000004"/>
  </r>
  <r>
    <n v="1"/>
    <x v="2"/>
    <x v="144"/>
    <x v="4"/>
    <s v="Percent change"/>
    <s v="Units"/>
    <x v="2"/>
    <n v="-4.4489999999999998"/>
  </r>
  <r>
    <n v="1"/>
    <x v="2"/>
    <x v="144"/>
    <x v="4"/>
    <s v="Percent change"/>
    <s v="Units"/>
    <x v="3"/>
    <n v="-12.476000000000001"/>
  </r>
  <r>
    <n v="1"/>
    <x v="2"/>
    <x v="144"/>
    <x v="4"/>
    <s v="Percent change"/>
    <s v="Units"/>
    <x v="4"/>
    <n v="18.803999999999998"/>
  </r>
  <r>
    <n v="1"/>
    <x v="2"/>
    <x v="144"/>
    <x v="4"/>
    <s v="Percent change"/>
    <s v="Units"/>
    <x v="5"/>
    <n v="14.236000000000001"/>
  </r>
  <r>
    <n v="1"/>
    <x v="2"/>
    <x v="144"/>
    <x v="4"/>
    <s v="Percent change"/>
    <s v="Units"/>
    <x v="6"/>
    <n v="9.9160000000000004"/>
  </r>
  <r>
    <n v="1"/>
    <x v="2"/>
    <x v="5"/>
    <x v="5"/>
    <s v="Percent of GDP"/>
    <s v="Units"/>
    <x v="0"/>
    <n v="15.561999999999999"/>
  </r>
  <r>
    <n v="1"/>
    <x v="2"/>
    <x v="5"/>
    <x v="5"/>
    <s v="Percent of GDP"/>
    <s v="Units"/>
    <x v="1"/>
    <n v="14.657"/>
  </r>
  <r>
    <n v="1"/>
    <x v="2"/>
    <x v="5"/>
    <x v="5"/>
    <s v="Percent of GDP"/>
    <s v="Units"/>
    <x v="2"/>
    <n v="17.074999999999999"/>
  </r>
  <r>
    <n v="1"/>
    <x v="2"/>
    <x v="5"/>
    <x v="5"/>
    <s v="Percent of GDP"/>
    <s v="Units"/>
    <x v="3"/>
    <n v="16.247"/>
  </r>
  <r>
    <n v="1"/>
    <x v="2"/>
    <x v="5"/>
    <x v="5"/>
    <s v="Percent of GDP"/>
    <s v="Units"/>
    <x v="4"/>
    <n v="16.175999999999998"/>
  </r>
  <r>
    <n v="1"/>
    <x v="2"/>
    <x v="5"/>
    <x v="5"/>
    <s v="Percent of GDP"/>
    <s v="Units"/>
    <x v="5"/>
    <n v="14.23"/>
  </r>
  <r>
    <n v="1"/>
    <x v="2"/>
    <x v="5"/>
    <x v="5"/>
    <s v="Percent of GDP"/>
    <s v="Units"/>
    <x v="6"/>
    <n v="14.368"/>
  </r>
  <r>
    <n v="110"/>
    <x v="0"/>
    <x v="5"/>
    <x v="5"/>
    <s v="Percent of GDP"/>
    <s v="Units"/>
    <x v="0"/>
    <n v="15.561999999999999"/>
  </r>
  <r>
    <n v="110"/>
    <x v="0"/>
    <x v="5"/>
    <x v="5"/>
    <s v="Percent of GDP"/>
    <s v="Units"/>
    <x v="1"/>
    <n v="14.657"/>
  </r>
  <r>
    <n v="110"/>
    <x v="0"/>
    <x v="5"/>
    <x v="5"/>
    <s v="Percent of GDP"/>
    <s v="Units"/>
    <x v="2"/>
    <n v="17.074999999999999"/>
  </r>
  <r>
    <n v="110"/>
    <x v="0"/>
    <x v="5"/>
    <x v="5"/>
    <s v="Percent of GDP"/>
    <s v="Units"/>
    <x v="3"/>
    <n v="16.247"/>
  </r>
  <r>
    <n v="110"/>
    <x v="0"/>
    <x v="5"/>
    <x v="5"/>
    <s v="Percent of GDP"/>
    <s v="Units"/>
    <x v="4"/>
    <n v="16.175999999999998"/>
  </r>
  <r>
    <n v="110"/>
    <x v="0"/>
    <x v="5"/>
    <x v="5"/>
    <s v="Percent of GDP"/>
    <s v="Units"/>
    <x v="5"/>
    <n v="14.23"/>
  </r>
  <r>
    <n v="110"/>
    <x v="0"/>
    <x v="5"/>
    <x v="5"/>
    <s v="Percent of GDP"/>
    <s v="Units"/>
    <x v="6"/>
    <n v="14.368"/>
  </r>
  <r>
    <n v="119"/>
    <x v="1"/>
    <x v="5"/>
    <x v="5"/>
    <s v="Percent of GDP"/>
    <s v="Units"/>
    <x v="0"/>
    <n v="15.561999999999999"/>
  </r>
  <r>
    <n v="119"/>
    <x v="1"/>
    <x v="5"/>
    <x v="5"/>
    <s v="Percent of GDP"/>
    <s v="Units"/>
    <x v="1"/>
    <n v="14.657"/>
  </r>
  <r>
    <n v="119"/>
    <x v="1"/>
    <x v="5"/>
    <x v="5"/>
    <s v="Percent of GDP"/>
    <s v="Units"/>
    <x v="2"/>
    <n v="17.074999999999999"/>
  </r>
  <r>
    <n v="119"/>
    <x v="1"/>
    <x v="5"/>
    <x v="5"/>
    <s v="Percent of GDP"/>
    <s v="Units"/>
    <x v="3"/>
    <n v="16.247"/>
  </r>
  <r>
    <n v="119"/>
    <x v="1"/>
    <x v="5"/>
    <x v="5"/>
    <s v="Percent of GDP"/>
    <s v="Units"/>
    <x v="4"/>
    <n v="16.175999999999998"/>
  </r>
  <r>
    <n v="119"/>
    <x v="1"/>
    <x v="5"/>
    <x v="5"/>
    <s v="Percent of GDP"/>
    <s v="Units"/>
    <x v="5"/>
    <n v="14.23"/>
  </r>
  <r>
    <n v="119"/>
    <x v="1"/>
    <x v="5"/>
    <x v="5"/>
    <s v="Percent of GDP"/>
    <s v="Units"/>
    <x v="6"/>
    <n v="14.368"/>
  </r>
  <r>
    <n v="603"/>
    <x v="12"/>
    <x v="165"/>
    <x v="1"/>
    <s v="Percent change"/>
    <s v="Units"/>
    <x v="0"/>
    <n v="7.7160000000000002"/>
  </r>
  <r>
    <n v="603"/>
    <x v="12"/>
    <x v="165"/>
    <x v="1"/>
    <s v="Percent change"/>
    <s v="Units"/>
    <x v="1"/>
    <n v="9.82"/>
  </r>
  <r>
    <n v="603"/>
    <x v="12"/>
    <x v="165"/>
    <x v="1"/>
    <s v="Percent change"/>
    <s v="Units"/>
    <x v="2"/>
    <n v="8.1379999999999999"/>
  </r>
  <r>
    <n v="603"/>
    <x v="12"/>
    <x v="165"/>
    <x v="1"/>
    <s v="Percent change"/>
    <s v="Units"/>
    <x v="3"/>
    <n v="18.006"/>
  </r>
  <r>
    <n v="603"/>
    <x v="12"/>
    <x v="165"/>
    <x v="1"/>
    <s v="Percent change"/>
    <s v="Units"/>
    <x v="4"/>
    <n v="21.184000000000001"/>
  </r>
  <r>
    <n v="603"/>
    <x v="12"/>
    <x v="165"/>
    <x v="1"/>
    <s v="Percent change"/>
    <s v="Units"/>
    <x v="5"/>
    <n v="14.191000000000001"/>
  </r>
  <r>
    <n v="603"/>
    <x v="12"/>
    <x v="165"/>
    <x v="1"/>
    <s v="Percent change"/>
    <s v="Units"/>
    <x v="6"/>
    <n v="7.8490000000000002"/>
  </r>
  <r>
    <n v="1"/>
    <x v="2"/>
    <x v="165"/>
    <x v="1"/>
    <s v="Percent change"/>
    <s v="Units"/>
    <x v="0"/>
    <n v="7.7160000000000002"/>
  </r>
  <r>
    <n v="1"/>
    <x v="2"/>
    <x v="165"/>
    <x v="1"/>
    <s v="Percent change"/>
    <s v="Units"/>
    <x v="1"/>
    <n v="9.82"/>
  </r>
  <r>
    <n v="1"/>
    <x v="2"/>
    <x v="165"/>
    <x v="1"/>
    <s v="Percent change"/>
    <s v="Units"/>
    <x v="2"/>
    <n v="8.1379999999999999"/>
  </r>
  <r>
    <n v="1"/>
    <x v="2"/>
    <x v="165"/>
    <x v="1"/>
    <s v="Percent change"/>
    <s v="Units"/>
    <x v="3"/>
    <n v="18.006"/>
  </r>
  <r>
    <n v="1"/>
    <x v="2"/>
    <x v="165"/>
    <x v="1"/>
    <s v="Percent change"/>
    <s v="Units"/>
    <x v="4"/>
    <n v="21.184000000000001"/>
  </r>
  <r>
    <n v="1"/>
    <x v="2"/>
    <x v="165"/>
    <x v="1"/>
    <s v="Percent change"/>
    <s v="Units"/>
    <x v="5"/>
    <n v="14.191000000000001"/>
  </r>
  <r>
    <n v="1"/>
    <x v="2"/>
    <x v="165"/>
    <x v="1"/>
    <s v="Percent change"/>
    <s v="Units"/>
    <x v="6"/>
    <n v="7.8490000000000002"/>
  </r>
  <r>
    <n v="200"/>
    <x v="3"/>
    <x v="165"/>
    <x v="1"/>
    <s v="Percent change"/>
    <s v="Units"/>
    <x v="0"/>
    <n v="7.7160000000000002"/>
  </r>
  <r>
    <n v="200"/>
    <x v="3"/>
    <x v="165"/>
    <x v="1"/>
    <s v="Percent change"/>
    <s v="Units"/>
    <x v="1"/>
    <n v="9.82"/>
  </r>
  <r>
    <n v="200"/>
    <x v="3"/>
    <x v="165"/>
    <x v="1"/>
    <s v="Percent change"/>
    <s v="Units"/>
    <x v="2"/>
    <n v="8.1379999999999999"/>
  </r>
  <r>
    <n v="200"/>
    <x v="3"/>
    <x v="165"/>
    <x v="1"/>
    <s v="Percent change"/>
    <s v="Units"/>
    <x v="3"/>
    <n v="18.006"/>
  </r>
  <r>
    <n v="200"/>
    <x v="3"/>
    <x v="165"/>
    <x v="1"/>
    <s v="Percent change"/>
    <s v="Units"/>
    <x v="4"/>
    <n v="21.184000000000001"/>
  </r>
  <r>
    <n v="200"/>
    <x v="3"/>
    <x v="165"/>
    <x v="1"/>
    <s v="Percent change"/>
    <s v="Units"/>
    <x v="5"/>
    <n v="14.191000000000001"/>
  </r>
  <r>
    <n v="200"/>
    <x v="3"/>
    <x v="165"/>
    <x v="1"/>
    <s v="Percent change"/>
    <s v="Units"/>
    <x v="6"/>
    <n v="7.8490000000000002"/>
  </r>
  <r>
    <n v="200"/>
    <x v="3"/>
    <x v="34"/>
    <x v="3"/>
    <s v="Percent of GDP"/>
    <s v="Units"/>
    <x v="0"/>
    <n v="14.14"/>
  </r>
  <r>
    <n v="200"/>
    <x v="3"/>
    <x v="34"/>
    <x v="3"/>
    <s v="Percent of GDP"/>
    <s v="Units"/>
    <x v="1"/>
    <n v="13.007999999999999"/>
  </r>
  <r>
    <n v="200"/>
    <x v="3"/>
    <x v="34"/>
    <x v="3"/>
    <s v="Percent of GDP"/>
    <s v="Units"/>
    <x v="2"/>
    <n v="14.186"/>
  </r>
  <r>
    <n v="200"/>
    <x v="3"/>
    <x v="34"/>
    <x v="3"/>
    <s v="Percent of GDP"/>
    <s v="Units"/>
    <x v="3"/>
    <n v="13.817"/>
  </r>
  <r>
    <n v="200"/>
    <x v="3"/>
    <x v="34"/>
    <x v="3"/>
    <s v="Percent of GDP"/>
    <s v="Units"/>
    <x v="4"/>
    <n v="13.542999999999999"/>
  </r>
  <r>
    <n v="200"/>
    <x v="3"/>
    <x v="34"/>
    <x v="3"/>
    <s v="Percent of GDP"/>
    <s v="Units"/>
    <x v="5"/>
    <n v="14.163"/>
  </r>
  <r>
    <n v="200"/>
    <x v="3"/>
    <x v="34"/>
    <x v="3"/>
    <s v="Percent of GDP"/>
    <s v="Units"/>
    <x v="6"/>
    <n v="14.491"/>
  </r>
  <r>
    <n v="400"/>
    <x v="11"/>
    <x v="34"/>
    <x v="3"/>
    <s v="Percent of GDP"/>
    <s v="Units"/>
    <x v="0"/>
    <n v="14.14"/>
  </r>
  <r>
    <n v="400"/>
    <x v="11"/>
    <x v="34"/>
    <x v="3"/>
    <s v="Percent of GDP"/>
    <s v="Units"/>
    <x v="1"/>
    <n v="13.007999999999999"/>
  </r>
  <r>
    <n v="400"/>
    <x v="11"/>
    <x v="34"/>
    <x v="3"/>
    <s v="Percent of GDP"/>
    <s v="Units"/>
    <x v="2"/>
    <n v="14.186"/>
  </r>
  <r>
    <n v="400"/>
    <x v="11"/>
    <x v="34"/>
    <x v="3"/>
    <s v="Percent of GDP"/>
    <s v="Units"/>
    <x v="3"/>
    <n v="13.817"/>
  </r>
  <r>
    <n v="400"/>
    <x v="11"/>
    <x v="34"/>
    <x v="3"/>
    <s v="Percent of GDP"/>
    <s v="Units"/>
    <x v="4"/>
    <n v="13.542999999999999"/>
  </r>
  <r>
    <n v="400"/>
    <x v="11"/>
    <x v="34"/>
    <x v="3"/>
    <s v="Percent of GDP"/>
    <s v="Units"/>
    <x v="5"/>
    <n v="14.163"/>
  </r>
  <r>
    <n v="400"/>
    <x v="11"/>
    <x v="34"/>
    <x v="3"/>
    <s v="Percent of GDP"/>
    <s v="Units"/>
    <x v="6"/>
    <n v="14.491"/>
  </r>
  <r>
    <n v="200"/>
    <x v="3"/>
    <x v="74"/>
    <x v="5"/>
    <s v="Percent of GDP"/>
    <s v="Units"/>
    <x v="0"/>
    <n v="14.781000000000001"/>
  </r>
  <r>
    <n v="200"/>
    <x v="3"/>
    <x v="74"/>
    <x v="5"/>
    <s v="Percent of GDP"/>
    <s v="Units"/>
    <x v="1"/>
    <n v="15.151"/>
  </r>
  <r>
    <n v="200"/>
    <x v="3"/>
    <x v="74"/>
    <x v="5"/>
    <s v="Percent of GDP"/>
    <s v="Units"/>
    <x v="2"/>
    <n v="15.41"/>
  </r>
  <r>
    <n v="200"/>
    <x v="3"/>
    <x v="74"/>
    <x v="5"/>
    <s v="Percent of GDP"/>
    <s v="Units"/>
    <x v="3"/>
    <n v="14.532999999999999"/>
  </r>
  <r>
    <n v="200"/>
    <x v="3"/>
    <x v="74"/>
    <x v="5"/>
    <s v="Percent of GDP"/>
    <s v="Units"/>
    <x v="4"/>
    <n v="13.981999999999999"/>
  </r>
  <r>
    <n v="200"/>
    <x v="3"/>
    <x v="74"/>
    <x v="5"/>
    <s v="Percent of GDP"/>
    <s v="Units"/>
    <x v="5"/>
    <n v="14.106"/>
  </r>
  <r>
    <n v="200"/>
    <x v="3"/>
    <x v="74"/>
    <x v="5"/>
    <s v="Percent of GDP"/>
    <s v="Units"/>
    <x v="6"/>
    <n v="14.558999999999999"/>
  </r>
  <r>
    <n v="1"/>
    <x v="2"/>
    <x v="74"/>
    <x v="5"/>
    <s v="Percent of GDP"/>
    <s v="Units"/>
    <x v="0"/>
    <n v="14.781000000000001"/>
  </r>
  <r>
    <n v="1"/>
    <x v="2"/>
    <x v="74"/>
    <x v="5"/>
    <s v="Percent of GDP"/>
    <s v="Units"/>
    <x v="1"/>
    <n v="15.151"/>
  </r>
  <r>
    <n v="1"/>
    <x v="2"/>
    <x v="74"/>
    <x v="5"/>
    <s v="Percent of GDP"/>
    <s v="Units"/>
    <x v="2"/>
    <n v="15.41"/>
  </r>
  <r>
    <n v="1"/>
    <x v="2"/>
    <x v="74"/>
    <x v="5"/>
    <s v="Percent of GDP"/>
    <s v="Units"/>
    <x v="3"/>
    <n v="14.532999999999999"/>
  </r>
  <r>
    <n v="1"/>
    <x v="2"/>
    <x v="74"/>
    <x v="5"/>
    <s v="Percent of GDP"/>
    <s v="Units"/>
    <x v="4"/>
    <n v="13.981999999999999"/>
  </r>
  <r>
    <n v="1"/>
    <x v="2"/>
    <x v="74"/>
    <x v="5"/>
    <s v="Percent of GDP"/>
    <s v="Units"/>
    <x v="5"/>
    <n v="14.106"/>
  </r>
  <r>
    <n v="1"/>
    <x v="2"/>
    <x v="74"/>
    <x v="5"/>
    <s v="Percent of GDP"/>
    <s v="Units"/>
    <x v="6"/>
    <n v="14.558999999999999"/>
  </r>
  <r>
    <n v="205"/>
    <x v="7"/>
    <x v="74"/>
    <x v="5"/>
    <s v="Percent of GDP"/>
    <s v="Units"/>
    <x v="0"/>
    <n v="14.781000000000001"/>
  </r>
  <r>
    <n v="205"/>
    <x v="7"/>
    <x v="74"/>
    <x v="5"/>
    <s v="Percent of GDP"/>
    <s v="Units"/>
    <x v="1"/>
    <n v="15.151"/>
  </r>
  <r>
    <n v="205"/>
    <x v="7"/>
    <x v="74"/>
    <x v="5"/>
    <s v="Percent of GDP"/>
    <s v="Units"/>
    <x v="2"/>
    <n v="15.41"/>
  </r>
  <r>
    <n v="205"/>
    <x v="7"/>
    <x v="74"/>
    <x v="5"/>
    <s v="Percent of GDP"/>
    <s v="Units"/>
    <x v="3"/>
    <n v="14.532999999999999"/>
  </r>
  <r>
    <n v="205"/>
    <x v="7"/>
    <x v="74"/>
    <x v="5"/>
    <s v="Percent of GDP"/>
    <s v="Units"/>
    <x v="4"/>
    <n v="13.981999999999999"/>
  </r>
  <r>
    <n v="205"/>
    <x v="7"/>
    <x v="74"/>
    <x v="5"/>
    <s v="Percent of GDP"/>
    <s v="Units"/>
    <x v="5"/>
    <n v="14.106"/>
  </r>
  <r>
    <n v="205"/>
    <x v="7"/>
    <x v="74"/>
    <x v="5"/>
    <s v="Percent of GDP"/>
    <s v="Units"/>
    <x v="6"/>
    <n v="14.558999999999999"/>
  </r>
  <r>
    <n v="200"/>
    <x v="3"/>
    <x v="173"/>
    <x v="6"/>
    <s v="Percent change"/>
    <s v="Units"/>
    <x v="0"/>
    <n v="-5.0510000000000002"/>
  </r>
  <r>
    <n v="200"/>
    <x v="3"/>
    <x v="173"/>
    <x v="6"/>
    <s v="Percent change"/>
    <s v="Units"/>
    <x v="1"/>
    <n v="82.126000000000005"/>
  </r>
  <r>
    <n v="200"/>
    <x v="3"/>
    <x v="173"/>
    <x v="6"/>
    <s v="Percent change"/>
    <s v="Units"/>
    <x v="2"/>
    <n v="-24.425000000000001"/>
  </r>
  <r>
    <n v="200"/>
    <x v="3"/>
    <x v="173"/>
    <x v="6"/>
    <s v="Percent change"/>
    <s v="Units"/>
    <x v="3"/>
    <n v="-15.182"/>
  </r>
  <r>
    <n v="200"/>
    <x v="3"/>
    <x v="173"/>
    <x v="6"/>
    <s v="Percent change"/>
    <s v="Units"/>
    <x v="4"/>
    <n v="2.9929999999999999"/>
  </r>
  <r>
    <n v="200"/>
    <x v="3"/>
    <x v="173"/>
    <x v="6"/>
    <s v="Percent change"/>
    <s v="Units"/>
    <x v="5"/>
    <n v="14.095000000000001"/>
  </r>
  <r>
    <n v="200"/>
    <x v="3"/>
    <x v="173"/>
    <x v="6"/>
    <s v="Percent change"/>
    <s v="Units"/>
    <x v="6"/>
    <n v="8.9499999999999993"/>
  </r>
  <r>
    <n v="603"/>
    <x v="12"/>
    <x v="173"/>
    <x v="6"/>
    <s v="Percent change"/>
    <s v="Units"/>
    <x v="0"/>
    <n v="-5.0510000000000002"/>
  </r>
  <r>
    <n v="603"/>
    <x v="12"/>
    <x v="173"/>
    <x v="6"/>
    <s v="Percent change"/>
    <s v="Units"/>
    <x v="1"/>
    <n v="82.126000000000005"/>
  </r>
  <r>
    <n v="603"/>
    <x v="12"/>
    <x v="173"/>
    <x v="6"/>
    <s v="Percent change"/>
    <s v="Units"/>
    <x v="2"/>
    <n v="-24.425000000000001"/>
  </r>
  <r>
    <n v="603"/>
    <x v="12"/>
    <x v="173"/>
    <x v="6"/>
    <s v="Percent change"/>
    <s v="Units"/>
    <x v="3"/>
    <n v="-15.182"/>
  </r>
  <r>
    <n v="603"/>
    <x v="12"/>
    <x v="173"/>
    <x v="6"/>
    <s v="Percent change"/>
    <s v="Units"/>
    <x v="4"/>
    <n v="2.9929999999999999"/>
  </r>
  <r>
    <n v="603"/>
    <x v="12"/>
    <x v="173"/>
    <x v="6"/>
    <s v="Percent change"/>
    <s v="Units"/>
    <x v="5"/>
    <n v="14.095000000000001"/>
  </r>
  <r>
    <n v="603"/>
    <x v="12"/>
    <x v="173"/>
    <x v="6"/>
    <s v="Percent change"/>
    <s v="Units"/>
    <x v="6"/>
    <n v="8.9499999999999993"/>
  </r>
  <r>
    <n v="1"/>
    <x v="2"/>
    <x v="173"/>
    <x v="6"/>
    <s v="Percent change"/>
    <s v="Units"/>
    <x v="0"/>
    <n v="-5.0510000000000002"/>
  </r>
  <r>
    <n v="1"/>
    <x v="2"/>
    <x v="173"/>
    <x v="6"/>
    <s v="Percent change"/>
    <s v="Units"/>
    <x v="1"/>
    <n v="82.126000000000005"/>
  </r>
  <r>
    <n v="1"/>
    <x v="2"/>
    <x v="173"/>
    <x v="6"/>
    <s v="Percent change"/>
    <s v="Units"/>
    <x v="2"/>
    <n v="-24.425000000000001"/>
  </r>
  <r>
    <n v="1"/>
    <x v="2"/>
    <x v="173"/>
    <x v="6"/>
    <s v="Percent change"/>
    <s v="Units"/>
    <x v="3"/>
    <n v="-15.182"/>
  </r>
  <r>
    <n v="1"/>
    <x v="2"/>
    <x v="173"/>
    <x v="6"/>
    <s v="Percent change"/>
    <s v="Units"/>
    <x v="4"/>
    <n v="2.9929999999999999"/>
  </r>
  <r>
    <n v="1"/>
    <x v="2"/>
    <x v="173"/>
    <x v="6"/>
    <s v="Percent change"/>
    <s v="Units"/>
    <x v="5"/>
    <n v="14.095000000000001"/>
  </r>
  <r>
    <n v="1"/>
    <x v="2"/>
    <x v="173"/>
    <x v="6"/>
    <s v="Percent change"/>
    <s v="Units"/>
    <x v="6"/>
    <n v="8.9499999999999993"/>
  </r>
  <r>
    <n v="1"/>
    <x v="2"/>
    <x v="71"/>
    <x v="5"/>
    <s v="Percent of GDP"/>
    <s v="Units"/>
    <x v="0"/>
    <n v="14.101000000000001"/>
  </r>
  <r>
    <n v="1"/>
    <x v="2"/>
    <x v="71"/>
    <x v="5"/>
    <s v="Percent of GDP"/>
    <s v="Units"/>
    <x v="1"/>
    <n v="14.904999999999999"/>
  </r>
  <r>
    <n v="1"/>
    <x v="2"/>
    <x v="71"/>
    <x v="5"/>
    <s v="Percent of GDP"/>
    <s v="Units"/>
    <x v="2"/>
    <n v="15.163"/>
  </r>
  <r>
    <n v="1"/>
    <x v="2"/>
    <x v="71"/>
    <x v="5"/>
    <s v="Percent of GDP"/>
    <s v="Units"/>
    <x v="3"/>
    <n v="13.943"/>
  </r>
  <r>
    <n v="1"/>
    <x v="2"/>
    <x v="71"/>
    <x v="5"/>
    <s v="Percent of GDP"/>
    <s v="Units"/>
    <x v="4"/>
    <n v="13.507"/>
  </r>
  <r>
    <n v="1"/>
    <x v="2"/>
    <x v="71"/>
    <x v="5"/>
    <s v="Percent of GDP"/>
    <s v="Units"/>
    <x v="5"/>
    <n v="14.071"/>
  </r>
  <r>
    <n v="1"/>
    <x v="2"/>
    <x v="71"/>
    <x v="5"/>
    <s v="Percent of GDP"/>
    <s v="Units"/>
    <x v="6"/>
    <n v="15.196999999999999"/>
  </r>
  <r>
    <n v="200"/>
    <x v="3"/>
    <x v="71"/>
    <x v="5"/>
    <s v="Percent of GDP"/>
    <s v="Units"/>
    <x v="0"/>
    <n v="14.101000000000001"/>
  </r>
  <r>
    <n v="200"/>
    <x v="3"/>
    <x v="71"/>
    <x v="5"/>
    <s v="Percent of GDP"/>
    <s v="Units"/>
    <x v="1"/>
    <n v="14.904999999999999"/>
  </r>
  <r>
    <n v="200"/>
    <x v="3"/>
    <x v="71"/>
    <x v="5"/>
    <s v="Percent of GDP"/>
    <s v="Units"/>
    <x v="2"/>
    <n v="15.163"/>
  </r>
  <r>
    <n v="200"/>
    <x v="3"/>
    <x v="71"/>
    <x v="5"/>
    <s v="Percent of GDP"/>
    <s v="Units"/>
    <x v="3"/>
    <n v="13.943"/>
  </r>
  <r>
    <n v="200"/>
    <x v="3"/>
    <x v="71"/>
    <x v="5"/>
    <s v="Percent of GDP"/>
    <s v="Units"/>
    <x v="4"/>
    <n v="13.507"/>
  </r>
  <r>
    <n v="200"/>
    <x v="3"/>
    <x v="71"/>
    <x v="5"/>
    <s v="Percent of GDP"/>
    <s v="Units"/>
    <x v="5"/>
    <n v="14.071"/>
  </r>
  <r>
    <n v="200"/>
    <x v="3"/>
    <x v="71"/>
    <x v="5"/>
    <s v="Percent of GDP"/>
    <s v="Units"/>
    <x v="6"/>
    <n v="15.196999999999999"/>
  </r>
  <r>
    <n v="603"/>
    <x v="12"/>
    <x v="71"/>
    <x v="5"/>
    <s v="Percent of GDP"/>
    <s v="Units"/>
    <x v="0"/>
    <n v="14.101000000000001"/>
  </r>
  <r>
    <n v="603"/>
    <x v="12"/>
    <x v="71"/>
    <x v="5"/>
    <s v="Percent of GDP"/>
    <s v="Units"/>
    <x v="1"/>
    <n v="14.904999999999999"/>
  </r>
  <r>
    <n v="603"/>
    <x v="12"/>
    <x v="71"/>
    <x v="5"/>
    <s v="Percent of GDP"/>
    <s v="Units"/>
    <x v="2"/>
    <n v="15.163"/>
  </r>
  <r>
    <n v="603"/>
    <x v="12"/>
    <x v="71"/>
    <x v="5"/>
    <s v="Percent of GDP"/>
    <s v="Units"/>
    <x v="3"/>
    <n v="13.943"/>
  </r>
  <r>
    <n v="603"/>
    <x v="12"/>
    <x v="71"/>
    <x v="5"/>
    <s v="Percent of GDP"/>
    <s v="Units"/>
    <x v="4"/>
    <n v="13.507"/>
  </r>
  <r>
    <n v="603"/>
    <x v="12"/>
    <x v="71"/>
    <x v="5"/>
    <s v="Percent of GDP"/>
    <s v="Units"/>
    <x v="5"/>
    <n v="14.071"/>
  </r>
  <r>
    <n v="603"/>
    <x v="12"/>
    <x v="71"/>
    <x v="5"/>
    <s v="Percent of GDP"/>
    <s v="Units"/>
    <x v="6"/>
    <n v="15.196999999999999"/>
  </r>
  <r>
    <n v="603"/>
    <x v="12"/>
    <x v="185"/>
    <x v="5"/>
    <s v="Percent of GDP"/>
    <s v="Units"/>
    <x v="0"/>
    <n v="13.683999999999999"/>
  </r>
  <r>
    <n v="603"/>
    <x v="12"/>
    <x v="185"/>
    <x v="5"/>
    <s v="Percent of GDP"/>
    <s v="Units"/>
    <x v="1"/>
    <n v="9.798"/>
  </r>
  <r>
    <n v="603"/>
    <x v="12"/>
    <x v="185"/>
    <x v="5"/>
    <s v="Percent of GDP"/>
    <s v="Units"/>
    <x v="2"/>
    <n v="13.367000000000001"/>
  </r>
  <r>
    <n v="603"/>
    <x v="12"/>
    <x v="185"/>
    <x v="5"/>
    <s v="Percent of GDP"/>
    <s v="Units"/>
    <x v="3"/>
    <n v="17.466999999999999"/>
  </r>
  <r>
    <n v="603"/>
    <x v="12"/>
    <x v="185"/>
    <x v="5"/>
    <s v="Percent of GDP"/>
    <s v="Units"/>
    <x v="4"/>
    <n v="15.875"/>
  </r>
  <r>
    <n v="603"/>
    <x v="12"/>
    <x v="185"/>
    <x v="5"/>
    <s v="Percent of GDP"/>
    <s v="Units"/>
    <x v="5"/>
    <n v="14.058"/>
  </r>
  <r>
    <n v="603"/>
    <x v="12"/>
    <x v="185"/>
    <x v="5"/>
    <s v="Percent of GDP"/>
    <s v="Units"/>
    <x v="6"/>
    <n v="13.426"/>
  </r>
  <r>
    <n v="200"/>
    <x v="3"/>
    <x v="185"/>
    <x v="5"/>
    <s v="Percent of GDP"/>
    <s v="Units"/>
    <x v="0"/>
    <n v="13.683999999999999"/>
  </r>
  <r>
    <n v="200"/>
    <x v="3"/>
    <x v="185"/>
    <x v="5"/>
    <s v="Percent of GDP"/>
    <s v="Units"/>
    <x v="1"/>
    <n v="9.798"/>
  </r>
  <r>
    <n v="200"/>
    <x v="3"/>
    <x v="185"/>
    <x v="5"/>
    <s v="Percent of GDP"/>
    <s v="Units"/>
    <x v="2"/>
    <n v="13.367000000000001"/>
  </r>
  <r>
    <n v="200"/>
    <x v="3"/>
    <x v="185"/>
    <x v="5"/>
    <s v="Percent of GDP"/>
    <s v="Units"/>
    <x v="3"/>
    <n v="17.466999999999999"/>
  </r>
  <r>
    <n v="200"/>
    <x v="3"/>
    <x v="185"/>
    <x v="5"/>
    <s v="Percent of GDP"/>
    <s v="Units"/>
    <x v="4"/>
    <n v="15.875"/>
  </r>
  <r>
    <n v="200"/>
    <x v="3"/>
    <x v="185"/>
    <x v="5"/>
    <s v="Percent of GDP"/>
    <s v="Units"/>
    <x v="5"/>
    <n v="14.058"/>
  </r>
  <r>
    <n v="200"/>
    <x v="3"/>
    <x v="185"/>
    <x v="5"/>
    <s v="Percent of GDP"/>
    <s v="Units"/>
    <x v="6"/>
    <n v="13.426"/>
  </r>
  <r>
    <n v="1"/>
    <x v="2"/>
    <x v="185"/>
    <x v="5"/>
    <s v="Percent of GDP"/>
    <s v="Units"/>
    <x v="0"/>
    <n v="13.683999999999999"/>
  </r>
  <r>
    <n v="1"/>
    <x v="2"/>
    <x v="185"/>
    <x v="5"/>
    <s v="Percent of GDP"/>
    <s v="Units"/>
    <x v="1"/>
    <n v="9.798"/>
  </r>
  <r>
    <n v="1"/>
    <x v="2"/>
    <x v="185"/>
    <x v="5"/>
    <s v="Percent of GDP"/>
    <s v="Units"/>
    <x v="2"/>
    <n v="13.367000000000001"/>
  </r>
  <r>
    <n v="1"/>
    <x v="2"/>
    <x v="185"/>
    <x v="5"/>
    <s v="Percent of GDP"/>
    <s v="Units"/>
    <x v="3"/>
    <n v="17.466999999999999"/>
  </r>
  <r>
    <n v="1"/>
    <x v="2"/>
    <x v="185"/>
    <x v="5"/>
    <s v="Percent of GDP"/>
    <s v="Units"/>
    <x v="4"/>
    <n v="15.875"/>
  </r>
  <r>
    <n v="1"/>
    <x v="2"/>
    <x v="185"/>
    <x v="5"/>
    <s v="Percent of GDP"/>
    <s v="Units"/>
    <x v="5"/>
    <n v="14.058"/>
  </r>
  <r>
    <n v="1"/>
    <x v="2"/>
    <x v="185"/>
    <x v="5"/>
    <s v="Percent of GDP"/>
    <s v="Units"/>
    <x v="6"/>
    <n v="13.426"/>
  </r>
  <r>
    <n v="110"/>
    <x v="0"/>
    <x v="100"/>
    <x v="8"/>
    <s v="Percent change"/>
    <s v="Units"/>
    <x v="0"/>
    <n v="-2.5630000000000002"/>
  </r>
  <r>
    <n v="110"/>
    <x v="0"/>
    <x v="100"/>
    <x v="8"/>
    <s v="Percent change"/>
    <s v="Units"/>
    <x v="1"/>
    <n v="-54.335999999999999"/>
  </r>
  <r>
    <n v="110"/>
    <x v="0"/>
    <x v="100"/>
    <x v="8"/>
    <s v="Percent change"/>
    <s v="Units"/>
    <x v="2"/>
    <n v="23.535"/>
  </r>
  <r>
    <n v="110"/>
    <x v="0"/>
    <x v="100"/>
    <x v="8"/>
    <s v="Percent change"/>
    <s v="Units"/>
    <x v="3"/>
    <n v="-21.402000000000001"/>
  </r>
  <r>
    <n v="110"/>
    <x v="0"/>
    <x v="100"/>
    <x v="8"/>
    <s v="Percent change"/>
    <s v="Units"/>
    <x v="4"/>
    <n v="80.534000000000006"/>
  </r>
  <r>
    <n v="110"/>
    <x v="0"/>
    <x v="100"/>
    <x v="8"/>
    <s v="Percent change"/>
    <s v="Units"/>
    <x v="5"/>
    <n v="13.939"/>
  </r>
  <r>
    <n v="110"/>
    <x v="0"/>
    <x v="100"/>
    <x v="8"/>
    <s v="Percent change"/>
    <s v="Units"/>
    <x v="6"/>
    <n v="9.6419999999999995"/>
  </r>
  <r>
    <n v="123"/>
    <x v="9"/>
    <x v="100"/>
    <x v="8"/>
    <s v="Percent change"/>
    <s v="Units"/>
    <x v="0"/>
    <n v="-2.5630000000000002"/>
  </r>
  <r>
    <n v="123"/>
    <x v="9"/>
    <x v="100"/>
    <x v="8"/>
    <s v="Percent change"/>
    <s v="Units"/>
    <x v="1"/>
    <n v="-54.335999999999999"/>
  </r>
  <r>
    <n v="123"/>
    <x v="9"/>
    <x v="100"/>
    <x v="8"/>
    <s v="Percent change"/>
    <s v="Units"/>
    <x v="2"/>
    <n v="23.535"/>
  </r>
  <r>
    <n v="123"/>
    <x v="9"/>
    <x v="100"/>
    <x v="8"/>
    <s v="Percent change"/>
    <s v="Units"/>
    <x v="3"/>
    <n v="-21.402000000000001"/>
  </r>
  <r>
    <n v="123"/>
    <x v="9"/>
    <x v="100"/>
    <x v="8"/>
    <s v="Percent change"/>
    <s v="Units"/>
    <x v="4"/>
    <n v="80.534000000000006"/>
  </r>
  <r>
    <n v="123"/>
    <x v="9"/>
    <x v="100"/>
    <x v="8"/>
    <s v="Percent change"/>
    <s v="Units"/>
    <x v="5"/>
    <n v="13.939"/>
  </r>
  <r>
    <n v="123"/>
    <x v="9"/>
    <x v="100"/>
    <x v="8"/>
    <s v="Percent change"/>
    <s v="Units"/>
    <x v="6"/>
    <n v="9.6419999999999995"/>
  </r>
  <r>
    <n v="1"/>
    <x v="2"/>
    <x v="100"/>
    <x v="8"/>
    <s v="Percent change"/>
    <s v="Units"/>
    <x v="0"/>
    <n v="-2.5630000000000002"/>
  </r>
  <r>
    <n v="1"/>
    <x v="2"/>
    <x v="100"/>
    <x v="8"/>
    <s v="Percent change"/>
    <s v="Units"/>
    <x v="1"/>
    <n v="-54.335999999999999"/>
  </r>
  <r>
    <n v="1"/>
    <x v="2"/>
    <x v="100"/>
    <x v="8"/>
    <s v="Percent change"/>
    <s v="Units"/>
    <x v="2"/>
    <n v="23.535"/>
  </r>
  <r>
    <n v="1"/>
    <x v="2"/>
    <x v="100"/>
    <x v="8"/>
    <s v="Percent change"/>
    <s v="Units"/>
    <x v="3"/>
    <n v="-21.402000000000001"/>
  </r>
  <r>
    <n v="1"/>
    <x v="2"/>
    <x v="100"/>
    <x v="8"/>
    <s v="Percent change"/>
    <s v="Units"/>
    <x v="4"/>
    <n v="80.534000000000006"/>
  </r>
  <r>
    <n v="1"/>
    <x v="2"/>
    <x v="100"/>
    <x v="8"/>
    <s v="Percent change"/>
    <s v="Units"/>
    <x v="5"/>
    <n v="13.939"/>
  </r>
  <r>
    <n v="1"/>
    <x v="2"/>
    <x v="100"/>
    <x v="8"/>
    <s v="Percent change"/>
    <s v="Units"/>
    <x v="6"/>
    <n v="9.6419999999999995"/>
  </r>
  <r>
    <n v="205"/>
    <x v="7"/>
    <x v="81"/>
    <x v="5"/>
    <s v="Percent of GDP"/>
    <s v="Units"/>
    <x v="0"/>
    <n v="15.358000000000001"/>
  </r>
  <r>
    <n v="205"/>
    <x v="7"/>
    <x v="81"/>
    <x v="5"/>
    <s v="Percent of GDP"/>
    <s v="Units"/>
    <x v="1"/>
    <n v="15.627000000000001"/>
  </r>
  <r>
    <n v="205"/>
    <x v="7"/>
    <x v="81"/>
    <x v="5"/>
    <s v="Percent of GDP"/>
    <s v="Units"/>
    <x v="2"/>
    <n v="15.778"/>
  </r>
  <r>
    <n v="205"/>
    <x v="7"/>
    <x v="81"/>
    <x v="5"/>
    <s v="Percent of GDP"/>
    <s v="Units"/>
    <x v="3"/>
    <n v="14.936"/>
  </r>
  <r>
    <n v="205"/>
    <x v="7"/>
    <x v="81"/>
    <x v="5"/>
    <s v="Percent of GDP"/>
    <s v="Units"/>
    <x v="4"/>
    <n v="13.331"/>
  </r>
  <r>
    <n v="205"/>
    <x v="7"/>
    <x v="81"/>
    <x v="5"/>
    <s v="Percent of GDP"/>
    <s v="Units"/>
    <x v="5"/>
    <n v="13.926"/>
  </r>
  <r>
    <n v="205"/>
    <x v="7"/>
    <x v="81"/>
    <x v="5"/>
    <s v="Percent of GDP"/>
    <s v="Units"/>
    <x v="6"/>
    <n v="14.391999999999999"/>
  </r>
  <r>
    <n v="1"/>
    <x v="2"/>
    <x v="81"/>
    <x v="5"/>
    <s v="Percent of GDP"/>
    <s v="Units"/>
    <x v="0"/>
    <n v="15.358000000000001"/>
  </r>
  <r>
    <n v="1"/>
    <x v="2"/>
    <x v="81"/>
    <x v="5"/>
    <s v="Percent of GDP"/>
    <s v="Units"/>
    <x v="1"/>
    <n v="15.627000000000001"/>
  </r>
  <r>
    <n v="1"/>
    <x v="2"/>
    <x v="81"/>
    <x v="5"/>
    <s v="Percent of GDP"/>
    <s v="Units"/>
    <x v="2"/>
    <n v="15.778"/>
  </r>
  <r>
    <n v="1"/>
    <x v="2"/>
    <x v="81"/>
    <x v="5"/>
    <s v="Percent of GDP"/>
    <s v="Units"/>
    <x v="3"/>
    <n v="14.936"/>
  </r>
  <r>
    <n v="1"/>
    <x v="2"/>
    <x v="81"/>
    <x v="5"/>
    <s v="Percent of GDP"/>
    <s v="Units"/>
    <x v="4"/>
    <n v="13.331"/>
  </r>
  <r>
    <n v="1"/>
    <x v="2"/>
    <x v="81"/>
    <x v="5"/>
    <s v="Percent of GDP"/>
    <s v="Units"/>
    <x v="5"/>
    <n v="13.926"/>
  </r>
  <r>
    <n v="1"/>
    <x v="2"/>
    <x v="81"/>
    <x v="5"/>
    <s v="Percent of GDP"/>
    <s v="Units"/>
    <x v="6"/>
    <n v="14.391999999999999"/>
  </r>
  <r>
    <n v="200"/>
    <x v="3"/>
    <x v="81"/>
    <x v="5"/>
    <s v="Percent of GDP"/>
    <s v="Units"/>
    <x v="0"/>
    <n v="15.358000000000001"/>
  </r>
  <r>
    <n v="200"/>
    <x v="3"/>
    <x v="81"/>
    <x v="5"/>
    <s v="Percent of GDP"/>
    <s v="Units"/>
    <x v="1"/>
    <n v="15.627000000000001"/>
  </r>
  <r>
    <n v="200"/>
    <x v="3"/>
    <x v="81"/>
    <x v="5"/>
    <s v="Percent of GDP"/>
    <s v="Units"/>
    <x v="2"/>
    <n v="15.778"/>
  </r>
  <r>
    <n v="200"/>
    <x v="3"/>
    <x v="81"/>
    <x v="5"/>
    <s v="Percent of GDP"/>
    <s v="Units"/>
    <x v="3"/>
    <n v="14.936"/>
  </r>
  <r>
    <n v="200"/>
    <x v="3"/>
    <x v="81"/>
    <x v="5"/>
    <s v="Percent of GDP"/>
    <s v="Units"/>
    <x v="4"/>
    <n v="13.331"/>
  </r>
  <r>
    <n v="200"/>
    <x v="3"/>
    <x v="81"/>
    <x v="5"/>
    <s v="Percent of GDP"/>
    <s v="Units"/>
    <x v="5"/>
    <n v="13.926"/>
  </r>
  <r>
    <n v="200"/>
    <x v="3"/>
    <x v="81"/>
    <x v="5"/>
    <s v="Percent of GDP"/>
    <s v="Units"/>
    <x v="6"/>
    <n v="14.391999999999999"/>
  </r>
  <r>
    <n v="200"/>
    <x v="3"/>
    <x v="186"/>
    <x v="2"/>
    <s v="Percent of GDP"/>
    <s v="Units"/>
    <x v="0"/>
    <n v="18.335000000000001"/>
  </r>
  <r>
    <n v="200"/>
    <x v="3"/>
    <x v="186"/>
    <x v="2"/>
    <s v="Percent of GDP"/>
    <s v="Units"/>
    <x v="1"/>
    <n v="21.751000000000001"/>
  </r>
  <r>
    <n v="200"/>
    <x v="3"/>
    <x v="186"/>
    <x v="2"/>
    <s v="Percent of GDP"/>
    <s v="Units"/>
    <x v="2"/>
    <n v="13.667"/>
  </r>
  <r>
    <n v="200"/>
    <x v="3"/>
    <x v="186"/>
    <x v="2"/>
    <s v="Percent of GDP"/>
    <s v="Units"/>
    <x v="3"/>
    <n v="12.297000000000001"/>
  </r>
  <r>
    <n v="200"/>
    <x v="3"/>
    <x v="186"/>
    <x v="2"/>
    <s v="Percent of GDP"/>
    <s v="Units"/>
    <x v="4"/>
    <n v="14.369"/>
  </r>
  <r>
    <n v="200"/>
    <x v="3"/>
    <x v="186"/>
    <x v="2"/>
    <s v="Percent of GDP"/>
    <s v="Units"/>
    <x v="5"/>
    <n v="13.920999999999999"/>
  </r>
  <r>
    <n v="200"/>
    <x v="3"/>
    <x v="186"/>
    <x v="2"/>
    <s v="Percent of GDP"/>
    <s v="Units"/>
    <x v="6"/>
    <n v="16.081"/>
  </r>
  <r>
    <n v="603"/>
    <x v="12"/>
    <x v="186"/>
    <x v="2"/>
    <s v="Percent of GDP"/>
    <s v="Units"/>
    <x v="0"/>
    <n v="18.335000000000001"/>
  </r>
  <r>
    <n v="603"/>
    <x v="12"/>
    <x v="186"/>
    <x v="2"/>
    <s v="Percent of GDP"/>
    <s v="Units"/>
    <x v="1"/>
    <n v="21.751000000000001"/>
  </r>
  <r>
    <n v="603"/>
    <x v="12"/>
    <x v="186"/>
    <x v="2"/>
    <s v="Percent of GDP"/>
    <s v="Units"/>
    <x v="2"/>
    <n v="13.667"/>
  </r>
  <r>
    <n v="603"/>
    <x v="12"/>
    <x v="186"/>
    <x v="2"/>
    <s v="Percent of GDP"/>
    <s v="Units"/>
    <x v="3"/>
    <n v="12.297000000000001"/>
  </r>
  <r>
    <n v="603"/>
    <x v="12"/>
    <x v="186"/>
    <x v="2"/>
    <s v="Percent of GDP"/>
    <s v="Units"/>
    <x v="4"/>
    <n v="14.369"/>
  </r>
  <r>
    <n v="603"/>
    <x v="12"/>
    <x v="186"/>
    <x v="2"/>
    <s v="Percent of GDP"/>
    <s v="Units"/>
    <x v="5"/>
    <n v="13.920999999999999"/>
  </r>
  <r>
    <n v="603"/>
    <x v="12"/>
    <x v="186"/>
    <x v="2"/>
    <s v="Percent of GDP"/>
    <s v="Units"/>
    <x v="6"/>
    <n v="16.081"/>
  </r>
  <r>
    <n v="200"/>
    <x v="3"/>
    <x v="116"/>
    <x v="5"/>
    <s v="Percent of GDP"/>
    <s v="Units"/>
    <x v="0"/>
    <n v="17.693000000000001"/>
  </r>
  <r>
    <n v="200"/>
    <x v="3"/>
    <x v="116"/>
    <x v="5"/>
    <s v="Percent of GDP"/>
    <s v="Units"/>
    <x v="1"/>
    <n v="5.1340000000000003"/>
  </r>
  <r>
    <n v="200"/>
    <x v="3"/>
    <x v="116"/>
    <x v="5"/>
    <s v="Percent of GDP"/>
    <s v="Units"/>
    <x v="2"/>
    <n v="17.448"/>
  </r>
  <r>
    <n v="200"/>
    <x v="3"/>
    <x v="116"/>
    <x v="5"/>
    <s v="Percent of GDP"/>
    <s v="Units"/>
    <x v="3"/>
    <n v="17.373999999999999"/>
  </r>
  <r>
    <n v="200"/>
    <x v="3"/>
    <x v="116"/>
    <x v="5"/>
    <s v="Percent of GDP"/>
    <s v="Units"/>
    <x v="4"/>
    <n v="15.518000000000001"/>
  </r>
  <r>
    <n v="200"/>
    <x v="3"/>
    <x v="116"/>
    <x v="5"/>
    <s v="Percent of GDP"/>
    <s v="Units"/>
    <x v="5"/>
    <n v="13.863"/>
  </r>
  <r>
    <n v="200"/>
    <x v="3"/>
    <x v="116"/>
    <x v="5"/>
    <s v="Percent of GDP"/>
    <s v="Units"/>
    <x v="6"/>
    <n v="11.46"/>
  </r>
  <r>
    <n v="903"/>
    <x v="8"/>
    <x v="116"/>
    <x v="5"/>
    <s v="Percent of GDP"/>
    <s v="Units"/>
    <x v="0"/>
    <n v="17.693000000000001"/>
  </r>
  <r>
    <n v="903"/>
    <x v="8"/>
    <x v="116"/>
    <x v="5"/>
    <s v="Percent of GDP"/>
    <s v="Units"/>
    <x v="1"/>
    <n v="5.1340000000000003"/>
  </r>
  <r>
    <n v="903"/>
    <x v="8"/>
    <x v="116"/>
    <x v="5"/>
    <s v="Percent of GDP"/>
    <s v="Units"/>
    <x v="2"/>
    <n v="17.448"/>
  </r>
  <r>
    <n v="903"/>
    <x v="8"/>
    <x v="116"/>
    <x v="5"/>
    <s v="Percent of GDP"/>
    <s v="Units"/>
    <x v="3"/>
    <n v="17.373999999999999"/>
  </r>
  <r>
    <n v="903"/>
    <x v="8"/>
    <x v="116"/>
    <x v="5"/>
    <s v="Percent of GDP"/>
    <s v="Units"/>
    <x v="4"/>
    <n v="15.518000000000001"/>
  </r>
  <r>
    <n v="903"/>
    <x v="8"/>
    <x v="116"/>
    <x v="5"/>
    <s v="Percent of GDP"/>
    <s v="Units"/>
    <x v="5"/>
    <n v="13.863"/>
  </r>
  <r>
    <n v="903"/>
    <x v="8"/>
    <x v="116"/>
    <x v="5"/>
    <s v="Percent of GDP"/>
    <s v="Units"/>
    <x v="6"/>
    <n v="11.46"/>
  </r>
  <r>
    <n v="1"/>
    <x v="2"/>
    <x v="116"/>
    <x v="5"/>
    <s v="Percent of GDP"/>
    <s v="Units"/>
    <x v="0"/>
    <n v="17.693000000000001"/>
  </r>
  <r>
    <n v="1"/>
    <x v="2"/>
    <x v="116"/>
    <x v="5"/>
    <s v="Percent of GDP"/>
    <s v="Units"/>
    <x v="1"/>
    <n v="5.1340000000000003"/>
  </r>
  <r>
    <n v="1"/>
    <x v="2"/>
    <x v="116"/>
    <x v="5"/>
    <s v="Percent of GDP"/>
    <s v="Units"/>
    <x v="2"/>
    <n v="17.448"/>
  </r>
  <r>
    <n v="1"/>
    <x v="2"/>
    <x v="116"/>
    <x v="5"/>
    <s v="Percent of GDP"/>
    <s v="Units"/>
    <x v="3"/>
    <n v="17.373999999999999"/>
  </r>
  <r>
    <n v="1"/>
    <x v="2"/>
    <x v="116"/>
    <x v="5"/>
    <s v="Percent of GDP"/>
    <s v="Units"/>
    <x v="4"/>
    <n v="15.518000000000001"/>
  </r>
  <r>
    <n v="1"/>
    <x v="2"/>
    <x v="116"/>
    <x v="5"/>
    <s v="Percent of GDP"/>
    <s v="Units"/>
    <x v="5"/>
    <n v="13.863"/>
  </r>
  <r>
    <n v="1"/>
    <x v="2"/>
    <x v="116"/>
    <x v="5"/>
    <s v="Percent of GDP"/>
    <s v="Units"/>
    <x v="6"/>
    <n v="11.46"/>
  </r>
  <r>
    <n v="1"/>
    <x v="2"/>
    <x v="77"/>
    <x v="7"/>
    <s v="Percent of GDP"/>
    <s v="Units"/>
    <x v="0"/>
    <n v="26.53"/>
  </r>
  <r>
    <n v="1"/>
    <x v="2"/>
    <x v="77"/>
    <x v="7"/>
    <s v="Percent of GDP"/>
    <s v="Units"/>
    <x v="1"/>
    <n v="16.010000000000002"/>
  </r>
  <r>
    <n v="1"/>
    <x v="2"/>
    <x v="77"/>
    <x v="7"/>
    <s v="Percent of GDP"/>
    <s v="Units"/>
    <x v="2"/>
    <n v="14.404"/>
  </r>
  <r>
    <n v="1"/>
    <x v="2"/>
    <x v="77"/>
    <x v="7"/>
    <s v="Percent of GDP"/>
    <s v="Units"/>
    <x v="3"/>
    <n v="10.597"/>
  </r>
  <r>
    <n v="1"/>
    <x v="2"/>
    <x v="77"/>
    <x v="7"/>
    <s v="Percent of GDP"/>
    <s v="Units"/>
    <x v="4"/>
    <n v="17.689"/>
  </r>
  <r>
    <n v="1"/>
    <x v="2"/>
    <x v="77"/>
    <x v="7"/>
    <s v="Percent of GDP"/>
    <s v="Units"/>
    <x v="5"/>
    <n v="13.819000000000001"/>
  </r>
  <r>
    <n v="1"/>
    <x v="2"/>
    <x v="77"/>
    <x v="7"/>
    <s v="Percent of GDP"/>
    <s v="Units"/>
    <x v="6"/>
    <n v="19.454000000000001"/>
  </r>
  <r>
    <n v="505"/>
    <x v="4"/>
    <x v="77"/>
    <x v="7"/>
    <s v="Percent of GDP"/>
    <s v="Units"/>
    <x v="0"/>
    <n v="26.53"/>
  </r>
  <r>
    <n v="505"/>
    <x v="4"/>
    <x v="77"/>
    <x v="7"/>
    <s v="Percent of GDP"/>
    <s v="Units"/>
    <x v="1"/>
    <n v="16.010000000000002"/>
  </r>
  <r>
    <n v="505"/>
    <x v="4"/>
    <x v="77"/>
    <x v="7"/>
    <s v="Percent of GDP"/>
    <s v="Units"/>
    <x v="2"/>
    <n v="14.404"/>
  </r>
  <r>
    <n v="505"/>
    <x v="4"/>
    <x v="77"/>
    <x v="7"/>
    <s v="Percent of GDP"/>
    <s v="Units"/>
    <x v="3"/>
    <n v="10.597"/>
  </r>
  <r>
    <n v="505"/>
    <x v="4"/>
    <x v="77"/>
    <x v="7"/>
    <s v="Percent of GDP"/>
    <s v="Units"/>
    <x v="4"/>
    <n v="17.689"/>
  </r>
  <r>
    <n v="505"/>
    <x v="4"/>
    <x v="77"/>
    <x v="7"/>
    <s v="Percent of GDP"/>
    <s v="Units"/>
    <x v="5"/>
    <n v="13.819000000000001"/>
  </r>
  <r>
    <n v="505"/>
    <x v="4"/>
    <x v="77"/>
    <x v="7"/>
    <s v="Percent of GDP"/>
    <s v="Units"/>
    <x v="6"/>
    <n v="19.454000000000001"/>
  </r>
  <r>
    <n v="200"/>
    <x v="3"/>
    <x v="77"/>
    <x v="7"/>
    <s v="Percent of GDP"/>
    <s v="Units"/>
    <x v="0"/>
    <n v="26.53"/>
  </r>
  <r>
    <n v="200"/>
    <x v="3"/>
    <x v="77"/>
    <x v="7"/>
    <s v="Percent of GDP"/>
    <s v="Units"/>
    <x v="1"/>
    <n v="16.010000000000002"/>
  </r>
  <r>
    <n v="200"/>
    <x v="3"/>
    <x v="77"/>
    <x v="7"/>
    <s v="Percent of GDP"/>
    <s v="Units"/>
    <x v="2"/>
    <n v="14.404"/>
  </r>
  <r>
    <n v="200"/>
    <x v="3"/>
    <x v="77"/>
    <x v="7"/>
    <s v="Percent of GDP"/>
    <s v="Units"/>
    <x v="3"/>
    <n v="10.597"/>
  </r>
  <r>
    <n v="200"/>
    <x v="3"/>
    <x v="77"/>
    <x v="7"/>
    <s v="Percent of GDP"/>
    <s v="Units"/>
    <x v="4"/>
    <n v="17.689"/>
  </r>
  <r>
    <n v="200"/>
    <x v="3"/>
    <x v="77"/>
    <x v="7"/>
    <s v="Percent of GDP"/>
    <s v="Units"/>
    <x v="5"/>
    <n v="13.819000000000001"/>
  </r>
  <r>
    <n v="200"/>
    <x v="3"/>
    <x v="77"/>
    <x v="7"/>
    <s v="Percent of GDP"/>
    <s v="Units"/>
    <x v="6"/>
    <n v="19.454000000000001"/>
  </r>
  <r>
    <n v="200"/>
    <x v="3"/>
    <x v="56"/>
    <x v="6"/>
    <s v="Percent change"/>
    <s v="Units"/>
    <x v="0"/>
    <n v="-8.8149999999999995"/>
  </r>
  <r>
    <n v="200"/>
    <x v="3"/>
    <x v="56"/>
    <x v="6"/>
    <s v="Percent change"/>
    <s v="Units"/>
    <x v="1"/>
    <n v="-4.6180000000000003"/>
  </r>
  <r>
    <n v="200"/>
    <x v="3"/>
    <x v="56"/>
    <x v="6"/>
    <s v="Percent change"/>
    <s v="Units"/>
    <x v="2"/>
    <n v="-1.2949999999999999"/>
  </r>
  <r>
    <n v="200"/>
    <x v="3"/>
    <x v="56"/>
    <x v="6"/>
    <s v="Percent change"/>
    <s v="Units"/>
    <x v="3"/>
    <n v="7.3159999999999998"/>
  </r>
  <r>
    <n v="200"/>
    <x v="3"/>
    <x v="56"/>
    <x v="6"/>
    <s v="Percent change"/>
    <s v="Units"/>
    <x v="4"/>
    <n v="-5.2229999999999999"/>
  </r>
  <r>
    <n v="200"/>
    <x v="3"/>
    <x v="56"/>
    <x v="6"/>
    <s v="Percent change"/>
    <s v="Units"/>
    <x v="5"/>
    <n v="13.782"/>
  </r>
  <r>
    <n v="200"/>
    <x v="3"/>
    <x v="56"/>
    <x v="6"/>
    <s v="Percent change"/>
    <s v="Units"/>
    <x v="6"/>
    <n v="6.3159999999999998"/>
  </r>
  <r>
    <n v="1"/>
    <x v="2"/>
    <x v="56"/>
    <x v="6"/>
    <s v="Percent change"/>
    <s v="Units"/>
    <x v="0"/>
    <n v="-8.8149999999999995"/>
  </r>
  <r>
    <n v="1"/>
    <x v="2"/>
    <x v="56"/>
    <x v="6"/>
    <s v="Percent change"/>
    <s v="Units"/>
    <x v="1"/>
    <n v="-4.6180000000000003"/>
  </r>
  <r>
    <n v="1"/>
    <x v="2"/>
    <x v="56"/>
    <x v="6"/>
    <s v="Percent change"/>
    <s v="Units"/>
    <x v="2"/>
    <n v="-1.2949999999999999"/>
  </r>
  <r>
    <n v="1"/>
    <x v="2"/>
    <x v="56"/>
    <x v="6"/>
    <s v="Percent change"/>
    <s v="Units"/>
    <x v="3"/>
    <n v="7.3159999999999998"/>
  </r>
  <r>
    <n v="1"/>
    <x v="2"/>
    <x v="56"/>
    <x v="6"/>
    <s v="Percent change"/>
    <s v="Units"/>
    <x v="4"/>
    <n v="-5.2229999999999999"/>
  </r>
  <r>
    <n v="1"/>
    <x v="2"/>
    <x v="56"/>
    <x v="6"/>
    <s v="Percent change"/>
    <s v="Units"/>
    <x v="5"/>
    <n v="13.782"/>
  </r>
  <r>
    <n v="1"/>
    <x v="2"/>
    <x v="56"/>
    <x v="6"/>
    <s v="Percent change"/>
    <s v="Units"/>
    <x v="6"/>
    <n v="6.3159999999999998"/>
  </r>
  <r>
    <n v="603"/>
    <x v="12"/>
    <x v="56"/>
    <x v="6"/>
    <s v="Percent change"/>
    <s v="Units"/>
    <x v="0"/>
    <n v="-8.8149999999999995"/>
  </r>
  <r>
    <n v="603"/>
    <x v="12"/>
    <x v="56"/>
    <x v="6"/>
    <s v="Percent change"/>
    <s v="Units"/>
    <x v="1"/>
    <n v="-4.6180000000000003"/>
  </r>
  <r>
    <n v="603"/>
    <x v="12"/>
    <x v="56"/>
    <x v="6"/>
    <s v="Percent change"/>
    <s v="Units"/>
    <x v="2"/>
    <n v="-1.2949999999999999"/>
  </r>
  <r>
    <n v="603"/>
    <x v="12"/>
    <x v="56"/>
    <x v="6"/>
    <s v="Percent change"/>
    <s v="Units"/>
    <x v="3"/>
    <n v="7.3159999999999998"/>
  </r>
  <r>
    <n v="603"/>
    <x v="12"/>
    <x v="56"/>
    <x v="6"/>
    <s v="Percent change"/>
    <s v="Units"/>
    <x v="4"/>
    <n v="-5.2229999999999999"/>
  </r>
  <r>
    <n v="603"/>
    <x v="12"/>
    <x v="56"/>
    <x v="6"/>
    <s v="Percent change"/>
    <s v="Units"/>
    <x v="5"/>
    <n v="13.782"/>
  </r>
  <r>
    <n v="603"/>
    <x v="12"/>
    <x v="56"/>
    <x v="6"/>
    <s v="Percent change"/>
    <s v="Units"/>
    <x v="6"/>
    <n v="6.3159999999999998"/>
  </r>
  <r>
    <n v="200"/>
    <x v="3"/>
    <x v="173"/>
    <x v="4"/>
    <s v="Percent change"/>
    <s v="Units"/>
    <x v="0"/>
    <n v="-6.5449999999999999"/>
  </r>
  <r>
    <n v="200"/>
    <x v="3"/>
    <x v="173"/>
    <x v="4"/>
    <s v="Percent change"/>
    <s v="Units"/>
    <x v="1"/>
    <n v="3.4750000000000001"/>
  </r>
  <r>
    <n v="200"/>
    <x v="3"/>
    <x v="173"/>
    <x v="4"/>
    <s v="Percent change"/>
    <s v="Units"/>
    <x v="2"/>
    <n v="23.443999999999999"/>
  </r>
  <r>
    <n v="200"/>
    <x v="3"/>
    <x v="173"/>
    <x v="4"/>
    <s v="Percent change"/>
    <s v="Units"/>
    <x v="3"/>
    <n v="-3.2869999999999999"/>
  </r>
  <r>
    <n v="200"/>
    <x v="3"/>
    <x v="173"/>
    <x v="4"/>
    <s v="Percent change"/>
    <s v="Units"/>
    <x v="4"/>
    <n v="9.5060000000000002"/>
  </r>
  <r>
    <n v="200"/>
    <x v="3"/>
    <x v="173"/>
    <x v="4"/>
    <s v="Percent change"/>
    <s v="Units"/>
    <x v="5"/>
    <n v="13.759"/>
  </r>
  <r>
    <n v="200"/>
    <x v="3"/>
    <x v="173"/>
    <x v="4"/>
    <s v="Percent change"/>
    <s v="Units"/>
    <x v="6"/>
    <n v="14.689"/>
  </r>
  <r>
    <n v="603"/>
    <x v="12"/>
    <x v="173"/>
    <x v="4"/>
    <s v="Percent change"/>
    <s v="Units"/>
    <x v="0"/>
    <n v="-6.5449999999999999"/>
  </r>
  <r>
    <n v="603"/>
    <x v="12"/>
    <x v="173"/>
    <x v="4"/>
    <s v="Percent change"/>
    <s v="Units"/>
    <x v="1"/>
    <n v="3.4750000000000001"/>
  </r>
  <r>
    <n v="603"/>
    <x v="12"/>
    <x v="173"/>
    <x v="4"/>
    <s v="Percent change"/>
    <s v="Units"/>
    <x v="2"/>
    <n v="23.443999999999999"/>
  </r>
  <r>
    <n v="603"/>
    <x v="12"/>
    <x v="173"/>
    <x v="4"/>
    <s v="Percent change"/>
    <s v="Units"/>
    <x v="3"/>
    <n v="-3.2869999999999999"/>
  </r>
  <r>
    <n v="603"/>
    <x v="12"/>
    <x v="173"/>
    <x v="4"/>
    <s v="Percent change"/>
    <s v="Units"/>
    <x v="4"/>
    <n v="9.5060000000000002"/>
  </r>
  <r>
    <n v="603"/>
    <x v="12"/>
    <x v="173"/>
    <x v="4"/>
    <s v="Percent change"/>
    <s v="Units"/>
    <x v="5"/>
    <n v="13.759"/>
  </r>
  <r>
    <n v="603"/>
    <x v="12"/>
    <x v="173"/>
    <x v="4"/>
    <s v="Percent change"/>
    <s v="Units"/>
    <x v="6"/>
    <n v="14.689"/>
  </r>
  <r>
    <n v="1"/>
    <x v="2"/>
    <x v="173"/>
    <x v="4"/>
    <s v="Percent change"/>
    <s v="Units"/>
    <x v="0"/>
    <n v="-6.5449999999999999"/>
  </r>
  <r>
    <n v="1"/>
    <x v="2"/>
    <x v="173"/>
    <x v="4"/>
    <s v="Percent change"/>
    <s v="Units"/>
    <x v="1"/>
    <n v="3.4750000000000001"/>
  </r>
  <r>
    <n v="1"/>
    <x v="2"/>
    <x v="173"/>
    <x v="4"/>
    <s v="Percent change"/>
    <s v="Units"/>
    <x v="2"/>
    <n v="23.443999999999999"/>
  </r>
  <r>
    <n v="1"/>
    <x v="2"/>
    <x v="173"/>
    <x v="4"/>
    <s v="Percent change"/>
    <s v="Units"/>
    <x v="3"/>
    <n v="-3.2869999999999999"/>
  </r>
  <r>
    <n v="1"/>
    <x v="2"/>
    <x v="173"/>
    <x v="4"/>
    <s v="Percent change"/>
    <s v="Units"/>
    <x v="4"/>
    <n v="9.5060000000000002"/>
  </r>
  <r>
    <n v="1"/>
    <x v="2"/>
    <x v="173"/>
    <x v="4"/>
    <s v="Percent change"/>
    <s v="Units"/>
    <x v="5"/>
    <n v="13.759"/>
  </r>
  <r>
    <n v="1"/>
    <x v="2"/>
    <x v="173"/>
    <x v="4"/>
    <s v="Percent change"/>
    <s v="Units"/>
    <x v="6"/>
    <n v="14.689"/>
  </r>
  <r>
    <n v="200"/>
    <x v="3"/>
    <x v="62"/>
    <x v="9"/>
    <s v="Percent of GDP"/>
    <s v="Units"/>
    <x v="0"/>
    <n v="30.988"/>
  </r>
  <r>
    <n v="200"/>
    <x v="3"/>
    <x v="62"/>
    <x v="9"/>
    <s v="Percent of GDP"/>
    <s v="Units"/>
    <x v="1"/>
    <n v="42.808999999999997"/>
  </r>
  <r>
    <n v="200"/>
    <x v="3"/>
    <x v="62"/>
    <x v="9"/>
    <s v="Percent of GDP"/>
    <s v="Units"/>
    <x v="2"/>
    <n v="44.485999999999997"/>
  </r>
  <r>
    <n v="200"/>
    <x v="3"/>
    <x v="62"/>
    <x v="9"/>
    <s v="Percent of GDP"/>
    <s v="Units"/>
    <x v="3"/>
    <n v="24.754000000000001"/>
  </r>
  <r>
    <n v="200"/>
    <x v="3"/>
    <x v="62"/>
    <x v="9"/>
    <s v="Percent of GDP"/>
    <s v="Units"/>
    <x v="4"/>
    <n v="19.109000000000002"/>
  </r>
  <r>
    <n v="200"/>
    <x v="3"/>
    <x v="62"/>
    <x v="9"/>
    <s v="Percent of GDP"/>
    <s v="Units"/>
    <x v="5"/>
    <n v="13.736000000000001"/>
  </r>
  <r>
    <n v="200"/>
    <x v="3"/>
    <x v="62"/>
    <x v="9"/>
    <s v="Percent of GDP"/>
    <s v="Units"/>
    <x v="6"/>
    <n v="6.9249999999999998"/>
  </r>
  <r>
    <n v="505"/>
    <x v="4"/>
    <x v="62"/>
    <x v="9"/>
    <s v="Percent of GDP"/>
    <s v="Units"/>
    <x v="0"/>
    <n v="30.988"/>
  </r>
  <r>
    <n v="505"/>
    <x v="4"/>
    <x v="62"/>
    <x v="9"/>
    <s v="Percent of GDP"/>
    <s v="Units"/>
    <x v="1"/>
    <n v="42.808999999999997"/>
  </r>
  <r>
    <n v="505"/>
    <x v="4"/>
    <x v="62"/>
    <x v="9"/>
    <s v="Percent of GDP"/>
    <s v="Units"/>
    <x v="2"/>
    <n v="44.485999999999997"/>
  </r>
  <r>
    <n v="505"/>
    <x v="4"/>
    <x v="62"/>
    <x v="9"/>
    <s v="Percent of GDP"/>
    <s v="Units"/>
    <x v="3"/>
    <n v="24.754000000000001"/>
  </r>
  <r>
    <n v="505"/>
    <x v="4"/>
    <x v="62"/>
    <x v="9"/>
    <s v="Percent of GDP"/>
    <s v="Units"/>
    <x v="4"/>
    <n v="19.109000000000002"/>
  </r>
  <r>
    <n v="505"/>
    <x v="4"/>
    <x v="62"/>
    <x v="9"/>
    <s v="Percent of GDP"/>
    <s v="Units"/>
    <x v="5"/>
    <n v="13.736000000000001"/>
  </r>
  <r>
    <n v="505"/>
    <x v="4"/>
    <x v="62"/>
    <x v="9"/>
    <s v="Percent of GDP"/>
    <s v="Units"/>
    <x v="6"/>
    <n v="6.9249999999999998"/>
  </r>
  <r>
    <n v="603"/>
    <x v="12"/>
    <x v="158"/>
    <x v="0"/>
    <s v="U.S. dollars"/>
    <s v="Billions"/>
    <x v="0"/>
    <n v="10.345000000000001"/>
  </r>
  <r>
    <n v="603"/>
    <x v="12"/>
    <x v="158"/>
    <x v="0"/>
    <s v="U.S. dollars"/>
    <s v="Billions"/>
    <x v="1"/>
    <n v="10.173"/>
  </r>
  <r>
    <n v="603"/>
    <x v="12"/>
    <x v="158"/>
    <x v="0"/>
    <s v="U.S. dollars"/>
    <s v="Billions"/>
    <x v="2"/>
    <n v="11.053000000000001"/>
  </r>
  <r>
    <n v="603"/>
    <x v="12"/>
    <x v="158"/>
    <x v="0"/>
    <s v="U.S. dollars"/>
    <s v="Billions"/>
    <x v="3"/>
    <n v="13.308999999999999"/>
  </r>
  <r>
    <n v="603"/>
    <x v="12"/>
    <x v="158"/>
    <x v="0"/>
    <s v="U.S. dollars"/>
    <s v="Billions"/>
    <x v="4"/>
    <n v="14.02"/>
  </r>
  <r>
    <n v="603"/>
    <x v="12"/>
    <x v="158"/>
    <x v="0"/>
    <s v="U.S. dollars"/>
    <s v="Billions"/>
    <x v="5"/>
    <n v="13.701000000000001"/>
  </r>
  <r>
    <n v="603"/>
    <x v="12"/>
    <x v="158"/>
    <x v="0"/>
    <s v="U.S. dollars"/>
    <s v="Billions"/>
    <x v="6"/>
    <n v="14.135"/>
  </r>
  <r>
    <n v="1"/>
    <x v="2"/>
    <x v="158"/>
    <x v="0"/>
    <s v="U.S. dollars"/>
    <s v="Billions"/>
    <x v="0"/>
    <n v="10.345000000000001"/>
  </r>
  <r>
    <n v="1"/>
    <x v="2"/>
    <x v="158"/>
    <x v="0"/>
    <s v="U.S. dollars"/>
    <s v="Billions"/>
    <x v="1"/>
    <n v="10.173"/>
  </r>
  <r>
    <n v="1"/>
    <x v="2"/>
    <x v="158"/>
    <x v="0"/>
    <s v="U.S. dollars"/>
    <s v="Billions"/>
    <x v="2"/>
    <n v="11.053000000000001"/>
  </r>
  <r>
    <n v="1"/>
    <x v="2"/>
    <x v="158"/>
    <x v="0"/>
    <s v="U.S. dollars"/>
    <s v="Billions"/>
    <x v="3"/>
    <n v="13.308999999999999"/>
  </r>
  <r>
    <n v="1"/>
    <x v="2"/>
    <x v="158"/>
    <x v="0"/>
    <s v="U.S. dollars"/>
    <s v="Billions"/>
    <x v="4"/>
    <n v="14.02"/>
  </r>
  <r>
    <n v="1"/>
    <x v="2"/>
    <x v="158"/>
    <x v="0"/>
    <s v="U.S. dollars"/>
    <s v="Billions"/>
    <x v="5"/>
    <n v="13.701000000000001"/>
  </r>
  <r>
    <n v="1"/>
    <x v="2"/>
    <x v="158"/>
    <x v="0"/>
    <s v="U.S. dollars"/>
    <s v="Billions"/>
    <x v="6"/>
    <n v="14.135"/>
  </r>
  <r>
    <n v="200"/>
    <x v="3"/>
    <x v="158"/>
    <x v="0"/>
    <s v="U.S. dollars"/>
    <s v="Billions"/>
    <x v="0"/>
    <n v="10.345000000000001"/>
  </r>
  <r>
    <n v="200"/>
    <x v="3"/>
    <x v="158"/>
    <x v="0"/>
    <s v="U.S. dollars"/>
    <s v="Billions"/>
    <x v="1"/>
    <n v="10.173"/>
  </r>
  <r>
    <n v="200"/>
    <x v="3"/>
    <x v="158"/>
    <x v="0"/>
    <s v="U.S. dollars"/>
    <s v="Billions"/>
    <x v="2"/>
    <n v="11.053000000000001"/>
  </r>
  <r>
    <n v="200"/>
    <x v="3"/>
    <x v="158"/>
    <x v="0"/>
    <s v="U.S. dollars"/>
    <s v="Billions"/>
    <x v="3"/>
    <n v="13.308999999999999"/>
  </r>
  <r>
    <n v="200"/>
    <x v="3"/>
    <x v="158"/>
    <x v="0"/>
    <s v="U.S. dollars"/>
    <s v="Billions"/>
    <x v="4"/>
    <n v="14.02"/>
  </r>
  <r>
    <n v="200"/>
    <x v="3"/>
    <x v="158"/>
    <x v="0"/>
    <s v="U.S. dollars"/>
    <s v="Billions"/>
    <x v="5"/>
    <n v="13.701000000000001"/>
  </r>
  <r>
    <n v="200"/>
    <x v="3"/>
    <x v="158"/>
    <x v="0"/>
    <s v="U.S. dollars"/>
    <s v="Billions"/>
    <x v="6"/>
    <n v="14.135"/>
  </r>
  <r>
    <n v="998"/>
    <x v="6"/>
    <x v="118"/>
    <x v="5"/>
    <s v="Percent of GDP"/>
    <s v="Units"/>
    <x v="0"/>
    <n v="14.239000000000001"/>
  </r>
  <r>
    <n v="998"/>
    <x v="6"/>
    <x v="118"/>
    <x v="5"/>
    <s v="Percent of GDP"/>
    <s v="Units"/>
    <x v="1"/>
    <n v="10.991"/>
  </r>
  <r>
    <n v="998"/>
    <x v="6"/>
    <x v="118"/>
    <x v="5"/>
    <s v="Percent of GDP"/>
    <s v="Units"/>
    <x v="2"/>
    <n v="13.367000000000001"/>
  </r>
  <r>
    <n v="998"/>
    <x v="6"/>
    <x v="118"/>
    <x v="5"/>
    <s v="Percent of GDP"/>
    <s v="Units"/>
    <x v="3"/>
    <n v="13.497"/>
  </r>
  <r>
    <n v="998"/>
    <x v="6"/>
    <x v="118"/>
    <x v="5"/>
    <s v="Percent of GDP"/>
    <s v="Units"/>
    <x v="4"/>
    <n v="13.733000000000001"/>
  </r>
  <r>
    <n v="998"/>
    <x v="6"/>
    <x v="118"/>
    <x v="5"/>
    <s v="Percent of GDP"/>
    <s v="Units"/>
    <x v="5"/>
    <n v="13.686"/>
  </r>
  <r>
    <n v="998"/>
    <x v="6"/>
    <x v="118"/>
    <x v="5"/>
    <s v="Percent of GDP"/>
    <s v="Units"/>
    <x v="6"/>
    <n v="13.625"/>
  </r>
  <r>
    <n v="110"/>
    <x v="0"/>
    <x v="118"/>
    <x v="5"/>
    <s v="Percent of GDP"/>
    <s v="Units"/>
    <x v="0"/>
    <n v="14.239000000000001"/>
  </r>
  <r>
    <n v="110"/>
    <x v="0"/>
    <x v="118"/>
    <x v="5"/>
    <s v="Percent of GDP"/>
    <s v="Units"/>
    <x v="1"/>
    <n v="10.991"/>
  </r>
  <r>
    <n v="110"/>
    <x v="0"/>
    <x v="118"/>
    <x v="5"/>
    <s v="Percent of GDP"/>
    <s v="Units"/>
    <x v="2"/>
    <n v="13.367000000000001"/>
  </r>
  <r>
    <n v="110"/>
    <x v="0"/>
    <x v="118"/>
    <x v="5"/>
    <s v="Percent of GDP"/>
    <s v="Units"/>
    <x v="3"/>
    <n v="13.497"/>
  </r>
  <r>
    <n v="110"/>
    <x v="0"/>
    <x v="118"/>
    <x v="5"/>
    <s v="Percent of GDP"/>
    <s v="Units"/>
    <x v="4"/>
    <n v="13.733000000000001"/>
  </r>
  <r>
    <n v="110"/>
    <x v="0"/>
    <x v="118"/>
    <x v="5"/>
    <s v="Percent of GDP"/>
    <s v="Units"/>
    <x v="5"/>
    <n v="13.686"/>
  </r>
  <r>
    <n v="110"/>
    <x v="0"/>
    <x v="118"/>
    <x v="5"/>
    <s v="Percent of GDP"/>
    <s v="Units"/>
    <x v="6"/>
    <n v="13.625"/>
  </r>
  <r>
    <n v="1"/>
    <x v="2"/>
    <x v="118"/>
    <x v="5"/>
    <s v="Percent of GDP"/>
    <s v="Units"/>
    <x v="0"/>
    <n v="14.239000000000001"/>
  </r>
  <r>
    <n v="1"/>
    <x v="2"/>
    <x v="118"/>
    <x v="5"/>
    <s v="Percent of GDP"/>
    <s v="Units"/>
    <x v="1"/>
    <n v="10.991"/>
  </r>
  <r>
    <n v="1"/>
    <x v="2"/>
    <x v="118"/>
    <x v="5"/>
    <s v="Percent of GDP"/>
    <s v="Units"/>
    <x v="2"/>
    <n v="13.367000000000001"/>
  </r>
  <r>
    <n v="1"/>
    <x v="2"/>
    <x v="118"/>
    <x v="5"/>
    <s v="Percent of GDP"/>
    <s v="Units"/>
    <x v="3"/>
    <n v="13.497"/>
  </r>
  <r>
    <n v="1"/>
    <x v="2"/>
    <x v="118"/>
    <x v="5"/>
    <s v="Percent of GDP"/>
    <s v="Units"/>
    <x v="4"/>
    <n v="13.733000000000001"/>
  </r>
  <r>
    <n v="1"/>
    <x v="2"/>
    <x v="118"/>
    <x v="5"/>
    <s v="Percent of GDP"/>
    <s v="Units"/>
    <x v="5"/>
    <n v="13.686"/>
  </r>
  <r>
    <n v="1"/>
    <x v="2"/>
    <x v="118"/>
    <x v="5"/>
    <s v="Percent of GDP"/>
    <s v="Units"/>
    <x v="6"/>
    <n v="13.625"/>
  </r>
  <r>
    <n v="163"/>
    <x v="5"/>
    <x v="118"/>
    <x v="5"/>
    <s v="Percent of GDP"/>
    <s v="Units"/>
    <x v="0"/>
    <n v="14.239000000000001"/>
  </r>
  <r>
    <n v="163"/>
    <x v="5"/>
    <x v="118"/>
    <x v="5"/>
    <s v="Percent of GDP"/>
    <s v="Units"/>
    <x v="1"/>
    <n v="10.991"/>
  </r>
  <r>
    <n v="163"/>
    <x v="5"/>
    <x v="118"/>
    <x v="5"/>
    <s v="Percent of GDP"/>
    <s v="Units"/>
    <x v="2"/>
    <n v="13.367000000000001"/>
  </r>
  <r>
    <n v="163"/>
    <x v="5"/>
    <x v="118"/>
    <x v="5"/>
    <s v="Percent of GDP"/>
    <s v="Units"/>
    <x v="3"/>
    <n v="13.497"/>
  </r>
  <r>
    <n v="163"/>
    <x v="5"/>
    <x v="118"/>
    <x v="5"/>
    <s v="Percent of GDP"/>
    <s v="Units"/>
    <x v="4"/>
    <n v="13.733000000000001"/>
  </r>
  <r>
    <n v="163"/>
    <x v="5"/>
    <x v="118"/>
    <x v="5"/>
    <s v="Percent of GDP"/>
    <s v="Units"/>
    <x v="5"/>
    <n v="13.686"/>
  </r>
  <r>
    <n v="163"/>
    <x v="5"/>
    <x v="118"/>
    <x v="5"/>
    <s v="Percent of GDP"/>
    <s v="Units"/>
    <x v="6"/>
    <n v="13.625"/>
  </r>
  <r>
    <n v="110"/>
    <x v="0"/>
    <x v="67"/>
    <x v="7"/>
    <s v="Percent of GDP"/>
    <s v="Units"/>
    <x v="0"/>
    <n v="15.349"/>
  </r>
  <r>
    <n v="110"/>
    <x v="0"/>
    <x v="67"/>
    <x v="7"/>
    <s v="Percent of GDP"/>
    <s v="Units"/>
    <x v="1"/>
    <n v="10.881"/>
  </r>
  <r>
    <n v="110"/>
    <x v="0"/>
    <x v="67"/>
    <x v="7"/>
    <s v="Percent of GDP"/>
    <s v="Units"/>
    <x v="2"/>
    <n v="10.88"/>
  </r>
  <r>
    <n v="110"/>
    <x v="0"/>
    <x v="67"/>
    <x v="7"/>
    <s v="Percent of GDP"/>
    <s v="Units"/>
    <x v="3"/>
    <n v="13.349"/>
  </r>
  <r>
    <n v="110"/>
    <x v="0"/>
    <x v="67"/>
    <x v="7"/>
    <s v="Percent of GDP"/>
    <s v="Units"/>
    <x v="4"/>
    <n v="13.209"/>
  </r>
  <r>
    <n v="110"/>
    <x v="0"/>
    <x v="67"/>
    <x v="7"/>
    <s v="Percent of GDP"/>
    <s v="Units"/>
    <x v="5"/>
    <n v="13.659000000000001"/>
  </r>
  <r>
    <n v="110"/>
    <x v="0"/>
    <x v="67"/>
    <x v="7"/>
    <s v="Percent of GDP"/>
    <s v="Units"/>
    <x v="6"/>
    <n v="13.946999999999999"/>
  </r>
  <r>
    <n v="1"/>
    <x v="2"/>
    <x v="67"/>
    <x v="7"/>
    <s v="Percent of GDP"/>
    <s v="Units"/>
    <x v="0"/>
    <n v="15.349"/>
  </r>
  <r>
    <n v="1"/>
    <x v="2"/>
    <x v="67"/>
    <x v="7"/>
    <s v="Percent of GDP"/>
    <s v="Units"/>
    <x v="1"/>
    <n v="10.881"/>
  </r>
  <r>
    <n v="1"/>
    <x v="2"/>
    <x v="67"/>
    <x v="7"/>
    <s v="Percent of GDP"/>
    <s v="Units"/>
    <x v="2"/>
    <n v="10.88"/>
  </r>
  <r>
    <n v="1"/>
    <x v="2"/>
    <x v="67"/>
    <x v="7"/>
    <s v="Percent of GDP"/>
    <s v="Units"/>
    <x v="3"/>
    <n v="13.349"/>
  </r>
  <r>
    <n v="1"/>
    <x v="2"/>
    <x v="67"/>
    <x v="7"/>
    <s v="Percent of GDP"/>
    <s v="Units"/>
    <x v="4"/>
    <n v="13.209"/>
  </r>
  <r>
    <n v="1"/>
    <x v="2"/>
    <x v="67"/>
    <x v="7"/>
    <s v="Percent of GDP"/>
    <s v="Units"/>
    <x v="5"/>
    <n v="13.659000000000001"/>
  </r>
  <r>
    <n v="1"/>
    <x v="2"/>
    <x v="67"/>
    <x v="7"/>
    <s v="Percent of GDP"/>
    <s v="Units"/>
    <x v="6"/>
    <n v="13.946999999999999"/>
  </r>
  <r>
    <n v="123"/>
    <x v="9"/>
    <x v="67"/>
    <x v="7"/>
    <s v="Percent of GDP"/>
    <s v="Units"/>
    <x v="0"/>
    <n v="15.349"/>
  </r>
  <r>
    <n v="123"/>
    <x v="9"/>
    <x v="67"/>
    <x v="7"/>
    <s v="Percent of GDP"/>
    <s v="Units"/>
    <x v="1"/>
    <n v="10.881"/>
  </r>
  <r>
    <n v="123"/>
    <x v="9"/>
    <x v="67"/>
    <x v="7"/>
    <s v="Percent of GDP"/>
    <s v="Units"/>
    <x v="2"/>
    <n v="10.88"/>
  </r>
  <r>
    <n v="123"/>
    <x v="9"/>
    <x v="67"/>
    <x v="7"/>
    <s v="Percent of GDP"/>
    <s v="Units"/>
    <x v="3"/>
    <n v="13.349"/>
  </r>
  <r>
    <n v="123"/>
    <x v="9"/>
    <x v="67"/>
    <x v="7"/>
    <s v="Percent of GDP"/>
    <s v="Units"/>
    <x v="4"/>
    <n v="13.209"/>
  </r>
  <r>
    <n v="123"/>
    <x v="9"/>
    <x v="67"/>
    <x v="7"/>
    <s v="Percent of GDP"/>
    <s v="Units"/>
    <x v="5"/>
    <n v="13.659000000000001"/>
  </r>
  <r>
    <n v="123"/>
    <x v="9"/>
    <x v="67"/>
    <x v="7"/>
    <s v="Percent of GDP"/>
    <s v="Units"/>
    <x v="6"/>
    <n v="13.946999999999999"/>
  </r>
  <r>
    <n v="603"/>
    <x v="12"/>
    <x v="40"/>
    <x v="5"/>
    <s v="Percent of GDP"/>
    <s v="Units"/>
    <x v="0"/>
    <n v="13.215999999999999"/>
  </r>
  <r>
    <n v="603"/>
    <x v="12"/>
    <x v="40"/>
    <x v="5"/>
    <s v="Percent of GDP"/>
    <s v="Units"/>
    <x v="1"/>
    <n v="14.481999999999999"/>
  </r>
  <r>
    <n v="603"/>
    <x v="12"/>
    <x v="40"/>
    <x v="5"/>
    <s v="Percent of GDP"/>
    <s v="Units"/>
    <x v="2"/>
    <n v="16.696000000000002"/>
  </r>
  <r>
    <n v="603"/>
    <x v="12"/>
    <x v="40"/>
    <x v="5"/>
    <s v="Percent of GDP"/>
    <s v="Units"/>
    <x v="3"/>
    <n v="14.926"/>
  </r>
  <r>
    <n v="603"/>
    <x v="12"/>
    <x v="40"/>
    <x v="5"/>
    <s v="Percent of GDP"/>
    <s v="Units"/>
    <x v="4"/>
    <n v="14.002000000000001"/>
  </r>
  <r>
    <n v="603"/>
    <x v="12"/>
    <x v="40"/>
    <x v="5"/>
    <s v="Percent of GDP"/>
    <s v="Units"/>
    <x v="5"/>
    <n v="13.657999999999999"/>
  </r>
  <r>
    <n v="603"/>
    <x v="12"/>
    <x v="40"/>
    <x v="5"/>
    <s v="Percent of GDP"/>
    <s v="Units"/>
    <x v="6"/>
    <n v="13.77"/>
  </r>
  <r>
    <n v="1"/>
    <x v="2"/>
    <x v="40"/>
    <x v="5"/>
    <s v="Percent of GDP"/>
    <s v="Units"/>
    <x v="0"/>
    <n v="13.215999999999999"/>
  </r>
  <r>
    <n v="1"/>
    <x v="2"/>
    <x v="40"/>
    <x v="5"/>
    <s v="Percent of GDP"/>
    <s v="Units"/>
    <x v="1"/>
    <n v="14.481999999999999"/>
  </r>
  <r>
    <n v="1"/>
    <x v="2"/>
    <x v="40"/>
    <x v="5"/>
    <s v="Percent of GDP"/>
    <s v="Units"/>
    <x v="2"/>
    <n v="16.696000000000002"/>
  </r>
  <r>
    <n v="1"/>
    <x v="2"/>
    <x v="40"/>
    <x v="5"/>
    <s v="Percent of GDP"/>
    <s v="Units"/>
    <x v="3"/>
    <n v="14.926"/>
  </r>
  <r>
    <n v="1"/>
    <x v="2"/>
    <x v="40"/>
    <x v="5"/>
    <s v="Percent of GDP"/>
    <s v="Units"/>
    <x v="4"/>
    <n v="14.002000000000001"/>
  </r>
  <r>
    <n v="1"/>
    <x v="2"/>
    <x v="40"/>
    <x v="5"/>
    <s v="Percent of GDP"/>
    <s v="Units"/>
    <x v="5"/>
    <n v="13.657999999999999"/>
  </r>
  <r>
    <n v="1"/>
    <x v="2"/>
    <x v="40"/>
    <x v="5"/>
    <s v="Percent of GDP"/>
    <s v="Units"/>
    <x v="6"/>
    <n v="13.77"/>
  </r>
  <r>
    <n v="200"/>
    <x v="3"/>
    <x v="40"/>
    <x v="5"/>
    <s v="Percent of GDP"/>
    <s v="Units"/>
    <x v="0"/>
    <n v="13.215999999999999"/>
  </r>
  <r>
    <n v="200"/>
    <x v="3"/>
    <x v="40"/>
    <x v="5"/>
    <s v="Percent of GDP"/>
    <s v="Units"/>
    <x v="1"/>
    <n v="14.481999999999999"/>
  </r>
  <r>
    <n v="200"/>
    <x v="3"/>
    <x v="40"/>
    <x v="5"/>
    <s v="Percent of GDP"/>
    <s v="Units"/>
    <x v="2"/>
    <n v="16.696000000000002"/>
  </r>
  <r>
    <n v="200"/>
    <x v="3"/>
    <x v="40"/>
    <x v="5"/>
    <s v="Percent of GDP"/>
    <s v="Units"/>
    <x v="3"/>
    <n v="14.926"/>
  </r>
  <r>
    <n v="200"/>
    <x v="3"/>
    <x v="40"/>
    <x v="5"/>
    <s v="Percent of GDP"/>
    <s v="Units"/>
    <x v="4"/>
    <n v="14.002000000000001"/>
  </r>
  <r>
    <n v="200"/>
    <x v="3"/>
    <x v="40"/>
    <x v="5"/>
    <s v="Percent of GDP"/>
    <s v="Units"/>
    <x v="5"/>
    <n v="13.657999999999999"/>
  </r>
  <r>
    <n v="200"/>
    <x v="3"/>
    <x v="40"/>
    <x v="5"/>
    <s v="Percent of GDP"/>
    <s v="Units"/>
    <x v="6"/>
    <n v="13.77"/>
  </r>
  <r>
    <n v="400"/>
    <x v="11"/>
    <x v="119"/>
    <x v="0"/>
    <s v="U.S. dollars"/>
    <s v="Billions"/>
    <x v="0"/>
    <n v="9.3719999999999999"/>
  </r>
  <r>
    <n v="400"/>
    <x v="11"/>
    <x v="119"/>
    <x v="0"/>
    <s v="U.S. dollars"/>
    <s v="Billions"/>
    <x v="1"/>
    <n v="8.2829999999999995"/>
  </r>
  <r>
    <n v="400"/>
    <x v="11"/>
    <x v="119"/>
    <x v="0"/>
    <s v="U.S. dollars"/>
    <s v="Billions"/>
    <x v="2"/>
    <n v="9.2560000000000002"/>
  </r>
  <r>
    <n v="400"/>
    <x v="11"/>
    <x v="119"/>
    <x v="0"/>
    <s v="U.S. dollars"/>
    <s v="Billions"/>
    <x v="3"/>
    <n v="11.672000000000001"/>
  </r>
  <r>
    <n v="400"/>
    <x v="11"/>
    <x v="119"/>
    <x v="0"/>
    <s v="U.S. dollars"/>
    <s v="Billions"/>
    <x v="4"/>
    <n v="12.775"/>
  </r>
  <r>
    <n v="400"/>
    <x v="11"/>
    <x v="119"/>
    <x v="0"/>
    <s v="U.S. dollars"/>
    <s v="Billions"/>
    <x v="5"/>
    <n v="13.599"/>
  </r>
  <r>
    <n v="400"/>
    <x v="11"/>
    <x v="119"/>
    <x v="0"/>
    <s v="U.S. dollars"/>
    <s v="Billions"/>
    <x v="6"/>
    <n v="14.666"/>
  </r>
  <r>
    <n v="200"/>
    <x v="3"/>
    <x v="119"/>
    <x v="0"/>
    <s v="U.S. dollars"/>
    <s v="Billions"/>
    <x v="0"/>
    <n v="9.3719999999999999"/>
  </r>
  <r>
    <n v="200"/>
    <x v="3"/>
    <x v="119"/>
    <x v="0"/>
    <s v="U.S. dollars"/>
    <s v="Billions"/>
    <x v="1"/>
    <n v="8.2829999999999995"/>
  </r>
  <r>
    <n v="200"/>
    <x v="3"/>
    <x v="119"/>
    <x v="0"/>
    <s v="U.S. dollars"/>
    <s v="Billions"/>
    <x v="2"/>
    <n v="9.2560000000000002"/>
  </r>
  <r>
    <n v="200"/>
    <x v="3"/>
    <x v="119"/>
    <x v="0"/>
    <s v="U.S. dollars"/>
    <s v="Billions"/>
    <x v="3"/>
    <n v="11.672000000000001"/>
  </r>
  <r>
    <n v="200"/>
    <x v="3"/>
    <x v="119"/>
    <x v="0"/>
    <s v="U.S. dollars"/>
    <s v="Billions"/>
    <x v="4"/>
    <n v="12.775"/>
  </r>
  <r>
    <n v="200"/>
    <x v="3"/>
    <x v="119"/>
    <x v="0"/>
    <s v="U.S. dollars"/>
    <s v="Billions"/>
    <x v="5"/>
    <n v="13.599"/>
  </r>
  <r>
    <n v="200"/>
    <x v="3"/>
    <x v="119"/>
    <x v="0"/>
    <s v="U.S. dollars"/>
    <s v="Billions"/>
    <x v="6"/>
    <n v="14.666"/>
  </r>
  <r>
    <n v="1"/>
    <x v="2"/>
    <x v="119"/>
    <x v="0"/>
    <s v="U.S. dollars"/>
    <s v="Billions"/>
    <x v="0"/>
    <n v="9.3719999999999999"/>
  </r>
  <r>
    <n v="1"/>
    <x v="2"/>
    <x v="119"/>
    <x v="0"/>
    <s v="U.S. dollars"/>
    <s v="Billions"/>
    <x v="1"/>
    <n v="8.2829999999999995"/>
  </r>
  <r>
    <n v="1"/>
    <x v="2"/>
    <x v="119"/>
    <x v="0"/>
    <s v="U.S. dollars"/>
    <s v="Billions"/>
    <x v="2"/>
    <n v="9.2560000000000002"/>
  </r>
  <r>
    <n v="1"/>
    <x v="2"/>
    <x v="119"/>
    <x v="0"/>
    <s v="U.S. dollars"/>
    <s v="Billions"/>
    <x v="3"/>
    <n v="11.672000000000001"/>
  </r>
  <r>
    <n v="1"/>
    <x v="2"/>
    <x v="119"/>
    <x v="0"/>
    <s v="U.S. dollars"/>
    <s v="Billions"/>
    <x v="4"/>
    <n v="12.775"/>
  </r>
  <r>
    <n v="1"/>
    <x v="2"/>
    <x v="119"/>
    <x v="0"/>
    <s v="U.S. dollars"/>
    <s v="Billions"/>
    <x v="5"/>
    <n v="13.599"/>
  </r>
  <r>
    <n v="1"/>
    <x v="2"/>
    <x v="119"/>
    <x v="0"/>
    <s v="U.S. dollars"/>
    <s v="Billions"/>
    <x v="6"/>
    <n v="14.666"/>
  </r>
  <r>
    <n v="200"/>
    <x v="3"/>
    <x v="35"/>
    <x v="3"/>
    <s v="Percent of GDP"/>
    <s v="Units"/>
    <x v="0"/>
    <n v="13.552"/>
  </r>
  <r>
    <n v="200"/>
    <x v="3"/>
    <x v="35"/>
    <x v="3"/>
    <s v="Percent of GDP"/>
    <s v="Units"/>
    <x v="1"/>
    <n v="13.308"/>
  </r>
  <r>
    <n v="200"/>
    <x v="3"/>
    <x v="35"/>
    <x v="3"/>
    <s v="Percent of GDP"/>
    <s v="Units"/>
    <x v="2"/>
    <n v="12.967000000000001"/>
  </r>
  <r>
    <n v="200"/>
    <x v="3"/>
    <x v="35"/>
    <x v="3"/>
    <s v="Percent of GDP"/>
    <s v="Units"/>
    <x v="3"/>
    <n v="13.010999999999999"/>
  </r>
  <r>
    <n v="200"/>
    <x v="3"/>
    <x v="35"/>
    <x v="3"/>
    <s v="Percent of GDP"/>
    <s v="Units"/>
    <x v="4"/>
    <n v="12.933999999999999"/>
  </r>
  <r>
    <n v="200"/>
    <x v="3"/>
    <x v="35"/>
    <x v="3"/>
    <s v="Percent of GDP"/>
    <s v="Units"/>
    <x v="5"/>
    <n v="13.443"/>
  </r>
  <r>
    <n v="200"/>
    <x v="3"/>
    <x v="35"/>
    <x v="3"/>
    <s v="Percent of GDP"/>
    <s v="Units"/>
    <x v="6"/>
    <n v="13.855"/>
  </r>
  <r>
    <n v="505"/>
    <x v="4"/>
    <x v="35"/>
    <x v="3"/>
    <s v="Percent of GDP"/>
    <s v="Units"/>
    <x v="0"/>
    <n v="13.552"/>
  </r>
  <r>
    <n v="505"/>
    <x v="4"/>
    <x v="35"/>
    <x v="3"/>
    <s v="Percent of GDP"/>
    <s v="Units"/>
    <x v="1"/>
    <n v="13.308"/>
  </r>
  <r>
    <n v="505"/>
    <x v="4"/>
    <x v="35"/>
    <x v="3"/>
    <s v="Percent of GDP"/>
    <s v="Units"/>
    <x v="2"/>
    <n v="12.967000000000001"/>
  </r>
  <r>
    <n v="505"/>
    <x v="4"/>
    <x v="35"/>
    <x v="3"/>
    <s v="Percent of GDP"/>
    <s v="Units"/>
    <x v="3"/>
    <n v="13.010999999999999"/>
  </r>
  <r>
    <n v="505"/>
    <x v="4"/>
    <x v="35"/>
    <x v="3"/>
    <s v="Percent of GDP"/>
    <s v="Units"/>
    <x v="4"/>
    <n v="12.933999999999999"/>
  </r>
  <r>
    <n v="505"/>
    <x v="4"/>
    <x v="35"/>
    <x v="3"/>
    <s v="Percent of GDP"/>
    <s v="Units"/>
    <x v="5"/>
    <n v="13.443"/>
  </r>
  <r>
    <n v="505"/>
    <x v="4"/>
    <x v="35"/>
    <x v="3"/>
    <s v="Percent of GDP"/>
    <s v="Units"/>
    <x v="6"/>
    <n v="13.855"/>
  </r>
  <r>
    <n v="603"/>
    <x v="12"/>
    <x v="173"/>
    <x v="2"/>
    <s v="Percent of GDP"/>
    <s v="Units"/>
    <x v="0"/>
    <n v="14.715"/>
  </r>
  <r>
    <n v="603"/>
    <x v="12"/>
    <x v="173"/>
    <x v="2"/>
    <s v="Percent of GDP"/>
    <s v="Units"/>
    <x v="1"/>
    <n v="13.994999999999999"/>
  </r>
  <r>
    <n v="603"/>
    <x v="12"/>
    <x v="173"/>
    <x v="2"/>
    <s v="Percent of GDP"/>
    <s v="Units"/>
    <x v="2"/>
    <n v="13.465999999999999"/>
  </r>
  <r>
    <n v="603"/>
    <x v="12"/>
    <x v="173"/>
    <x v="2"/>
    <s v="Percent of GDP"/>
    <s v="Units"/>
    <x v="3"/>
    <n v="13.685"/>
  </r>
  <r>
    <n v="603"/>
    <x v="12"/>
    <x v="173"/>
    <x v="2"/>
    <s v="Percent of GDP"/>
    <s v="Units"/>
    <x v="4"/>
    <n v="13.881"/>
  </r>
  <r>
    <n v="603"/>
    <x v="12"/>
    <x v="173"/>
    <x v="2"/>
    <s v="Percent of GDP"/>
    <s v="Units"/>
    <x v="5"/>
    <n v="13.404999999999999"/>
  </r>
  <r>
    <n v="603"/>
    <x v="12"/>
    <x v="173"/>
    <x v="2"/>
    <s v="Percent of GDP"/>
    <s v="Units"/>
    <x v="6"/>
    <n v="13.201000000000001"/>
  </r>
  <r>
    <n v="200"/>
    <x v="3"/>
    <x v="173"/>
    <x v="2"/>
    <s v="Percent of GDP"/>
    <s v="Units"/>
    <x v="0"/>
    <n v="14.715"/>
  </r>
  <r>
    <n v="200"/>
    <x v="3"/>
    <x v="173"/>
    <x v="2"/>
    <s v="Percent of GDP"/>
    <s v="Units"/>
    <x v="1"/>
    <n v="13.994999999999999"/>
  </r>
  <r>
    <n v="200"/>
    <x v="3"/>
    <x v="173"/>
    <x v="2"/>
    <s v="Percent of GDP"/>
    <s v="Units"/>
    <x v="2"/>
    <n v="13.465999999999999"/>
  </r>
  <r>
    <n v="200"/>
    <x v="3"/>
    <x v="173"/>
    <x v="2"/>
    <s v="Percent of GDP"/>
    <s v="Units"/>
    <x v="3"/>
    <n v="13.685"/>
  </r>
  <r>
    <n v="200"/>
    <x v="3"/>
    <x v="173"/>
    <x v="2"/>
    <s v="Percent of GDP"/>
    <s v="Units"/>
    <x v="4"/>
    <n v="13.881"/>
  </r>
  <r>
    <n v="200"/>
    <x v="3"/>
    <x v="173"/>
    <x v="2"/>
    <s v="Percent of GDP"/>
    <s v="Units"/>
    <x v="5"/>
    <n v="13.404999999999999"/>
  </r>
  <r>
    <n v="200"/>
    <x v="3"/>
    <x v="173"/>
    <x v="2"/>
    <s v="Percent of GDP"/>
    <s v="Units"/>
    <x v="6"/>
    <n v="13.201000000000001"/>
  </r>
  <r>
    <n v="110"/>
    <x v="0"/>
    <x v="31"/>
    <x v="3"/>
    <s v="Percent of GDP"/>
    <s v="Units"/>
    <x v="0"/>
    <n v="14.013"/>
  </r>
  <r>
    <n v="110"/>
    <x v="0"/>
    <x v="31"/>
    <x v="3"/>
    <s v="Percent of GDP"/>
    <s v="Units"/>
    <x v="1"/>
    <n v="24.135000000000002"/>
  </r>
  <r>
    <n v="110"/>
    <x v="0"/>
    <x v="31"/>
    <x v="3"/>
    <s v="Percent of GDP"/>
    <s v="Units"/>
    <x v="2"/>
    <n v="15.68"/>
  </r>
  <r>
    <n v="110"/>
    <x v="0"/>
    <x v="31"/>
    <x v="3"/>
    <s v="Percent of GDP"/>
    <s v="Units"/>
    <x v="3"/>
    <n v="15.387"/>
  </r>
  <r>
    <n v="110"/>
    <x v="0"/>
    <x v="31"/>
    <x v="3"/>
    <s v="Percent of GDP"/>
    <s v="Units"/>
    <x v="4"/>
    <n v="15.055999999999999"/>
  </r>
  <r>
    <n v="110"/>
    <x v="0"/>
    <x v="31"/>
    <x v="3"/>
    <s v="Percent of GDP"/>
    <s v="Units"/>
    <x v="5"/>
    <n v="13.352"/>
  </r>
  <r>
    <n v="110"/>
    <x v="0"/>
    <x v="31"/>
    <x v="3"/>
    <s v="Percent of GDP"/>
    <s v="Units"/>
    <x v="6"/>
    <n v="15.526"/>
  </r>
  <r>
    <n v="123"/>
    <x v="9"/>
    <x v="31"/>
    <x v="3"/>
    <s v="Percent of GDP"/>
    <s v="Units"/>
    <x v="0"/>
    <n v="14.013"/>
  </r>
  <r>
    <n v="123"/>
    <x v="9"/>
    <x v="31"/>
    <x v="3"/>
    <s v="Percent of GDP"/>
    <s v="Units"/>
    <x v="1"/>
    <n v="24.135000000000002"/>
  </r>
  <r>
    <n v="123"/>
    <x v="9"/>
    <x v="31"/>
    <x v="3"/>
    <s v="Percent of GDP"/>
    <s v="Units"/>
    <x v="2"/>
    <n v="15.68"/>
  </r>
  <r>
    <n v="123"/>
    <x v="9"/>
    <x v="31"/>
    <x v="3"/>
    <s v="Percent of GDP"/>
    <s v="Units"/>
    <x v="3"/>
    <n v="15.387"/>
  </r>
  <r>
    <n v="123"/>
    <x v="9"/>
    <x v="31"/>
    <x v="3"/>
    <s v="Percent of GDP"/>
    <s v="Units"/>
    <x v="4"/>
    <n v="15.055999999999999"/>
  </r>
  <r>
    <n v="123"/>
    <x v="9"/>
    <x v="31"/>
    <x v="3"/>
    <s v="Percent of GDP"/>
    <s v="Units"/>
    <x v="5"/>
    <n v="13.352"/>
  </r>
  <r>
    <n v="123"/>
    <x v="9"/>
    <x v="31"/>
    <x v="3"/>
    <s v="Percent of GDP"/>
    <s v="Units"/>
    <x v="6"/>
    <n v="15.526"/>
  </r>
  <r>
    <n v="510"/>
    <x v="10"/>
    <x v="31"/>
    <x v="3"/>
    <s v="Percent of GDP"/>
    <s v="Units"/>
    <x v="0"/>
    <n v="14.013"/>
  </r>
  <r>
    <n v="510"/>
    <x v="10"/>
    <x v="31"/>
    <x v="3"/>
    <s v="Percent of GDP"/>
    <s v="Units"/>
    <x v="1"/>
    <n v="24.135000000000002"/>
  </r>
  <r>
    <n v="510"/>
    <x v="10"/>
    <x v="31"/>
    <x v="3"/>
    <s v="Percent of GDP"/>
    <s v="Units"/>
    <x v="2"/>
    <n v="15.68"/>
  </r>
  <r>
    <n v="510"/>
    <x v="10"/>
    <x v="31"/>
    <x v="3"/>
    <s v="Percent of GDP"/>
    <s v="Units"/>
    <x v="3"/>
    <n v="15.387"/>
  </r>
  <r>
    <n v="510"/>
    <x v="10"/>
    <x v="31"/>
    <x v="3"/>
    <s v="Percent of GDP"/>
    <s v="Units"/>
    <x v="4"/>
    <n v="15.055999999999999"/>
  </r>
  <r>
    <n v="510"/>
    <x v="10"/>
    <x v="31"/>
    <x v="3"/>
    <s v="Percent of GDP"/>
    <s v="Units"/>
    <x v="5"/>
    <n v="13.352"/>
  </r>
  <r>
    <n v="510"/>
    <x v="10"/>
    <x v="31"/>
    <x v="3"/>
    <s v="Percent of GDP"/>
    <s v="Units"/>
    <x v="6"/>
    <n v="15.526"/>
  </r>
  <r>
    <n v="200"/>
    <x v="3"/>
    <x v="183"/>
    <x v="6"/>
    <s v="Percent change"/>
    <s v="Units"/>
    <x v="0"/>
    <n v="13.211"/>
  </r>
  <r>
    <n v="200"/>
    <x v="3"/>
    <x v="183"/>
    <x v="6"/>
    <s v="Percent change"/>
    <s v="Units"/>
    <x v="1"/>
    <n v="-29.363"/>
  </r>
  <r>
    <n v="200"/>
    <x v="3"/>
    <x v="183"/>
    <x v="6"/>
    <s v="Percent change"/>
    <s v="Units"/>
    <x v="2"/>
    <n v="57.432000000000002"/>
  </r>
  <r>
    <n v="200"/>
    <x v="3"/>
    <x v="183"/>
    <x v="6"/>
    <s v="Percent change"/>
    <s v="Units"/>
    <x v="3"/>
    <n v="-11.724"/>
  </r>
  <r>
    <n v="200"/>
    <x v="3"/>
    <x v="183"/>
    <x v="6"/>
    <s v="Percent change"/>
    <s v="Units"/>
    <x v="4"/>
    <n v="-4.8250000000000002"/>
  </r>
  <r>
    <n v="200"/>
    <x v="3"/>
    <x v="183"/>
    <x v="6"/>
    <s v="Percent change"/>
    <s v="Units"/>
    <x v="5"/>
    <n v="13.340999999999999"/>
  </r>
  <r>
    <n v="200"/>
    <x v="3"/>
    <x v="183"/>
    <x v="6"/>
    <s v="Percent change"/>
    <s v="Units"/>
    <x v="6"/>
    <n v="2.0249999999999999"/>
  </r>
  <r>
    <n v="400"/>
    <x v="11"/>
    <x v="183"/>
    <x v="6"/>
    <s v="Percent change"/>
    <s v="Units"/>
    <x v="0"/>
    <n v="13.211"/>
  </r>
  <r>
    <n v="400"/>
    <x v="11"/>
    <x v="183"/>
    <x v="6"/>
    <s v="Percent change"/>
    <s v="Units"/>
    <x v="1"/>
    <n v="-29.363"/>
  </r>
  <r>
    <n v="400"/>
    <x v="11"/>
    <x v="183"/>
    <x v="6"/>
    <s v="Percent change"/>
    <s v="Units"/>
    <x v="2"/>
    <n v="57.432000000000002"/>
  </r>
  <r>
    <n v="400"/>
    <x v="11"/>
    <x v="183"/>
    <x v="6"/>
    <s v="Percent change"/>
    <s v="Units"/>
    <x v="3"/>
    <n v="-11.724"/>
  </r>
  <r>
    <n v="400"/>
    <x v="11"/>
    <x v="183"/>
    <x v="6"/>
    <s v="Percent change"/>
    <s v="Units"/>
    <x v="4"/>
    <n v="-4.8250000000000002"/>
  </r>
  <r>
    <n v="400"/>
    <x v="11"/>
    <x v="183"/>
    <x v="6"/>
    <s v="Percent change"/>
    <s v="Units"/>
    <x v="5"/>
    <n v="13.340999999999999"/>
  </r>
  <r>
    <n v="400"/>
    <x v="11"/>
    <x v="183"/>
    <x v="6"/>
    <s v="Percent change"/>
    <s v="Units"/>
    <x v="6"/>
    <n v="2.0249999999999999"/>
  </r>
  <r>
    <n v="1"/>
    <x v="2"/>
    <x v="183"/>
    <x v="6"/>
    <s v="Percent change"/>
    <s v="Units"/>
    <x v="0"/>
    <n v="13.211"/>
  </r>
  <r>
    <n v="1"/>
    <x v="2"/>
    <x v="183"/>
    <x v="6"/>
    <s v="Percent change"/>
    <s v="Units"/>
    <x v="1"/>
    <n v="-29.363"/>
  </r>
  <r>
    <n v="1"/>
    <x v="2"/>
    <x v="183"/>
    <x v="6"/>
    <s v="Percent change"/>
    <s v="Units"/>
    <x v="2"/>
    <n v="57.432000000000002"/>
  </r>
  <r>
    <n v="1"/>
    <x v="2"/>
    <x v="183"/>
    <x v="6"/>
    <s v="Percent change"/>
    <s v="Units"/>
    <x v="3"/>
    <n v="-11.724"/>
  </r>
  <r>
    <n v="1"/>
    <x v="2"/>
    <x v="183"/>
    <x v="6"/>
    <s v="Percent change"/>
    <s v="Units"/>
    <x v="4"/>
    <n v="-4.8250000000000002"/>
  </r>
  <r>
    <n v="1"/>
    <x v="2"/>
    <x v="183"/>
    <x v="6"/>
    <s v="Percent change"/>
    <s v="Units"/>
    <x v="5"/>
    <n v="13.340999999999999"/>
  </r>
  <r>
    <n v="1"/>
    <x v="2"/>
    <x v="183"/>
    <x v="6"/>
    <s v="Percent change"/>
    <s v="Units"/>
    <x v="6"/>
    <n v="2.0249999999999999"/>
  </r>
  <r>
    <n v="603"/>
    <x v="12"/>
    <x v="179"/>
    <x v="2"/>
    <s v="Percent of GDP"/>
    <s v="Units"/>
    <x v="0"/>
    <n v="13.941000000000001"/>
  </r>
  <r>
    <n v="603"/>
    <x v="12"/>
    <x v="179"/>
    <x v="2"/>
    <s v="Percent of GDP"/>
    <s v="Units"/>
    <x v="1"/>
    <n v="12.398"/>
  </r>
  <r>
    <n v="603"/>
    <x v="12"/>
    <x v="179"/>
    <x v="2"/>
    <s v="Percent of GDP"/>
    <s v="Units"/>
    <x v="2"/>
    <n v="10.917999999999999"/>
  </r>
  <r>
    <n v="603"/>
    <x v="12"/>
    <x v="179"/>
    <x v="2"/>
    <s v="Percent of GDP"/>
    <s v="Units"/>
    <x v="3"/>
    <n v="10.823"/>
  </r>
  <r>
    <n v="603"/>
    <x v="12"/>
    <x v="179"/>
    <x v="2"/>
    <s v="Percent of GDP"/>
    <s v="Units"/>
    <x v="4"/>
    <n v="13.218"/>
  </r>
  <r>
    <n v="603"/>
    <x v="12"/>
    <x v="179"/>
    <x v="2"/>
    <s v="Percent of GDP"/>
    <s v="Units"/>
    <x v="5"/>
    <n v="13.268000000000001"/>
  </r>
  <r>
    <n v="603"/>
    <x v="12"/>
    <x v="179"/>
    <x v="2"/>
    <s v="Percent of GDP"/>
    <s v="Units"/>
    <x v="6"/>
    <n v="12.43"/>
  </r>
  <r>
    <n v="200"/>
    <x v="3"/>
    <x v="179"/>
    <x v="2"/>
    <s v="Percent of GDP"/>
    <s v="Units"/>
    <x v="0"/>
    <n v="13.941000000000001"/>
  </r>
  <r>
    <n v="200"/>
    <x v="3"/>
    <x v="179"/>
    <x v="2"/>
    <s v="Percent of GDP"/>
    <s v="Units"/>
    <x v="1"/>
    <n v="12.398"/>
  </r>
  <r>
    <n v="200"/>
    <x v="3"/>
    <x v="179"/>
    <x v="2"/>
    <s v="Percent of GDP"/>
    <s v="Units"/>
    <x v="2"/>
    <n v="10.917999999999999"/>
  </r>
  <r>
    <n v="200"/>
    <x v="3"/>
    <x v="179"/>
    <x v="2"/>
    <s v="Percent of GDP"/>
    <s v="Units"/>
    <x v="3"/>
    <n v="10.823"/>
  </r>
  <r>
    <n v="200"/>
    <x v="3"/>
    <x v="179"/>
    <x v="2"/>
    <s v="Percent of GDP"/>
    <s v="Units"/>
    <x v="4"/>
    <n v="13.218"/>
  </r>
  <r>
    <n v="200"/>
    <x v="3"/>
    <x v="179"/>
    <x v="2"/>
    <s v="Percent of GDP"/>
    <s v="Units"/>
    <x v="5"/>
    <n v="13.268000000000001"/>
  </r>
  <r>
    <n v="200"/>
    <x v="3"/>
    <x v="179"/>
    <x v="2"/>
    <s v="Percent of GDP"/>
    <s v="Units"/>
    <x v="6"/>
    <n v="12.43"/>
  </r>
  <r>
    <n v="603"/>
    <x v="12"/>
    <x v="144"/>
    <x v="6"/>
    <s v="Percent change"/>
    <s v="Units"/>
    <x v="0"/>
    <n v="-8.3539999999999992"/>
  </r>
  <r>
    <n v="603"/>
    <x v="12"/>
    <x v="144"/>
    <x v="6"/>
    <s v="Percent change"/>
    <s v="Units"/>
    <x v="1"/>
    <n v="0.16"/>
  </r>
  <r>
    <n v="603"/>
    <x v="12"/>
    <x v="144"/>
    <x v="6"/>
    <s v="Percent change"/>
    <s v="Units"/>
    <x v="2"/>
    <n v="1.9570000000000001"/>
  </r>
  <r>
    <n v="603"/>
    <x v="12"/>
    <x v="144"/>
    <x v="6"/>
    <s v="Percent change"/>
    <s v="Units"/>
    <x v="3"/>
    <n v="-14.688000000000001"/>
  </r>
  <r>
    <n v="603"/>
    <x v="12"/>
    <x v="144"/>
    <x v="6"/>
    <s v="Percent change"/>
    <s v="Units"/>
    <x v="4"/>
    <n v="17.27"/>
  </r>
  <r>
    <n v="603"/>
    <x v="12"/>
    <x v="144"/>
    <x v="6"/>
    <s v="Percent change"/>
    <s v="Units"/>
    <x v="5"/>
    <n v="13.151"/>
  </r>
  <r>
    <n v="603"/>
    <x v="12"/>
    <x v="144"/>
    <x v="6"/>
    <s v="Percent change"/>
    <s v="Units"/>
    <x v="6"/>
    <n v="8.4190000000000005"/>
  </r>
  <r>
    <n v="1"/>
    <x v="2"/>
    <x v="144"/>
    <x v="6"/>
    <s v="Percent change"/>
    <s v="Units"/>
    <x v="0"/>
    <n v="-8.3539999999999992"/>
  </r>
  <r>
    <n v="1"/>
    <x v="2"/>
    <x v="144"/>
    <x v="6"/>
    <s v="Percent change"/>
    <s v="Units"/>
    <x v="1"/>
    <n v="0.16"/>
  </r>
  <r>
    <n v="1"/>
    <x v="2"/>
    <x v="144"/>
    <x v="6"/>
    <s v="Percent change"/>
    <s v="Units"/>
    <x v="2"/>
    <n v="1.9570000000000001"/>
  </r>
  <r>
    <n v="1"/>
    <x v="2"/>
    <x v="144"/>
    <x v="6"/>
    <s v="Percent change"/>
    <s v="Units"/>
    <x v="3"/>
    <n v="-14.688000000000001"/>
  </r>
  <r>
    <n v="1"/>
    <x v="2"/>
    <x v="144"/>
    <x v="6"/>
    <s v="Percent change"/>
    <s v="Units"/>
    <x v="4"/>
    <n v="17.27"/>
  </r>
  <r>
    <n v="1"/>
    <x v="2"/>
    <x v="144"/>
    <x v="6"/>
    <s v="Percent change"/>
    <s v="Units"/>
    <x v="5"/>
    <n v="13.151"/>
  </r>
  <r>
    <n v="1"/>
    <x v="2"/>
    <x v="144"/>
    <x v="6"/>
    <s v="Percent change"/>
    <s v="Units"/>
    <x v="6"/>
    <n v="8.4190000000000005"/>
  </r>
  <r>
    <n v="200"/>
    <x v="3"/>
    <x v="144"/>
    <x v="6"/>
    <s v="Percent change"/>
    <s v="Units"/>
    <x v="0"/>
    <n v="-8.3539999999999992"/>
  </r>
  <r>
    <n v="200"/>
    <x v="3"/>
    <x v="144"/>
    <x v="6"/>
    <s v="Percent change"/>
    <s v="Units"/>
    <x v="1"/>
    <n v="0.16"/>
  </r>
  <r>
    <n v="200"/>
    <x v="3"/>
    <x v="144"/>
    <x v="6"/>
    <s v="Percent change"/>
    <s v="Units"/>
    <x v="2"/>
    <n v="1.9570000000000001"/>
  </r>
  <r>
    <n v="200"/>
    <x v="3"/>
    <x v="144"/>
    <x v="6"/>
    <s v="Percent change"/>
    <s v="Units"/>
    <x v="3"/>
    <n v="-14.688000000000001"/>
  </r>
  <r>
    <n v="200"/>
    <x v="3"/>
    <x v="144"/>
    <x v="6"/>
    <s v="Percent change"/>
    <s v="Units"/>
    <x v="4"/>
    <n v="17.27"/>
  </r>
  <r>
    <n v="200"/>
    <x v="3"/>
    <x v="144"/>
    <x v="6"/>
    <s v="Percent change"/>
    <s v="Units"/>
    <x v="5"/>
    <n v="13.151"/>
  </r>
  <r>
    <n v="200"/>
    <x v="3"/>
    <x v="144"/>
    <x v="6"/>
    <s v="Percent change"/>
    <s v="Units"/>
    <x v="6"/>
    <n v="8.4190000000000005"/>
  </r>
  <r>
    <n v="1"/>
    <x v="2"/>
    <x v="64"/>
    <x v="4"/>
    <s v="Percent change"/>
    <s v="Units"/>
    <x v="0"/>
    <n v="75.555999999999997"/>
  </r>
  <r>
    <n v="1"/>
    <x v="2"/>
    <x v="64"/>
    <x v="4"/>
    <s v="Percent change"/>
    <s v="Units"/>
    <x v="1"/>
    <n v="-37.502000000000002"/>
  </r>
  <r>
    <n v="1"/>
    <x v="2"/>
    <x v="64"/>
    <x v="4"/>
    <s v="Percent change"/>
    <s v="Units"/>
    <x v="2"/>
    <n v="-53.722000000000001"/>
  </r>
  <r>
    <n v="1"/>
    <x v="2"/>
    <x v="64"/>
    <x v="4"/>
    <s v="Percent change"/>
    <s v="Units"/>
    <x v="3"/>
    <n v="87.543999999999997"/>
  </r>
  <r>
    <n v="1"/>
    <x v="2"/>
    <x v="64"/>
    <x v="4"/>
    <s v="Percent change"/>
    <s v="Units"/>
    <x v="4"/>
    <n v="1.5660000000000001"/>
  </r>
  <r>
    <n v="1"/>
    <x v="2"/>
    <x v="64"/>
    <x v="4"/>
    <s v="Percent change"/>
    <s v="Units"/>
    <x v="5"/>
    <n v="13.116"/>
  </r>
  <r>
    <n v="1"/>
    <x v="2"/>
    <x v="64"/>
    <x v="4"/>
    <s v="Percent change"/>
    <s v="Units"/>
    <x v="6"/>
    <n v="9.3559999999999999"/>
  </r>
  <r>
    <n v="200"/>
    <x v="3"/>
    <x v="64"/>
    <x v="4"/>
    <s v="Percent change"/>
    <s v="Units"/>
    <x v="0"/>
    <n v="75.555999999999997"/>
  </r>
  <r>
    <n v="200"/>
    <x v="3"/>
    <x v="64"/>
    <x v="4"/>
    <s v="Percent change"/>
    <s v="Units"/>
    <x v="1"/>
    <n v="-37.502000000000002"/>
  </r>
  <r>
    <n v="200"/>
    <x v="3"/>
    <x v="64"/>
    <x v="4"/>
    <s v="Percent change"/>
    <s v="Units"/>
    <x v="2"/>
    <n v="-53.722000000000001"/>
  </r>
  <r>
    <n v="200"/>
    <x v="3"/>
    <x v="64"/>
    <x v="4"/>
    <s v="Percent change"/>
    <s v="Units"/>
    <x v="3"/>
    <n v="87.543999999999997"/>
  </r>
  <r>
    <n v="200"/>
    <x v="3"/>
    <x v="64"/>
    <x v="4"/>
    <s v="Percent change"/>
    <s v="Units"/>
    <x v="4"/>
    <n v="1.5660000000000001"/>
  </r>
  <r>
    <n v="200"/>
    <x v="3"/>
    <x v="64"/>
    <x v="4"/>
    <s v="Percent change"/>
    <s v="Units"/>
    <x v="5"/>
    <n v="13.116"/>
  </r>
  <r>
    <n v="200"/>
    <x v="3"/>
    <x v="64"/>
    <x v="4"/>
    <s v="Percent change"/>
    <s v="Units"/>
    <x v="6"/>
    <n v="9.3559999999999999"/>
  </r>
  <r>
    <n v="505"/>
    <x v="4"/>
    <x v="64"/>
    <x v="4"/>
    <s v="Percent change"/>
    <s v="Units"/>
    <x v="0"/>
    <n v="75.555999999999997"/>
  </r>
  <r>
    <n v="505"/>
    <x v="4"/>
    <x v="64"/>
    <x v="4"/>
    <s v="Percent change"/>
    <s v="Units"/>
    <x v="1"/>
    <n v="-37.502000000000002"/>
  </r>
  <r>
    <n v="505"/>
    <x v="4"/>
    <x v="64"/>
    <x v="4"/>
    <s v="Percent change"/>
    <s v="Units"/>
    <x v="2"/>
    <n v="-53.722000000000001"/>
  </r>
  <r>
    <n v="505"/>
    <x v="4"/>
    <x v="64"/>
    <x v="4"/>
    <s v="Percent change"/>
    <s v="Units"/>
    <x v="3"/>
    <n v="87.543999999999997"/>
  </r>
  <r>
    <n v="505"/>
    <x v="4"/>
    <x v="64"/>
    <x v="4"/>
    <s v="Percent change"/>
    <s v="Units"/>
    <x v="4"/>
    <n v="1.5660000000000001"/>
  </r>
  <r>
    <n v="505"/>
    <x v="4"/>
    <x v="64"/>
    <x v="4"/>
    <s v="Percent change"/>
    <s v="Units"/>
    <x v="5"/>
    <n v="13.116"/>
  </r>
  <r>
    <n v="505"/>
    <x v="4"/>
    <x v="64"/>
    <x v="4"/>
    <s v="Percent change"/>
    <s v="Units"/>
    <x v="6"/>
    <n v="9.3559999999999999"/>
  </r>
  <r>
    <n v="1"/>
    <x v="2"/>
    <x v="88"/>
    <x v="6"/>
    <s v="Percent change"/>
    <s v="Units"/>
    <x v="0"/>
    <n v="0.66200000000000003"/>
  </r>
  <r>
    <n v="1"/>
    <x v="2"/>
    <x v="88"/>
    <x v="6"/>
    <s v="Percent change"/>
    <s v="Units"/>
    <x v="1"/>
    <n v="-0.35299999999999998"/>
  </r>
  <r>
    <n v="1"/>
    <x v="2"/>
    <x v="88"/>
    <x v="6"/>
    <s v="Percent change"/>
    <s v="Units"/>
    <x v="2"/>
    <n v="-19.524999999999999"/>
  </r>
  <r>
    <n v="1"/>
    <x v="2"/>
    <x v="88"/>
    <x v="6"/>
    <s v="Percent change"/>
    <s v="Units"/>
    <x v="3"/>
    <n v="9.3140000000000001"/>
  </r>
  <r>
    <n v="1"/>
    <x v="2"/>
    <x v="88"/>
    <x v="6"/>
    <s v="Percent change"/>
    <s v="Units"/>
    <x v="4"/>
    <n v="1.19"/>
  </r>
  <r>
    <n v="1"/>
    <x v="2"/>
    <x v="88"/>
    <x v="6"/>
    <s v="Percent change"/>
    <s v="Units"/>
    <x v="5"/>
    <n v="13.061999999999999"/>
  </r>
  <r>
    <n v="1"/>
    <x v="2"/>
    <x v="88"/>
    <x v="6"/>
    <s v="Percent change"/>
    <s v="Units"/>
    <x v="6"/>
    <n v="8.0909999999999993"/>
  </r>
  <r>
    <n v="505"/>
    <x v="4"/>
    <x v="88"/>
    <x v="6"/>
    <s v="Percent change"/>
    <s v="Units"/>
    <x v="0"/>
    <n v="0.66200000000000003"/>
  </r>
  <r>
    <n v="505"/>
    <x v="4"/>
    <x v="88"/>
    <x v="6"/>
    <s v="Percent change"/>
    <s v="Units"/>
    <x v="1"/>
    <n v="-0.35299999999999998"/>
  </r>
  <r>
    <n v="505"/>
    <x v="4"/>
    <x v="88"/>
    <x v="6"/>
    <s v="Percent change"/>
    <s v="Units"/>
    <x v="2"/>
    <n v="-19.524999999999999"/>
  </r>
  <r>
    <n v="505"/>
    <x v="4"/>
    <x v="88"/>
    <x v="6"/>
    <s v="Percent change"/>
    <s v="Units"/>
    <x v="3"/>
    <n v="9.3140000000000001"/>
  </r>
  <r>
    <n v="505"/>
    <x v="4"/>
    <x v="88"/>
    <x v="6"/>
    <s v="Percent change"/>
    <s v="Units"/>
    <x v="4"/>
    <n v="1.19"/>
  </r>
  <r>
    <n v="505"/>
    <x v="4"/>
    <x v="88"/>
    <x v="6"/>
    <s v="Percent change"/>
    <s v="Units"/>
    <x v="5"/>
    <n v="13.061999999999999"/>
  </r>
  <r>
    <n v="505"/>
    <x v="4"/>
    <x v="88"/>
    <x v="6"/>
    <s v="Percent change"/>
    <s v="Units"/>
    <x v="6"/>
    <n v="8.0909999999999993"/>
  </r>
  <r>
    <n v="200"/>
    <x v="3"/>
    <x v="88"/>
    <x v="6"/>
    <s v="Percent change"/>
    <s v="Units"/>
    <x v="0"/>
    <n v="0.66200000000000003"/>
  </r>
  <r>
    <n v="200"/>
    <x v="3"/>
    <x v="88"/>
    <x v="6"/>
    <s v="Percent change"/>
    <s v="Units"/>
    <x v="1"/>
    <n v="-0.35299999999999998"/>
  </r>
  <r>
    <n v="200"/>
    <x v="3"/>
    <x v="88"/>
    <x v="6"/>
    <s v="Percent change"/>
    <s v="Units"/>
    <x v="2"/>
    <n v="-19.524999999999999"/>
  </r>
  <r>
    <n v="200"/>
    <x v="3"/>
    <x v="88"/>
    <x v="6"/>
    <s v="Percent change"/>
    <s v="Units"/>
    <x v="3"/>
    <n v="9.3140000000000001"/>
  </r>
  <r>
    <n v="200"/>
    <x v="3"/>
    <x v="88"/>
    <x v="6"/>
    <s v="Percent change"/>
    <s v="Units"/>
    <x v="4"/>
    <n v="1.19"/>
  </r>
  <r>
    <n v="200"/>
    <x v="3"/>
    <x v="88"/>
    <x v="6"/>
    <s v="Percent change"/>
    <s v="Units"/>
    <x v="5"/>
    <n v="13.061999999999999"/>
  </r>
  <r>
    <n v="200"/>
    <x v="3"/>
    <x v="88"/>
    <x v="6"/>
    <s v="Percent change"/>
    <s v="Units"/>
    <x v="6"/>
    <n v="8.0909999999999993"/>
  </r>
  <r>
    <n v="1"/>
    <x v="2"/>
    <x v="137"/>
    <x v="4"/>
    <s v="Percent change"/>
    <s v="Units"/>
    <x v="0"/>
    <n v="1.8049999999999999"/>
  </r>
  <r>
    <n v="1"/>
    <x v="2"/>
    <x v="137"/>
    <x v="4"/>
    <s v="Percent change"/>
    <s v="Units"/>
    <x v="1"/>
    <n v="-32.865000000000002"/>
  </r>
  <r>
    <n v="1"/>
    <x v="2"/>
    <x v="137"/>
    <x v="4"/>
    <s v="Percent change"/>
    <s v="Units"/>
    <x v="2"/>
    <n v="-27.282"/>
  </r>
  <r>
    <n v="1"/>
    <x v="2"/>
    <x v="137"/>
    <x v="4"/>
    <s v="Percent change"/>
    <s v="Units"/>
    <x v="3"/>
    <n v="72.350999999999999"/>
  </r>
  <r>
    <n v="1"/>
    <x v="2"/>
    <x v="137"/>
    <x v="4"/>
    <s v="Percent change"/>
    <s v="Units"/>
    <x v="4"/>
    <n v="26.667000000000002"/>
  </r>
  <r>
    <n v="1"/>
    <x v="2"/>
    <x v="137"/>
    <x v="4"/>
    <s v="Percent change"/>
    <s v="Units"/>
    <x v="5"/>
    <n v="13.023999999999999"/>
  </r>
  <r>
    <n v="1"/>
    <x v="2"/>
    <x v="137"/>
    <x v="4"/>
    <s v="Percent change"/>
    <s v="Units"/>
    <x v="6"/>
    <n v="7.194"/>
  </r>
  <r>
    <n v="200"/>
    <x v="3"/>
    <x v="137"/>
    <x v="4"/>
    <s v="Percent change"/>
    <s v="Units"/>
    <x v="0"/>
    <n v="1.8049999999999999"/>
  </r>
  <r>
    <n v="200"/>
    <x v="3"/>
    <x v="137"/>
    <x v="4"/>
    <s v="Percent change"/>
    <s v="Units"/>
    <x v="1"/>
    <n v="-32.865000000000002"/>
  </r>
  <r>
    <n v="200"/>
    <x v="3"/>
    <x v="137"/>
    <x v="4"/>
    <s v="Percent change"/>
    <s v="Units"/>
    <x v="2"/>
    <n v="-27.282"/>
  </r>
  <r>
    <n v="200"/>
    <x v="3"/>
    <x v="137"/>
    <x v="4"/>
    <s v="Percent change"/>
    <s v="Units"/>
    <x v="3"/>
    <n v="72.350999999999999"/>
  </r>
  <r>
    <n v="200"/>
    <x v="3"/>
    <x v="137"/>
    <x v="4"/>
    <s v="Percent change"/>
    <s v="Units"/>
    <x v="4"/>
    <n v="26.667000000000002"/>
  </r>
  <r>
    <n v="200"/>
    <x v="3"/>
    <x v="137"/>
    <x v="4"/>
    <s v="Percent change"/>
    <s v="Units"/>
    <x v="5"/>
    <n v="13.023999999999999"/>
  </r>
  <r>
    <n v="200"/>
    <x v="3"/>
    <x v="137"/>
    <x v="4"/>
    <s v="Percent change"/>
    <s v="Units"/>
    <x v="6"/>
    <n v="7.194"/>
  </r>
  <r>
    <n v="205"/>
    <x v="7"/>
    <x v="137"/>
    <x v="4"/>
    <s v="Percent change"/>
    <s v="Units"/>
    <x v="0"/>
    <n v="1.8049999999999999"/>
  </r>
  <r>
    <n v="205"/>
    <x v="7"/>
    <x v="137"/>
    <x v="4"/>
    <s v="Percent change"/>
    <s v="Units"/>
    <x v="1"/>
    <n v="-32.865000000000002"/>
  </r>
  <r>
    <n v="205"/>
    <x v="7"/>
    <x v="137"/>
    <x v="4"/>
    <s v="Percent change"/>
    <s v="Units"/>
    <x v="2"/>
    <n v="-27.282"/>
  </r>
  <r>
    <n v="205"/>
    <x v="7"/>
    <x v="137"/>
    <x v="4"/>
    <s v="Percent change"/>
    <s v="Units"/>
    <x v="3"/>
    <n v="72.350999999999999"/>
  </r>
  <r>
    <n v="205"/>
    <x v="7"/>
    <x v="137"/>
    <x v="4"/>
    <s v="Percent change"/>
    <s v="Units"/>
    <x v="4"/>
    <n v="26.667000000000002"/>
  </r>
  <r>
    <n v="205"/>
    <x v="7"/>
    <x v="137"/>
    <x v="4"/>
    <s v="Percent change"/>
    <s v="Units"/>
    <x v="5"/>
    <n v="13.023999999999999"/>
  </r>
  <r>
    <n v="205"/>
    <x v="7"/>
    <x v="137"/>
    <x v="4"/>
    <s v="Percent change"/>
    <s v="Units"/>
    <x v="6"/>
    <n v="7.194"/>
  </r>
  <r>
    <n v="200"/>
    <x v="3"/>
    <x v="174"/>
    <x v="6"/>
    <s v="Percent change"/>
    <s v="Units"/>
    <x v="0"/>
    <n v="-10.186999999999999"/>
  </r>
  <r>
    <n v="200"/>
    <x v="3"/>
    <x v="174"/>
    <x v="6"/>
    <s v="Percent change"/>
    <s v="Units"/>
    <x v="1"/>
    <n v="-13.358000000000001"/>
  </r>
  <r>
    <n v="200"/>
    <x v="3"/>
    <x v="174"/>
    <x v="6"/>
    <s v="Percent change"/>
    <s v="Units"/>
    <x v="2"/>
    <n v="16.579000000000001"/>
  </r>
  <r>
    <n v="200"/>
    <x v="3"/>
    <x v="174"/>
    <x v="6"/>
    <s v="Percent change"/>
    <s v="Units"/>
    <x v="3"/>
    <n v="7.1280000000000001"/>
  </r>
  <r>
    <n v="200"/>
    <x v="3"/>
    <x v="174"/>
    <x v="6"/>
    <s v="Percent change"/>
    <s v="Units"/>
    <x v="4"/>
    <n v="-28.766999999999999"/>
  </r>
  <r>
    <n v="200"/>
    <x v="3"/>
    <x v="174"/>
    <x v="6"/>
    <s v="Percent change"/>
    <s v="Units"/>
    <x v="5"/>
    <n v="12.961"/>
  </r>
  <r>
    <n v="200"/>
    <x v="3"/>
    <x v="174"/>
    <x v="6"/>
    <s v="Percent change"/>
    <s v="Units"/>
    <x v="6"/>
    <n v="8.7729999999999997"/>
  </r>
  <r>
    <n v="1"/>
    <x v="2"/>
    <x v="174"/>
    <x v="6"/>
    <s v="Percent change"/>
    <s v="Units"/>
    <x v="0"/>
    <n v="-10.186999999999999"/>
  </r>
  <r>
    <n v="1"/>
    <x v="2"/>
    <x v="174"/>
    <x v="6"/>
    <s v="Percent change"/>
    <s v="Units"/>
    <x v="1"/>
    <n v="-13.358000000000001"/>
  </r>
  <r>
    <n v="1"/>
    <x v="2"/>
    <x v="174"/>
    <x v="6"/>
    <s v="Percent change"/>
    <s v="Units"/>
    <x v="2"/>
    <n v="16.579000000000001"/>
  </r>
  <r>
    <n v="1"/>
    <x v="2"/>
    <x v="174"/>
    <x v="6"/>
    <s v="Percent change"/>
    <s v="Units"/>
    <x v="3"/>
    <n v="7.1280000000000001"/>
  </r>
  <r>
    <n v="1"/>
    <x v="2"/>
    <x v="174"/>
    <x v="6"/>
    <s v="Percent change"/>
    <s v="Units"/>
    <x v="4"/>
    <n v="-28.766999999999999"/>
  </r>
  <r>
    <n v="1"/>
    <x v="2"/>
    <x v="174"/>
    <x v="6"/>
    <s v="Percent change"/>
    <s v="Units"/>
    <x v="5"/>
    <n v="12.961"/>
  </r>
  <r>
    <n v="1"/>
    <x v="2"/>
    <x v="174"/>
    <x v="6"/>
    <s v="Percent change"/>
    <s v="Units"/>
    <x v="6"/>
    <n v="8.7729999999999997"/>
  </r>
  <r>
    <n v="400"/>
    <x v="11"/>
    <x v="174"/>
    <x v="6"/>
    <s v="Percent change"/>
    <s v="Units"/>
    <x v="0"/>
    <n v="-10.186999999999999"/>
  </r>
  <r>
    <n v="400"/>
    <x v="11"/>
    <x v="174"/>
    <x v="6"/>
    <s v="Percent change"/>
    <s v="Units"/>
    <x v="1"/>
    <n v="-13.358000000000001"/>
  </r>
  <r>
    <n v="400"/>
    <x v="11"/>
    <x v="174"/>
    <x v="6"/>
    <s v="Percent change"/>
    <s v="Units"/>
    <x v="2"/>
    <n v="16.579000000000001"/>
  </r>
  <r>
    <n v="400"/>
    <x v="11"/>
    <x v="174"/>
    <x v="6"/>
    <s v="Percent change"/>
    <s v="Units"/>
    <x v="3"/>
    <n v="7.1280000000000001"/>
  </r>
  <r>
    <n v="400"/>
    <x v="11"/>
    <x v="174"/>
    <x v="6"/>
    <s v="Percent change"/>
    <s v="Units"/>
    <x v="4"/>
    <n v="-28.766999999999999"/>
  </r>
  <r>
    <n v="400"/>
    <x v="11"/>
    <x v="174"/>
    <x v="6"/>
    <s v="Percent change"/>
    <s v="Units"/>
    <x v="5"/>
    <n v="12.961"/>
  </r>
  <r>
    <n v="400"/>
    <x v="11"/>
    <x v="174"/>
    <x v="6"/>
    <s v="Percent change"/>
    <s v="Units"/>
    <x v="6"/>
    <n v="8.7729999999999997"/>
  </r>
  <r>
    <n v="205"/>
    <x v="7"/>
    <x v="176"/>
    <x v="2"/>
    <s v="Percent of GDP"/>
    <s v="Units"/>
    <x v="0"/>
    <n v="7.593"/>
  </r>
  <r>
    <n v="205"/>
    <x v="7"/>
    <x v="176"/>
    <x v="2"/>
    <s v="Percent of GDP"/>
    <s v="Units"/>
    <x v="1"/>
    <n v="7.9089999999999998"/>
  </r>
  <r>
    <n v="205"/>
    <x v="7"/>
    <x v="176"/>
    <x v="2"/>
    <s v="Percent of GDP"/>
    <s v="Units"/>
    <x v="2"/>
    <n v="6.9640000000000004"/>
  </r>
  <r>
    <n v="205"/>
    <x v="7"/>
    <x v="176"/>
    <x v="2"/>
    <s v="Percent of GDP"/>
    <s v="Units"/>
    <x v="3"/>
    <n v="6.5709999999999997"/>
  </r>
  <r>
    <n v="205"/>
    <x v="7"/>
    <x v="176"/>
    <x v="2"/>
    <s v="Percent of GDP"/>
    <s v="Units"/>
    <x v="4"/>
    <n v="6.665"/>
  </r>
  <r>
    <n v="205"/>
    <x v="7"/>
    <x v="176"/>
    <x v="2"/>
    <s v="Percent of GDP"/>
    <s v="Units"/>
    <x v="5"/>
    <n v="12.955"/>
  </r>
  <r>
    <n v="205"/>
    <x v="7"/>
    <x v="176"/>
    <x v="2"/>
    <s v="Percent of GDP"/>
    <s v="Units"/>
    <x v="6"/>
    <n v="6.9640000000000004"/>
  </r>
  <r>
    <n v="200"/>
    <x v="3"/>
    <x v="176"/>
    <x v="2"/>
    <s v="Percent of GDP"/>
    <s v="Units"/>
    <x v="0"/>
    <n v="7.593"/>
  </r>
  <r>
    <n v="200"/>
    <x v="3"/>
    <x v="176"/>
    <x v="2"/>
    <s v="Percent of GDP"/>
    <s v="Units"/>
    <x v="1"/>
    <n v="7.9089999999999998"/>
  </r>
  <r>
    <n v="200"/>
    <x v="3"/>
    <x v="176"/>
    <x v="2"/>
    <s v="Percent of GDP"/>
    <s v="Units"/>
    <x v="2"/>
    <n v="6.9640000000000004"/>
  </r>
  <r>
    <n v="200"/>
    <x v="3"/>
    <x v="176"/>
    <x v="2"/>
    <s v="Percent of GDP"/>
    <s v="Units"/>
    <x v="3"/>
    <n v="6.5709999999999997"/>
  </r>
  <r>
    <n v="200"/>
    <x v="3"/>
    <x v="176"/>
    <x v="2"/>
    <s v="Percent of GDP"/>
    <s v="Units"/>
    <x v="4"/>
    <n v="6.665"/>
  </r>
  <r>
    <n v="200"/>
    <x v="3"/>
    <x v="176"/>
    <x v="2"/>
    <s v="Percent of GDP"/>
    <s v="Units"/>
    <x v="5"/>
    <n v="12.955"/>
  </r>
  <r>
    <n v="200"/>
    <x v="3"/>
    <x v="176"/>
    <x v="2"/>
    <s v="Percent of GDP"/>
    <s v="Units"/>
    <x v="6"/>
    <n v="6.9640000000000004"/>
  </r>
  <r>
    <n v="200"/>
    <x v="3"/>
    <x v="155"/>
    <x v="0"/>
    <s v="U.S. dollars"/>
    <s v="Billions"/>
    <x v="0"/>
    <n v="8.3010000000000002"/>
  </r>
  <r>
    <n v="200"/>
    <x v="3"/>
    <x v="155"/>
    <x v="0"/>
    <s v="U.S. dollars"/>
    <s v="Billions"/>
    <x v="1"/>
    <n v="8.1340000000000003"/>
  </r>
  <r>
    <n v="200"/>
    <x v="3"/>
    <x v="155"/>
    <x v="0"/>
    <s v="U.S. dollars"/>
    <s v="Billions"/>
    <x v="2"/>
    <n v="8.9339999999999993"/>
  </r>
  <r>
    <n v="200"/>
    <x v="3"/>
    <x v="155"/>
    <x v="0"/>
    <s v="U.S. dollars"/>
    <s v="Billions"/>
    <x v="3"/>
    <n v="10.493"/>
  </r>
  <r>
    <n v="200"/>
    <x v="3"/>
    <x v="155"/>
    <x v="0"/>
    <s v="U.S. dollars"/>
    <s v="Billions"/>
    <x v="4"/>
    <n v="11.855"/>
  </r>
  <r>
    <n v="200"/>
    <x v="3"/>
    <x v="155"/>
    <x v="0"/>
    <s v="U.S. dollars"/>
    <s v="Billions"/>
    <x v="5"/>
    <n v="12.952999999999999"/>
  </r>
  <r>
    <n v="200"/>
    <x v="3"/>
    <x v="155"/>
    <x v="0"/>
    <s v="U.S. dollars"/>
    <s v="Billions"/>
    <x v="6"/>
    <n v="14.118"/>
  </r>
  <r>
    <n v="400"/>
    <x v="11"/>
    <x v="155"/>
    <x v="0"/>
    <s v="U.S. dollars"/>
    <s v="Billions"/>
    <x v="0"/>
    <n v="8.3010000000000002"/>
  </r>
  <r>
    <n v="400"/>
    <x v="11"/>
    <x v="155"/>
    <x v="0"/>
    <s v="U.S. dollars"/>
    <s v="Billions"/>
    <x v="1"/>
    <n v="8.1340000000000003"/>
  </r>
  <r>
    <n v="400"/>
    <x v="11"/>
    <x v="155"/>
    <x v="0"/>
    <s v="U.S. dollars"/>
    <s v="Billions"/>
    <x v="2"/>
    <n v="8.9339999999999993"/>
  </r>
  <r>
    <n v="400"/>
    <x v="11"/>
    <x v="155"/>
    <x v="0"/>
    <s v="U.S. dollars"/>
    <s v="Billions"/>
    <x v="3"/>
    <n v="10.493"/>
  </r>
  <r>
    <n v="400"/>
    <x v="11"/>
    <x v="155"/>
    <x v="0"/>
    <s v="U.S. dollars"/>
    <s v="Billions"/>
    <x v="4"/>
    <n v="11.855"/>
  </r>
  <r>
    <n v="400"/>
    <x v="11"/>
    <x v="155"/>
    <x v="0"/>
    <s v="U.S. dollars"/>
    <s v="Billions"/>
    <x v="5"/>
    <n v="12.952999999999999"/>
  </r>
  <r>
    <n v="400"/>
    <x v="11"/>
    <x v="155"/>
    <x v="0"/>
    <s v="U.S. dollars"/>
    <s v="Billions"/>
    <x v="6"/>
    <n v="14.118"/>
  </r>
  <r>
    <n v="1"/>
    <x v="2"/>
    <x v="155"/>
    <x v="0"/>
    <s v="U.S. dollars"/>
    <s v="Billions"/>
    <x v="0"/>
    <n v="8.3010000000000002"/>
  </r>
  <r>
    <n v="1"/>
    <x v="2"/>
    <x v="155"/>
    <x v="0"/>
    <s v="U.S. dollars"/>
    <s v="Billions"/>
    <x v="1"/>
    <n v="8.1340000000000003"/>
  </r>
  <r>
    <n v="1"/>
    <x v="2"/>
    <x v="155"/>
    <x v="0"/>
    <s v="U.S. dollars"/>
    <s v="Billions"/>
    <x v="2"/>
    <n v="8.9339999999999993"/>
  </r>
  <r>
    <n v="1"/>
    <x v="2"/>
    <x v="155"/>
    <x v="0"/>
    <s v="U.S. dollars"/>
    <s v="Billions"/>
    <x v="3"/>
    <n v="10.493"/>
  </r>
  <r>
    <n v="1"/>
    <x v="2"/>
    <x v="155"/>
    <x v="0"/>
    <s v="U.S. dollars"/>
    <s v="Billions"/>
    <x v="4"/>
    <n v="11.855"/>
  </r>
  <r>
    <n v="1"/>
    <x v="2"/>
    <x v="155"/>
    <x v="0"/>
    <s v="U.S. dollars"/>
    <s v="Billions"/>
    <x v="5"/>
    <n v="12.952999999999999"/>
  </r>
  <r>
    <n v="1"/>
    <x v="2"/>
    <x v="155"/>
    <x v="0"/>
    <s v="U.S. dollars"/>
    <s v="Billions"/>
    <x v="6"/>
    <n v="14.118"/>
  </r>
  <r>
    <n v="1"/>
    <x v="2"/>
    <x v="174"/>
    <x v="7"/>
    <s v="Percent of GDP"/>
    <s v="Units"/>
    <x v="0"/>
    <n v="15.5"/>
  </r>
  <r>
    <n v="1"/>
    <x v="2"/>
    <x v="174"/>
    <x v="7"/>
    <s v="Percent of GDP"/>
    <s v="Units"/>
    <x v="1"/>
    <n v="14.816000000000001"/>
  </r>
  <r>
    <n v="1"/>
    <x v="2"/>
    <x v="174"/>
    <x v="7"/>
    <s v="Percent of GDP"/>
    <s v="Units"/>
    <x v="2"/>
    <n v="14.535"/>
  </r>
  <r>
    <n v="1"/>
    <x v="2"/>
    <x v="174"/>
    <x v="7"/>
    <s v="Percent of GDP"/>
    <s v="Units"/>
    <x v="3"/>
    <n v="15.385999999999999"/>
  </r>
  <r>
    <n v="1"/>
    <x v="2"/>
    <x v="174"/>
    <x v="7"/>
    <s v="Percent of GDP"/>
    <s v="Units"/>
    <x v="4"/>
    <n v="13.71"/>
  </r>
  <r>
    <n v="1"/>
    <x v="2"/>
    <x v="174"/>
    <x v="7"/>
    <s v="Percent of GDP"/>
    <s v="Units"/>
    <x v="5"/>
    <n v="12.912000000000001"/>
  </r>
  <r>
    <n v="1"/>
    <x v="2"/>
    <x v="174"/>
    <x v="7"/>
    <s v="Percent of GDP"/>
    <s v="Units"/>
    <x v="6"/>
    <n v="13.01"/>
  </r>
  <r>
    <n v="200"/>
    <x v="3"/>
    <x v="174"/>
    <x v="7"/>
    <s v="Percent of GDP"/>
    <s v="Units"/>
    <x v="0"/>
    <n v="15.5"/>
  </r>
  <r>
    <n v="200"/>
    <x v="3"/>
    <x v="174"/>
    <x v="7"/>
    <s v="Percent of GDP"/>
    <s v="Units"/>
    <x v="1"/>
    <n v="14.816000000000001"/>
  </r>
  <r>
    <n v="200"/>
    <x v="3"/>
    <x v="174"/>
    <x v="7"/>
    <s v="Percent of GDP"/>
    <s v="Units"/>
    <x v="2"/>
    <n v="14.535"/>
  </r>
  <r>
    <n v="200"/>
    <x v="3"/>
    <x v="174"/>
    <x v="7"/>
    <s v="Percent of GDP"/>
    <s v="Units"/>
    <x v="3"/>
    <n v="15.385999999999999"/>
  </r>
  <r>
    <n v="200"/>
    <x v="3"/>
    <x v="174"/>
    <x v="7"/>
    <s v="Percent of GDP"/>
    <s v="Units"/>
    <x v="4"/>
    <n v="13.71"/>
  </r>
  <r>
    <n v="200"/>
    <x v="3"/>
    <x v="174"/>
    <x v="7"/>
    <s v="Percent of GDP"/>
    <s v="Units"/>
    <x v="5"/>
    <n v="12.912000000000001"/>
  </r>
  <r>
    <n v="200"/>
    <x v="3"/>
    <x v="174"/>
    <x v="7"/>
    <s v="Percent of GDP"/>
    <s v="Units"/>
    <x v="6"/>
    <n v="13.01"/>
  </r>
  <r>
    <n v="400"/>
    <x v="11"/>
    <x v="174"/>
    <x v="7"/>
    <s v="Percent of GDP"/>
    <s v="Units"/>
    <x v="0"/>
    <n v="15.5"/>
  </r>
  <r>
    <n v="400"/>
    <x v="11"/>
    <x v="174"/>
    <x v="7"/>
    <s v="Percent of GDP"/>
    <s v="Units"/>
    <x v="1"/>
    <n v="14.816000000000001"/>
  </r>
  <r>
    <n v="400"/>
    <x v="11"/>
    <x v="174"/>
    <x v="7"/>
    <s v="Percent of GDP"/>
    <s v="Units"/>
    <x v="2"/>
    <n v="14.535"/>
  </r>
  <r>
    <n v="400"/>
    <x v="11"/>
    <x v="174"/>
    <x v="7"/>
    <s v="Percent of GDP"/>
    <s v="Units"/>
    <x v="3"/>
    <n v="15.385999999999999"/>
  </r>
  <r>
    <n v="400"/>
    <x v="11"/>
    <x v="174"/>
    <x v="7"/>
    <s v="Percent of GDP"/>
    <s v="Units"/>
    <x v="4"/>
    <n v="13.71"/>
  </r>
  <r>
    <n v="400"/>
    <x v="11"/>
    <x v="174"/>
    <x v="7"/>
    <s v="Percent of GDP"/>
    <s v="Units"/>
    <x v="5"/>
    <n v="12.912000000000001"/>
  </r>
  <r>
    <n v="400"/>
    <x v="11"/>
    <x v="174"/>
    <x v="7"/>
    <s v="Percent of GDP"/>
    <s v="Units"/>
    <x v="6"/>
    <n v="13.01"/>
  </r>
  <r>
    <n v="205"/>
    <x v="7"/>
    <x v="39"/>
    <x v="7"/>
    <s v="Percent of GDP"/>
    <s v="Units"/>
    <x v="0"/>
    <n v="21.381"/>
  </r>
  <r>
    <n v="205"/>
    <x v="7"/>
    <x v="39"/>
    <x v="7"/>
    <s v="Percent of GDP"/>
    <s v="Units"/>
    <x v="1"/>
    <n v="19.128"/>
  </r>
  <r>
    <n v="205"/>
    <x v="7"/>
    <x v="39"/>
    <x v="7"/>
    <s v="Percent of GDP"/>
    <s v="Units"/>
    <x v="2"/>
    <n v="18.917000000000002"/>
  </r>
  <r>
    <n v="205"/>
    <x v="7"/>
    <x v="39"/>
    <x v="7"/>
    <s v="Percent of GDP"/>
    <s v="Units"/>
    <x v="3"/>
    <n v="19.744"/>
  </r>
  <r>
    <n v="205"/>
    <x v="7"/>
    <x v="39"/>
    <x v="7"/>
    <s v="Percent of GDP"/>
    <s v="Units"/>
    <x v="4"/>
    <n v="12.811999999999999"/>
  </r>
  <r>
    <n v="205"/>
    <x v="7"/>
    <x v="39"/>
    <x v="7"/>
    <s v="Percent of GDP"/>
    <s v="Units"/>
    <x v="5"/>
    <n v="12.904"/>
  </r>
  <r>
    <n v="205"/>
    <x v="7"/>
    <x v="39"/>
    <x v="7"/>
    <s v="Percent of GDP"/>
    <s v="Units"/>
    <x v="6"/>
    <n v="14.472"/>
  </r>
  <r>
    <n v="200"/>
    <x v="3"/>
    <x v="39"/>
    <x v="7"/>
    <s v="Percent of GDP"/>
    <s v="Units"/>
    <x v="0"/>
    <n v="21.381"/>
  </r>
  <r>
    <n v="200"/>
    <x v="3"/>
    <x v="39"/>
    <x v="7"/>
    <s v="Percent of GDP"/>
    <s v="Units"/>
    <x v="1"/>
    <n v="19.128"/>
  </r>
  <r>
    <n v="200"/>
    <x v="3"/>
    <x v="39"/>
    <x v="7"/>
    <s v="Percent of GDP"/>
    <s v="Units"/>
    <x v="2"/>
    <n v="18.917000000000002"/>
  </r>
  <r>
    <n v="200"/>
    <x v="3"/>
    <x v="39"/>
    <x v="7"/>
    <s v="Percent of GDP"/>
    <s v="Units"/>
    <x v="3"/>
    <n v="19.744"/>
  </r>
  <r>
    <n v="200"/>
    <x v="3"/>
    <x v="39"/>
    <x v="7"/>
    <s v="Percent of GDP"/>
    <s v="Units"/>
    <x v="4"/>
    <n v="12.811999999999999"/>
  </r>
  <r>
    <n v="200"/>
    <x v="3"/>
    <x v="39"/>
    <x v="7"/>
    <s v="Percent of GDP"/>
    <s v="Units"/>
    <x v="5"/>
    <n v="12.904"/>
  </r>
  <r>
    <n v="200"/>
    <x v="3"/>
    <x v="39"/>
    <x v="7"/>
    <s v="Percent of GDP"/>
    <s v="Units"/>
    <x v="6"/>
    <n v="14.472"/>
  </r>
  <r>
    <n v="1"/>
    <x v="2"/>
    <x v="39"/>
    <x v="7"/>
    <s v="Percent of GDP"/>
    <s v="Units"/>
    <x v="0"/>
    <n v="21.381"/>
  </r>
  <r>
    <n v="1"/>
    <x v="2"/>
    <x v="39"/>
    <x v="7"/>
    <s v="Percent of GDP"/>
    <s v="Units"/>
    <x v="1"/>
    <n v="19.128"/>
  </r>
  <r>
    <n v="1"/>
    <x v="2"/>
    <x v="39"/>
    <x v="7"/>
    <s v="Percent of GDP"/>
    <s v="Units"/>
    <x v="2"/>
    <n v="18.917000000000002"/>
  </r>
  <r>
    <n v="1"/>
    <x v="2"/>
    <x v="39"/>
    <x v="7"/>
    <s v="Percent of GDP"/>
    <s v="Units"/>
    <x v="3"/>
    <n v="19.744"/>
  </r>
  <r>
    <n v="1"/>
    <x v="2"/>
    <x v="39"/>
    <x v="7"/>
    <s v="Percent of GDP"/>
    <s v="Units"/>
    <x v="4"/>
    <n v="12.811999999999999"/>
  </r>
  <r>
    <n v="1"/>
    <x v="2"/>
    <x v="39"/>
    <x v="7"/>
    <s v="Percent of GDP"/>
    <s v="Units"/>
    <x v="5"/>
    <n v="12.904"/>
  </r>
  <r>
    <n v="1"/>
    <x v="2"/>
    <x v="39"/>
    <x v="7"/>
    <s v="Percent of GDP"/>
    <s v="Units"/>
    <x v="6"/>
    <n v="14.472"/>
  </r>
  <r>
    <n v="123"/>
    <x v="9"/>
    <x v="100"/>
    <x v="7"/>
    <s v="Percent of GDP"/>
    <s v="Units"/>
    <x v="0"/>
    <n v="14.14"/>
  </r>
  <r>
    <n v="123"/>
    <x v="9"/>
    <x v="100"/>
    <x v="7"/>
    <s v="Percent of GDP"/>
    <s v="Units"/>
    <x v="1"/>
    <n v="26.088000000000001"/>
  </r>
  <r>
    <n v="123"/>
    <x v="9"/>
    <x v="100"/>
    <x v="7"/>
    <s v="Percent of GDP"/>
    <s v="Units"/>
    <x v="2"/>
    <n v="22.815999999999999"/>
  </r>
  <r>
    <n v="123"/>
    <x v="9"/>
    <x v="100"/>
    <x v="7"/>
    <s v="Percent of GDP"/>
    <s v="Units"/>
    <x v="3"/>
    <n v="23.573"/>
  </r>
  <r>
    <n v="123"/>
    <x v="9"/>
    <x v="100"/>
    <x v="7"/>
    <s v="Percent of GDP"/>
    <s v="Units"/>
    <x v="4"/>
    <n v="13.962"/>
  </r>
  <r>
    <n v="123"/>
    <x v="9"/>
    <x v="100"/>
    <x v="7"/>
    <s v="Percent of GDP"/>
    <s v="Units"/>
    <x v="5"/>
    <n v="12.823"/>
  </r>
  <r>
    <n v="123"/>
    <x v="9"/>
    <x v="100"/>
    <x v="7"/>
    <s v="Percent of GDP"/>
    <s v="Units"/>
    <x v="6"/>
    <n v="12.231"/>
  </r>
  <r>
    <n v="1"/>
    <x v="2"/>
    <x v="100"/>
    <x v="7"/>
    <s v="Percent of GDP"/>
    <s v="Units"/>
    <x v="0"/>
    <n v="14.14"/>
  </r>
  <r>
    <n v="1"/>
    <x v="2"/>
    <x v="100"/>
    <x v="7"/>
    <s v="Percent of GDP"/>
    <s v="Units"/>
    <x v="1"/>
    <n v="26.088000000000001"/>
  </r>
  <r>
    <n v="1"/>
    <x v="2"/>
    <x v="100"/>
    <x v="7"/>
    <s v="Percent of GDP"/>
    <s v="Units"/>
    <x v="2"/>
    <n v="22.815999999999999"/>
  </r>
  <r>
    <n v="1"/>
    <x v="2"/>
    <x v="100"/>
    <x v="7"/>
    <s v="Percent of GDP"/>
    <s v="Units"/>
    <x v="3"/>
    <n v="23.573"/>
  </r>
  <r>
    <n v="1"/>
    <x v="2"/>
    <x v="100"/>
    <x v="7"/>
    <s v="Percent of GDP"/>
    <s v="Units"/>
    <x v="4"/>
    <n v="13.962"/>
  </r>
  <r>
    <n v="1"/>
    <x v="2"/>
    <x v="100"/>
    <x v="7"/>
    <s v="Percent of GDP"/>
    <s v="Units"/>
    <x v="5"/>
    <n v="12.823"/>
  </r>
  <r>
    <n v="1"/>
    <x v="2"/>
    <x v="100"/>
    <x v="7"/>
    <s v="Percent of GDP"/>
    <s v="Units"/>
    <x v="6"/>
    <n v="12.231"/>
  </r>
  <r>
    <n v="110"/>
    <x v="0"/>
    <x v="100"/>
    <x v="7"/>
    <s v="Percent of GDP"/>
    <s v="Units"/>
    <x v="0"/>
    <n v="14.14"/>
  </r>
  <r>
    <n v="110"/>
    <x v="0"/>
    <x v="100"/>
    <x v="7"/>
    <s v="Percent of GDP"/>
    <s v="Units"/>
    <x v="1"/>
    <n v="26.088000000000001"/>
  </r>
  <r>
    <n v="110"/>
    <x v="0"/>
    <x v="100"/>
    <x v="7"/>
    <s v="Percent of GDP"/>
    <s v="Units"/>
    <x v="2"/>
    <n v="22.815999999999999"/>
  </r>
  <r>
    <n v="110"/>
    <x v="0"/>
    <x v="100"/>
    <x v="7"/>
    <s v="Percent of GDP"/>
    <s v="Units"/>
    <x v="3"/>
    <n v="23.573"/>
  </r>
  <r>
    <n v="110"/>
    <x v="0"/>
    <x v="100"/>
    <x v="7"/>
    <s v="Percent of GDP"/>
    <s v="Units"/>
    <x v="4"/>
    <n v="13.962"/>
  </r>
  <r>
    <n v="110"/>
    <x v="0"/>
    <x v="100"/>
    <x v="7"/>
    <s v="Percent of GDP"/>
    <s v="Units"/>
    <x v="5"/>
    <n v="12.823"/>
  </r>
  <r>
    <n v="110"/>
    <x v="0"/>
    <x v="100"/>
    <x v="7"/>
    <s v="Percent of GDP"/>
    <s v="Units"/>
    <x v="6"/>
    <n v="12.231"/>
  </r>
  <r>
    <n v="200"/>
    <x v="3"/>
    <x v="188"/>
    <x v="0"/>
    <s v="U.S. dollars"/>
    <s v="Billions"/>
    <x v="0"/>
    <n v="9.42"/>
  </r>
  <r>
    <n v="200"/>
    <x v="3"/>
    <x v="188"/>
    <x v="0"/>
    <s v="U.S. dollars"/>
    <s v="Billions"/>
    <x v="1"/>
    <n v="9.2040000000000006"/>
  </r>
  <r>
    <n v="200"/>
    <x v="3"/>
    <x v="188"/>
    <x v="0"/>
    <s v="U.S. dollars"/>
    <s v="Billions"/>
    <x v="2"/>
    <n v="9.8390000000000004"/>
  </r>
  <r>
    <n v="200"/>
    <x v="3"/>
    <x v="188"/>
    <x v="0"/>
    <s v="U.S. dollars"/>
    <s v="Billions"/>
    <x v="3"/>
    <n v="10.42"/>
  </r>
  <r>
    <n v="200"/>
    <x v="3"/>
    <x v="188"/>
    <x v="0"/>
    <s v="U.S. dollars"/>
    <s v="Billions"/>
    <x v="4"/>
    <n v="11.68"/>
  </r>
  <r>
    <n v="200"/>
    <x v="3"/>
    <x v="188"/>
    <x v="0"/>
    <s v="U.S. dollars"/>
    <s v="Billions"/>
    <x v="5"/>
    <n v="12.804"/>
  </r>
  <r>
    <n v="200"/>
    <x v="3"/>
    <x v="188"/>
    <x v="0"/>
    <s v="U.S. dollars"/>
    <s v="Billions"/>
    <x v="6"/>
    <n v="13.891"/>
  </r>
  <r>
    <n v="1"/>
    <x v="2"/>
    <x v="188"/>
    <x v="0"/>
    <s v="U.S. dollars"/>
    <s v="Billions"/>
    <x v="0"/>
    <n v="9.42"/>
  </r>
  <r>
    <n v="1"/>
    <x v="2"/>
    <x v="188"/>
    <x v="0"/>
    <s v="U.S. dollars"/>
    <s v="Billions"/>
    <x v="1"/>
    <n v="9.2040000000000006"/>
  </r>
  <r>
    <n v="1"/>
    <x v="2"/>
    <x v="188"/>
    <x v="0"/>
    <s v="U.S. dollars"/>
    <s v="Billions"/>
    <x v="2"/>
    <n v="9.8390000000000004"/>
  </r>
  <r>
    <n v="1"/>
    <x v="2"/>
    <x v="188"/>
    <x v="0"/>
    <s v="U.S. dollars"/>
    <s v="Billions"/>
    <x v="3"/>
    <n v="10.42"/>
  </r>
  <r>
    <n v="1"/>
    <x v="2"/>
    <x v="188"/>
    <x v="0"/>
    <s v="U.S. dollars"/>
    <s v="Billions"/>
    <x v="4"/>
    <n v="11.68"/>
  </r>
  <r>
    <n v="1"/>
    <x v="2"/>
    <x v="188"/>
    <x v="0"/>
    <s v="U.S. dollars"/>
    <s v="Billions"/>
    <x v="5"/>
    <n v="12.804"/>
  </r>
  <r>
    <n v="1"/>
    <x v="2"/>
    <x v="188"/>
    <x v="0"/>
    <s v="U.S. dollars"/>
    <s v="Billions"/>
    <x v="6"/>
    <n v="13.891"/>
  </r>
  <r>
    <n v="400"/>
    <x v="11"/>
    <x v="188"/>
    <x v="0"/>
    <s v="U.S. dollars"/>
    <s v="Billions"/>
    <x v="0"/>
    <n v="9.42"/>
  </r>
  <r>
    <n v="400"/>
    <x v="11"/>
    <x v="188"/>
    <x v="0"/>
    <s v="U.S. dollars"/>
    <s v="Billions"/>
    <x v="1"/>
    <n v="9.2040000000000006"/>
  </r>
  <r>
    <n v="400"/>
    <x v="11"/>
    <x v="188"/>
    <x v="0"/>
    <s v="U.S. dollars"/>
    <s v="Billions"/>
    <x v="2"/>
    <n v="9.8390000000000004"/>
  </r>
  <r>
    <n v="400"/>
    <x v="11"/>
    <x v="188"/>
    <x v="0"/>
    <s v="U.S. dollars"/>
    <s v="Billions"/>
    <x v="3"/>
    <n v="10.42"/>
  </r>
  <r>
    <n v="400"/>
    <x v="11"/>
    <x v="188"/>
    <x v="0"/>
    <s v="U.S. dollars"/>
    <s v="Billions"/>
    <x v="4"/>
    <n v="11.68"/>
  </r>
  <r>
    <n v="400"/>
    <x v="11"/>
    <x v="188"/>
    <x v="0"/>
    <s v="U.S. dollars"/>
    <s v="Billions"/>
    <x v="5"/>
    <n v="12.804"/>
  </r>
  <r>
    <n v="400"/>
    <x v="11"/>
    <x v="188"/>
    <x v="0"/>
    <s v="U.S. dollars"/>
    <s v="Billions"/>
    <x v="6"/>
    <n v="13.891"/>
  </r>
  <r>
    <n v="200"/>
    <x v="3"/>
    <x v="136"/>
    <x v="0"/>
    <s v="U.S. dollars"/>
    <s v="Billions"/>
    <x v="0"/>
    <n v="12.539"/>
  </r>
  <r>
    <n v="200"/>
    <x v="3"/>
    <x v="136"/>
    <x v="0"/>
    <s v="U.S. dollars"/>
    <s v="Billions"/>
    <x v="1"/>
    <n v="10.583"/>
  </r>
  <r>
    <n v="200"/>
    <x v="3"/>
    <x v="136"/>
    <x v="0"/>
    <s v="U.S. dollars"/>
    <s v="Billions"/>
    <x v="2"/>
    <n v="12.443"/>
  </r>
  <r>
    <n v="200"/>
    <x v="3"/>
    <x v="136"/>
    <x v="0"/>
    <s v="U.S. dollars"/>
    <s v="Billions"/>
    <x v="3"/>
    <n v="12.602"/>
  </r>
  <r>
    <n v="200"/>
    <x v="3"/>
    <x v="136"/>
    <x v="0"/>
    <s v="U.S. dollars"/>
    <s v="Billions"/>
    <x v="4"/>
    <n v="12.327"/>
  </r>
  <r>
    <n v="200"/>
    <x v="3"/>
    <x v="136"/>
    <x v="0"/>
    <s v="U.S. dollars"/>
    <s v="Billions"/>
    <x v="5"/>
    <n v="12.765000000000001"/>
  </r>
  <r>
    <n v="200"/>
    <x v="3"/>
    <x v="136"/>
    <x v="0"/>
    <s v="U.S. dollars"/>
    <s v="Billions"/>
    <x v="6"/>
    <n v="13.486000000000001"/>
  </r>
  <r>
    <n v="1"/>
    <x v="2"/>
    <x v="136"/>
    <x v="0"/>
    <s v="U.S. dollars"/>
    <s v="Billions"/>
    <x v="0"/>
    <n v="12.539"/>
  </r>
  <r>
    <n v="1"/>
    <x v="2"/>
    <x v="136"/>
    <x v="0"/>
    <s v="U.S. dollars"/>
    <s v="Billions"/>
    <x v="1"/>
    <n v="10.583"/>
  </r>
  <r>
    <n v="1"/>
    <x v="2"/>
    <x v="136"/>
    <x v="0"/>
    <s v="U.S. dollars"/>
    <s v="Billions"/>
    <x v="2"/>
    <n v="12.443"/>
  </r>
  <r>
    <n v="1"/>
    <x v="2"/>
    <x v="136"/>
    <x v="0"/>
    <s v="U.S. dollars"/>
    <s v="Billions"/>
    <x v="3"/>
    <n v="12.602"/>
  </r>
  <r>
    <n v="1"/>
    <x v="2"/>
    <x v="136"/>
    <x v="0"/>
    <s v="U.S. dollars"/>
    <s v="Billions"/>
    <x v="4"/>
    <n v="12.327"/>
  </r>
  <r>
    <n v="1"/>
    <x v="2"/>
    <x v="136"/>
    <x v="0"/>
    <s v="U.S. dollars"/>
    <s v="Billions"/>
    <x v="5"/>
    <n v="12.765000000000001"/>
  </r>
  <r>
    <n v="1"/>
    <x v="2"/>
    <x v="136"/>
    <x v="0"/>
    <s v="U.S. dollars"/>
    <s v="Billions"/>
    <x v="6"/>
    <n v="13.486000000000001"/>
  </r>
  <r>
    <n v="603"/>
    <x v="12"/>
    <x v="136"/>
    <x v="0"/>
    <s v="U.S. dollars"/>
    <s v="Billions"/>
    <x v="0"/>
    <n v="12.539"/>
  </r>
  <r>
    <n v="603"/>
    <x v="12"/>
    <x v="136"/>
    <x v="0"/>
    <s v="U.S. dollars"/>
    <s v="Billions"/>
    <x v="1"/>
    <n v="10.583"/>
  </r>
  <r>
    <n v="603"/>
    <x v="12"/>
    <x v="136"/>
    <x v="0"/>
    <s v="U.S. dollars"/>
    <s v="Billions"/>
    <x v="2"/>
    <n v="12.443"/>
  </r>
  <r>
    <n v="603"/>
    <x v="12"/>
    <x v="136"/>
    <x v="0"/>
    <s v="U.S. dollars"/>
    <s v="Billions"/>
    <x v="3"/>
    <n v="12.602"/>
  </r>
  <r>
    <n v="603"/>
    <x v="12"/>
    <x v="136"/>
    <x v="0"/>
    <s v="U.S. dollars"/>
    <s v="Billions"/>
    <x v="4"/>
    <n v="12.327"/>
  </r>
  <r>
    <n v="603"/>
    <x v="12"/>
    <x v="136"/>
    <x v="0"/>
    <s v="U.S. dollars"/>
    <s v="Billions"/>
    <x v="5"/>
    <n v="12.765000000000001"/>
  </r>
  <r>
    <n v="603"/>
    <x v="12"/>
    <x v="136"/>
    <x v="0"/>
    <s v="U.S. dollars"/>
    <s v="Billions"/>
    <x v="6"/>
    <n v="13.486000000000001"/>
  </r>
  <r>
    <n v="1"/>
    <x v="2"/>
    <x v="184"/>
    <x v="5"/>
    <s v="Percent of GDP"/>
    <s v="Units"/>
    <x v="0"/>
    <n v="7.6219999999999999"/>
  </r>
  <r>
    <n v="1"/>
    <x v="2"/>
    <x v="184"/>
    <x v="5"/>
    <s v="Percent of GDP"/>
    <s v="Units"/>
    <x v="1"/>
    <n v="14.989000000000001"/>
  </r>
  <r>
    <n v="1"/>
    <x v="2"/>
    <x v="184"/>
    <x v="5"/>
    <s v="Percent of GDP"/>
    <s v="Units"/>
    <x v="2"/>
    <n v="17.469000000000001"/>
  </r>
  <r>
    <n v="1"/>
    <x v="2"/>
    <x v="184"/>
    <x v="5"/>
    <s v="Percent of GDP"/>
    <s v="Units"/>
    <x v="3"/>
    <n v="8.5169999999999995"/>
  </r>
  <r>
    <n v="1"/>
    <x v="2"/>
    <x v="184"/>
    <x v="5"/>
    <s v="Percent of GDP"/>
    <s v="Units"/>
    <x v="4"/>
    <n v="7.6079999999999997"/>
  </r>
  <r>
    <n v="1"/>
    <x v="2"/>
    <x v="184"/>
    <x v="5"/>
    <s v="Percent of GDP"/>
    <s v="Units"/>
    <x v="5"/>
    <n v="12.727"/>
  </r>
  <r>
    <n v="1"/>
    <x v="2"/>
    <x v="184"/>
    <x v="5"/>
    <s v="Percent of GDP"/>
    <s v="Units"/>
    <x v="6"/>
    <n v="14.635999999999999"/>
  </r>
  <r>
    <n v="603"/>
    <x v="12"/>
    <x v="184"/>
    <x v="5"/>
    <s v="Percent of GDP"/>
    <s v="Units"/>
    <x v="0"/>
    <n v="7.6219999999999999"/>
  </r>
  <r>
    <n v="603"/>
    <x v="12"/>
    <x v="184"/>
    <x v="5"/>
    <s v="Percent of GDP"/>
    <s v="Units"/>
    <x v="1"/>
    <n v="14.989000000000001"/>
  </r>
  <r>
    <n v="603"/>
    <x v="12"/>
    <x v="184"/>
    <x v="5"/>
    <s v="Percent of GDP"/>
    <s v="Units"/>
    <x v="2"/>
    <n v="17.469000000000001"/>
  </r>
  <r>
    <n v="603"/>
    <x v="12"/>
    <x v="184"/>
    <x v="5"/>
    <s v="Percent of GDP"/>
    <s v="Units"/>
    <x v="3"/>
    <n v="8.5169999999999995"/>
  </r>
  <r>
    <n v="603"/>
    <x v="12"/>
    <x v="184"/>
    <x v="5"/>
    <s v="Percent of GDP"/>
    <s v="Units"/>
    <x v="4"/>
    <n v="7.6079999999999997"/>
  </r>
  <r>
    <n v="603"/>
    <x v="12"/>
    <x v="184"/>
    <x v="5"/>
    <s v="Percent of GDP"/>
    <s v="Units"/>
    <x v="5"/>
    <n v="12.727"/>
  </r>
  <r>
    <n v="603"/>
    <x v="12"/>
    <x v="184"/>
    <x v="5"/>
    <s v="Percent of GDP"/>
    <s v="Units"/>
    <x v="6"/>
    <n v="14.635999999999999"/>
  </r>
  <r>
    <n v="200"/>
    <x v="3"/>
    <x v="184"/>
    <x v="5"/>
    <s v="Percent of GDP"/>
    <s v="Units"/>
    <x v="0"/>
    <n v="7.6219999999999999"/>
  </r>
  <r>
    <n v="200"/>
    <x v="3"/>
    <x v="184"/>
    <x v="5"/>
    <s v="Percent of GDP"/>
    <s v="Units"/>
    <x v="1"/>
    <n v="14.989000000000001"/>
  </r>
  <r>
    <n v="200"/>
    <x v="3"/>
    <x v="184"/>
    <x v="5"/>
    <s v="Percent of GDP"/>
    <s v="Units"/>
    <x v="2"/>
    <n v="17.469000000000001"/>
  </r>
  <r>
    <n v="200"/>
    <x v="3"/>
    <x v="184"/>
    <x v="5"/>
    <s v="Percent of GDP"/>
    <s v="Units"/>
    <x v="3"/>
    <n v="8.5169999999999995"/>
  </r>
  <r>
    <n v="200"/>
    <x v="3"/>
    <x v="184"/>
    <x v="5"/>
    <s v="Percent of GDP"/>
    <s v="Units"/>
    <x v="4"/>
    <n v="7.6079999999999997"/>
  </r>
  <r>
    <n v="200"/>
    <x v="3"/>
    <x v="184"/>
    <x v="5"/>
    <s v="Percent of GDP"/>
    <s v="Units"/>
    <x v="5"/>
    <n v="12.727"/>
  </r>
  <r>
    <n v="200"/>
    <x v="3"/>
    <x v="184"/>
    <x v="5"/>
    <s v="Percent of GDP"/>
    <s v="Units"/>
    <x v="6"/>
    <n v="14.635999999999999"/>
  </r>
  <r>
    <n v="200"/>
    <x v="3"/>
    <x v="68"/>
    <x v="2"/>
    <s v="Percent of GDP"/>
    <s v="Units"/>
    <x v="0"/>
    <n v="11.205"/>
  </r>
  <r>
    <n v="200"/>
    <x v="3"/>
    <x v="68"/>
    <x v="2"/>
    <s v="Percent of GDP"/>
    <s v="Units"/>
    <x v="1"/>
    <n v="10.676"/>
  </r>
  <r>
    <n v="200"/>
    <x v="3"/>
    <x v="68"/>
    <x v="2"/>
    <s v="Percent of GDP"/>
    <s v="Units"/>
    <x v="2"/>
    <n v="12.365"/>
  </r>
  <r>
    <n v="200"/>
    <x v="3"/>
    <x v="68"/>
    <x v="2"/>
    <s v="Percent of GDP"/>
    <s v="Units"/>
    <x v="3"/>
    <n v="12.656000000000001"/>
  </r>
  <r>
    <n v="200"/>
    <x v="3"/>
    <x v="68"/>
    <x v="2"/>
    <s v="Percent of GDP"/>
    <s v="Units"/>
    <x v="4"/>
    <n v="12.683"/>
  </r>
  <r>
    <n v="200"/>
    <x v="3"/>
    <x v="68"/>
    <x v="2"/>
    <s v="Percent of GDP"/>
    <s v="Units"/>
    <x v="5"/>
    <n v="12.662000000000001"/>
  </r>
  <r>
    <n v="200"/>
    <x v="3"/>
    <x v="68"/>
    <x v="2"/>
    <s v="Percent of GDP"/>
    <s v="Units"/>
    <x v="6"/>
    <n v="12.888999999999999"/>
  </r>
  <r>
    <n v="205"/>
    <x v="7"/>
    <x v="68"/>
    <x v="2"/>
    <s v="Percent of GDP"/>
    <s v="Units"/>
    <x v="0"/>
    <n v="11.205"/>
  </r>
  <r>
    <n v="205"/>
    <x v="7"/>
    <x v="68"/>
    <x v="2"/>
    <s v="Percent of GDP"/>
    <s v="Units"/>
    <x v="1"/>
    <n v="10.676"/>
  </r>
  <r>
    <n v="205"/>
    <x v="7"/>
    <x v="68"/>
    <x v="2"/>
    <s v="Percent of GDP"/>
    <s v="Units"/>
    <x v="2"/>
    <n v="12.365"/>
  </r>
  <r>
    <n v="205"/>
    <x v="7"/>
    <x v="68"/>
    <x v="2"/>
    <s v="Percent of GDP"/>
    <s v="Units"/>
    <x v="3"/>
    <n v="12.656000000000001"/>
  </r>
  <r>
    <n v="205"/>
    <x v="7"/>
    <x v="68"/>
    <x v="2"/>
    <s v="Percent of GDP"/>
    <s v="Units"/>
    <x v="4"/>
    <n v="12.683"/>
  </r>
  <r>
    <n v="205"/>
    <x v="7"/>
    <x v="68"/>
    <x v="2"/>
    <s v="Percent of GDP"/>
    <s v="Units"/>
    <x v="5"/>
    <n v="12.662000000000001"/>
  </r>
  <r>
    <n v="205"/>
    <x v="7"/>
    <x v="68"/>
    <x v="2"/>
    <s v="Percent of GDP"/>
    <s v="Units"/>
    <x v="6"/>
    <n v="12.888999999999999"/>
  </r>
  <r>
    <n v="200"/>
    <x v="3"/>
    <x v="146"/>
    <x v="4"/>
    <s v="Percent change"/>
    <s v="Units"/>
    <x v="0"/>
    <n v="-8.8179999999999996"/>
  </r>
  <r>
    <n v="200"/>
    <x v="3"/>
    <x v="146"/>
    <x v="4"/>
    <s v="Percent change"/>
    <s v="Units"/>
    <x v="1"/>
    <n v="-18.568999999999999"/>
  </r>
  <r>
    <n v="200"/>
    <x v="3"/>
    <x v="146"/>
    <x v="4"/>
    <s v="Percent change"/>
    <s v="Units"/>
    <x v="2"/>
    <n v="31.686"/>
  </r>
  <r>
    <n v="200"/>
    <x v="3"/>
    <x v="146"/>
    <x v="4"/>
    <s v="Percent change"/>
    <s v="Units"/>
    <x v="3"/>
    <n v="-5.6059999999999999"/>
  </r>
  <r>
    <n v="200"/>
    <x v="3"/>
    <x v="146"/>
    <x v="4"/>
    <s v="Percent change"/>
    <s v="Units"/>
    <x v="4"/>
    <n v="-23.047999999999998"/>
  </r>
  <r>
    <n v="200"/>
    <x v="3"/>
    <x v="146"/>
    <x v="4"/>
    <s v="Percent change"/>
    <s v="Units"/>
    <x v="5"/>
    <n v="12.65"/>
  </r>
  <r>
    <n v="200"/>
    <x v="3"/>
    <x v="146"/>
    <x v="4"/>
    <s v="Percent change"/>
    <s v="Units"/>
    <x v="6"/>
    <n v="27.696000000000002"/>
  </r>
  <r>
    <n v="603"/>
    <x v="12"/>
    <x v="146"/>
    <x v="4"/>
    <s v="Percent change"/>
    <s v="Units"/>
    <x v="0"/>
    <n v="-8.8179999999999996"/>
  </r>
  <r>
    <n v="603"/>
    <x v="12"/>
    <x v="146"/>
    <x v="4"/>
    <s v="Percent change"/>
    <s v="Units"/>
    <x v="1"/>
    <n v="-18.568999999999999"/>
  </r>
  <r>
    <n v="603"/>
    <x v="12"/>
    <x v="146"/>
    <x v="4"/>
    <s v="Percent change"/>
    <s v="Units"/>
    <x v="2"/>
    <n v="31.686"/>
  </r>
  <r>
    <n v="603"/>
    <x v="12"/>
    <x v="146"/>
    <x v="4"/>
    <s v="Percent change"/>
    <s v="Units"/>
    <x v="3"/>
    <n v="-5.6059999999999999"/>
  </r>
  <r>
    <n v="603"/>
    <x v="12"/>
    <x v="146"/>
    <x v="4"/>
    <s v="Percent change"/>
    <s v="Units"/>
    <x v="4"/>
    <n v="-23.047999999999998"/>
  </r>
  <r>
    <n v="603"/>
    <x v="12"/>
    <x v="146"/>
    <x v="4"/>
    <s v="Percent change"/>
    <s v="Units"/>
    <x v="5"/>
    <n v="12.65"/>
  </r>
  <r>
    <n v="603"/>
    <x v="12"/>
    <x v="146"/>
    <x v="4"/>
    <s v="Percent change"/>
    <s v="Units"/>
    <x v="6"/>
    <n v="27.696000000000002"/>
  </r>
  <r>
    <n v="1"/>
    <x v="2"/>
    <x v="146"/>
    <x v="4"/>
    <s v="Percent change"/>
    <s v="Units"/>
    <x v="0"/>
    <n v="-8.8179999999999996"/>
  </r>
  <r>
    <n v="1"/>
    <x v="2"/>
    <x v="146"/>
    <x v="4"/>
    <s v="Percent change"/>
    <s v="Units"/>
    <x v="1"/>
    <n v="-18.568999999999999"/>
  </r>
  <r>
    <n v="1"/>
    <x v="2"/>
    <x v="146"/>
    <x v="4"/>
    <s v="Percent change"/>
    <s v="Units"/>
    <x v="2"/>
    <n v="31.686"/>
  </r>
  <r>
    <n v="1"/>
    <x v="2"/>
    <x v="146"/>
    <x v="4"/>
    <s v="Percent change"/>
    <s v="Units"/>
    <x v="3"/>
    <n v="-5.6059999999999999"/>
  </r>
  <r>
    <n v="1"/>
    <x v="2"/>
    <x v="146"/>
    <x v="4"/>
    <s v="Percent change"/>
    <s v="Units"/>
    <x v="4"/>
    <n v="-23.047999999999998"/>
  </r>
  <r>
    <n v="1"/>
    <x v="2"/>
    <x v="146"/>
    <x v="4"/>
    <s v="Percent change"/>
    <s v="Units"/>
    <x v="5"/>
    <n v="12.65"/>
  </r>
  <r>
    <n v="1"/>
    <x v="2"/>
    <x v="146"/>
    <x v="4"/>
    <s v="Percent change"/>
    <s v="Units"/>
    <x v="6"/>
    <n v="27.696000000000002"/>
  </r>
  <r>
    <n v="400"/>
    <x v="11"/>
    <x v="174"/>
    <x v="2"/>
    <s v="Percent of GDP"/>
    <s v="Units"/>
    <x v="0"/>
    <n v="11.265000000000001"/>
  </r>
  <r>
    <n v="400"/>
    <x v="11"/>
    <x v="174"/>
    <x v="2"/>
    <s v="Percent of GDP"/>
    <s v="Units"/>
    <x v="1"/>
    <n v="13.265000000000001"/>
  </r>
  <r>
    <n v="400"/>
    <x v="11"/>
    <x v="174"/>
    <x v="2"/>
    <s v="Percent of GDP"/>
    <s v="Units"/>
    <x v="2"/>
    <n v="12.417"/>
  </r>
  <r>
    <n v="400"/>
    <x v="11"/>
    <x v="174"/>
    <x v="2"/>
    <s v="Percent of GDP"/>
    <s v="Units"/>
    <x v="3"/>
    <n v="12.12"/>
  </r>
  <r>
    <n v="400"/>
    <x v="11"/>
    <x v="174"/>
    <x v="2"/>
    <s v="Percent of GDP"/>
    <s v="Units"/>
    <x v="4"/>
    <n v="11.444000000000001"/>
  </r>
  <r>
    <n v="400"/>
    <x v="11"/>
    <x v="174"/>
    <x v="2"/>
    <s v="Percent of GDP"/>
    <s v="Units"/>
    <x v="5"/>
    <n v="12.486000000000001"/>
  </r>
  <r>
    <n v="400"/>
    <x v="11"/>
    <x v="174"/>
    <x v="2"/>
    <s v="Percent of GDP"/>
    <s v="Units"/>
    <x v="6"/>
    <n v="12.369"/>
  </r>
  <r>
    <n v="200"/>
    <x v="3"/>
    <x v="174"/>
    <x v="2"/>
    <s v="Percent of GDP"/>
    <s v="Units"/>
    <x v="0"/>
    <n v="11.265000000000001"/>
  </r>
  <r>
    <n v="200"/>
    <x v="3"/>
    <x v="174"/>
    <x v="2"/>
    <s v="Percent of GDP"/>
    <s v="Units"/>
    <x v="1"/>
    <n v="13.265000000000001"/>
  </r>
  <r>
    <n v="200"/>
    <x v="3"/>
    <x v="174"/>
    <x v="2"/>
    <s v="Percent of GDP"/>
    <s v="Units"/>
    <x v="2"/>
    <n v="12.417"/>
  </r>
  <r>
    <n v="200"/>
    <x v="3"/>
    <x v="174"/>
    <x v="2"/>
    <s v="Percent of GDP"/>
    <s v="Units"/>
    <x v="3"/>
    <n v="12.12"/>
  </r>
  <r>
    <n v="200"/>
    <x v="3"/>
    <x v="174"/>
    <x v="2"/>
    <s v="Percent of GDP"/>
    <s v="Units"/>
    <x v="4"/>
    <n v="11.444000000000001"/>
  </r>
  <r>
    <n v="200"/>
    <x v="3"/>
    <x v="174"/>
    <x v="2"/>
    <s v="Percent of GDP"/>
    <s v="Units"/>
    <x v="5"/>
    <n v="12.486000000000001"/>
  </r>
  <r>
    <n v="200"/>
    <x v="3"/>
    <x v="174"/>
    <x v="2"/>
    <s v="Percent of GDP"/>
    <s v="Units"/>
    <x v="6"/>
    <n v="12.369"/>
  </r>
  <r>
    <n v="603"/>
    <x v="12"/>
    <x v="171"/>
    <x v="5"/>
    <s v="Percent of GDP"/>
    <s v="Units"/>
    <x v="0"/>
    <n v="3.351"/>
  </r>
  <r>
    <n v="603"/>
    <x v="12"/>
    <x v="171"/>
    <x v="5"/>
    <s v="Percent of GDP"/>
    <s v="Units"/>
    <x v="1"/>
    <n v="3.8719999999999999"/>
  </r>
  <r>
    <n v="603"/>
    <x v="12"/>
    <x v="171"/>
    <x v="5"/>
    <s v="Percent of GDP"/>
    <s v="Units"/>
    <x v="2"/>
    <n v="8.9570000000000007"/>
  </r>
  <r>
    <n v="603"/>
    <x v="12"/>
    <x v="171"/>
    <x v="5"/>
    <s v="Percent of GDP"/>
    <s v="Units"/>
    <x v="3"/>
    <n v="16.071999999999999"/>
  </r>
  <r>
    <n v="603"/>
    <x v="12"/>
    <x v="171"/>
    <x v="5"/>
    <s v="Percent of GDP"/>
    <s v="Units"/>
    <x v="4"/>
    <n v="16.93"/>
  </r>
  <r>
    <n v="603"/>
    <x v="12"/>
    <x v="171"/>
    <x v="5"/>
    <s v="Percent of GDP"/>
    <s v="Units"/>
    <x v="5"/>
    <n v="12.47"/>
  </r>
  <r>
    <n v="603"/>
    <x v="12"/>
    <x v="171"/>
    <x v="5"/>
    <s v="Percent of GDP"/>
    <s v="Units"/>
    <x v="6"/>
    <n v="13.798"/>
  </r>
  <r>
    <n v="1"/>
    <x v="2"/>
    <x v="171"/>
    <x v="5"/>
    <s v="Percent of GDP"/>
    <s v="Units"/>
    <x v="0"/>
    <n v="3.351"/>
  </r>
  <r>
    <n v="1"/>
    <x v="2"/>
    <x v="171"/>
    <x v="5"/>
    <s v="Percent of GDP"/>
    <s v="Units"/>
    <x v="1"/>
    <n v="3.8719999999999999"/>
  </r>
  <r>
    <n v="1"/>
    <x v="2"/>
    <x v="171"/>
    <x v="5"/>
    <s v="Percent of GDP"/>
    <s v="Units"/>
    <x v="2"/>
    <n v="8.9570000000000007"/>
  </r>
  <r>
    <n v="1"/>
    <x v="2"/>
    <x v="171"/>
    <x v="5"/>
    <s v="Percent of GDP"/>
    <s v="Units"/>
    <x v="3"/>
    <n v="16.071999999999999"/>
  </r>
  <r>
    <n v="1"/>
    <x v="2"/>
    <x v="171"/>
    <x v="5"/>
    <s v="Percent of GDP"/>
    <s v="Units"/>
    <x v="4"/>
    <n v="16.93"/>
  </r>
  <r>
    <n v="1"/>
    <x v="2"/>
    <x v="171"/>
    <x v="5"/>
    <s v="Percent of GDP"/>
    <s v="Units"/>
    <x v="5"/>
    <n v="12.47"/>
  </r>
  <r>
    <n v="1"/>
    <x v="2"/>
    <x v="171"/>
    <x v="5"/>
    <s v="Percent of GDP"/>
    <s v="Units"/>
    <x v="6"/>
    <n v="13.798"/>
  </r>
  <r>
    <n v="200"/>
    <x v="3"/>
    <x v="171"/>
    <x v="5"/>
    <s v="Percent of GDP"/>
    <s v="Units"/>
    <x v="0"/>
    <n v="3.351"/>
  </r>
  <r>
    <n v="200"/>
    <x v="3"/>
    <x v="171"/>
    <x v="5"/>
    <s v="Percent of GDP"/>
    <s v="Units"/>
    <x v="1"/>
    <n v="3.8719999999999999"/>
  </r>
  <r>
    <n v="200"/>
    <x v="3"/>
    <x v="171"/>
    <x v="5"/>
    <s v="Percent of GDP"/>
    <s v="Units"/>
    <x v="2"/>
    <n v="8.9570000000000007"/>
  </r>
  <r>
    <n v="200"/>
    <x v="3"/>
    <x v="171"/>
    <x v="5"/>
    <s v="Percent of GDP"/>
    <s v="Units"/>
    <x v="3"/>
    <n v="16.071999999999999"/>
  </r>
  <r>
    <n v="200"/>
    <x v="3"/>
    <x v="171"/>
    <x v="5"/>
    <s v="Percent of GDP"/>
    <s v="Units"/>
    <x v="4"/>
    <n v="16.93"/>
  </r>
  <r>
    <n v="200"/>
    <x v="3"/>
    <x v="171"/>
    <x v="5"/>
    <s v="Percent of GDP"/>
    <s v="Units"/>
    <x v="5"/>
    <n v="12.47"/>
  </r>
  <r>
    <n v="200"/>
    <x v="3"/>
    <x v="171"/>
    <x v="5"/>
    <s v="Percent of GDP"/>
    <s v="Units"/>
    <x v="6"/>
    <n v="13.798"/>
  </r>
  <r>
    <n v="603"/>
    <x v="12"/>
    <x v="52"/>
    <x v="2"/>
    <s v="Percent of GDP"/>
    <s v="Units"/>
    <x v="0"/>
    <n v="7.8319999999999999"/>
  </r>
  <r>
    <n v="603"/>
    <x v="12"/>
    <x v="52"/>
    <x v="2"/>
    <s v="Percent of GDP"/>
    <s v="Units"/>
    <x v="1"/>
    <n v="6.52"/>
  </r>
  <r>
    <n v="603"/>
    <x v="12"/>
    <x v="52"/>
    <x v="2"/>
    <s v="Percent of GDP"/>
    <s v="Units"/>
    <x v="2"/>
    <n v="7.077"/>
  </r>
  <r>
    <n v="603"/>
    <x v="12"/>
    <x v="52"/>
    <x v="2"/>
    <s v="Percent of GDP"/>
    <s v="Units"/>
    <x v="3"/>
    <n v="8.9580000000000002"/>
  </r>
  <r>
    <n v="603"/>
    <x v="12"/>
    <x v="52"/>
    <x v="2"/>
    <s v="Percent of GDP"/>
    <s v="Units"/>
    <x v="4"/>
    <n v="9.6159999999999997"/>
  </r>
  <r>
    <n v="603"/>
    <x v="12"/>
    <x v="52"/>
    <x v="2"/>
    <s v="Percent of GDP"/>
    <s v="Units"/>
    <x v="5"/>
    <n v="12.442"/>
  </r>
  <r>
    <n v="603"/>
    <x v="12"/>
    <x v="52"/>
    <x v="2"/>
    <s v="Percent of GDP"/>
    <s v="Units"/>
    <x v="6"/>
    <n v="12.832000000000001"/>
  </r>
  <r>
    <n v="200"/>
    <x v="3"/>
    <x v="52"/>
    <x v="2"/>
    <s v="Percent of GDP"/>
    <s v="Units"/>
    <x v="0"/>
    <n v="7.8319999999999999"/>
  </r>
  <r>
    <n v="200"/>
    <x v="3"/>
    <x v="52"/>
    <x v="2"/>
    <s v="Percent of GDP"/>
    <s v="Units"/>
    <x v="1"/>
    <n v="6.52"/>
  </r>
  <r>
    <n v="200"/>
    <x v="3"/>
    <x v="52"/>
    <x v="2"/>
    <s v="Percent of GDP"/>
    <s v="Units"/>
    <x v="2"/>
    <n v="7.077"/>
  </r>
  <r>
    <n v="200"/>
    <x v="3"/>
    <x v="52"/>
    <x v="2"/>
    <s v="Percent of GDP"/>
    <s v="Units"/>
    <x v="3"/>
    <n v="8.9580000000000002"/>
  </r>
  <r>
    <n v="200"/>
    <x v="3"/>
    <x v="52"/>
    <x v="2"/>
    <s v="Percent of GDP"/>
    <s v="Units"/>
    <x v="4"/>
    <n v="9.6159999999999997"/>
  </r>
  <r>
    <n v="200"/>
    <x v="3"/>
    <x v="52"/>
    <x v="2"/>
    <s v="Percent of GDP"/>
    <s v="Units"/>
    <x v="5"/>
    <n v="12.442"/>
  </r>
  <r>
    <n v="200"/>
    <x v="3"/>
    <x v="52"/>
    <x v="2"/>
    <s v="Percent of GDP"/>
    <s v="Units"/>
    <x v="6"/>
    <n v="12.832000000000001"/>
  </r>
  <r>
    <n v="200"/>
    <x v="3"/>
    <x v="88"/>
    <x v="8"/>
    <s v="Percent change"/>
    <s v="Units"/>
    <x v="0"/>
    <n v="1.357"/>
  </r>
  <r>
    <n v="200"/>
    <x v="3"/>
    <x v="88"/>
    <x v="8"/>
    <s v="Percent change"/>
    <s v="Units"/>
    <x v="1"/>
    <n v="-7.04"/>
  </r>
  <r>
    <n v="200"/>
    <x v="3"/>
    <x v="88"/>
    <x v="8"/>
    <s v="Percent change"/>
    <s v="Units"/>
    <x v="2"/>
    <n v="-13.362"/>
  </r>
  <r>
    <n v="200"/>
    <x v="3"/>
    <x v="88"/>
    <x v="8"/>
    <s v="Percent change"/>
    <s v="Units"/>
    <x v="3"/>
    <n v="-1.964"/>
  </r>
  <r>
    <n v="200"/>
    <x v="3"/>
    <x v="88"/>
    <x v="8"/>
    <s v="Percent change"/>
    <s v="Units"/>
    <x v="4"/>
    <n v="0.8"/>
  </r>
  <r>
    <n v="200"/>
    <x v="3"/>
    <x v="88"/>
    <x v="8"/>
    <s v="Percent change"/>
    <s v="Units"/>
    <x v="5"/>
    <n v="12.4"/>
  </r>
  <r>
    <n v="200"/>
    <x v="3"/>
    <x v="88"/>
    <x v="8"/>
    <s v="Percent change"/>
    <s v="Units"/>
    <x v="6"/>
    <n v="11.9"/>
  </r>
  <r>
    <n v="1"/>
    <x v="2"/>
    <x v="88"/>
    <x v="8"/>
    <s v="Percent change"/>
    <s v="Units"/>
    <x v="0"/>
    <n v="1.357"/>
  </r>
  <r>
    <n v="1"/>
    <x v="2"/>
    <x v="88"/>
    <x v="8"/>
    <s v="Percent change"/>
    <s v="Units"/>
    <x v="1"/>
    <n v="-7.04"/>
  </r>
  <r>
    <n v="1"/>
    <x v="2"/>
    <x v="88"/>
    <x v="8"/>
    <s v="Percent change"/>
    <s v="Units"/>
    <x v="2"/>
    <n v="-13.362"/>
  </r>
  <r>
    <n v="1"/>
    <x v="2"/>
    <x v="88"/>
    <x v="8"/>
    <s v="Percent change"/>
    <s v="Units"/>
    <x v="3"/>
    <n v="-1.964"/>
  </r>
  <r>
    <n v="1"/>
    <x v="2"/>
    <x v="88"/>
    <x v="8"/>
    <s v="Percent change"/>
    <s v="Units"/>
    <x v="4"/>
    <n v="0.8"/>
  </r>
  <r>
    <n v="1"/>
    <x v="2"/>
    <x v="88"/>
    <x v="8"/>
    <s v="Percent change"/>
    <s v="Units"/>
    <x v="5"/>
    <n v="12.4"/>
  </r>
  <r>
    <n v="1"/>
    <x v="2"/>
    <x v="88"/>
    <x v="8"/>
    <s v="Percent change"/>
    <s v="Units"/>
    <x v="6"/>
    <n v="11.9"/>
  </r>
  <r>
    <n v="505"/>
    <x v="4"/>
    <x v="88"/>
    <x v="8"/>
    <s v="Percent change"/>
    <s v="Units"/>
    <x v="0"/>
    <n v="1.357"/>
  </r>
  <r>
    <n v="505"/>
    <x v="4"/>
    <x v="88"/>
    <x v="8"/>
    <s v="Percent change"/>
    <s v="Units"/>
    <x v="1"/>
    <n v="-7.04"/>
  </r>
  <r>
    <n v="505"/>
    <x v="4"/>
    <x v="88"/>
    <x v="8"/>
    <s v="Percent change"/>
    <s v="Units"/>
    <x v="2"/>
    <n v="-13.362"/>
  </r>
  <r>
    <n v="505"/>
    <x v="4"/>
    <x v="88"/>
    <x v="8"/>
    <s v="Percent change"/>
    <s v="Units"/>
    <x v="3"/>
    <n v="-1.964"/>
  </r>
  <r>
    <n v="505"/>
    <x v="4"/>
    <x v="88"/>
    <x v="8"/>
    <s v="Percent change"/>
    <s v="Units"/>
    <x v="4"/>
    <n v="0.8"/>
  </r>
  <r>
    <n v="505"/>
    <x v="4"/>
    <x v="88"/>
    <x v="8"/>
    <s v="Percent change"/>
    <s v="Units"/>
    <x v="5"/>
    <n v="12.4"/>
  </r>
  <r>
    <n v="505"/>
    <x v="4"/>
    <x v="88"/>
    <x v="8"/>
    <s v="Percent change"/>
    <s v="Units"/>
    <x v="6"/>
    <n v="11.9"/>
  </r>
  <r>
    <n v="1"/>
    <x v="2"/>
    <x v="126"/>
    <x v="4"/>
    <s v="Percent change"/>
    <s v="Units"/>
    <x v="0"/>
    <n v="-2.847"/>
  </r>
  <r>
    <n v="1"/>
    <x v="2"/>
    <x v="126"/>
    <x v="4"/>
    <s v="Percent change"/>
    <s v="Units"/>
    <x v="1"/>
    <n v="-12.531000000000001"/>
  </r>
  <r>
    <n v="1"/>
    <x v="2"/>
    <x v="126"/>
    <x v="4"/>
    <s v="Percent change"/>
    <s v="Units"/>
    <x v="2"/>
    <n v="75.605999999999995"/>
  </r>
  <r>
    <n v="1"/>
    <x v="2"/>
    <x v="126"/>
    <x v="4"/>
    <s v="Percent change"/>
    <s v="Units"/>
    <x v="3"/>
    <n v="4.601"/>
  </r>
  <r>
    <n v="1"/>
    <x v="2"/>
    <x v="126"/>
    <x v="4"/>
    <s v="Percent change"/>
    <s v="Units"/>
    <x v="4"/>
    <n v="25.541"/>
  </r>
  <r>
    <n v="1"/>
    <x v="2"/>
    <x v="126"/>
    <x v="4"/>
    <s v="Percent change"/>
    <s v="Units"/>
    <x v="5"/>
    <n v="12.253"/>
  </r>
  <r>
    <n v="1"/>
    <x v="2"/>
    <x v="126"/>
    <x v="4"/>
    <s v="Percent change"/>
    <s v="Units"/>
    <x v="6"/>
    <n v="1.915"/>
  </r>
  <r>
    <n v="603"/>
    <x v="12"/>
    <x v="126"/>
    <x v="4"/>
    <s v="Percent change"/>
    <s v="Units"/>
    <x v="0"/>
    <n v="-2.847"/>
  </r>
  <r>
    <n v="603"/>
    <x v="12"/>
    <x v="126"/>
    <x v="4"/>
    <s v="Percent change"/>
    <s v="Units"/>
    <x v="1"/>
    <n v="-12.531000000000001"/>
  </r>
  <r>
    <n v="603"/>
    <x v="12"/>
    <x v="126"/>
    <x v="4"/>
    <s v="Percent change"/>
    <s v="Units"/>
    <x v="2"/>
    <n v="75.605999999999995"/>
  </r>
  <r>
    <n v="603"/>
    <x v="12"/>
    <x v="126"/>
    <x v="4"/>
    <s v="Percent change"/>
    <s v="Units"/>
    <x v="3"/>
    <n v="4.601"/>
  </r>
  <r>
    <n v="603"/>
    <x v="12"/>
    <x v="126"/>
    <x v="4"/>
    <s v="Percent change"/>
    <s v="Units"/>
    <x v="4"/>
    <n v="25.541"/>
  </r>
  <r>
    <n v="603"/>
    <x v="12"/>
    <x v="126"/>
    <x v="4"/>
    <s v="Percent change"/>
    <s v="Units"/>
    <x v="5"/>
    <n v="12.253"/>
  </r>
  <r>
    <n v="603"/>
    <x v="12"/>
    <x v="126"/>
    <x v="4"/>
    <s v="Percent change"/>
    <s v="Units"/>
    <x v="6"/>
    <n v="1.915"/>
  </r>
  <r>
    <n v="200"/>
    <x v="3"/>
    <x v="126"/>
    <x v="4"/>
    <s v="Percent change"/>
    <s v="Units"/>
    <x v="0"/>
    <n v="-2.847"/>
  </r>
  <r>
    <n v="200"/>
    <x v="3"/>
    <x v="126"/>
    <x v="4"/>
    <s v="Percent change"/>
    <s v="Units"/>
    <x v="1"/>
    <n v="-12.531000000000001"/>
  </r>
  <r>
    <n v="200"/>
    <x v="3"/>
    <x v="126"/>
    <x v="4"/>
    <s v="Percent change"/>
    <s v="Units"/>
    <x v="2"/>
    <n v="75.605999999999995"/>
  </r>
  <r>
    <n v="200"/>
    <x v="3"/>
    <x v="126"/>
    <x v="4"/>
    <s v="Percent change"/>
    <s v="Units"/>
    <x v="3"/>
    <n v="4.601"/>
  </r>
  <r>
    <n v="200"/>
    <x v="3"/>
    <x v="126"/>
    <x v="4"/>
    <s v="Percent change"/>
    <s v="Units"/>
    <x v="4"/>
    <n v="25.541"/>
  </r>
  <r>
    <n v="200"/>
    <x v="3"/>
    <x v="126"/>
    <x v="4"/>
    <s v="Percent change"/>
    <s v="Units"/>
    <x v="5"/>
    <n v="12.253"/>
  </r>
  <r>
    <n v="200"/>
    <x v="3"/>
    <x v="126"/>
    <x v="4"/>
    <s v="Percent change"/>
    <s v="Units"/>
    <x v="6"/>
    <n v="1.915"/>
  </r>
  <r>
    <n v="205"/>
    <x v="7"/>
    <x v="176"/>
    <x v="7"/>
    <s v="Percent of GDP"/>
    <s v="Units"/>
    <x v="0"/>
    <n v="20.321999999999999"/>
  </r>
  <r>
    <n v="205"/>
    <x v="7"/>
    <x v="176"/>
    <x v="7"/>
    <s v="Percent of GDP"/>
    <s v="Units"/>
    <x v="1"/>
    <n v="17.702999999999999"/>
  </r>
  <r>
    <n v="205"/>
    <x v="7"/>
    <x v="176"/>
    <x v="7"/>
    <s v="Percent of GDP"/>
    <s v="Units"/>
    <x v="2"/>
    <n v="18.047999999999998"/>
  </r>
  <r>
    <n v="205"/>
    <x v="7"/>
    <x v="176"/>
    <x v="7"/>
    <s v="Percent of GDP"/>
    <s v="Units"/>
    <x v="3"/>
    <n v="15.862"/>
  </r>
  <r>
    <n v="205"/>
    <x v="7"/>
    <x v="176"/>
    <x v="7"/>
    <s v="Percent of GDP"/>
    <s v="Units"/>
    <x v="4"/>
    <n v="11.194000000000001"/>
  </r>
  <r>
    <n v="205"/>
    <x v="7"/>
    <x v="176"/>
    <x v="7"/>
    <s v="Percent of GDP"/>
    <s v="Units"/>
    <x v="5"/>
    <n v="12.209"/>
  </r>
  <r>
    <n v="205"/>
    <x v="7"/>
    <x v="176"/>
    <x v="7"/>
    <s v="Percent of GDP"/>
    <s v="Units"/>
    <x v="6"/>
    <n v="13.355"/>
  </r>
  <r>
    <n v="1"/>
    <x v="2"/>
    <x v="176"/>
    <x v="7"/>
    <s v="Percent of GDP"/>
    <s v="Units"/>
    <x v="0"/>
    <n v="20.321999999999999"/>
  </r>
  <r>
    <n v="1"/>
    <x v="2"/>
    <x v="176"/>
    <x v="7"/>
    <s v="Percent of GDP"/>
    <s v="Units"/>
    <x v="1"/>
    <n v="17.702999999999999"/>
  </r>
  <r>
    <n v="1"/>
    <x v="2"/>
    <x v="176"/>
    <x v="7"/>
    <s v="Percent of GDP"/>
    <s v="Units"/>
    <x v="2"/>
    <n v="18.047999999999998"/>
  </r>
  <r>
    <n v="1"/>
    <x v="2"/>
    <x v="176"/>
    <x v="7"/>
    <s v="Percent of GDP"/>
    <s v="Units"/>
    <x v="3"/>
    <n v="15.862"/>
  </r>
  <r>
    <n v="1"/>
    <x v="2"/>
    <x v="176"/>
    <x v="7"/>
    <s v="Percent of GDP"/>
    <s v="Units"/>
    <x v="4"/>
    <n v="11.194000000000001"/>
  </r>
  <r>
    <n v="1"/>
    <x v="2"/>
    <x v="176"/>
    <x v="7"/>
    <s v="Percent of GDP"/>
    <s v="Units"/>
    <x v="5"/>
    <n v="12.209"/>
  </r>
  <r>
    <n v="1"/>
    <x v="2"/>
    <x v="176"/>
    <x v="7"/>
    <s v="Percent of GDP"/>
    <s v="Units"/>
    <x v="6"/>
    <n v="13.355"/>
  </r>
  <r>
    <n v="200"/>
    <x v="3"/>
    <x v="176"/>
    <x v="7"/>
    <s v="Percent of GDP"/>
    <s v="Units"/>
    <x v="0"/>
    <n v="20.321999999999999"/>
  </r>
  <r>
    <n v="200"/>
    <x v="3"/>
    <x v="176"/>
    <x v="7"/>
    <s v="Percent of GDP"/>
    <s v="Units"/>
    <x v="1"/>
    <n v="17.702999999999999"/>
  </r>
  <r>
    <n v="200"/>
    <x v="3"/>
    <x v="176"/>
    <x v="7"/>
    <s v="Percent of GDP"/>
    <s v="Units"/>
    <x v="2"/>
    <n v="18.047999999999998"/>
  </r>
  <r>
    <n v="200"/>
    <x v="3"/>
    <x v="176"/>
    <x v="7"/>
    <s v="Percent of GDP"/>
    <s v="Units"/>
    <x v="3"/>
    <n v="15.862"/>
  </r>
  <r>
    <n v="200"/>
    <x v="3"/>
    <x v="176"/>
    <x v="7"/>
    <s v="Percent of GDP"/>
    <s v="Units"/>
    <x v="4"/>
    <n v="11.194000000000001"/>
  </r>
  <r>
    <n v="200"/>
    <x v="3"/>
    <x v="176"/>
    <x v="7"/>
    <s v="Percent of GDP"/>
    <s v="Units"/>
    <x v="5"/>
    <n v="12.209"/>
  </r>
  <r>
    <n v="200"/>
    <x v="3"/>
    <x v="176"/>
    <x v="7"/>
    <s v="Percent of GDP"/>
    <s v="Units"/>
    <x v="6"/>
    <n v="13.355"/>
  </r>
  <r>
    <n v="200"/>
    <x v="3"/>
    <x v="99"/>
    <x v="7"/>
    <s v="Percent of GDP"/>
    <s v="Units"/>
    <x v="0"/>
    <n v="19.803000000000001"/>
  </r>
  <r>
    <n v="200"/>
    <x v="3"/>
    <x v="99"/>
    <x v="7"/>
    <s v="Percent of GDP"/>
    <s v="Units"/>
    <x v="1"/>
    <n v="12.731"/>
  </r>
  <r>
    <n v="200"/>
    <x v="3"/>
    <x v="99"/>
    <x v="7"/>
    <s v="Percent of GDP"/>
    <s v="Units"/>
    <x v="2"/>
    <n v="15.263999999999999"/>
  </r>
  <r>
    <n v="200"/>
    <x v="3"/>
    <x v="99"/>
    <x v="7"/>
    <s v="Percent of GDP"/>
    <s v="Units"/>
    <x v="3"/>
    <n v="14.153"/>
  </r>
  <r>
    <n v="200"/>
    <x v="3"/>
    <x v="99"/>
    <x v="7"/>
    <s v="Percent of GDP"/>
    <s v="Units"/>
    <x v="4"/>
    <n v="12.225"/>
  </r>
  <r>
    <n v="200"/>
    <x v="3"/>
    <x v="99"/>
    <x v="7"/>
    <s v="Percent of GDP"/>
    <s v="Units"/>
    <x v="5"/>
    <n v="12.2"/>
  </r>
  <r>
    <n v="200"/>
    <x v="3"/>
    <x v="99"/>
    <x v="7"/>
    <s v="Percent of GDP"/>
    <s v="Units"/>
    <x v="6"/>
    <n v="12.538"/>
  </r>
  <r>
    <n v="400"/>
    <x v="11"/>
    <x v="99"/>
    <x v="7"/>
    <s v="Percent of GDP"/>
    <s v="Units"/>
    <x v="0"/>
    <n v="19.803000000000001"/>
  </r>
  <r>
    <n v="400"/>
    <x v="11"/>
    <x v="99"/>
    <x v="7"/>
    <s v="Percent of GDP"/>
    <s v="Units"/>
    <x v="1"/>
    <n v="12.731"/>
  </r>
  <r>
    <n v="400"/>
    <x v="11"/>
    <x v="99"/>
    <x v="7"/>
    <s v="Percent of GDP"/>
    <s v="Units"/>
    <x v="2"/>
    <n v="15.263999999999999"/>
  </r>
  <r>
    <n v="400"/>
    <x v="11"/>
    <x v="99"/>
    <x v="7"/>
    <s v="Percent of GDP"/>
    <s v="Units"/>
    <x v="3"/>
    <n v="14.153"/>
  </r>
  <r>
    <n v="400"/>
    <x v="11"/>
    <x v="99"/>
    <x v="7"/>
    <s v="Percent of GDP"/>
    <s v="Units"/>
    <x v="4"/>
    <n v="12.225"/>
  </r>
  <r>
    <n v="400"/>
    <x v="11"/>
    <x v="99"/>
    <x v="7"/>
    <s v="Percent of GDP"/>
    <s v="Units"/>
    <x v="5"/>
    <n v="12.2"/>
  </r>
  <r>
    <n v="400"/>
    <x v="11"/>
    <x v="99"/>
    <x v="7"/>
    <s v="Percent of GDP"/>
    <s v="Units"/>
    <x v="6"/>
    <n v="12.538"/>
  </r>
  <r>
    <n v="1"/>
    <x v="2"/>
    <x v="99"/>
    <x v="7"/>
    <s v="Percent of GDP"/>
    <s v="Units"/>
    <x v="0"/>
    <n v="19.803000000000001"/>
  </r>
  <r>
    <n v="1"/>
    <x v="2"/>
    <x v="99"/>
    <x v="7"/>
    <s v="Percent of GDP"/>
    <s v="Units"/>
    <x v="1"/>
    <n v="12.731"/>
  </r>
  <r>
    <n v="1"/>
    <x v="2"/>
    <x v="99"/>
    <x v="7"/>
    <s v="Percent of GDP"/>
    <s v="Units"/>
    <x v="2"/>
    <n v="15.263999999999999"/>
  </r>
  <r>
    <n v="1"/>
    <x v="2"/>
    <x v="99"/>
    <x v="7"/>
    <s v="Percent of GDP"/>
    <s v="Units"/>
    <x v="3"/>
    <n v="14.153"/>
  </r>
  <r>
    <n v="1"/>
    <x v="2"/>
    <x v="99"/>
    <x v="7"/>
    <s v="Percent of GDP"/>
    <s v="Units"/>
    <x v="4"/>
    <n v="12.225"/>
  </r>
  <r>
    <n v="1"/>
    <x v="2"/>
    <x v="99"/>
    <x v="7"/>
    <s v="Percent of GDP"/>
    <s v="Units"/>
    <x v="5"/>
    <n v="12.2"/>
  </r>
  <r>
    <n v="1"/>
    <x v="2"/>
    <x v="99"/>
    <x v="7"/>
    <s v="Percent of GDP"/>
    <s v="Units"/>
    <x v="6"/>
    <n v="12.538"/>
  </r>
  <r>
    <n v="903"/>
    <x v="8"/>
    <x v="57"/>
    <x v="5"/>
    <s v="Percent of GDP"/>
    <s v="Units"/>
    <x v="0"/>
    <n v="12.154"/>
  </r>
  <r>
    <n v="903"/>
    <x v="8"/>
    <x v="57"/>
    <x v="5"/>
    <s v="Percent of GDP"/>
    <s v="Units"/>
    <x v="1"/>
    <n v="12.234"/>
  </r>
  <r>
    <n v="903"/>
    <x v="8"/>
    <x v="57"/>
    <x v="5"/>
    <s v="Percent of GDP"/>
    <s v="Units"/>
    <x v="2"/>
    <n v="12.525"/>
  </r>
  <r>
    <n v="903"/>
    <x v="8"/>
    <x v="57"/>
    <x v="5"/>
    <s v="Percent of GDP"/>
    <s v="Units"/>
    <x v="3"/>
    <n v="17.577000000000002"/>
  </r>
  <r>
    <n v="903"/>
    <x v="8"/>
    <x v="57"/>
    <x v="5"/>
    <s v="Percent of GDP"/>
    <s v="Units"/>
    <x v="4"/>
    <n v="10.837"/>
  </r>
  <r>
    <n v="903"/>
    <x v="8"/>
    <x v="57"/>
    <x v="5"/>
    <s v="Percent of GDP"/>
    <s v="Units"/>
    <x v="5"/>
    <n v="11.907"/>
  </r>
  <r>
    <n v="903"/>
    <x v="8"/>
    <x v="57"/>
    <x v="5"/>
    <s v="Percent of GDP"/>
    <s v="Units"/>
    <x v="6"/>
    <n v="10.817"/>
  </r>
  <r>
    <n v="1"/>
    <x v="2"/>
    <x v="57"/>
    <x v="5"/>
    <s v="Percent of GDP"/>
    <s v="Units"/>
    <x v="0"/>
    <n v="12.154"/>
  </r>
  <r>
    <n v="1"/>
    <x v="2"/>
    <x v="57"/>
    <x v="5"/>
    <s v="Percent of GDP"/>
    <s v="Units"/>
    <x v="1"/>
    <n v="12.234"/>
  </r>
  <r>
    <n v="1"/>
    <x v="2"/>
    <x v="57"/>
    <x v="5"/>
    <s v="Percent of GDP"/>
    <s v="Units"/>
    <x v="2"/>
    <n v="12.525"/>
  </r>
  <r>
    <n v="1"/>
    <x v="2"/>
    <x v="57"/>
    <x v="5"/>
    <s v="Percent of GDP"/>
    <s v="Units"/>
    <x v="3"/>
    <n v="17.577000000000002"/>
  </r>
  <r>
    <n v="1"/>
    <x v="2"/>
    <x v="57"/>
    <x v="5"/>
    <s v="Percent of GDP"/>
    <s v="Units"/>
    <x v="4"/>
    <n v="10.837"/>
  </r>
  <r>
    <n v="1"/>
    <x v="2"/>
    <x v="57"/>
    <x v="5"/>
    <s v="Percent of GDP"/>
    <s v="Units"/>
    <x v="5"/>
    <n v="11.907"/>
  </r>
  <r>
    <n v="1"/>
    <x v="2"/>
    <x v="57"/>
    <x v="5"/>
    <s v="Percent of GDP"/>
    <s v="Units"/>
    <x v="6"/>
    <n v="10.817"/>
  </r>
  <r>
    <n v="200"/>
    <x v="3"/>
    <x v="57"/>
    <x v="5"/>
    <s v="Percent of GDP"/>
    <s v="Units"/>
    <x v="0"/>
    <n v="12.154"/>
  </r>
  <r>
    <n v="200"/>
    <x v="3"/>
    <x v="57"/>
    <x v="5"/>
    <s v="Percent of GDP"/>
    <s v="Units"/>
    <x v="1"/>
    <n v="12.234"/>
  </r>
  <r>
    <n v="200"/>
    <x v="3"/>
    <x v="57"/>
    <x v="5"/>
    <s v="Percent of GDP"/>
    <s v="Units"/>
    <x v="2"/>
    <n v="12.525"/>
  </r>
  <r>
    <n v="200"/>
    <x v="3"/>
    <x v="57"/>
    <x v="5"/>
    <s v="Percent of GDP"/>
    <s v="Units"/>
    <x v="3"/>
    <n v="17.577000000000002"/>
  </r>
  <r>
    <n v="200"/>
    <x v="3"/>
    <x v="57"/>
    <x v="5"/>
    <s v="Percent of GDP"/>
    <s v="Units"/>
    <x v="4"/>
    <n v="10.837"/>
  </r>
  <r>
    <n v="200"/>
    <x v="3"/>
    <x v="57"/>
    <x v="5"/>
    <s v="Percent of GDP"/>
    <s v="Units"/>
    <x v="5"/>
    <n v="11.907"/>
  </r>
  <r>
    <n v="200"/>
    <x v="3"/>
    <x v="57"/>
    <x v="5"/>
    <s v="Percent of GDP"/>
    <s v="Units"/>
    <x v="6"/>
    <n v="10.817"/>
  </r>
  <r>
    <n v="1"/>
    <x v="2"/>
    <x v="174"/>
    <x v="5"/>
    <s v="Percent of GDP"/>
    <s v="Units"/>
    <x v="0"/>
    <n v="11.316000000000001"/>
  </r>
  <r>
    <n v="1"/>
    <x v="2"/>
    <x v="174"/>
    <x v="5"/>
    <s v="Percent of GDP"/>
    <s v="Units"/>
    <x v="1"/>
    <n v="13.335000000000001"/>
  </r>
  <r>
    <n v="1"/>
    <x v="2"/>
    <x v="174"/>
    <x v="5"/>
    <s v="Percent of GDP"/>
    <s v="Units"/>
    <x v="2"/>
    <n v="13.725"/>
  </r>
  <r>
    <n v="1"/>
    <x v="2"/>
    <x v="174"/>
    <x v="5"/>
    <s v="Percent of GDP"/>
    <s v="Units"/>
    <x v="3"/>
    <n v="10.722"/>
  </r>
  <r>
    <n v="1"/>
    <x v="2"/>
    <x v="174"/>
    <x v="5"/>
    <s v="Percent of GDP"/>
    <s v="Units"/>
    <x v="4"/>
    <n v="13.048999999999999"/>
  </r>
  <r>
    <n v="1"/>
    <x v="2"/>
    <x v="174"/>
    <x v="5"/>
    <s v="Percent of GDP"/>
    <s v="Units"/>
    <x v="5"/>
    <n v="11.814"/>
  </r>
  <r>
    <n v="1"/>
    <x v="2"/>
    <x v="174"/>
    <x v="5"/>
    <s v="Percent of GDP"/>
    <s v="Units"/>
    <x v="6"/>
    <n v="11.811"/>
  </r>
  <r>
    <n v="400"/>
    <x v="11"/>
    <x v="174"/>
    <x v="5"/>
    <s v="Percent of GDP"/>
    <s v="Units"/>
    <x v="0"/>
    <n v="11.316000000000001"/>
  </r>
  <r>
    <n v="400"/>
    <x v="11"/>
    <x v="174"/>
    <x v="5"/>
    <s v="Percent of GDP"/>
    <s v="Units"/>
    <x v="1"/>
    <n v="13.335000000000001"/>
  </r>
  <r>
    <n v="400"/>
    <x v="11"/>
    <x v="174"/>
    <x v="5"/>
    <s v="Percent of GDP"/>
    <s v="Units"/>
    <x v="2"/>
    <n v="13.725"/>
  </r>
  <r>
    <n v="400"/>
    <x v="11"/>
    <x v="174"/>
    <x v="5"/>
    <s v="Percent of GDP"/>
    <s v="Units"/>
    <x v="3"/>
    <n v="10.722"/>
  </r>
  <r>
    <n v="400"/>
    <x v="11"/>
    <x v="174"/>
    <x v="5"/>
    <s v="Percent of GDP"/>
    <s v="Units"/>
    <x v="4"/>
    <n v="13.048999999999999"/>
  </r>
  <r>
    <n v="400"/>
    <x v="11"/>
    <x v="174"/>
    <x v="5"/>
    <s v="Percent of GDP"/>
    <s v="Units"/>
    <x v="5"/>
    <n v="11.814"/>
  </r>
  <r>
    <n v="400"/>
    <x v="11"/>
    <x v="174"/>
    <x v="5"/>
    <s v="Percent of GDP"/>
    <s v="Units"/>
    <x v="6"/>
    <n v="11.811"/>
  </r>
  <r>
    <n v="200"/>
    <x v="3"/>
    <x v="174"/>
    <x v="5"/>
    <s v="Percent of GDP"/>
    <s v="Units"/>
    <x v="0"/>
    <n v="11.316000000000001"/>
  </r>
  <r>
    <n v="200"/>
    <x v="3"/>
    <x v="174"/>
    <x v="5"/>
    <s v="Percent of GDP"/>
    <s v="Units"/>
    <x v="1"/>
    <n v="13.335000000000001"/>
  </r>
  <r>
    <n v="200"/>
    <x v="3"/>
    <x v="174"/>
    <x v="5"/>
    <s v="Percent of GDP"/>
    <s v="Units"/>
    <x v="2"/>
    <n v="13.725"/>
  </r>
  <r>
    <n v="200"/>
    <x v="3"/>
    <x v="174"/>
    <x v="5"/>
    <s v="Percent of GDP"/>
    <s v="Units"/>
    <x v="3"/>
    <n v="10.722"/>
  </r>
  <r>
    <n v="200"/>
    <x v="3"/>
    <x v="174"/>
    <x v="5"/>
    <s v="Percent of GDP"/>
    <s v="Units"/>
    <x v="4"/>
    <n v="13.048999999999999"/>
  </r>
  <r>
    <n v="200"/>
    <x v="3"/>
    <x v="174"/>
    <x v="5"/>
    <s v="Percent of GDP"/>
    <s v="Units"/>
    <x v="5"/>
    <n v="11.814"/>
  </r>
  <r>
    <n v="200"/>
    <x v="3"/>
    <x v="174"/>
    <x v="5"/>
    <s v="Percent of GDP"/>
    <s v="Units"/>
    <x v="6"/>
    <n v="11.811"/>
  </r>
  <r>
    <n v="200"/>
    <x v="3"/>
    <x v="101"/>
    <x v="5"/>
    <s v="Percent of GDP"/>
    <s v="Units"/>
    <x v="0"/>
    <n v="17.02"/>
  </r>
  <r>
    <n v="200"/>
    <x v="3"/>
    <x v="101"/>
    <x v="5"/>
    <s v="Percent of GDP"/>
    <s v="Units"/>
    <x v="1"/>
    <n v="12.978"/>
  </r>
  <r>
    <n v="200"/>
    <x v="3"/>
    <x v="101"/>
    <x v="5"/>
    <s v="Percent of GDP"/>
    <s v="Units"/>
    <x v="2"/>
    <n v="11.646000000000001"/>
  </r>
  <r>
    <n v="200"/>
    <x v="3"/>
    <x v="101"/>
    <x v="5"/>
    <s v="Percent of GDP"/>
    <s v="Units"/>
    <x v="3"/>
    <n v="10.615"/>
  </r>
  <r>
    <n v="200"/>
    <x v="3"/>
    <x v="101"/>
    <x v="5"/>
    <s v="Percent of GDP"/>
    <s v="Units"/>
    <x v="4"/>
    <n v="10.615"/>
  </r>
  <r>
    <n v="200"/>
    <x v="3"/>
    <x v="101"/>
    <x v="5"/>
    <s v="Percent of GDP"/>
    <s v="Units"/>
    <x v="5"/>
    <n v="11.727"/>
  </r>
  <r>
    <n v="200"/>
    <x v="3"/>
    <x v="101"/>
    <x v="5"/>
    <s v="Percent of GDP"/>
    <s v="Units"/>
    <x v="6"/>
    <n v="12.897"/>
  </r>
  <r>
    <n v="400"/>
    <x v="11"/>
    <x v="101"/>
    <x v="5"/>
    <s v="Percent of GDP"/>
    <s v="Units"/>
    <x v="0"/>
    <n v="17.02"/>
  </r>
  <r>
    <n v="400"/>
    <x v="11"/>
    <x v="101"/>
    <x v="5"/>
    <s v="Percent of GDP"/>
    <s v="Units"/>
    <x v="1"/>
    <n v="12.978"/>
  </r>
  <r>
    <n v="400"/>
    <x v="11"/>
    <x v="101"/>
    <x v="5"/>
    <s v="Percent of GDP"/>
    <s v="Units"/>
    <x v="2"/>
    <n v="11.646000000000001"/>
  </r>
  <r>
    <n v="400"/>
    <x v="11"/>
    <x v="101"/>
    <x v="5"/>
    <s v="Percent of GDP"/>
    <s v="Units"/>
    <x v="3"/>
    <n v="10.615"/>
  </r>
  <r>
    <n v="400"/>
    <x v="11"/>
    <x v="101"/>
    <x v="5"/>
    <s v="Percent of GDP"/>
    <s v="Units"/>
    <x v="4"/>
    <n v="10.615"/>
  </r>
  <r>
    <n v="400"/>
    <x v="11"/>
    <x v="101"/>
    <x v="5"/>
    <s v="Percent of GDP"/>
    <s v="Units"/>
    <x v="5"/>
    <n v="11.727"/>
  </r>
  <r>
    <n v="400"/>
    <x v="11"/>
    <x v="101"/>
    <x v="5"/>
    <s v="Percent of GDP"/>
    <s v="Units"/>
    <x v="6"/>
    <n v="12.897"/>
  </r>
  <r>
    <n v="1"/>
    <x v="2"/>
    <x v="101"/>
    <x v="5"/>
    <s v="Percent of GDP"/>
    <s v="Units"/>
    <x v="0"/>
    <n v="17.02"/>
  </r>
  <r>
    <n v="1"/>
    <x v="2"/>
    <x v="101"/>
    <x v="5"/>
    <s v="Percent of GDP"/>
    <s v="Units"/>
    <x v="1"/>
    <n v="12.978"/>
  </r>
  <r>
    <n v="1"/>
    <x v="2"/>
    <x v="101"/>
    <x v="5"/>
    <s v="Percent of GDP"/>
    <s v="Units"/>
    <x v="2"/>
    <n v="11.646000000000001"/>
  </r>
  <r>
    <n v="1"/>
    <x v="2"/>
    <x v="101"/>
    <x v="5"/>
    <s v="Percent of GDP"/>
    <s v="Units"/>
    <x v="3"/>
    <n v="10.615"/>
  </r>
  <r>
    <n v="1"/>
    <x v="2"/>
    <x v="101"/>
    <x v="5"/>
    <s v="Percent of GDP"/>
    <s v="Units"/>
    <x v="4"/>
    <n v="10.615"/>
  </r>
  <r>
    <n v="1"/>
    <x v="2"/>
    <x v="101"/>
    <x v="5"/>
    <s v="Percent of GDP"/>
    <s v="Units"/>
    <x v="5"/>
    <n v="11.727"/>
  </r>
  <r>
    <n v="1"/>
    <x v="2"/>
    <x v="101"/>
    <x v="5"/>
    <s v="Percent of GDP"/>
    <s v="Units"/>
    <x v="6"/>
    <n v="12.897"/>
  </r>
  <r>
    <n v="400"/>
    <x v="11"/>
    <x v="42"/>
    <x v="7"/>
    <s v="Percent of GDP"/>
    <s v="Units"/>
    <x v="0"/>
    <n v="20.053999999999998"/>
  </r>
  <r>
    <n v="400"/>
    <x v="11"/>
    <x v="42"/>
    <x v="7"/>
    <s v="Percent of GDP"/>
    <s v="Units"/>
    <x v="1"/>
    <n v="15.994999999999999"/>
  </r>
  <r>
    <n v="400"/>
    <x v="11"/>
    <x v="42"/>
    <x v="7"/>
    <s v="Percent of GDP"/>
    <s v="Units"/>
    <x v="2"/>
    <n v="15.172000000000001"/>
  </r>
  <r>
    <n v="400"/>
    <x v="11"/>
    <x v="42"/>
    <x v="7"/>
    <s v="Percent of GDP"/>
    <s v="Units"/>
    <x v="3"/>
    <n v="17.018999999999998"/>
  </r>
  <r>
    <n v="400"/>
    <x v="11"/>
    <x v="42"/>
    <x v="7"/>
    <s v="Percent of GDP"/>
    <s v="Units"/>
    <x v="4"/>
    <n v="12.875"/>
  </r>
  <r>
    <n v="400"/>
    <x v="11"/>
    <x v="42"/>
    <x v="7"/>
    <s v="Percent of GDP"/>
    <s v="Units"/>
    <x v="5"/>
    <n v="11.680999999999999"/>
  </r>
  <r>
    <n v="400"/>
    <x v="11"/>
    <x v="42"/>
    <x v="7"/>
    <s v="Percent of GDP"/>
    <s v="Units"/>
    <x v="6"/>
    <n v="11.234999999999999"/>
  </r>
  <r>
    <n v="1"/>
    <x v="2"/>
    <x v="42"/>
    <x v="7"/>
    <s v="Percent of GDP"/>
    <s v="Units"/>
    <x v="0"/>
    <n v="20.053999999999998"/>
  </r>
  <r>
    <n v="1"/>
    <x v="2"/>
    <x v="42"/>
    <x v="7"/>
    <s v="Percent of GDP"/>
    <s v="Units"/>
    <x v="1"/>
    <n v="15.994999999999999"/>
  </r>
  <r>
    <n v="1"/>
    <x v="2"/>
    <x v="42"/>
    <x v="7"/>
    <s v="Percent of GDP"/>
    <s v="Units"/>
    <x v="2"/>
    <n v="15.172000000000001"/>
  </r>
  <r>
    <n v="1"/>
    <x v="2"/>
    <x v="42"/>
    <x v="7"/>
    <s v="Percent of GDP"/>
    <s v="Units"/>
    <x v="3"/>
    <n v="17.018999999999998"/>
  </r>
  <r>
    <n v="1"/>
    <x v="2"/>
    <x v="42"/>
    <x v="7"/>
    <s v="Percent of GDP"/>
    <s v="Units"/>
    <x v="4"/>
    <n v="12.875"/>
  </r>
  <r>
    <n v="1"/>
    <x v="2"/>
    <x v="42"/>
    <x v="7"/>
    <s v="Percent of GDP"/>
    <s v="Units"/>
    <x v="5"/>
    <n v="11.680999999999999"/>
  </r>
  <r>
    <n v="1"/>
    <x v="2"/>
    <x v="42"/>
    <x v="7"/>
    <s v="Percent of GDP"/>
    <s v="Units"/>
    <x v="6"/>
    <n v="11.234999999999999"/>
  </r>
  <r>
    <n v="200"/>
    <x v="3"/>
    <x v="42"/>
    <x v="7"/>
    <s v="Percent of GDP"/>
    <s v="Units"/>
    <x v="0"/>
    <n v="20.053999999999998"/>
  </r>
  <r>
    <n v="200"/>
    <x v="3"/>
    <x v="42"/>
    <x v="7"/>
    <s v="Percent of GDP"/>
    <s v="Units"/>
    <x v="1"/>
    <n v="15.994999999999999"/>
  </r>
  <r>
    <n v="200"/>
    <x v="3"/>
    <x v="42"/>
    <x v="7"/>
    <s v="Percent of GDP"/>
    <s v="Units"/>
    <x v="2"/>
    <n v="15.172000000000001"/>
  </r>
  <r>
    <n v="200"/>
    <x v="3"/>
    <x v="42"/>
    <x v="7"/>
    <s v="Percent of GDP"/>
    <s v="Units"/>
    <x v="3"/>
    <n v="17.018999999999998"/>
  </r>
  <r>
    <n v="200"/>
    <x v="3"/>
    <x v="42"/>
    <x v="7"/>
    <s v="Percent of GDP"/>
    <s v="Units"/>
    <x v="4"/>
    <n v="12.875"/>
  </r>
  <r>
    <n v="200"/>
    <x v="3"/>
    <x v="42"/>
    <x v="7"/>
    <s v="Percent of GDP"/>
    <s v="Units"/>
    <x v="5"/>
    <n v="11.680999999999999"/>
  </r>
  <r>
    <n v="200"/>
    <x v="3"/>
    <x v="42"/>
    <x v="7"/>
    <s v="Percent of GDP"/>
    <s v="Units"/>
    <x v="6"/>
    <n v="11.234999999999999"/>
  </r>
  <r>
    <n v="205"/>
    <x v="7"/>
    <x v="72"/>
    <x v="4"/>
    <s v="Percent change"/>
    <s v="Units"/>
    <x v="0"/>
    <n v="-11.5"/>
  </r>
  <r>
    <n v="205"/>
    <x v="7"/>
    <x v="72"/>
    <x v="4"/>
    <s v="Percent change"/>
    <s v="Units"/>
    <x v="1"/>
    <n v="-65.245999999999995"/>
  </r>
  <r>
    <n v="205"/>
    <x v="7"/>
    <x v="72"/>
    <x v="4"/>
    <s v="Percent change"/>
    <s v="Units"/>
    <x v="2"/>
    <n v="-27.163"/>
  </r>
  <r>
    <n v="205"/>
    <x v="7"/>
    <x v="72"/>
    <x v="4"/>
    <s v="Percent change"/>
    <s v="Units"/>
    <x v="3"/>
    <n v="31.492000000000001"/>
  </r>
  <r>
    <n v="205"/>
    <x v="7"/>
    <x v="72"/>
    <x v="4"/>
    <s v="Percent change"/>
    <s v="Units"/>
    <x v="4"/>
    <n v="18.196999999999999"/>
  </r>
  <r>
    <n v="205"/>
    <x v="7"/>
    <x v="72"/>
    <x v="4"/>
    <s v="Percent change"/>
    <s v="Units"/>
    <x v="5"/>
    <n v="11.646000000000001"/>
  </r>
  <r>
    <n v="205"/>
    <x v="7"/>
    <x v="72"/>
    <x v="4"/>
    <s v="Percent change"/>
    <s v="Units"/>
    <x v="6"/>
    <n v="0.83499999999999996"/>
  </r>
  <r>
    <n v="200"/>
    <x v="3"/>
    <x v="72"/>
    <x v="4"/>
    <s v="Percent change"/>
    <s v="Units"/>
    <x v="0"/>
    <n v="-11.5"/>
  </r>
  <r>
    <n v="200"/>
    <x v="3"/>
    <x v="72"/>
    <x v="4"/>
    <s v="Percent change"/>
    <s v="Units"/>
    <x v="1"/>
    <n v="-65.245999999999995"/>
  </r>
  <r>
    <n v="200"/>
    <x v="3"/>
    <x v="72"/>
    <x v="4"/>
    <s v="Percent change"/>
    <s v="Units"/>
    <x v="2"/>
    <n v="-27.163"/>
  </r>
  <r>
    <n v="200"/>
    <x v="3"/>
    <x v="72"/>
    <x v="4"/>
    <s v="Percent change"/>
    <s v="Units"/>
    <x v="3"/>
    <n v="31.492000000000001"/>
  </r>
  <r>
    <n v="200"/>
    <x v="3"/>
    <x v="72"/>
    <x v="4"/>
    <s v="Percent change"/>
    <s v="Units"/>
    <x v="4"/>
    <n v="18.196999999999999"/>
  </r>
  <r>
    <n v="200"/>
    <x v="3"/>
    <x v="72"/>
    <x v="4"/>
    <s v="Percent change"/>
    <s v="Units"/>
    <x v="5"/>
    <n v="11.646000000000001"/>
  </r>
  <r>
    <n v="200"/>
    <x v="3"/>
    <x v="72"/>
    <x v="4"/>
    <s v="Percent change"/>
    <s v="Units"/>
    <x v="6"/>
    <n v="0.83499999999999996"/>
  </r>
  <r>
    <n v="1"/>
    <x v="2"/>
    <x v="72"/>
    <x v="4"/>
    <s v="Percent change"/>
    <s v="Units"/>
    <x v="0"/>
    <n v="-11.5"/>
  </r>
  <r>
    <n v="1"/>
    <x v="2"/>
    <x v="72"/>
    <x v="4"/>
    <s v="Percent change"/>
    <s v="Units"/>
    <x v="1"/>
    <n v="-65.245999999999995"/>
  </r>
  <r>
    <n v="1"/>
    <x v="2"/>
    <x v="72"/>
    <x v="4"/>
    <s v="Percent change"/>
    <s v="Units"/>
    <x v="2"/>
    <n v="-27.163"/>
  </r>
  <r>
    <n v="1"/>
    <x v="2"/>
    <x v="72"/>
    <x v="4"/>
    <s v="Percent change"/>
    <s v="Units"/>
    <x v="3"/>
    <n v="31.492000000000001"/>
  </r>
  <r>
    <n v="1"/>
    <x v="2"/>
    <x v="72"/>
    <x v="4"/>
    <s v="Percent change"/>
    <s v="Units"/>
    <x v="4"/>
    <n v="18.196999999999999"/>
  </r>
  <r>
    <n v="1"/>
    <x v="2"/>
    <x v="72"/>
    <x v="4"/>
    <s v="Percent change"/>
    <s v="Units"/>
    <x v="5"/>
    <n v="11.646000000000001"/>
  </r>
  <r>
    <n v="1"/>
    <x v="2"/>
    <x v="72"/>
    <x v="4"/>
    <s v="Percent change"/>
    <s v="Units"/>
    <x v="6"/>
    <n v="0.83499999999999996"/>
  </r>
  <r>
    <n v="110"/>
    <x v="0"/>
    <x v="14"/>
    <x v="11"/>
    <s v="Percent of total labor force"/>
    <s v="Units"/>
    <x v="0"/>
    <n v="14.105"/>
  </r>
  <r>
    <n v="110"/>
    <x v="0"/>
    <x v="14"/>
    <x v="11"/>
    <s v="Percent of total labor force"/>
    <s v="Units"/>
    <x v="1"/>
    <n v="15.532999999999999"/>
  </r>
  <r>
    <n v="110"/>
    <x v="0"/>
    <x v="14"/>
    <x v="11"/>
    <s v="Percent of total labor force"/>
    <s v="Units"/>
    <x v="2"/>
    <n v="14.785"/>
  </r>
  <r>
    <n v="110"/>
    <x v="0"/>
    <x v="14"/>
    <x v="11"/>
    <s v="Percent of total labor force"/>
    <s v="Units"/>
    <x v="3"/>
    <n v="12.917999999999999"/>
  </r>
  <r>
    <n v="110"/>
    <x v="0"/>
    <x v="14"/>
    <x v="11"/>
    <s v="Percent of total labor force"/>
    <s v="Units"/>
    <x v="4"/>
    <n v="12.115"/>
  </r>
  <r>
    <n v="110"/>
    <x v="0"/>
    <x v="14"/>
    <x v="11"/>
    <s v="Percent of total labor force"/>
    <s v="Units"/>
    <x v="5"/>
    <n v="11.641999999999999"/>
  </r>
  <r>
    <n v="110"/>
    <x v="0"/>
    <x v="14"/>
    <x v="11"/>
    <s v="Percent of total labor force"/>
    <s v="Units"/>
    <x v="6"/>
    <n v="11.34"/>
  </r>
  <r>
    <n v="163"/>
    <x v="5"/>
    <x v="14"/>
    <x v="11"/>
    <s v="Percent of total labor force"/>
    <s v="Units"/>
    <x v="0"/>
    <n v="14.105"/>
  </r>
  <r>
    <n v="163"/>
    <x v="5"/>
    <x v="14"/>
    <x v="11"/>
    <s v="Percent of total labor force"/>
    <s v="Units"/>
    <x v="1"/>
    <n v="15.532999999999999"/>
  </r>
  <r>
    <n v="163"/>
    <x v="5"/>
    <x v="14"/>
    <x v="11"/>
    <s v="Percent of total labor force"/>
    <s v="Units"/>
    <x v="2"/>
    <n v="14.785"/>
  </r>
  <r>
    <n v="163"/>
    <x v="5"/>
    <x v="14"/>
    <x v="11"/>
    <s v="Percent of total labor force"/>
    <s v="Units"/>
    <x v="3"/>
    <n v="12.917999999999999"/>
  </r>
  <r>
    <n v="163"/>
    <x v="5"/>
    <x v="14"/>
    <x v="11"/>
    <s v="Percent of total labor force"/>
    <s v="Units"/>
    <x v="4"/>
    <n v="12.115"/>
  </r>
  <r>
    <n v="163"/>
    <x v="5"/>
    <x v="14"/>
    <x v="11"/>
    <s v="Percent of total labor force"/>
    <s v="Units"/>
    <x v="5"/>
    <n v="11.641999999999999"/>
  </r>
  <r>
    <n v="163"/>
    <x v="5"/>
    <x v="14"/>
    <x v="11"/>
    <s v="Percent of total labor force"/>
    <s v="Units"/>
    <x v="6"/>
    <n v="11.34"/>
  </r>
  <r>
    <n v="200"/>
    <x v="3"/>
    <x v="82"/>
    <x v="2"/>
    <s v="Percent of GDP"/>
    <s v="Units"/>
    <x v="0"/>
    <n v="11.226000000000001"/>
  </r>
  <r>
    <n v="200"/>
    <x v="3"/>
    <x v="82"/>
    <x v="2"/>
    <s v="Percent of GDP"/>
    <s v="Units"/>
    <x v="1"/>
    <n v="11.617000000000001"/>
  </r>
  <r>
    <n v="200"/>
    <x v="3"/>
    <x v="82"/>
    <x v="2"/>
    <s v="Percent of GDP"/>
    <s v="Units"/>
    <x v="2"/>
    <n v="11.32"/>
  </r>
  <r>
    <n v="200"/>
    <x v="3"/>
    <x v="82"/>
    <x v="2"/>
    <s v="Percent of GDP"/>
    <s v="Units"/>
    <x v="3"/>
    <n v="11.897"/>
  </r>
  <r>
    <n v="200"/>
    <x v="3"/>
    <x v="82"/>
    <x v="2"/>
    <s v="Percent of GDP"/>
    <s v="Units"/>
    <x v="4"/>
    <n v="11.760999999999999"/>
  </r>
  <r>
    <n v="200"/>
    <x v="3"/>
    <x v="82"/>
    <x v="2"/>
    <s v="Percent of GDP"/>
    <s v="Units"/>
    <x v="5"/>
    <n v="11.622"/>
  </r>
  <r>
    <n v="200"/>
    <x v="3"/>
    <x v="82"/>
    <x v="2"/>
    <s v="Percent of GDP"/>
    <s v="Units"/>
    <x v="6"/>
    <n v="11.367000000000001"/>
  </r>
  <r>
    <n v="400"/>
    <x v="11"/>
    <x v="82"/>
    <x v="2"/>
    <s v="Percent of GDP"/>
    <s v="Units"/>
    <x v="0"/>
    <n v="11.226000000000001"/>
  </r>
  <r>
    <n v="400"/>
    <x v="11"/>
    <x v="82"/>
    <x v="2"/>
    <s v="Percent of GDP"/>
    <s v="Units"/>
    <x v="1"/>
    <n v="11.617000000000001"/>
  </r>
  <r>
    <n v="400"/>
    <x v="11"/>
    <x v="82"/>
    <x v="2"/>
    <s v="Percent of GDP"/>
    <s v="Units"/>
    <x v="2"/>
    <n v="11.32"/>
  </r>
  <r>
    <n v="400"/>
    <x v="11"/>
    <x v="82"/>
    <x v="2"/>
    <s v="Percent of GDP"/>
    <s v="Units"/>
    <x v="3"/>
    <n v="11.897"/>
  </r>
  <r>
    <n v="400"/>
    <x v="11"/>
    <x v="82"/>
    <x v="2"/>
    <s v="Percent of GDP"/>
    <s v="Units"/>
    <x v="4"/>
    <n v="11.760999999999999"/>
  </r>
  <r>
    <n v="400"/>
    <x v="11"/>
    <x v="82"/>
    <x v="2"/>
    <s v="Percent of GDP"/>
    <s v="Units"/>
    <x v="5"/>
    <n v="11.622"/>
  </r>
  <r>
    <n v="400"/>
    <x v="11"/>
    <x v="82"/>
    <x v="2"/>
    <s v="Percent of GDP"/>
    <s v="Units"/>
    <x v="6"/>
    <n v="11.367000000000001"/>
  </r>
  <r>
    <n v="400"/>
    <x v="11"/>
    <x v="73"/>
    <x v="1"/>
    <s v="Percent change"/>
    <s v="Units"/>
    <x v="0"/>
    <n v="14.526"/>
  </r>
  <r>
    <n v="400"/>
    <x v="11"/>
    <x v="73"/>
    <x v="1"/>
    <s v="Percent change"/>
    <s v="Units"/>
    <x v="1"/>
    <n v="12.868"/>
  </r>
  <r>
    <n v="400"/>
    <x v="11"/>
    <x v="73"/>
    <x v="1"/>
    <s v="Percent change"/>
    <s v="Units"/>
    <x v="2"/>
    <n v="10.849"/>
  </r>
  <r>
    <n v="400"/>
    <x v="11"/>
    <x v="73"/>
    <x v="1"/>
    <s v="Percent change"/>
    <s v="Units"/>
    <x v="3"/>
    <n v="11.446999999999999"/>
  </r>
  <r>
    <n v="400"/>
    <x v="11"/>
    <x v="73"/>
    <x v="1"/>
    <s v="Percent change"/>
    <s v="Units"/>
    <x v="4"/>
    <n v="9.9510000000000005"/>
  </r>
  <r>
    <n v="400"/>
    <x v="11"/>
    <x v="73"/>
    <x v="1"/>
    <s v="Percent change"/>
    <s v="Units"/>
    <x v="5"/>
    <n v="11.579000000000001"/>
  </r>
  <r>
    <n v="400"/>
    <x v="11"/>
    <x v="73"/>
    <x v="1"/>
    <s v="Percent change"/>
    <s v="Units"/>
    <x v="6"/>
    <n v="9.6910000000000007"/>
  </r>
  <r>
    <n v="1"/>
    <x v="2"/>
    <x v="73"/>
    <x v="1"/>
    <s v="Percent change"/>
    <s v="Units"/>
    <x v="0"/>
    <n v="14.526"/>
  </r>
  <r>
    <n v="1"/>
    <x v="2"/>
    <x v="73"/>
    <x v="1"/>
    <s v="Percent change"/>
    <s v="Units"/>
    <x v="1"/>
    <n v="12.868"/>
  </r>
  <r>
    <n v="1"/>
    <x v="2"/>
    <x v="73"/>
    <x v="1"/>
    <s v="Percent change"/>
    <s v="Units"/>
    <x v="2"/>
    <n v="10.849"/>
  </r>
  <r>
    <n v="1"/>
    <x v="2"/>
    <x v="73"/>
    <x v="1"/>
    <s v="Percent change"/>
    <s v="Units"/>
    <x v="3"/>
    <n v="11.446999999999999"/>
  </r>
  <r>
    <n v="1"/>
    <x v="2"/>
    <x v="73"/>
    <x v="1"/>
    <s v="Percent change"/>
    <s v="Units"/>
    <x v="4"/>
    <n v="9.9510000000000005"/>
  </r>
  <r>
    <n v="1"/>
    <x v="2"/>
    <x v="73"/>
    <x v="1"/>
    <s v="Percent change"/>
    <s v="Units"/>
    <x v="5"/>
    <n v="11.579000000000001"/>
  </r>
  <r>
    <n v="1"/>
    <x v="2"/>
    <x v="73"/>
    <x v="1"/>
    <s v="Percent change"/>
    <s v="Units"/>
    <x v="6"/>
    <n v="9.6910000000000007"/>
  </r>
  <r>
    <n v="200"/>
    <x v="3"/>
    <x v="73"/>
    <x v="1"/>
    <s v="Percent change"/>
    <s v="Units"/>
    <x v="0"/>
    <n v="14.526"/>
  </r>
  <r>
    <n v="200"/>
    <x v="3"/>
    <x v="73"/>
    <x v="1"/>
    <s v="Percent change"/>
    <s v="Units"/>
    <x v="1"/>
    <n v="12.868"/>
  </r>
  <r>
    <n v="200"/>
    <x v="3"/>
    <x v="73"/>
    <x v="1"/>
    <s v="Percent change"/>
    <s v="Units"/>
    <x v="2"/>
    <n v="10.849"/>
  </r>
  <r>
    <n v="200"/>
    <x v="3"/>
    <x v="73"/>
    <x v="1"/>
    <s v="Percent change"/>
    <s v="Units"/>
    <x v="3"/>
    <n v="11.446999999999999"/>
  </r>
  <r>
    <n v="200"/>
    <x v="3"/>
    <x v="73"/>
    <x v="1"/>
    <s v="Percent change"/>
    <s v="Units"/>
    <x v="4"/>
    <n v="9.9510000000000005"/>
  </r>
  <r>
    <n v="200"/>
    <x v="3"/>
    <x v="73"/>
    <x v="1"/>
    <s v="Percent change"/>
    <s v="Units"/>
    <x v="5"/>
    <n v="11.579000000000001"/>
  </r>
  <r>
    <n v="200"/>
    <x v="3"/>
    <x v="73"/>
    <x v="1"/>
    <s v="Percent change"/>
    <s v="Units"/>
    <x v="6"/>
    <n v="9.6910000000000007"/>
  </r>
  <r>
    <n v="200"/>
    <x v="3"/>
    <x v="176"/>
    <x v="5"/>
    <s v="Percent of GDP"/>
    <s v="Units"/>
    <x v="0"/>
    <n v="19.181999999999999"/>
  </r>
  <r>
    <n v="200"/>
    <x v="3"/>
    <x v="176"/>
    <x v="5"/>
    <s v="Percent of GDP"/>
    <s v="Units"/>
    <x v="1"/>
    <n v="18.058"/>
  </r>
  <r>
    <n v="200"/>
    <x v="3"/>
    <x v="176"/>
    <x v="5"/>
    <s v="Percent of GDP"/>
    <s v="Units"/>
    <x v="2"/>
    <n v="18.465"/>
  </r>
  <r>
    <n v="200"/>
    <x v="3"/>
    <x v="176"/>
    <x v="5"/>
    <s v="Percent of GDP"/>
    <s v="Units"/>
    <x v="3"/>
    <n v="13.523999999999999"/>
  </r>
  <r>
    <n v="200"/>
    <x v="3"/>
    <x v="176"/>
    <x v="5"/>
    <s v="Percent of GDP"/>
    <s v="Units"/>
    <x v="4"/>
    <n v="8.0239999999999991"/>
  </r>
  <r>
    <n v="200"/>
    <x v="3"/>
    <x v="176"/>
    <x v="5"/>
    <s v="Percent of GDP"/>
    <s v="Units"/>
    <x v="5"/>
    <n v="11.422000000000001"/>
  </r>
  <r>
    <n v="200"/>
    <x v="3"/>
    <x v="176"/>
    <x v="5"/>
    <s v="Percent of GDP"/>
    <s v="Units"/>
    <x v="6"/>
    <n v="12.141"/>
  </r>
  <r>
    <n v="1"/>
    <x v="2"/>
    <x v="176"/>
    <x v="5"/>
    <s v="Percent of GDP"/>
    <s v="Units"/>
    <x v="0"/>
    <n v="19.181999999999999"/>
  </r>
  <r>
    <n v="1"/>
    <x v="2"/>
    <x v="176"/>
    <x v="5"/>
    <s v="Percent of GDP"/>
    <s v="Units"/>
    <x v="1"/>
    <n v="18.058"/>
  </r>
  <r>
    <n v="1"/>
    <x v="2"/>
    <x v="176"/>
    <x v="5"/>
    <s v="Percent of GDP"/>
    <s v="Units"/>
    <x v="2"/>
    <n v="18.465"/>
  </r>
  <r>
    <n v="1"/>
    <x v="2"/>
    <x v="176"/>
    <x v="5"/>
    <s v="Percent of GDP"/>
    <s v="Units"/>
    <x v="3"/>
    <n v="13.523999999999999"/>
  </r>
  <r>
    <n v="1"/>
    <x v="2"/>
    <x v="176"/>
    <x v="5"/>
    <s v="Percent of GDP"/>
    <s v="Units"/>
    <x v="4"/>
    <n v="8.0239999999999991"/>
  </r>
  <r>
    <n v="1"/>
    <x v="2"/>
    <x v="176"/>
    <x v="5"/>
    <s v="Percent of GDP"/>
    <s v="Units"/>
    <x v="5"/>
    <n v="11.422000000000001"/>
  </r>
  <r>
    <n v="1"/>
    <x v="2"/>
    <x v="176"/>
    <x v="5"/>
    <s v="Percent of GDP"/>
    <s v="Units"/>
    <x v="6"/>
    <n v="12.141"/>
  </r>
  <r>
    <n v="205"/>
    <x v="7"/>
    <x v="176"/>
    <x v="5"/>
    <s v="Percent of GDP"/>
    <s v="Units"/>
    <x v="0"/>
    <n v="19.181999999999999"/>
  </r>
  <r>
    <n v="205"/>
    <x v="7"/>
    <x v="176"/>
    <x v="5"/>
    <s v="Percent of GDP"/>
    <s v="Units"/>
    <x v="1"/>
    <n v="18.058"/>
  </r>
  <r>
    <n v="205"/>
    <x v="7"/>
    <x v="176"/>
    <x v="5"/>
    <s v="Percent of GDP"/>
    <s v="Units"/>
    <x v="2"/>
    <n v="18.465"/>
  </r>
  <r>
    <n v="205"/>
    <x v="7"/>
    <x v="176"/>
    <x v="5"/>
    <s v="Percent of GDP"/>
    <s v="Units"/>
    <x v="3"/>
    <n v="13.523999999999999"/>
  </r>
  <r>
    <n v="205"/>
    <x v="7"/>
    <x v="176"/>
    <x v="5"/>
    <s v="Percent of GDP"/>
    <s v="Units"/>
    <x v="4"/>
    <n v="8.0239999999999991"/>
  </r>
  <r>
    <n v="205"/>
    <x v="7"/>
    <x v="176"/>
    <x v="5"/>
    <s v="Percent of GDP"/>
    <s v="Units"/>
    <x v="5"/>
    <n v="11.422000000000001"/>
  </r>
  <r>
    <n v="205"/>
    <x v="7"/>
    <x v="176"/>
    <x v="5"/>
    <s v="Percent of GDP"/>
    <s v="Units"/>
    <x v="6"/>
    <n v="12.141"/>
  </r>
  <r>
    <n v="200"/>
    <x v="3"/>
    <x v="159"/>
    <x v="4"/>
    <s v="Percent change"/>
    <s v="Units"/>
    <x v="0"/>
    <n v="6.8230000000000004"/>
  </r>
  <r>
    <n v="200"/>
    <x v="3"/>
    <x v="159"/>
    <x v="4"/>
    <s v="Percent change"/>
    <s v="Units"/>
    <x v="1"/>
    <n v="-36.545999999999999"/>
  </r>
  <r>
    <n v="200"/>
    <x v="3"/>
    <x v="159"/>
    <x v="4"/>
    <s v="Percent change"/>
    <s v="Units"/>
    <x v="2"/>
    <n v="-2.653"/>
  </r>
  <r>
    <n v="200"/>
    <x v="3"/>
    <x v="159"/>
    <x v="4"/>
    <s v="Percent change"/>
    <s v="Units"/>
    <x v="3"/>
    <n v="21.449000000000002"/>
  </r>
  <r>
    <n v="200"/>
    <x v="3"/>
    <x v="159"/>
    <x v="4"/>
    <s v="Percent change"/>
    <s v="Units"/>
    <x v="4"/>
    <n v="14.898"/>
  </r>
  <r>
    <n v="200"/>
    <x v="3"/>
    <x v="159"/>
    <x v="4"/>
    <s v="Percent change"/>
    <s v="Units"/>
    <x v="5"/>
    <n v="11.384"/>
  </r>
  <r>
    <n v="200"/>
    <x v="3"/>
    <x v="159"/>
    <x v="4"/>
    <s v="Percent change"/>
    <s v="Units"/>
    <x v="6"/>
    <n v="4.9640000000000004"/>
  </r>
  <r>
    <n v="1"/>
    <x v="2"/>
    <x v="159"/>
    <x v="4"/>
    <s v="Percent change"/>
    <s v="Units"/>
    <x v="0"/>
    <n v="6.8230000000000004"/>
  </r>
  <r>
    <n v="1"/>
    <x v="2"/>
    <x v="159"/>
    <x v="4"/>
    <s v="Percent change"/>
    <s v="Units"/>
    <x v="1"/>
    <n v="-36.545999999999999"/>
  </r>
  <r>
    <n v="1"/>
    <x v="2"/>
    <x v="159"/>
    <x v="4"/>
    <s v="Percent change"/>
    <s v="Units"/>
    <x v="2"/>
    <n v="-2.653"/>
  </r>
  <r>
    <n v="1"/>
    <x v="2"/>
    <x v="159"/>
    <x v="4"/>
    <s v="Percent change"/>
    <s v="Units"/>
    <x v="3"/>
    <n v="21.449000000000002"/>
  </r>
  <r>
    <n v="1"/>
    <x v="2"/>
    <x v="159"/>
    <x v="4"/>
    <s v="Percent change"/>
    <s v="Units"/>
    <x v="4"/>
    <n v="14.898"/>
  </r>
  <r>
    <n v="1"/>
    <x v="2"/>
    <x v="159"/>
    <x v="4"/>
    <s v="Percent change"/>
    <s v="Units"/>
    <x v="5"/>
    <n v="11.384"/>
  </r>
  <r>
    <n v="1"/>
    <x v="2"/>
    <x v="159"/>
    <x v="4"/>
    <s v="Percent change"/>
    <s v="Units"/>
    <x v="6"/>
    <n v="4.9640000000000004"/>
  </r>
  <r>
    <n v="205"/>
    <x v="7"/>
    <x v="159"/>
    <x v="4"/>
    <s v="Percent change"/>
    <s v="Units"/>
    <x v="0"/>
    <n v="6.8230000000000004"/>
  </r>
  <r>
    <n v="205"/>
    <x v="7"/>
    <x v="159"/>
    <x v="4"/>
    <s v="Percent change"/>
    <s v="Units"/>
    <x v="1"/>
    <n v="-36.545999999999999"/>
  </r>
  <r>
    <n v="205"/>
    <x v="7"/>
    <x v="159"/>
    <x v="4"/>
    <s v="Percent change"/>
    <s v="Units"/>
    <x v="2"/>
    <n v="-2.653"/>
  </r>
  <r>
    <n v="205"/>
    <x v="7"/>
    <x v="159"/>
    <x v="4"/>
    <s v="Percent change"/>
    <s v="Units"/>
    <x v="3"/>
    <n v="21.449000000000002"/>
  </r>
  <r>
    <n v="205"/>
    <x v="7"/>
    <x v="159"/>
    <x v="4"/>
    <s v="Percent change"/>
    <s v="Units"/>
    <x v="4"/>
    <n v="14.898"/>
  </r>
  <r>
    <n v="205"/>
    <x v="7"/>
    <x v="159"/>
    <x v="4"/>
    <s v="Percent change"/>
    <s v="Units"/>
    <x v="5"/>
    <n v="11.384"/>
  </r>
  <r>
    <n v="205"/>
    <x v="7"/>
    <x v="159"/>
    <x v="4"/>
    <s v="Percent change"/>
    <s v="Units"/>
    <x v="6"/>
    <n v="4.9640000000000004"/>
  </r>
  <r>
    <n v="200"/>
    <x v="3"/>
    <x v="139"/>
    <x v="1"/>
    <s v="Percent change"/>
    <s v="Units"/>
    <x v="0"/>
    <n v="9.1509999999999998"/>
  </r>
  <r>
    <n v="200"/>
    <x v="3"/>
    <x v="139"/>
    <x v="1"/>
    <s v="Percent change"/>
    <s v="Units"/>
    <x v="1"/>
    <n v="15.733000000000001"/>
  </r>
  <r>
    <n v="200"/>
    <x v="3"/>
    <x v="139"/>
    <x v="1"/>
    <s v="Percent change"/>
    <s v="Units"/>
    <x v="2"/>
    <n v="22.021000000000001"/>
  </r>
  <r>
    <n v="200"/>
    <x v="3"/>
    <x v="139"/>
    <x v="1"/>
    <s v="Percent change"/>
    <s v="Units"/>
    <x v="3"/>
    <n v="10.993"/>
  </r>
  <r>
    <n v="200"/>
    <x v="3"/>
    <x v="139"/>
    <x v="1"/>
    <s v="Percent change"/>
    <s v="Units"/>
    <x v="4"/>
    <n v="10.952999999999999"/>
  </r>
  <r>
    <n v="200"/>
    <x v="3"/>
    <x v="139"/>
    <x v="1"/>
    <s v="Percent change"/>
    <s v="Units"/>
    <x v="5"/>
    <n v="11.37"/>
  </r>
  <r>
    <n v="200"/>
    <x v="3"/>
    <x v="139"/>
    <x v="1"/>
    <s v="Percent change"/>
    <s v="Units"/>
    <x v="6"/>
    <n v="7.8150000000000004"/>
  </r>
  <r>
    <n v="603"/>
    <x v="12"/>
    <x v="139"/>
    <x v="1"/>
    <s v="Percent change"/>
    <s v="Units"/>
    <x v="0"/>
    <n v="9.1509999999999998"/>
  </r>
  <r>
    <n v="603"/>
    <x v="12"/>
    <x v="139"/>
    <x v="1"/>
    <s v="Percent change"/>
    <s v="Units"/>
    <x v="1"/>
    <n v="15.733000000000001"/>
  </r>
  <r>
    <n v="603"/>
    <x v="12"/>
    <x v="139"/>
    <x v="1"/>
    <s v="Percent change"/>
    <s v="Units"/>
    <x v="2"/>
    <n v="22.021000000000001"/>
  </r>
  <r>
    <n v="603"/>
    <x v="12"/>
    <x v="139"/>
    <x v="1"/>
    <s v="Percent change"/>
    <s v="Units"/>
    <x v="3"/>
    <n v="10.993"/>
  </r>
  <r>
    <n v="603"/>
    <x v="12"/>
    <x v="139"/>
    <x v="1"/>
    <s v="Percent change"/>
    <s v="Units"/>
    <x v="4"/>
    <n v="10.952999999999999"/>
  </r>
  <r>
    <n v="603"/>
    <x v="12"/>
    <x v="139"/>
    <x v="1"/>
    <s v="Percent change"/>
    <s v="Units"/>
    <x v="5"/>
    <n v="11.37"/>
  </r>
  <r>
    <n v="603"/>
    <x v="12"/>
    <x v="139"/>
    <x v="1"/>
    <s v="Percent change"/>
    <s v="Units"/>
    <x v="6"/>
    <n v="7.8150000000000004"/>
  </r>
  <r>
    <n v="1"/>
    <x v="2"/>
    <x v="139"/>
    <x v="1"/>
    <s v="Percent change"/>
    <s v="Units"/>
    <x v="0"/>
    <n v="9.1509999999999998"/>
  </r>
  <r>
    <n v="1"/>
    <x v="2"/>
    <x v="139"/>
    <x v="1"/>
    <s v="Percent change"/>
    <s v="Units"/>
    <x v="1"/>
    <n v="15.733000000000001"/>
  </r>
  <r>
    <n v="1"/>
    <x v="2"/>
    <x v="139"/>
    <x v="1"/>
    <s v="Percent change"/>
    <s v="Units"/>
    <x v="2"/>
    <n v="22.021000000000001"/>
  </r>
  <r>
    <n v="1"/>
    <x v="2"/>
    <x v="139"/>
    <x v="1"/>
    <s v="Percent change"/>
    <s v="Units"/>
    <x v="3"/>
    <n v="10.993"/>
  </r>
  <r>
    <n v="1"/>
    <x v="2"/>
    <x v="139"/>
    <x v="1"/>
    <s v="Percent change"/>
    <s v="Units"/>
    <x v="4"/>
    <n v="10.952999999999999"/>
  </r>
  <r>
    <n v="1"/>
    <x v="2"/>
    <x v="139"/>
    <x v="1"/>
    <s v="Percent change"/>
    <s v="Units"/>
    <x v="5"/>
    <n v="11.37"/>
  </r>
  <r>
    <n v="1"/>
    <x v="2"/>
    <x v="139"/>
    <x v="1"/>
    <s v="Percent change"/>
    <s v="Units"/>
    <x v="6"/>
    <n v="7.8150000000000004"/>
  </r>
  <r>
    <n v="1"/>
    <x v="2"/>
    <x v="150"/>
    <x v="0"/>
    <s v="U.S. dollars"/>
    <s v="Billions"/>
    <x v="0"/>
    <n v="7.9"/>
  </r>
  <r>
    <n v="1"/>
    <x v="2"/>
    <x v="150"/>
    <x v="0"/>
    <s v="U.S. dollars"/>
    <s v="Billions"/>
    <x v="1"/>
    <n v="7.7279999999999998"/>
  </r>
  <r>
    <n v="1"/>
    <x v="2"/>
    <x v="150"/>
    <x v="0"/>
    <s v="U.S. dollars"/>
    <s v="Billions"/>
    <x v="2"/>
    <n v="9.4179999999999993"/>
  </r>
  <r>
    <n v="1"/>
    <x v="2"/>
    <x v="150"/>
    <x v="0"/>
    <s v="U.S. dollars"/>
    <s v="Billions"/>
    <x v="3"/>
    <n v="9.3550000000000004"/>
  </r>
  <r>
    <n v="1"/>
    <x v="2"/>
    <x v="150"/>
    <x v="0"/>
    <s v="U.S. dollars"/>
    <s v="Billions"/>
    <x v="4"/>
    <n v="10.477"/>
  </r>
  <r>
    <n v="1"/>
    <x v="2"/>
    <x v="150"/>
    <x v="0"/>
    <s v="U.S. dollars"/>
    <s v="Billions"/>
    <x v="5"/>
    <n v="11.318"/>
  </r>
  <r>
    <n v="1"/>
    <x v="2"/>
    <x v="150"/>
    <x v="0"/>
    <s v="U.S. dollars"/>
    <s v="Billions"/>
    <x v="6"/>
    <n v="12.215"/>
  </r>
  <r>
    <n v="200"/>
    <x v="3"/>
    <x v="150"/>
    <x v="0"/>
    <s v="U.S. dollars"/>
    <s v="Billions"/>
    <x v="0"/>
    <n v="7.9"/>
  </r>
  <r>
    <n v="200"/>
    <x v="3"/>
    <x v="150"/>
    <x v="0"/>
    <s v="U.S. dollars"/>
    <s v="Billions"/>
    <x v="1"/>
    <n v="7.7279999999999998"/>
  </r>
  <r>
    <n v="200"/>
    <x v="3"/>
    <x v="150"/>
    <x v="0"/>
    <s v="U.S. dollars"/>
    <s v="Billions"/>
    <x v="2"/>
    <n v="9.4179999999999993"/>
  </r>
  <r>
    <n v="200"/>
    <x v="3"/>
    <x v="150"/>
    <x v="0"/>
    <s v="U.S. dollars"/>
    <s v="Billions"/>
    <x v="3"/>
    <n v="9.3550000000000004"/>
  </r>
  <r>
    <n v="200"/>
    <x v="3"/>
    <x v="150"/>
    <x v="0"/>
    <s v="U.S. dollars"/>
    <s v="Billions"/>
    <x v="4"/>
    <n v="10.477"/>
  </r>
  <r>
    <n v="200"/>
    <x v="3"/>
    <x v="150"/>
    <x v="0"/>
    <s v="U.S. dollars"/>
    <s v="Billions"/>
    <x v="5"/>
    <n v="11.318"/>
  </r>
  <r>
    <n v="200"/>
    <x v="3"/>
    <x v="150"/>
    <x v="0"/>
    <s v="U.S. dollars"/>
    <s v="Billions"/>
    <x v="6"/>
    <n v="12.215"/>
  </r>
  <r>
    <n v="903"/>
    <x v="8"/>
    <x v="150"/>
    <x v="0"/>
    <s v="U.S. dollars"/>
    <s v="Billions"/>
    <x v="0"/>
    <n v="7.9"/>
  </r>
  <r>
    <n v="903"/>
    <x v="8"/>
    <x v="150"/>
    <x v="0"/>
    <s v="U.S. dollars"/>
    <s v="Billions"/>
    <x v="1"/>
    <n v="7.7279999999999998"/>
  </r>
  <r>
    <n v="903"/>
    <x v="8"/>
    <x v="150"/>
    <x v="0"/>
    <s v="U.S. dollars"/>
    <s v="Billions"/>
    <x v="2"/>
    <n v="9.4179999999999993"/>
  </r>
  <r>
    <n v="903"/>
    <x v="8"/>
    <x v="150"/>
    <x v="0"/>
    <s v="U.S. dollars"/>
    <s v="Billions"/>
    <x v="3"/>
    <n v="9.3550000000000004"/>
  </r>
  <r>
    <n v="903"/>
    <x v="8"/>
    <x v="150"/>
    <x v="0"/>
    <s v="U.S. dollars"/>
    <s v="Billions"/>
    <x v="4"/>
    <n v="10.477"/>
  </r>
  <r>
    <n v="903"/>
    <x v="8"/>
    <x v="150"/>
    <x v="0"/>
    <s v="U.S. dollars"/>
    <s v="Billions"/>
    <x v="5"/>
    <n v="11.318"/>
  </r>
  <r>
    <n v="903"/>
    <x v="8"/>
    <x v="150"/>
    <x v="0"/>
    <s v="U.S. dollars"/>
    <s v="Billions"/>
    <x v="6"/>
    <n v="12.215"/>
  </r>
  <r>
    <n v="1"/>
    <x v="2"/>
    <x v="170"/>
    <x v="5"/>
    <s v="Percent of GDP"/>
    <s v="Units"/>
    <x v="0"/>
    <n v="15.074999999999999"/>
  </r>
  <r>
    <n v="1"/>
    <x v="2"/>
    <x v="170"/>
    <x v="5"/>
    <s v="Percent of GDP"/>
    <s v="Units"/>
    <x v="1"/>
    <n v="14.988"/>
  </r>
  <r>
    <n v="1"/>
    <x v="2"/>
    <x v="170"/>
    <x v="5"/>
    <s v="Percent of GDP"/>
    <s v="Units"/>
    <x v="2"/>
    <n v="13.847"/>
  </r>
  <r>
    <n v="1"/>
    <x v="2"/>
    <x v="170"/>
    <x v="5"/>
    <s v="Percent of GDP"/>
    <s v="Units"/>
    <x v="3"/>
    <n v="10.920999999999999"/>
  </r>
  <r>
    <n v="1"/>
    <x v="2"/>
    <x v="170"/>
    <x v="5"/>
    <s v="Percent of GDP"/>
    <s v="Units"/>
    <x v="4"/>
    <n v="8.2189999999999994"/>
  </r>
  <r>
    <n v="1"/>
    <x v="2"/>
    <x v="170"/>
    <x v="5"/>
    <s v="Percent of GDP"/>
    <s v="Units"/>
    <x v="5"/>
    <n v="11.305"/>
  </r>
  <r>
    <n v="1"/>
    <x v="2"/>
    <x v="170"/>
    <x v="5"/>
    <s v="Percent of GDP"/>
    <s v="Units"/>
    <x v="6"/>
    <n v="12.316000000000001"/>
  </r>
  <r>
    <n v="603"/>
    <x v="12"/>
    <x v="170"/>
    <x v="5"/>
    <s v="Percent of GDP"/>
    <s v="Units"/>
    <x v="0"/>
    <n v="15.074999999999999"/>
  </r>
  <r>
    <n v="603"/>
    <x v="12"/>
    <x v="170"/>
    <x v="5"/>
    <s v="Percent of GDP"/>
    <s v="Units"/>
    <x v="1"/>
    <n v="14.988"/>
  </r>
  <r>
    <n v="603"/>
    <x v="12"/>
    <x v="170"/>
    <x v="5"/>
    <s v="Percent of GDP"/>
    <s v="Units"/>
    <x v="2"/>
    <n v="13.847"/>
  </r>
  <r>
    <n v="603"/>
    <x v="12"/>
    <x v="170"/>
    <x v="5"/>
    <s v="Percent of GDP"/>
    <s v="Units"/>
    <x v="3"/>
    <n v="10.920999999999999"/>
  </r>
  <r>
    <n v="603"/>
    <x v="12"/>
    <x v="170"/>
    <x v="5"/>
    <s v="Percent of GDP"/>
    <s v="Units"/>
    <x v="4"/>
    <n v="8.2189999999999994"/>
  </r>
  <r>
    <n v="603"/>
    <x v="12"/>
    <x v="170"/>
    <x v="5"/>
    <s v="Percent of GDP"/>
    <s v="Units"/>
    <x v="5"/>
    <n v="11.305"/>
  </r>
  <r>
    <n v="603"/>
    <x v="12"/>
    <x v="170"/>
    <x v="5"/>
    <s v="Percent of GDP"/>
    <s v="Units"/>
    <x v="6"/>
    <n v="12.316000000000001"/>
  </r>
  <r>
    <n v="200"/>
    <x v="3"/>
    <x v="170"/>
    <x v="5"/>
    <s v="Percent of GDP"/>
    <s v="Units"/>
    <x v="0"/>
    <n v="15.074999999999999"/>
  </r>
  <r>
    <n v="200"/>
    <x v="3"/>
    <x v="170"/>
    <x v="5"/>
    <s v="Percent of GDP"/>
    <s v="Units"/>
    <x v="1"/>
    <n v="14.988"/>
  </r>
  <r>
    <n v="200"/>
    <x v="3"/>
    <x v="170"/>
    <x v="5"/>
    <s v="Percent of GDP"/>
    <s v="Units"/>
    <x v="2"/>
    <n v="13.847"/>
  </r>
  <r>
    <n v="200"/>
    <x v="3"/>
    <x v="170"/>
    <x v="5"/>
    <s v="Percent of GDP"/>
    <s v="Units"/>
    <x v="3"/>
    <n v="10.920999999999999"/>
  </r>
  <r>
    <n v="200"/>
    <x v="3"/>
    <x v="170"/>
    <x v="5"/>
    <s v="Percent of GDP"/>
    <s v="Units"/>
    <x v="4"/>
    <n v="8.2189999999999994"/>
  </r>
  <r>
    <n v="200"/>
    <x v="3"/>
    <x v="170"/>
    <x v="5"/>
    <s v="Percent of GDP"/>
    <s v="Units"/>
    <x v="5"/>
    <n v="11.305"/>
  </r>
  <r>
    <n v="200"/>
    <x v="3"/>
    <x v="170"/>
    <x v="5"/>
    <s v="Percent of GDP"/>
    <s v="Units"/>
    <x v="6"/>
    <n v="12.316000000000001"/>
  </r>
  <r>
    <n v="200"/>
    <x v="3"/>
    <x v="162"/>
    <x v="0"/>
    <s v="U.S. dollars"/>
    <s v="Billions"/>
    <x v="0"/>
    <n v="11.031000000000001"/>
  </r>
  <r>
    <n v="200"/>
    <x v="3"/>
    <x v="162"/>
    <x v="0"/>
    <s v="U.S. dollars"/>
    <s v="Billions"/>
    <x v="1"/>
    <n v="11.847"/>
  </r>
  <r>
    <n v="200"/>
    <x v="3"/>
    <x v="162"/>
    <x v="0"/>
    <s v="U.S. dollars"/>
    <s v="Billions"/>
    <x v="2"/>
    <n v="12.476000000000001"/>
  </r>
  <r>
    <n v="200"/>
    <x v="3"/>
    <x v="162"/>
    <x v="0"/>
    <s v="U.S. dollars"/>
    <s v="Billions"/>
    <x v="3"/>
    <n v="12.522"/>
  </r>
  <r>
    <n v="200"/>
    <x v="3"/>
    <x v="162"/>
    <x v="0"/>
    <s v="U.S. dollars"/>
    <s v="Billions"/>
    <x v="4"/>
    <n v="13.127000000000001"/>
  </r>
  <r>
    <n v="200"/>
    <x v="3"/>
    <x v="162"/>
    <x v="0"/>
    <s v="U.S. dollars"/>
    <s v="Billions"/>
    <x v="5"/>
    <n v="11.241"/>
  </r>
  <r>
    <n v="200"/>
    <x v="3"/>
    <x v="162"/>
    <x v="0"/>
    <s v="U.S. dollars"/>
    <s v="Billions"/>
    <x v="6"/>
    <n v="11.333"/>
  </r>
  <r>
    <n v="1"/>
    <x v="2"/>
    <x v="162"/>
    <x v="0"/>
    <s v="U.S. dollars"/>
    <s v="Billions"/>
    <x v="0"/>
    <n v="11.031000000000001"/>
  </r>
  <r>
    <n v="1"/>
    <x v="2"/>
    <x v="162"/>
    <x v="0"/>
    <s v="U.S. dollars"/>
    <s v="Billions"/>
    <x v="1"/>
    <n v="11.847"/>
  </r>
  <r>
    <n v="1"/>
    <x v="2"/>
    <x v="162"/>
    <x v="0"/>
    <s v="U.S. dollars"/>
    <s v="Billions"/>
    <x v="2"/>
    <n v="12.476000000000001"/>
  </r>
  <r>
    <n v="1"/>
    <x v="2"/>
    <x v="162"/>
    <x v="0"/>
    <s v="U.S. dollars"/>
    <s v="Billions"/>
    <x v="3"/>
    <n v="12.522"/>
  </r>
  <r>
    <n v="1"/>
    <x v="2"/>
    <x v="162"/>
    <x v="0"/>
    <s v="U.S. dollars"/>
    <s v="Billions"/>
    <x v="4"/>
    <n v="13.127000000000001"/>
  </r>
  <r>
    <n v="1"/>
    <x v="2"/>
    <x v="162"/>
    <x v="0"/>
    <s v="U.S. dollars"/>
    <s v="Billions"/>
    <x v="5"/>
    <n v="11.241"/>
  </r>
  <r>
    <n v="1"/>
    <x v="2"/>
    <x v="162"/>
    <x v="0"/>
    <s v="U.S. dollars"/>
    <s v="Billions"/>
    <x v="6"/>
    <n v="11.333"/>
  </r>
  <r>
    <n v="603"/>
    <x v="12"/>
    <x v="162"/>
    <x v="0"/>
    <s v="U.S. dollars"/>
    <s v="Billions"/>
    <x v="0"/>
    <n v="11.031000000000001"/>
  </r>
  <r>
    <n v="603"/>
    <x v="12"/>
    <x v="162"/>
    <x v="0"/>
    <s v="U.S. dollars"/>
    <s v="Billions"/>
    <x v="1"/>
    <n v="11.847"/>
  </r>
  <r>
    <n v="603"/>
    <x v="12"/>
    <x v="162"/>
    <x v="0"/>
    <s v="U.S. dollars"/>
    <s v="Billions"/>
    <x v="2"/>
    <n v="12.476000000000001"/>
  </r>
  <r>
    <n v="603"/>
    <x v="12"/>
    <x v="162"/>
    <x v="0"/>
    <s v="U.S. dollars"/>
    <s v="Billions"/>
    <x v="3"/>
    <n v="12.522"/>
  </r>
  <r>
    <n v="603"/>
    <x v="12"/>
    <x v="162"/>
    <x v="0"/>
    <s v="U.S. dollars"/>
    <s v="Billions"/>
    <x v="4"/>
    <n v="13.127000000000001"/>
  </r>
  <r>
    <n v="603"/>
    <x v="12"/>
    <x v="162"/>
    <x v="0"/>
    <s v="U.S. dollars"/>
    <s v="Billions"/>
    <x v="5"/>
    <n v="11.241"/>
  </r>
  <r>
    <n v="603"/>
    <x v="12"/>
    <x v="162"/>
    <x v="0"/>
    <s v="U.S. dollars"/>
    <s v="Billions"/>
    <x v="6"/>
    <n v="11.333"/>
  </r>
  <r>
    <n v="200"/>
    <x v="3"/>
    <x v="34"/>
    <x v="2"/>
    <s v="Percent of GDP"/>
    <s v="Units"/>
    <x v="0"/>
    <n v="9.657"/>
  </r>
  <r>
    <n v="200"/>
    <x v="3"/>
    <x v="34"/>
    <x v="2"/>
    <s v="Percent of GDP"/>
    <s v="Units"/>
    <x v="1"/>
    <n v="7.7930000000000001"/>
  </r>
  <r>
    <n v="200"/>
    <x v="3"/>
    <x v="34"/>
    <x v="2"/>
    <s v="Percent of GDP"/>
    <s v="Units"/>
    <x v="2"/>
    <n v="10.989000000000001"/>
  </r>
  <r>
    <n v="200"/>
    <x v="3"/>
    <x v="34"/>
    <x v="2"/>
    <s v="Percent of GDP"/>
    <s v="Units"/>
    <x v="3"/>
    <n v="10.99"/>
  </r>
  <r>
    <n v="200"/>
    <x v="3"/>
    <x v="34"/>
    <x v="2"/>
    <s v="Percent of GDP"/>
    <s v="Units"/>
    <x v="4"/>
    <n v="11.205"/>
  </r>
  <r>
    <n v="200"/>
    <x v="3"/>
    <x v="34"/>
    <x v="2"/>
    <s v="Percent of GDP"/>
    <s v="Units"/>
    <x v="5"/>
    <n v="11.127000000000001"/>
  </r>
  <r>
    <n v="200"/>
    <x v="3"/>
    <x v="34"/>
    <x v="2"/>
    <s v="Percent of GDP"/>
    <s v="Units"/>
    <x v="6"/>
    <n v="11.086"/>
  </r>
  <r>
    <n v="400"/>
    <x v="11"/>
    <x v="34"/>
    <x v="2"/>
    <s v="Percent of GDP"/>
    <s v="Units"/>
    <x v="0"/>
    <n v="9.657"/>
  </r>
  <r>
    <n v="400"/>
    <x v="11"/>
    <x v="34"/>
    <x v="2"/>
    <s v="Percent of GDP"/>
    <s v="Units"/>
    <x v="1"/>
    <n v="7.7930000000000001"/>
  </r>
  <r>
    <n v="400"/>
    <x v="11"/>
    <x v="34"/>
    <x v="2"/>
    <s v="Percent of GDP"/>
    <s v="Units"/>
    <x v="2"/>
    <n v="10.989000000000001"/>
  </r>
  <r>
    <n v="400"/>
    <x v="11"/>
    <x v="34"/>
    <x v="2"/>
    <s v="Percent of GDP"/>
    <s v="Units"/>
    <x v="3"/>
    <n v="10.99"/>
  </r>
  <r>
    <n v="400"/>
    <x v="11"/>
    <x v="34"/>
    <x v="2"/>
    <s v="Percent of GDP"/>
    <s v="Units"/>
    <x v="4"/>
    <n v="11.205"/>
  </r>
  <r>
    <n v="400"/>
    <x v="11"/>
    <x v="34"/>
    <x v="2"/>
    <s v="Percent of GDP"/>
    <s v="Units"/>
    <x v="5"/>
    <n v="11.127000000000001"/>
  </r>
  <r>
    <n v="400"/>
    <x v="11"/>
    <x v="34"/>
    <x v="2"/>
    <s v="Percent of GDP"/>
    <s v="Units"/>
    <x v="6"/>
    <n v="11.086"/>
  </r>
  <r>
    <n v="200"/>
    <x v="3"/>
    <x v="173"/>
    <x v="1"/>
    <s v="Percent change"/>
    <s v="Units"/>
    <x v="0"/>
    <n v="9.4710000000000001"/>
  </r>
  <r>
    <n v="200"/>
    <x v="3"/>
    <x v="173"/>
    <x v="1"/>
    <s v="Percent change"/>
    <s v="Units"/>
    <x v="1"/>
    <n v="10.602"/>
  </r>
  <r>
    <n v="200"/>
    <x v="3"/>
    <x v="173"/>
    <x v="1"/>
    <s v="Percent change"/>
    <s v="Units"/>
    <x v="2"/>
    <n v="12.597"/>
  </r>
  <r>
    <n v="200"/>
    <x v="3"/>
    <x v="173"/>
    <x v="1"/>
    <s v="Percent change"/>
    <s v="Units"/>
    <x v="3"/>
    <n v="10.499000000000001"/>
  </r>
  <r>
    <n v="200"/>
    <x v="3"/>
    <x v="173"/>
    <x v="1"/>
    <s v="Percent change"/>
    <s v="Units"/>
    <x v="4"/>
    <n v="7.8"/>
  </r>
  <r>
    <n v="200"/>
    <x v="3"/>
    <x v="173"/>
    <x v="1"/>
    <s v="Percent change"/>
    <s v="Units"/>
    <x v="5"/>
    <n v="11.034000000000001"/>
  </r>
  <r>
    <n v="200"/>
    <x v="3"/>
    <x v="173"/>
    <x v="1"/>
    <s v="Percent change"/>
    <s v="Units"/>
    <x v="6"/>
    <n v="10.18"/>
  </r>
  <r>
    <n v="603"/>
    <x v="12"/>
    <x v="173"/>
    <x v="1"/>
    <s v="Percent change"/>
    <s v="Units"/>
    <x v="0"/>
    <n v="9.4710000000000001"/>
  </r>
  <r>
    <n v="603"/>
    <x v="12"/>
    <x v="173"/>
    <x v="1"/>
    <s v="Percent change"/>
    <s v="Units"/>
    <x v="1"/>
    <n v="10.602"/>
  </r>
  <r>
    <n v="603"/>
    <x v="12"/>
    <x v="173"/>
    <x v="1"/>
    <s v="Percent change"/>
    <s v="Units"/>
    <x v="2"/>
    <n v="12.597"/>
  </r>
  <r>
    <n v="603"/>
    <x v="12"/>
    <x v="173"/>
    <x v="1"/>
    <s v="Percent change"/>
    <s v="Units"/>
    <x v="3"/>
    <n v="10.499000000000001"/>
  </r>
  <r>
    <n v="603"/>
    <x v="12"/>
    <x v="173"/>
    <x v="1"/>
    <s v="Percent change"/>
    <s v="Units"/>
    <x v="4"/>
    <n v="7.8"/>
  </r>
  <r>
    <n v="603"/>
    <x v="12"/>
    <x v="173"/>
    <x v="1"/>
    <s v="Percent change"/>
    <s v="Units"/>
    <x v="5"/>
    <n v="11.034000000000001"/>
  </r>
  <r>
    <n v="603"/>
    <x v="12"/>
    <x v="173"/>
    <x v="1"/>
    <s v="Percent change"/>
    <s v="Units"/>
    <x v="6"/>
    <n v="10.18"/>
  </r>
  <r>
    <n v="1"/>
    <x v="2"/>
    <x v="173"/>
    <x v="1"/>
    <s v="Percent change"/>
    <s v="Units"/>
    <x v="0"/>
    <n v="9.4710000000000001"/>
  </r>
  <r>
    <n v="1"/>
    <x v="2"/>
    <x v="173"/>
    <x v="1"/>
    <s v="Percent change"/>
    <s v="Units"/>
    <x v="1"/>
    <n v="10.602"/>
  </r>
  <r>
    <n v="1"/>
    <x v="2"/>
    <x v="173"/>
    <x v="1"/>
    <s v="Percent change"/>
    <s v="Units"/>
    <x v="2"/>
    <n v="12.597"/>
  </r>
  <r>
    <n v="1"/>
    <x v="2"/>
    <x v="173"/>
    <x v="1"/>
    <s v="Percent change"/>
    <s v="Units"/>
    <x v="3"/>
    <n v="10.499000000000001"/>
  </r>
  <r>
    <n v="1"/>
    <x v="2"/>
    <x v="173"/>
    <x v="1"/>
    <s v="Percent change"/>
    <s v="Units"/>
    <x v="4"/>
    <n v="7.8"/>
  </r>
  <r>
    <n v="1"/>
    <x v="2"/>
    <x v="173"/>
    <x v="1"/>
    <s v="Percent change"/>
    <s v="Units"/>
    <x v="5"/>
    <n v="11.034000000000001"/>
  </r>
  <r>
    <n v="1"/>
    <x v="2"/>
    <x v="173"/>
    <x v="1"/>
    <s v="Percent change"/>
    <s v="Units"/>
    <x v="6"/>
    <n v="10.18"/>
  </r>
  <r>
    <n v="200"/>
    <x v="3"/>
    <x v="103"/>
    <x v="4"/>
    <s v="Percent change"/>
    <s v="Units"/>
    <x v="0"/>
    <n v="-0.38100000000000001"/>
  </r>
  <r>
    <n v="200"/>
    <x v="3"/>
    <x v="103"/>
    <x v="4"/>
    <s v="Percent change"/>
    <s v="Units"/>
    <x v="1"/>
    <n v="-21.306999999999999"/>
  </r>
  <r>
    <n v="200"/>
    <x v="3"/>
    <x v="103"/>
    <x v="4"/>
    <s v="Percent change"/>
    <s v="Units"/>
    <x v="2"/>
    <n v="16.055"/>
  </r>
  <r>
    <n v="200"/>
    <x v="3"/>
    <x v="103"/>
    <x v="4"/>
    <s v="Percent change"/>
    <s v="Units"/>
    <x v="3"/>
    <n v="-6.1260000000000003"/>
  </r>
  <r>
    <n v="200"/>
    <x v="3"/>
    <x v="103"/>
    <x v="4"/>
    <s v="Percent change"/>
    <s v="Units"/>
    <x v="4"/>
    <n v="6.2169999999999996"/>
  </r>
  <r>
    <n v="200"/>
    <x v="3"/>
    <x v="103"/>
    <x v="4"/>
    <s v="Percent change"/>
    <s v="Units"/>
    <x v="5"/>
    <n v="11.031000000000001"/>
  </r>
  <r>
    <n v="200"/>
    <x v="3"/>
    <x v="103"/>
    <x v="4"/>
    <s v="Percent change"/>
    <s v="Units"/>
    <x v="6"/>
    <n v="3.6019999999999999"/>
  </r>
  <r>
    <n v="603"/>
    <x v="12"/>
    <x v="103"/>
    <x v="4"/>
    <s v="Percent change"/>
    <s v="Units"/>
    <x v="0"/>
    <n v="-0.38100000000000001"/>
  </r>
  <r>
    <n v="603"/>
    <x v="12"/>
    <x v="103"/>
    <x v="4"/>
    <s v="Percent change"/>
    <s v="Units"/>
    <x v="1"/>
    <n v="-21.306999999999999"/>
  </r>
  <r>
    <n v="603"/>
    <x v="12"/>
    <x v="103"/>
    <x v="4"/>
    <s v="Percent change"/>
    <s v="Units"/>
    <x v="2"/>
    <n v="16.055"/>
  </r>
  <r>
    <n v="603"/>
    <x v="12"/>
    <x v="103"/>
    <x v="4"/>
    <s v="Percent change"/>
    <s v="Units"/>
    <x v="3"/>
    <n v="-6.1260000000000003"/>
  </r>
  <r>
    <n v="603"/>
    <x v="12"/>
    <x v="103"/>
    <x v="4"/>
    <s v="Percent change"/>
    <s v="Units"/>
    <x v="4"/>
    <n v="6.2169999999999996"/>
  </r>
  <r>
    <n v="603"/>
    <x v="12"/>
    <x v="103"/>
    <x v="4"/>
    <s v="Percent change"/>
    <s v="Units"/>
    <x v="5"/>
    <n v="11.031000000000001"/>
  </r>
  <r>
    <n v="603"/>
    <x v="12"/>
    <x v="103"/>
    <x v="4"/>
    <s v="Percent change"/>
    <s v="Units"/>
    <x v="6"/>
    <n v="3.6019999999999999"/>
  </r>
  <r>
    <n v="1"/>
    <x v="2"/>
    <x v="103"/>
    <x v="4"/>
    <s v="Percent change"/>
    <s v="Units"/>
    <x v="0"/>
    <n v="-0.38100000000000001"/>
  </r>
  <r>
    <n v="1"/>
    <x v="2"/>
    <x v="103"/>
    <x v="4"/>
    <s v="Percent change"/>
    <s v="Units"/>
    <x v="1"/>
    <n v="-21.306999999999999"/>
  </r>
  <r>
    <n v="1"/>
    <x v="2"/>
    <x v="103"/>
    <x v="4"/>
    <s v="Percent change"/>
    <s v="Units"/>
    <x v="2"/>
    <n v="16.055"/>
  </r>
  <r>
    <n v="1"/>
    <x v="2"/>
    <x v="103"/>
    <x v="4"/>
    <s v="Percent change"/>
    <s v="Units"/>
    <x v="3"/>
    <n v="-6.1260000000000003"/>
  </r>
  <r>
    <n v="1"/>
    <x v="2"/>
    <x v="103"/>
    <x v="4"/>
    <s v="Percent change"/>
    <s v="Units"/>
    <x v="4"/>
    <n v="6.2169999999999996"/>
  </r>
  <r>
    <n v="1"/>
    <x v="2"/>
    <x v="103"/>
    <x v="4"/>
    <s v="Percent change"/>
    <s v="Units"/>
    <x v="5"/>
    <n v="11.031000000000001"/>
  </r>
  <r>
    <n v="1"/>
    <x v="2"/>
    <x v="103"/>
    <x v="4"/>
    <s v="Percent change"/>
    <s v="Units"/>
    <x v="6"/>
    <n v="3.6019999999999999"/>
  </r>
  <r>
    <n v="1"/>
    <x v="2"/>
    <x v="57"/>
    <x v="6"/>
    <s v="Percent change"/>
    <s v="Units"/>
    <x v="0"/>
    <n v="7.1909999999999998"/>
  </r>
  <r>
    <n v="1"/>
    <x v="2"/>
    <x v="57"/>
    <x v="6"/>
    <s v="Percent change"/>
    <s v="Units"/>
    <x v="1"/>
    <n v="-3.3439999999999999"/>
  </r>
  <r>
    <n v="1"/>
    <x v="2"/>
    <x v="57"/>
    <x v="6"/>
    <s v="Percent change"/>
    <s v="Units"/>
    <x v="2"/>
    <n v="17.04"/>
  </r>
  <r>
    <n v="1"/>
    <x v="2"/>
    <x v="57"/>
    <x v="6"/>
    <s v="Percent change"/>
    <s v="Units"/>
    <x v="3"/>
    <n v="-24.734000000000002"/>
  </r>
  <r>
    <n v="1"/>
    <x v="2"/>
    <x v="57"/>
    <x v="6"/>
    <s v="Percent change"/>
    <s v="Units"/>
    <x v="4"/>
    <n v="21.058"/>
  </r>
  <r>
    <n v="1"/>
    <x v="2"/>
    <x v="57"/>
    <x v="6"/>
    <s v="Percent change"/>
    <s v="Units"/>
    <x v="5"/>
    <n v="10.989000000000001"/>
  </r>
  <r>
    <n v="1"/>
    <x v="2"/>
    <x v="57"/>
    <x v="6"/>
    <s v="Percent change"/>
    <s v="Units"/>
    <x v="6"/>
    <n v="9.1790000000000003"/>
  </r>
  <r>
    <n v="903"/>
    <x v="8"/>
    <x v="57"/>
    <x v="6"/>
    <s v="Percent change"/>
    <s v="Units"/>
    <x v="0"/>
    <n v="7.1909999999999998"/>
  </r>
  <r>
    <n v="903"/>
    <x v="8"/>
    <x v="57"/>
    <x v="6"/>
    <s v="Percent change"/>
    <s v="Units"/>
    <x v="1"/>
    <n v="-3.3439999999999999"/>
  </r>
  <r>
    <n v="903"/>
    <x v="8"/>
    <x v="57"/>
    <x v="6"/>
    <s v="Percent change"/>
    <s v="Units"/>
    <x v="2"/>
    <n v="17.04"/>
  </r>
  <r>
    <n v="903"/>
    <x v="8"/>
    <x v="57"/>
    <x v="6"/>
    <s v="Percent change"/>
    <s v="Units"/>
    <x v="3"/>
    <n v="-24.734000000000002"/>
  </r>
  <r>
    <n v="903"/>
    <x v="8"/>
    <x v="57"/>
    <x v="6"/>
    <s v="Percent change"/>
    <s v="Units"/>
    <x v="4"/>
    <n v="21.058"/>
  </r>
  <r>
    <n v="903"/>
    <x v="8"/>
    <x v="57"/>
    <x v="6"/>
    <s v="Percent change"/>
    <s v="Units"/>
    <x v="5"/>
    <n v="10.989000000000001"/>
  </r>
  <r>
    <n v="903"/>
    <x v="8"/>
    <x v="57"/>
    <x v="6"/>
    <s v="Percent change"/>
    <s v="Units"/>
    <x v="6"/>
    <n v="9.1790000000000003"/>
  </r>
  <r>
    <n v="200"/>
    <x v="3"/>
    <x v="57"/>
    <x v="6"/>
    <s v="Percent change"/>
    <s v="Units"/>
    <x v="0"/>
    <n v="7.1909999999999998"/>
  </r>
  <r>
    <n v="200"/>
    <x v="3"/>
    <x v="57"/>
    <x v="6"/>
    <s v="Percent change"/>
    <s v="Units"/>
    <x v="1"/>
    <n v="-3.3439999999999999"/>
  </r>
  <r>
    <n v="200"/>
    <x v="3"/>
    <x v="57"/>
    <x v="6"/>
    <s v="Percent change"/>
    <s v="Units"/>
    <x v="2"/>
    <n v="17.04"/>
  </r>
  <r>
    <n v="200"/>
    <x v="3"/>
    <x v="57"/>
    <x v="6"/>
    <s v="Percent change"/>
    <s v="Units"/>
    <x v="3"/>
    <n v="-24.734000000000002"/>
  </r>
  <r>
    <n v="200"/>
    <x v="3"/>
    <x v="57"/>
    <x v="6"/>
    <s v="Percent change"/>
    <s v="Units"/>
    <x v="4"/>
    <n v="21.058"/>
  </r>
  <r>
    <n v="200"/>
    <x v="3"/>
    <x v="57"/>
    <x v="6"/>
    <s v="Percent change"/>
    <s v="Units"/>
    <x v="5"/>
    <n v="10.989000000000001"/>
  </r>
  <r>
    <n v="200"/>
    <x v="3"/>
    <x v="57"/>
    <x v="6"/>
    <s v="Percent change"/>
    <s v="Units"/>
    <x v="6"/>
    <n v="9.1790000000000003"/>
  </r>
  <r>
    <n v="903"/>
    <x v="8"/>
    <x v="133"/>
    <x v="5"/>
    <s v="Percent of GDP"/>
    <s v="Units"/>
    <x v="0"/>
    <n v="15.682"/>
  </r>
  <r>
    <n v="903"/>
    <x v="8"/>
    <x v="133"/>
    <x v="5"/>
    <s v="Percent of GDP"/>
    <s v="Units"/>
    <x v="1"/>
    <n v="15.016999999999999"/>
  </r>
  <r>
    <n v="903"/>
    <x v="8"/>
    <x v="133"/>
    <x v="5"/>
    <s v="Percent of GDP"/>
    <s v="Units"/>
    <x v="2"/>
    <n v="13.347"/>
  </r>
  <r>
    <n v="903"/>
    <x v="8"/>
    <x v="133"/>
    <x v="5"/>
    <s v="Percent of GDP"/>
    <s v="Units"/>
    <x v="3"/>
    <n v="8.7810000000000006"/>
  </r>
  <r>
    <n v="903"/>
    <x v="8"/>
    <x v="133"/>
    <x v="5"/>
    <s v="Percent of GDP"/>
    <s v="Units"/>
    <x v="4"/>
    <n v="10.071"/>
  </r>
  <r>
    <n v="903"/>
    <x v="8"/>
    <x v="133"/>
    <x v="5"/>
    <s v="Percent of GDP"/>
    <s v="Units"/>
    <x v="5"/>
    <n v="10.986000000000001"/>
  </r>
  <r>
    <n v="903"/>
    <x v="8"/>
    <x v="133"/>
    <x v="5"/>
    <s v="Percent of GDP"/>
    <s v="Units"/>
    <x v="6"/>
    <n v="12.19"/>
  </r>
  <r>
    <n v="1"/>
    <x v="2"/>
    <x v="133"/>
    <x v="5"/>
    <s v="Percent of GDP"/>
    <s v="Units"/>
    <x v="0"/>
    <n v="15.682"/>
  </r>
  <r>
    <n v="1"/>
    <x v="2"/>
    <x v="133"/>
    <x v="5"/>
    <s v="Percent of GDP"/>
    <s v="Units"/>
    <x v="1"/>
    <n v="15.016999999999999"/>
  </r>
  <r>
    <n v="1"/>
    <x v="2"/>
    <x v="133"/>
    <x v="5"/>
    <s v="Percent of GDP"/>
    <s v="Units"/>
    <x v="2"/>
    <n v="13.347"/>
  </r>
  <r>
    <n v="1"/>
    <x v="2"/>
    <x v="133"/>
    <x v="5"/>
    <s v="Percent of GDP"/>
    <s v="Units"/>
    <x v="3"/>
    <n v="8.7810000000000006"/>
  </r>
  <r>
    <n v="1"/>
    <x v="2"/>
    <x v="133"/>
    <x v="5"/>
    <s v="Percent of GDP"/>
    <s v="Units"/>
    <x v="4"/>
    <n v="10.071"/>
  </r>
  <r>
    <n v="1"/>
    <x v="2"/>
    <x v="133"/>
    <x v="5"/>
    <s v="Percent of GDP"/>
    <s v="Units"/>
    <x v="5"/>
    <n v="10.986000000000001"/>
  </r>
  <r>
    <n v="1"/>
    <x v="2"/>
    <x v="133"/>
    <x v="5"/>
    <s v="Percent of GDP"/>
    <s v="Units"/>
    <x v="6"/>
    <n v="12.19"/>
  </r>
  <r>
    <n v="200"/>
    <x v="3"/>
    <x v="133"/>
    <x v="5"/>
    <s v="Percent of GDP"/>
    <s v="Units"/>
    <x v="0"/>
    <n v="15.682"/>
  </r>
  <r>
    <n v="200"/>
    <x v="3"/>
    <x v="133"/>
    <x v="5"/>
    <s v="Percent of GDP"/>
    <s v="Units"/>
    <x v="1"/>
    <n v="15.016999999999999"/>
  </r>
  <r>
    <n v="200"/>
    <x v="3"/>
    <x v="133"/>
    <x v="5"/>
    <s v="Percent of GDP"/>
    <s v="Units"/>
    <x v="2"/>
    <n v="13.347"/>
  </r>
  <r>
    <n v="200"/>
    <x v="3"/>
    <x v="133"/>
    <x v="5"/>
    <s v="Percent of GDP"/>
    <s v="Units"/>
    <x v="3"/>
    <n v="8.7810000000000006"/>
  </r>
  <r>
    <n v="200"/>
    <x v="3"/>
    <x v="133"/>
    <x v="5"/>
    <s v="Percent of GDP"/>
    <s v="Units"/>
    <x v="4"/>
    <n v="10.071"/>
  </r>
  <r>
    <n v="200"/>
    <x v="3"/>
    <x v="133"/>
    <x v="5"/>
    <s v="Percent of GDP"/>
    <s v="Units"/>
    <x v="5"/>
    <n v="10.986000000000001"/>
  </r>
  <r>
    <n v="200"/>
    <x v="3"/>
    <x v="133"/>
    <x v="5"/>
    <s v="Percent of GDP"/>
    <s v="Units"/>
    <x v="6"/>
    <n v="12.19"/>
  </r>
  <r>
    <n v="205"/>
    <x v="7"/>
    <x v="132"/>
    <x v="4"/>
    <s v="Percent change"/>
    <s v="Units"/>
    <x v="0"/>
    <n v="13.923999999999999"/>
  </r>
  <r>
    <n v="205"/>
    <x v="7"/>
    <x v="132"/>
    <x v="4"/>
    <s v="Percent change"/>
    <s v="Units"/>
    <x v="1"/>
    <n v="-50.103000000000002"/>
  </r>
  <r>
    <n v="205"/>
    <x v="7"/>
    <x v="132"/>
    <x v="4"/>
    <s v="Percent change"/>
    <s v="Units"/>
    <x v="2"/>
    <n v="17.940000000000001"/>
  </r>
  <r>
    <n v="205"/>
    <x v="7"/>
    <x v="132"/>
    <x v="4"/>
    <s v="Percent change"/>
    <s v="Units"/>
    <x v="3"/>
    <n v="56.802999999999997"/>
  </r>
  <r>
    <n v="205"/>
    <x v="7"/>
    <x v="132"/>
    <x v="4"/>
    <s v="Percent change"/>
    <s v="Units"/>
    <x v="4"/>
    <n v="9.3930000000000007"/>
  </r>
  <r>
    <n v="205"/>
    <x v="7"/>
    <x v="132"/>
    <x v="4"/>
    <s v="Percent change"/>
    <s v="Units"/>
    <x v="5"/>
    <n v="10.98"/>
  </r>
  <r>
    <n v="205"/>
    <x v="7"/>
    <x v="132"/>
    <x v="4"/>
    <s v="Percent change"/>
    <s v="Units"/>
    <x v="6"/>
    <n v="4.7380000000000004"/>
  </r>
  <r>
    <n v="1"/>
    <x v="2"/>
    <x v="132"/>
    <x v="4"/>
    <s v="Percent change"/>
    <s v="Units"/>
    <x v="0"/>
    <n v="13.923999999999999"/>
  </r>
  <r>
    <n v="1"/>
    <x v="2"/>
    <x v="132"/>
    <x v="4"/>
    <s v="Percent change"/>
    <s v="Units"/>
    <x v="1"/>
    <n v="-50.103000000000002"/>
  </r>
  <r>
    <n v="1"/>
    <x v="2"/>
    <x v="132"/>
    <x v="4"/>
    <s v="Percent change"/>
    <s v="Units"/>
    <x v="2"/>
    <n v="17.940000000000001"/>
  </r>
  <r>
    <n v="1"/>
    <x v="2"/>
    <x v="132"/>
    <x v="4"/>
    <s v="Percent change"/>
    <s v="Units"/>
    <x v="3"/>
    <n v="56.802999999999997"/>
  </r>
  <r>
    <n v="1"/>
    <x v="2"/>
    <x v="132"/>
    <x v="4"/>
    <s v="Percent change"/>
    <s v="Units"/>
    <x v="4"/>
    <n v="9.3930000000000007"/>
  </r>
  <r>
    <n v="1"/>
    <x v="2"/>
    <x v="132"/>
    <x v="4"/>
    <s v="Percent change"/>
    <s v="Units"/>
    <x v="5"/>
    <n v="10.98"/>
  </r>
  <r>
    <n v="1"/>
    <x v="2"/>
    <x v="132"/>
    <x v="4"/>
    <s v="Percent change"/>
    <s v="Units"/>
    <x v="6"/>
    <n v="4.7380000000000004"/>
  </r>
  <r>
    <n v="200"/>
    <x v="3"/>
    <x v="132"/>
    <x v="4"/>
    <s v="Percent change"/>
    <s v="Units"/>
    <x v="0"/>
    <n v="13.923999999999999"/>
  </r>
  <r>
    <n v="200"/>
    <x v="3"/>
    <x v="132"/>
    <x v="4"/>
    <s v="Percent change"/>
    <s v="Units"/>
    <x v="1"/>
    <n v="-50.103000000000002"/>
  </r>
  <r>
    <n v="200"/>
    <x v="3"/>
    <x v="132"/>
    <x v="4"/>
    <s v="Percent change"/>
    <s v="Units"/>
    <x v="2"/>
    <n v="17.940000000000001"/>
  </r>
  <r>
    <n v="200"/>
    <x v="3"/>
    <x v="132"/>
    <x v="4"/>
    <s v="Percent change"/>
    <s v="Units"/>
    <x v="3"/>
    <n v="56.802999999999997"/>
  </r>
  <r>
    <n v="200"/>
    <x v="3"/>
    <x v="132"/>
    <x v="4"/>
    <s v="Percent change"/>
    <s v="Units"/>
    <x v="4"/>
    <n v="9.3930000000000007"/>
  </r>
  <r>
    <n v="200"/>
    <x v="3"/>
    <x v="132"/>
    <x v="4"/>
    <s v="Percent change"/>
    <s v="Units"/>
    <x v="5"/>
    <n v="10.98"/>
  </r>
  <r>
    <n v="200"/>
    <x v="3"/>
    <x v="132"/>
    <x v="4"/>
    <s v="Percent change"/>
    <s v="Units"/>
    <x v="6"/>
    <n v="4.7380000000000004"/>
  </r>
  <r>
    <n v="200"/>
    <x v="3"/>
    <x v="89"/>
    <x v="7"/>
    <s v="Percent of GDP"/>
    <s v="Units"/>
    <x v="0"/>
    <n v="13.242000000000001"/>
  </r>
  <r>
    <n v="200"/>
    <x v="3"/>
    <x v="89"/>
    <x v="7"/>
    <s v="Percent of GDP"/>
    <s v="Units"/>
    <x v="1"/>
    <n v="11.616"/>
  </r>
  <r>
    <n v="200"/>
    <x v="3"/>
    <x v="89"/>
    <x v="7"/>
    <s v="Percent of GDP"/>
    <s v="Units"/>
    <x v="2"/>
    <n v="13.894"/>
  </r>
  <r>
    <n v="200"/>
    <x v="3"/>
    <x v="89"/>
    <x v="7"/>
    <s v="Percent of GDP"/>
    <s v="Units"/>
    <x v="3"/>
    <n v="11.817"/>
  </r>
  <r>
    <n v="200"/>
    <x v="3"/>
    <x v="89"/>
    <x v="7"/>
    <s v="Percent of GDP"/>
    <s v="Units"/>
    <x v="4"/>
    <n v="10.557"/>
  </r>
  <r>
    <n v="200"/>
    <x v="3"/>
    <x v="89"/>
    <x v="7"/>
    <s v="Percent of GDP"/>
    <s v="Units"/>
    <x v="5"/>
    <n v="10.866"/>
  </r>
  <r>
    <n v="200"/>
    <x v="3"/>
    <x v="89"/>
    <x v="7"/>
    <s v="Percent of GDP"/>
    <s v="Units"/>
    <x v="6"/>
    <n v="12.48"/>
  </r>
  <r>
    <n v="603"/>
    <x v="12"/>
    <x v="89"/>
    <x v="7"/>
    <s v="Percent of GDP"/>
    <s v="Units"/>
    <x v="0"/>
    <n v="13.242000000000001"/>
  </r>
  <r>
    <n v="603"/>
    <x v="12"/>
    <x v="89"/>
    <x v="7"/>
    <s v="Percent of GDP"/>
    <s v="Units"/>
    <x v="1"/>
    <n v="11.616"/>
  </r>
  <r>
    <n v="603"/>
    <x v="12"/>
    <x v="89"/>
    <x v="7"/>
    <s v="Percent of GDP"/>
    <s v="Units"/>
    <x v="2"/>
    <n v="13.894"/>
  </r>
  <r>
    <n v="603"/>
    <x v="12"/>
    <x v="89"/>
    <x v="7"/>
    <s v="Percent of GDP"/>
    <s v="Units"/>
    <x v="3"/>
    <n v="11.817"/>
  </r>
  <r>
    <n v="603"/>
    <x v="12"/>
    <x v="89"/>
    <x v="7"/>
    <s v="Percent of GDP"/>
    <s v="Units"/>
    <x v="4"/>
    <n v="10.557"/>
  </r>
  <r>
    <n v="603"/>
    <x v="12"/>
    <x v="89"/>
    <x v="7"/>
    <s v="Percent of GDP"/>
    <s v="Units"/>
    <x v="5"/>
    <n v="10.866"/>
  </r>
  <r>
    <n v="603"/>
    <x v="12"/>
    <x v="89"/>
    <x v="7"/>
    <s v="Percent of GDP"/>
    <s v="Units"/>
    <x v="6"/>
    <n v="12.48"/>
  </r>
  <r>
    <n v="1"/>
    <x v="2"/>
    <x v="89"/>
    <x v="7"/>
    <s v="Percent of GDP"/>
    <s v="Units"/>
    <x v="0"/>
    <n v="13.242000000000001"/>
  </r>
  <r>
    <n v="1"/>
    <x v="2"/>
    <x v="89"/>
    <x v="7"/>
    <s v="Percent of GDP"/>
    <s v="Units"/>
    <x v="1"/>
    <n v="11.616"/>
  </r>
  <r>
    <n v="1"/>
    <x v="2"/>
    <x v="89"/>
    <x v="7"/>
    <s v="Percent of GDP"/>
    <s v="Units"/>
    <x v="2"/>
    <n v="13.894"/>
  </r>
  <r>
    <n v="1"/>
    <x v="2"/>
    <x v="89"/>
    <x v="7"/>
    <s v="Percent of GDP"/>
    <s v="Units"/>
    <x v="3"/>
    <n v="11.817"/>
  </r>
  <r>
    <n v="1"/>
    <x v="2"/>
    <x v="89"/>
    <x v="7"/>
    <s v="Percent of GDP"/>
    <s v="Units"/>
    <x v="4"/>
    <n v="10.557"/>
  </r>
  <r>
    <n v="1"/>
    <x v="2"/>
    <x v="89"/>
    <x v="7"/>
    <s v="Percent of GDP"/>
    <s v="Units"/>
    <x v="5"/>
    <n v="10.866"/>
  </r>
  <r>
    <n v="1"/>
    <x v="2"/>
    <x v="89"/>
    <x v="7"/>
    <s v="Percent of GDP"/>
    <s v="Units"/>
    <x v="6"/>
    <n v="12.48"/>
  </r>
  <r>
    <n v="400"/>
    <x v="11"/>
    <x v="69"/>
    <x v="6"/>
    <s v="Percent change"/>
    <s v="Units"/>
    <x v="0"/>
    <n v="-11.823"/>
  </r>
  <r>
    <n v="400"/>
    <x v="11"/>
    <x v="69"/>
    <x v="6"/>
    <s v="Percent change"/>
    <s v="Units"/>
    <x v="1"/>
    <n v="2.5499999999999998"/>
  </r>
  <r>
    <n v="400"/>
    <x v="11"/>
    <x v="69"/>
    <x v="6"/>
    <s v="Percent change"/>
    <s v="Units"/>
    <x v="2"/>
    <n v="-6.3159999999999998"/>
  </r>
  <r>
    <n v="400"/>
    <x v="11"/>
    <x v="69"/>
    <x v="6"/>
    <s v="Percent change"/>
    <s v="Units"/>
    <x v="3"/>
    <n v="18.702000000000002"/>
  </r>
  <r>
    <n v="400"/>
    <x v="11"/>
    <x v="69"/>
    <x v="6"/>
    <s v="Percent change"/>
    <s v="Units"/>
    <x v="4"/>
    <n v="4.3579999999999997"/>
  </r>
  <r>
    <n v="400"/>
    <x v="11"/>
    <x v="69"/>
    <x v="6"/>
    <s v="Percent change"/>
    <s v="Units"/>
    <x v="5"/>
    <n v="10.797000000000001"/>
  </r>
  <r>
    <n v="400"/>
    <x v="11"/>
    <x v="69"/>
    <x v="6"/>
    <s v="Percent change"/>
    <s v="Units"/>
    <x v="6"/>
    <n v="1.667"/>
  </r>
  <r>
    <n v="1"/>
    <x v="2"/>
    <x v="69"/>
    <x v="6"/>
    <s v="Percent change"/>
    <s v="Units"/>
    <x v="0"/>
    <n v="-11.823"/>
  </r>
  <r>
    <n v="1"/>
    <x v="2"/>
    <x v="69"/>
    <x v="6"/>
    <s v="Percent change"/>
    <s v="Units"/>
    <x v="1"/>
    <n v="2.5499999999999998"/>
  </r>
  <r>
    <n v="1"/>
    <x v="2"/>
    <x v="69"/>
    <x v="6"/>
    <s v="Percent change"/>
    <s v="Units"/>
    <x v="2"/>
    <n v="-6.3159999999999998"/>
  </r>
  <r>
    <n v="1"/>
    <x v="2"/>
    <x v="69"/>
    <x v="6"/>
    <s v="Percent change"/>
    <s v="Units"/>
    <x v="3"/>
    <n v="18.702000000000002"/>
  </r>
  <r>
    <n v="1"/>
    <x v="2"/>
    <x v="69"/>
    <x v="6"/>
    <s v="Percent change"/>
    <s v="Units"/>
    <x v="4"/>
    <n v="4.3579999999999997"/>
  </r>
  <r>
    <n v="1"/>
    <x v="2"/>
    <x v="69"/>
    <x v="6"/>
    <s v="Percent change"/>
    <s v="Units"/>
    <x v="5"/>
    <n v="10.797000000000001"/>
  </r>
  <r>
    <n v="1"/>
    <x v="2"/>
    <x v="69"/>
    <x v="6"/>
    <s v="Percent change"/>
    <s v="Units"/>
    <x v="6"/>
    <n v="1.667"/>
  </r>
  <r>
    <n v="200"/>
    <x v="3"/>
    <x v="69"/>
    <x v="6"/>
    <s v="Percent change"/>
    <s v="Units"/>
    <x v="0"/>
    <n v="-11.823"/>
  </r>
  <r>
    <n v="200"/>
    <x v="3"/>
    <x v="69"/>
    <x v="6"/>
    <s v="Percent change"/>
    <s v="Units"/>
    <x v="1"/>
    <n v="2.5499999999999998"/>
  </r>
  <r>
    <n v="200"/>
    <x v="3"/>
    <x v="69"/>
    <x v="6"/>
    <s v="Percent change"/>
    <s v="Units"/>
    <x v="2"/>
    <n v="-6.3159999999999998"/>
  </r>
  <r>
    <n v="200"/>
    <x v="3"/>
    <x v="69"/>
    <x v="6"/>
    <s v="Percent change"/>
    <s v="Units"/>
    <x v="3"/>
    <n v="18.702000000000002"/>
  </r>
  <r>
    <n v="200"/>
    <x v="3"/>
    <x v="69"/>
    <x v="6"/>
    <s v="Percent change"/>
    <s v="Units"/>
    <x v="4"/>
    <n v="4.3579999999999997"/>
  </r>
  <r>
    <n v="200"/>
    <x v="3"/>
    <x v="69"/>
    <x v="6"/>
    <s v="Percent change"/>
    <s v="Units"/>
    <x v="5"/>
    <n v="10.797000000000001"/>
  </r>
  <r>
    <n v="200"/>
    <x v="3"/>
    <x v="69"/>
    <x v="6"/>
    <s v="Percent change"/>
    <s v="Units"/>
    <x v="6"/>
    <n v="1.667"/>
  </r>
  <r>
    <n v="200"/>
    <x v="3"/>
    <x v="82"/>
    <x v="3"/>
    <s v="Percent of GDP"/>
    <s v="Units"/>
    <x v="0"/>
    <n v="11.567"/>
  </r>
  <r>
    <n v="200"/>
    <x v="3"/>
    <x v="82"/>
    <x v="3"/>
    <s v="Percent of GDP"/>
    <s v="Units"/>
    <x v="1"/>
    <n v="11.754"/>
  </r>
  <r>
    <n v="200"/>
    <x v="3"/>
    <x v="82"/>
    <x v="3"/>
    <s v="Percent of GDP"/>
    <s v="Units"/>
    <x v="2"/>
    <n v="10.861000000000001"/>
  </r>
  <r>
    <n v="200"/>
    <x v="3"/>
    <x v="82"/>
    <x v="3"/>
    <s v="Percent of GDP"/>
    <s v="Units"/>
    <x v="3"/>
    <n v="9.4420000000000002"/>
  </r>
  <r>
    <n v="200"/>
    <x v="3"/>
    <x v="82"/>
    <x v="3"/>
    <s v="Percent of GDP"/>
    <s v="Units"/>
    <x v="4"/>
    <n v="10.459"/>
  </r>
  <r>
    <n v="200"/>
    <x v="3"/>
    <x v="82"/>
    <x v="3"/>
    <s v="Percent of GDP"/>
    <s v="Units"/>
    <x v="5"/>
    <n v="10.726000000000001"/>
  </r>
  <r>
    <n v="200"/>
    <x v="3"/>
    <x v="82"/>
    <x v="3"/>
    <s v="Percent of GDP"/>
    <s v="Units"/>
    <x v="6"/>
    <n v="10.816000000000001"/>
  </r>
  <r>
    <n v="400"/>
    <x v="11"/>
    <x v="82"/>
    <x v="3"/>
    <s v="Percent of GDP"/>
    <s v="Units"/>
    <x v="0"/>
    <n v="11.567"/>
  </r>
  <r>
    <n v="400"/>
    <x v="11"/>
    <x v="82"/>
    <x v="3"/>
    <s v="Percent of GDP"/>
    <s v="Units"/>
    <x v="1"/>
    <n v="11.754"/>
  </r>
  <r>
    <n v="400"/>
    <x v="11"/>
    <x v="82"/>
    <x v="3"/>
    <s v="Percent of GDP"/>
    <s v="Units"/>
    <x v="2"/>
    <n v="10.861000000000001"/>
  </r>
  <r>
    <n v="400"/>
    <x v="11"/>
    <x v="82"/>
    <x v="3"/>
    <s v="Percent of GDP"/>
    <s v="Units"/>
    <x v="3"/>
    <n v="9.4420000000000002"/>
  </r>
  <r>
    <n v="400"/>
    <x v="11"/>
    <x v="82"/>
    <x v="3"/>
    <s v="Percent of GDP"/>
    <s v="Units"/>
    <x v="4"/>
    <n v="10.459"/>
  </r>
  <r>
    <n v="400"/>
    <x v="11"/>
    <x v="82"/>
    <x v="3"/>
    <s v="Percent of GDP"/>
    <s v="Units"/>
    <x v="5"/>
    <n v="10.726000000000001"/>
  </r>
  <r>
    <n v="400"/>
    <x v="11"/>
    <x v="82"/>
    <x v="3"/>
    <s v="Percent of GDP"/>
    <s v="Units"/>
    <x v="6"/>
    <n v="10.816000000000001"/>
  </r>
  <r>
    <n v="1"/>
    <x v="2"/>
    <x v="126"/>
    <x v="7"/>
    <s v="Percent of GDP"/>
    <s v="Units"/>
    <x v="0"/>
    <n v="12.532"/>
  </r>
  <r>
    <n v="1"/>
    <x v="2"/>
    <x v="126"/>
    <x v="7"/>
    <s v="Percent of GDP"/>
    <s v="Units"/>
    <x v="1"/>
    <n v="12.101000000000001"/>
  </r>
  <r>
    <n v="1"/>
    <x v="2"/>
    <x v="126"/>
    <x v="7"/>
    <s v="Percent of GDP"/>
    <s v="Units"/>
    <x v="2"/>
    <n v="11.167"/>
  </r>
  <r>
    <n v="1"/>
    <x v="2"/>
    <x v="126"/>
    <x v="7"/>
    <s v="Percent of GDP"/>
    <s v="Units"/>
    <x v="3"/>
    <n v="11.648999999999999"/>
  </r>
  <r>
    <n v="1"/>
    <x v="2"/>
    <x v="126"/>
    <x v="7"/>
    <s v="Percent of GDP"/>
    <s v="Units"/>
    <x v="4"/>
    <n v="11.509"/>
  </r>
  <r>
    <n v="1"/>
    <x v="2"/>
    <x v="126"/>
    <x v="7"/>
    <s v="Percent of GDP"/>
    <s v="Units"/>
    <x v="5"/>
    <n v="10.709"/>
  </r>
  <r>
    <n v="1"/>
    <x v="2"/>
    <x v="126"/>
    <x v="7"/>
    <s v="Percent of GDP"/>
    <s v="Units"/>
    <x v="6"/>
    <n v="12.347"/>
  </r>
  <r>
    <n v="603"/>
    <x v="12"/>
    <x v="126"/>
    <x v="7"/>
    <s v="Percent of GDP"/>
    <s v="Units"/>
    <x v="0"/>
    <n v="12.532"/>
  </r>
  <r>
    <n v="603"/>
    <x v="12"/>
    <x v="126"/>
    <x v="7"/>
    <s v="Percent of GDP"/>
    <s v="Units"/>
    <x v="1"/>
    <n v="12.101000000000001"/>
  </r>
  <r>
    <n v="603"/>
    <x v="12"/>
    <x v="126"/>
    <x v="7"/>
    <s v="Percent of GDP"/>
    <s v="Units"/>
    <x v="2"/>
    <n v="11.167"/>
  </r>
  <r>
    <n v="603"/>
    <x v="12"/>
    <x v="126"/>
    <x v="7"/>
    <s v="Percent of GDP"/>
    <s v="Units"/>
    <x v="3"/>
    <n v="11.648999999999999"/>
  </r>
  <r>
    <n v="603"/>
    <x v="12"/>
    <x v="126"/>
    <x v="7"/>
    <s v="Percent of GDP"/>
    <s v="Units"/>
    <x v="4"/>
    <n v="11.509"/>
  </r>
  <r>
    <n v="603"/>
    <x v="12"/>
    <x v="126"/>
    <x v="7"/>
    <s v="Percent of GDP"/>
    <s v="Units"/>
    <x v="5"/>
    <n v="10.709"/>
  </r>
  <r>
    <n v="603"/>
    <x v="12"/>
    <x v="126"/>
    <x v="7"/>
    <s v="Percent of GDP"/>
    <s v="Units"/>
    <x v="6"/>
    <n v="12.347"/>
  </r>
  <r>
    <n v="200"/>
    <x v="3"/>
    <x v="126"/>
    <x v="7"/>
    <s v="Percent of GDP"/>
    <s v="Units"/>
    <x v="0"/>
    <n v="12.532"/>
  </r>
  <r>
    <n v="200"/>
    <x v="3"/>
    <x v="126"/>
    <x v="7"/>
    <s v="Percent of GDP"/>
    <s v="Units"/>
    <x v="1"/>
    <n v="12.101000000000001"/>
  </r>
  <r>
    <n v="200"/>
    <x v="3"/>
    <x v="126"/>
    <x v="7"/>
    <s v="Percent of GDP"/>
    <s v="Units"/>
    <x v="2"/>
    <n v="11.167"/>
  </r>
  <r>
    <n v="200"/>
    <x v="3"/>
    <x v="126"/>
    <x v="7"/>
    <s v="Percent of GDP"/>
    <s v="Units"/>
    <x v="3"/>
    <n v="11.648999999999999"/>
  </r>
  <r>
    <n v="200"/>
    <x v="3"/>
    <x v="126"/>
    <x v="7"/>
    <s v="Percent of GDP"/>
    <s v="Units"/>
    <x v="4"/>
    <n v="11.509"/>
  </r>
  <r>
    <n v="200"/>
    <x v="3"/>
    <x v="126"/>
    <x v="7"/>
    <s v="Percent of GDP"/>
    <s v="Units"/>
    <x v="5"/>
    <n v="10.709"/>
  </r>
  <r>
    <n v="200"/>
    <x v="3"/>
    <x v="126"/>
    <x v="7"/>
    <s v="Percent of GDP"/>
    <s v="Units"/>
    <x v="6"/>
    <n v="12.347"/>
  </r>
  <r>
    <n v="603"/>
    <x v="12"/>
    <x v="171"/>
    <x v="0"/>
    <s v="U.S. dollars"/>
    <s v="Billions"/>
    <x v="0"/>
    <n v="11.364000000000001"/>
  </r>
  <r>
    <n v="603"/>
    <x v="12"/>
    <x v="171"/>
    <x v="0"/>
    <s v="U.S. dollars"/>
    <s v="Billions"/>
    <x v="1"/>
    <n v="9.8940000000000001"/>
  </r>
  <r>
    <n v="603"/>
    <x v="12"/>
    <x v="171"/>
    <x v="0"/>
    <s v="U.S. dollars"/>
    <s v="Billions"/>
    <x v="2"/>
    <n v="12.269"/>
  </r>
  <r>
    <n v="603"/>
    <x v="12"/>
    <x v="171"/>
    <x v="0"/>
    <s v="U.S. dollars"/>
    <s v="Billions"/>
    <x v="3"/>
    <n v="11.766999999999999"/>
  </r>
  <r>
    <n v="603"/>
    <x v="12"/>
    <x v="171"/>
    <x v="0"/>
    <s v="U.S. dollars"/>
    <s v="Billions"/>
    <x v="4"/>
    <n v="10.284000000000001"/>
  </r>
  <r>
    <n v="603"/>
    <x v="12"/>
    <x v="171"/>
    <x v="0"/>
    <s v="U.S. dollars"/>
    <s v="Billions"/>
    <x v="5"/>
    <n v="10.708"/>
  </r>
  <r>
    <n v="603"/>
    <x v="12"/>
    <x v="171"/>
    <x v="0"/>
    <s v="U.S. dollars"/>
    <s v="Billions"/>
    <x v="6"/>
    <n v="10.734"/>
  </r>
  <r>
    <n v="200"/>
    <x v="3"/>
    <x v="171"/>
    <x v="0"/>
    <s v="U.S. dollars"/>
    <s v="Billions"/>
    <x v="0"/>
    <n v="11.364000000000001"/>
  </r>
  <r>
    <n v="200"/>
    <x v="3"/>
    <x v="171"/>
    <x v="0"/>
    <s v="U.S. dollars"/>
    <s v="Billions"/>
    <x v="1"/>
    <n v="9.8940000000000001"/>
  </r>
  <r>
    <n v="200"/>
    <x v="3"/>
    <x v="171"/>
    <x v="0"/>
    <s v="U.S. dollars"/>
    <s v="Billions"/>
    <x v="2"/>
    <n v="12.269"/>
  </r>
  <r>
    <n v="200"/>
    <x v="3"/>
    <x v="171"/>
    <x v="0"/>
    <s v="U.S. dollars"/>
    <s v="Billions"/>
    <x v="3"/>
    <n v="11.766999999999999"/>
  </r>
  <r>
    <n v="200"/>
    <x v="3"/>
    <x v="171"/>
    <x v="0"/>
    <s v="U.S. dollars"/>
    <s v="Billions"/>
    <x v="4"/>
    <n v="10.284000000000001"/>
  </r>
  <r>
    <n v="200"/>
    <x v="3"/>
    <x v="171"/>
    <x v="0"/>
    <s v="U.S. dollars"/>
    <s v="Billions"/>
    <x v="5"/>
    <n v="10.708"/>
  </r>
  <r>
    <n v="200"/>
    <x v="3"/>
    <x v="171"/>
    <x v="0"/>
    <s v="U.S. dollars"/>
    <s v="Billions"/>
    <x v="6"/>
    <n v="10.734"/>
  </r>
  <r>
    <n v="1"/>
    <x v="2"/>
    <x v="171"/>
    <x v="0"/>
    <s v="U.S. dollars"/>
    <s v="Billions"/>
    <x v="0"/>
    <n v="11.364000000000001"/>
  </r>
  <r>
    <n v="1"/>
    <x v="2"/>
    <x v="171"/>
    <x v="0"/>
    <s v="U.S. dollars"/>
    <s v="Billions"/>
    <x v="1"/>
    <n v="9.8940000000000001"/>
  </r>
  <r>
    <n v="1"/>
    <x v="2"/>
    <x v="171"/>
    <x v="0"/>
    <s v="U.S. dollars"/>
    <s v="Billions"/>
    <x v="2"/>
    <n v="12.269"/>
  </r>
  <r>
    <n v="1"/>
    <x v="2"/>
    <x v="171"/>
    <x v="0"/>
    <s v="U.S. dollars"/>
    <s v="Billions"/>
    <x v="3"/>
    <n v="11.766999999999999"/>
  </r>
  <r>
    <n v="1"/>
    <x v="2"/>
    <x v="171"/>
    <x v="0"/>
    <s v="U.S. dollars"/>
    <s v="Billions"/>
    <x v="4"/>
    <n v="10.284000000000001"/>
  </r>
  <r>
    <n v="1"/>
    <x v="2"/>
    <x v="171"/>
    <x v="0"/>
    <s v="U.S. dollars"/>
    <s v="Billions"/>
    <x v="5"/>
    <n v="10.708"/>
  </r>
  <r>
    <n v="1"/>
    <x v="2"/>
    <x v="171"/>
    <x v="0"/>
    <s v="U.S. dollars"/>
    <s v="Billions"/>
    <x v="6"/>
    <n v="10.734"/>
  </r>
  <r>
    <n v="400"/>
    <x v="11"/>
    <x v="187"/>
    <x v="3"/>
    <s v="Percent of GDP"/>
    <s v="Units"/>
    <x v="0"/>
    <n v="13.207000000000001"/>
  </r>
  <r>
    <n v="400"/>
    <x v="11"/>
    <x v="187"/>
    <x v="3"/>
    <s v="Percent of GDP"/>
    <s v="Units"/>
    <x v="1"/>
    <n v="10.646000000000001"/>
  </r>
  <r>
    <n v="400"/>
    <x v="11"/>
    <x v="187"/>
    <x v="3"/>
    <s v="Percent of GDP"/>
    <s v="Units"/>
    <x v="2"/>
    <n v="8.2210000000000001"/>
  </r>
  <r>
    <n v="400"/>
    <x v="11"/>
    <x v="187"/>
    <x v="3"/>
    <s v="Percent of GDP"/>
    <s v="Units"/>
    <x v="3"/>
    <n v="12.172000000000001"/>
  </r>
  <r>
    <n v="400"/>
    <x v="11"/>
    <x v="187"/>
    <x v="3"/>
    <s v="Percent of GDP"/>
    <s v="Units"/>
    <x v="4"/>
    <n v="11.439"/>
  </r>
  <r>
    <n v="400"/>
    <x v="11"/>
    <x v="187"/>
    <x v="3"/>
    <s v="Percent of GDP"/>
    <s v="Units"/>
    <x v="5"/>
    <n v="10.645"/>
  </r>
  <r>
    <n v="400"/>
    <x v="11"/>
    <x v="187"/>
    <x v="3"/>
    <s v="Percent of GDP"/>
    <s v="Units"/>
    <x v="6"/>
    <n v="10.916"/>
  </r>
  <r>
    <n v="200"/>
    <x v="3"/>
    <x v="187"/>
    <x v="3"/>
    <s v="Percent of GDP"/>
    <s v="Units"/>
    <x v="0"/>
    <n v="13.207000000000001"/>
  </r>
  <r>
    <n v="200"/>
    <x v="3"/>
    <x v="187"/>
    <x v="3"/>
    <s v="Percent of GDP"/>
    <s v="Units"/>
    <x v="1"/>
    <n v="10.646000000000001"/>
  </r>
  <r>
    <n v="200"/>
    <x v="3"/>
    <x v="187"/>
    <x v="3"/>
    <s v="Percent of GDP"/>
    <s v="Units"/>
    <x v="2"/>
    <n v="8.2210000000000001"/>
  </r>
  <r>
    <n v="200"/>
    <x v="3"/>
    <x v="187"/>
    <x v="3"/>
    <s v="Percent of GDP"/>
    <s v="Units"/>
    <x v="3"/>
    <n v="12.172000000000001"/>
  </r>
  <r>
    <n v="200"/>
    <x v="3"/>
    <x v="187"/>
    <x v="3"/>
    <s v="Percent of GDP"/>
    <s v="Units"/>
    <x v="4"/>
    <n v="11.439"/>
  </r>
  <r>
    <n v="200"/>
    <x v="3"/>
    <x v="187"/>
    <x v="3"/>
    <s v="Percent of GDP"/>
    <s v="Units"/>
    <x v="5"/>
    <n v="10.645"/>
  </r>
  <r>
    <n v="200"/>
    <x v="3"/>
    <x v="187"/>
    <x v="3"/>
    <s v="Percent of GDP"/>
    <s v="Units"/>
    <x v="6"/>
    <n v="10.916"/>
  </r>
  <r>
    <n v="200"/>
    <x v="3"/>
    <x v="134"/>
    <x v="0"/>
    <s v="U.S. dollars"/>
    <s v="Billions"/>
    <x v="0"/>
    <n v="7.8940000000000001"/>
  </r>
  <r>
    <n v="200"/>
    <x v="3"/>
    <x v="134"/>
    <x v="0"/>
    <s v="U.S. dollars"/>
    <s v="Billions"/>
    <x v="1"/>
    <n v="8.4640000000000004"/>
  </r>
  <r>
    <n v="200"/>
    <x v="3"/>
    <x v="134"/>
    <x v="0"/>
    <s v="U.S. dollars"/>
    <s v="Billions"/>
    <x v="2"/>
    <n v="9.1259999999999994"/>
  </r>
  <r>
    <n v="200"/>
    <x v="3"/>
    <x v="134"/>
    <x v="0"/>
    <s v="U.S. dollars"/>
    <s v="Billions"/>
    <x v="3"/>
    <n v="9.7989999999999995"/>
  </r>
  <r>
    <n v="200"/>
    <x v="3"/>
    <x v="134"/>
    <x v="0"/>
    <s v="U.S. dollars"/>
    <s v="Billions"/>
    <x v="4"/>
    <n v="10.542999999999999"/>
  </r>
  <r>
    <n v="200"/>
    <x v="3"/>
    <x v="134"/>
    <x v="0"/>
    <s v="U.S. dollars"/>
    <s v="Billions"/>
    <x v="5"/>
    <n v="10.628"/>
  </r>
  <r>
    <n v="200"/>
    <x v="3"/>
    <x v="134"/>
    <x v="0"/>
    <s v="U.S. dollars"/>
    <s v="Billions"/>
    <x v="6"/>
    <n v="11.356"/>
  </r>
  <r>
    <n v="400"/>
    <x v="11"/>
    <x v="134"/>
    <x v="0"/>
    <s v="U.S. dollars"/>
    <s v="Billions"/>
    <x v="0"/>
    <n v="7.8940000000000001"/>
  </r>
  <r>
    <n v="400"/>
    <x v="11"/>
    <x v="134"/>
    <x v="0"/>
    <s v="U.S. dollars"/>
    <s v="Billions"/>
    <x v="1"/>
    <n v="8.4640000000000004"/>
  </r>
  <r>
    <n v="400"/>
    <x v="11"/>
    <x v="134"/>
    <x v="0"/>
    <s v="U.S. dollars"/>
    <s v="Billions"/>
    <x v="2"/>
    <n v="9.1259999999999994"/>
  </r>
  <r>
    <n v="400"/>
    <x v="11"/>
    <x v="134"/>
    <x v="0"/>
    <s v="U.S. dollars"/>
    <s v="Billions"/>
    <x v="3"/>
    <n v="9.7989999999999995"/>
  </r>
  <r>
    <n v="400"/>
    <x v="11"/>
    <x v="134"/>
    <x v="0"/>
    <s v="U.S. dollars"/>
    <s v="Billions"/>
    <x v="4"/>
    <n v="10.542999999999999"/>
  </r>
  <r>
    <n v="400"/>
    <x v="11"/>
    <x v="134"/>
    <x v="0"/>
    <s v="U.S. dollars"/>
    <s v="Billions"/>
    <x v="5"/>
    <n v="10.628"/>
  </r>
  <r>
    <n v="400"/>
    <x v="11"/>
    <x v="134"/>
    <x v="0"/>
    <s v="U.S. dollars"/>
    <s v="Billions"/>
    <x v="6"/>
    <n v="11.356"/>
  </r>
  <r>
    <n v="1"/>
    <x v="2"/>
    <x v="134"/>
    <x v="0"/>
    <s v="U.S. dollars"/>
    <s v="Billions"/>
    <x v="0"/>
    <n v="7.8940000000000001"/>
  </r>
  <r>
    <n v="1"/>
    <x v="2"/>
    <x v="134"/>
    <x v="0"/>
    <s v="U.S. dollars"/>
    <s v="Billions"/>
    <x v="1"/>
    <n v="8.4640000000000004"/>
  </r>
  <r>
    <n v="1"/>
    <x v="2"/>
    <x v="134"/>
    <x v="0"/>
    <s v="U.S. dollars"/>
    <s v="Billions"/>
    <x v="2"/>
    <n v="9.1259999999999994"/>
  </r>
  <r>
    <n v="1"/>
    <x v="2"/>
    <x v="134"/>
    <x v="0"/>
    <s v="U.S. dollars"/>
    <s v="Billions"/>
    <x v="3"/>
    <n v="9.7989999999999995"/>
  </r>
  <r>
    <n v="1"/>
    <x v="2"/>
    <x v="134"/>
    <x v="0"/>
    <s v="U.S. dollars"/>
    <s v="Billions"/>
    <x v="4"/>
    <n v="10.542999999999999"/>
  </r>
  <r>
    <n v="1"/>
    <x v="2"/>
    <x v="134"/>
    <x v="0"/>
    <s v="U.S. dollars"/>
    <s v="Billions"/>
    <x v="5"/>
    <n v="10.628"/>
  </r>
  <r>
    <n v="1"/>
    <x v="2"/>
    <x v="134"/>
    <x v="0"/>
    <s v="U.S. dollars"/>
    <s v="Billions"/>
    <x v="6"/>
    <n v="11.356"/>
  </r>
  <r>
    <n v="1"/>
    <x v="2"/>
    <x v="162"/>
    <x v="7"/>
    <s v="Percent of GDP"/>
    <s v="Units"/>
    <x v="0"/>
    <n v="7.8609999999999998"/>
  </r>
  <r>
    <n v="1"/>
    <x v="2"/>
    <x v="162"/>
    <x v="7"/>
    <s v="Percent of GDP"/>
    <s v="Units"/>
    <x v="1"/>
    <n v="7.5410000000000004"/>
  </r>
  <r>
    <n v="1"/>
    <x v="2"/>
    <x v="162"/>
    <x v="7"/>
    <s v="Percent of GDP"/>
    <s v="Units"/>
    <x v="2"/>
    <n v="8.9440000000000008"/>
  </r>
  <r>
    <n v="1"/>
    <x v="2"/>
    <x v="162"/>
    <x v="7"/>
    <s v="Percent of GDP"/>
    <s v="Units"/>
    <x v="3"/>
    <n v="13.147"/>
  </r>
  <r>
    <n v="1"/>
    <x v="2"/>
    <x v="162"/>
    <x v="7"/>
    <s v="Percent of GDP"/>
    <s v="Units"/>
    <x v="4"/>
    <n v="13.856"/>
  </r>
  <r>
    <n v="1"/>
    <x v="2"/>
    <x v="162"/>
    <x v="7"/>
    <s v="Percent of GDP"/>
    <s v="Units"/>
    <x v="5"/>
    <n v="10.571999999999999"/>
  </r>
  <r>
    <n v="1"/>
    <x v="2"/>
    <x v="162"/>
    <x v="7"/>
    <s v="Percent of GDP"/>
    <s v="Units"/>
    <x v="6"/>
    <n v="12.137"/>
  </r>
  <r>
    <n v="603"/>
    <x v="12"/>
    <x v="162"/>
    <x v="7"/>
    <s v="Percent of GDP"/>
    <s v="Units"/>
    <x v="0"/>
    <n v="7.8609999999999998"/>
  </r>
  <r>
    <n v="603"/>
    <x v="12"/>
    <x v="162"/>
    <x v="7"/>
    <s v="Percent of GDP"/>
    <s v="Units"/>
    <x v="1"/>
    <n v="7.5410000000000004"/>
  </r>
  <r>
    <n v="603"/>
    <x v="12"/>
    <x v="162"/>
    <x v="7"/>
    <s v="Percent of GDP"/>
    <s v="Units"/>
    <x v="2"/>
    <n v="8.9440000000000008"/>
  </r>
  <r>
    <n v="603"/>
    <x v="12"/>
    <x v="162"/>
    <x v="7"/>
    <s v="Percent of GDP"/>
    <s v="Units"/>
    <x v="3"/>
    <n v="13.147"/>
  </r>
  <r>
    <n v="603"/>
    <x v="12"/>
    <x v="162"/>
    <x v="7"/>
    <s v="Percent of GDP"/>
    <s v="Units"/>
    <x v="4"/>
    <n v="13.856"/>
  </r>
  <r>
    <n v="603"/>
    <x v="12"/>
    <x v="162"/>
    <x v="7"/>
    <s v="Percent of GDP"/>
    <s v="Units"/>
    <x v="5"/>
    <n v="10.571999999999999"/>
  </r>
  <r>
    <n v="603"/>
    <x v="12"/>
    <x v="162"/>
    <x v="7"/>
    <s v="Percent of GDP"/>
    <s v="Units"/>
    <x v="6"/>
    <n v="12.137"/>
  </r>
  <r>
    <n v="200"/>
    <x v="3"/>
    <x v="162"/>
    <x v="7"/>
    <s v="Percent of GDP"/>
    <s v="Units"/>
    <x v="0"/>
    <n v="7.8609999999999998"/>
  </r>
  <r>
    <n v="200"/>
    <x v="3"/>
    <x v="162"/>
    <x v="7"/>
    <s v="Percent of GDP"/>
    <s v="Units"/>
    <x v="1"/>
    <n v="7.5410000000000004"/>
  </r>
  <r>
    <n v="200"/>
    <x v="3"/>
    <x v="162"/>
    <x v="7"/>
    <s v="Percent of GDP"/>
    <s v="Units"/>
    <x v="2"/>
    <n v="8.9440000000000008"/>
  </r>
  <r>
    <n v="200"/>
    <x v="3"/>
    <x v="162"/>
    <x v="7"/>
    <s v="Percent of GDP"/>
    <s v="Units"/>
    <x v="3"/>
    <n v="13.147"/>
  </r>
  <r>
    <n v="200"/>
    <x v="3"/>
    <x v="162"/>
    <x v="7"/>
    <s v="Percent of GDP"/>
    <s v="Units"/>
    <x v="4"/>
    <n v="13.856"/>
  </r>
  <r>
    <n v="200"/>
    <x v="3"/>
    <x v="162"/>
    <x v="7"/>
    <s v="Percent of GDP"/>
    <s v="Units"/>
    <x v="5"/>
    <n v="10.571999999999999"/>
  </r>
  <r>
    <n v="200"/>
    <x v="3"/>
    <x v="162"/>
    <x v="7"/>
    <s v="Percent of GDP"/>
    <s v="Units"/>
    <x v="6"/>
    <n v="12.137"/>
  </r>
  <r>
    <n v="1"/>
    <x v="2"/>
    <x v="129"/>
    <x v="5"/>
    <s v="Percent of GDP"/>
    <s v="Units"/>
    <x v="0"/>
    <n v="7.7240000000000002"/>
  </r>
  <r>
    <n v="1"/>
    <x v="2"/>
    <x v="129"/>
    <x v="5"/>
    <s v="Percent of GDP"/>
    <s v="Units"/>
    <x v="1"/>
    <n v="10.24"/>
  </r>
  <r>
    <n v="1"/>
    <x v="2"/>
    <x v="129"/>
    <x v="5"/>
    <s v="Percent of GDP"/>
    <s v="Units"/>
    <x v="2"/>
    <n v="10.141"/>
  </r>
  <r>
    <n v="1"/>
    <x v="2"/>
    <x v="129"/>
    <x v="5"/>
    <s v="Percent of GDP"/>
    <s v="Units"/>
    <x v="3"/>
    <n v="4.7560000000000002"/>
  </r>
  <r>
    <n v="1"/>
    <x v="2"/>
    <x v="129"/>
    <x v="5"/>
    <s v="Percent of GDP"/>
    <s v="Units"/>
    <x v="4"/>
    <n v="9.1519999999999992"/>
  </r>
  <r>
    <n v="1"/>
    <x v="2"/>
    <x v="129"/>
    <x v="5"/>
    <s v="Percent of GDP"/>
    <s v="Units"/>
    <x v="5"/>
    <n v="10.472"/>
  </r>
  <r>
    <n v="1"/>
    <x v="2"/>
    <x v="129"/>
    <x v="5"/>
    <s v="Percent of GDP"/>
    <s v="Units"/>
    <x v="6"/>
    <n v="10.911"/>
  </r>
  <r>
    <n v="603"/>
    <x v="12"/>
    <x v="129"/>
    <x v="5"/>
    <s v="Percent of GDP"/>
    <s v="Units"/>
    <x v="0"/>
    <n v="7.7240000000000002"/>
  </r>
  <r>
    <n v="603"/>
    <x v="12"/>
    <x v="129"/>
    <x v="5"/>
    <s v="Percent of GDP"/>
    <s v="Units"/>
    <x v="1"/>
    <n v="10.24"/>
  </r>
  <r>
    <n v="603"/>
    <x v="12"/>
    <x v="129"/>
    <x v="5"/>
    <s v="Percent of GDP"/>
    <s v="Units"/>
    <x v="2"/>
    <n v="10.141"/>
  </r>
  <r>
    <n v="603"/>
    <x v="12"/>
    <x v="129"/>
    <x v="5"/>
    <s v="Percent of GDP"/>
    <s v="Units"/>
    <x v="3"/>
    <n v="4.7560000000000002"/>
  </r>
  <r>
    <n v="603"/>
    <x v="12"/>
    <x v="129"/>
    <x v="5"/>
    <s v="Percent of GDP"/>
    <s v="Units"/>
    <x v="4"/>
    <n v="9.1519999999999992"/>
  </r>
  <r>
    <n v="603"/>
    <x v="12"/>
    <x v="129"/>
    <x v="5"/>
    <s v="Percent of GDP"/>
    <s v="Units"/>
    <x v="5"/>
    <n v="10.472"/>
  </r>
  <r>
    <n v="603"/>
    <x v="12"/>
    <x v="129"/>
    <x v="5"/>
    <s v="Percent of GDP"/>
    <s v="Units"/>
    <x v="6"/>
    <n v="10.911"/>
  </r>
  <r>
    <n v="200"/>
    <x v="3"/>
    <x v="129"/>
    <x v="5"/>
    <s v="Percent of GDP"/>
    <s v="Units"/>
    <x v="0"/>
    <n v="7.7240000000000002"/>
  </r>
  <r>
    <n v="200"/>
    <x v="3"/>
    <x v="129"/>
    <x v="5"/>
    <s v="Percent of GDP"/>
    <s v="Units"/>
    <x v="1"/>
    <n v="10.24"/>
  </r>
  <r>
    <n v="200"/>
    <x v="3"/>
    <x v="129"/>
    <x v="5"/>
    <s v="Percent of GDP"/>
    <s v="Units"/>
    <x v="2"/>
    <n v="10.141"/>
  </r>
  <r>
    <n v="200"/>
    <x v="3"/>
    <x v="129"/>
    <x v="5"/>
    <s v="Percent of GDP"/>
    <s v="Units"/>
    <x v="3"/>
    <n v="4.7560000000000002"/>
  </r>
  <r>
    <n v="200"/>
    <x v="3"/>
    <x v="129"/>
    <x v="5"/>
    <s v="Percent of GDP"/>
    <s v="Units"/>
    <x v="4"/>
    <n v="9.1519999999999992"/>
  </r>
  <r>
    <n v="200"/>
    <x v="3"/>
    <x v="129"/>
    <x v="5"/>
    <s v="Percent of GDP"/>
    <s v="Units"/>
    <x v="5"/>
    <n v="10.472"/>
  </r>
  <r>
    <n v="200"/>
    <x v="3"/>
    <x v="129"/>
    <x v="5"/>
    <s v="Percent of GDP"/>
    <s v="Units"/>
    <x v="6"/>
    <n v="10.911"/>
  </r>
  <r>
    <n v="200"/>
    <x v="3"/>
    <x v="106"/>
    <x v="5"/>
    <s v="Percent of GDP"/>
    <s v="Units"/>
    <x v="0"/>
    <n v="14.189"/>
  </r>
  <r>
    <n v="200"/>
    <x v="3"/>
    <x v="106"/>
    <x v="5"/>
    <s v="Percent of GDP"/>
    <s v="Units"/>
    <x v="1"/>
    <n v="12.47"/>
  </r>
  <r>
    <n v="200"/>
    <x v="3"/>
    <x v="106"/>
    <x v="5"/>
    <s v="Percent of GDP"/>
    <s v="Units"/>
    <x v="2"/>
    <n v="13.89"/>
  </r>
  <r>
    <n v="200"/>
    <x v="3"/>
    <x v="106"/>
    <x v="5"/>
    <s v="Percent of GDP"/>
    <s v="Units"/>
    <x v="3"/>
    <n v="12.493"/>
  </r>
  <r>
    <n v="200"/>
    <x v="3"/>
    <x v="106"/>
    <x v="5"/>
    <s v="Percent of GDP"/>
    <s v="Units"/>
    <x v="4"/>
    <n v="8.6039999999999992"/>
  </r>
  <r>
    <n v="200"/>
    <x v="3"/>
    <x v="106"/>
    <x v="5"/>
    <s v="Percent of GDP"/>
    <s v="Units"/>
    <x v="5"/>
    <n v="10.47"/>
  </r>
  <r>
    <n v="200"/>
    <x v="3"/>
    <x v="106"/>
    <x v="5"/>
    <s v="Percent of GDP"/>
    <s v="Units"/>
    <x v="6"/>
    <n v="10.273"/>
  </r>
  <r>
    <n v="205"/>
    <x v="7"/>
    <x v="106"/>
    <x v="5"/>
    <s v="Percent of GDP"/>
    <s v="Units"/>
    <x v="0"/>
    <n v="14.189"/>
  </r>
  <r>
    <n v="205"/>
    <x v="7"/>
    <x v="106"/>
    <x v="5"/>
    <s v="Percent of GDP"/>
    <s v="Units"/>
    <x v="1"/>
    <n v="12.47"/>
  </r>
  <r>
    <n v="205"/>
    <x v="7"/>
    <x v="106"/>
    <x v="5"/>
    <s v="Percent of GDP"/>
    <s v="Units"/>
    <x v="2"/>
    <n v="13.89"/>
  </r>
  <r>
    <n v="205"/>
    <x v="7"/>
    <x v="106"/>
    <x v="5"/>
    <s v="Percent of GDP"/>
    <s v="Units"/>
    <x v="3"/>
    <n v="12.493"/>
  </r>
  <r>
    <n v="205"/>
    <x v="7"/>
    <x v="106"/>
    <x v="5"/>
    <s v="Percent of GDP"/>
    <s v="Units"/>
    <x v="4"/>
    <n v="8.6039999999999992"/>
  </r>
  <r>
    <n v="205"/>
    <x v="7"/>
    <x v="106"/>
    <x v="5"/>
    <s v="Percent of GDP"/>
    <s v="Units"/>
    <x v="5"/>
    <n v="10.47"/>
  </r>
  <r>
    <n v="205"/>
    <x v="7"/>
    <x v="106"/>
    <x v="5"/>
    <s v="Percent of GDP"/>
    <s v="Units"/>
    <x v="6"/>
    <n v="10.273"/>
  </r>
  <r>
    <n v="1"/>
    <x v="2"/>
    <x v="106"/>
    <x v="5"/>
    <s v="Percent of GDP"/>
    <s v="Units"/>
    <x v="0"/>
    <n v="14.189"/>
  </r>
  <r>
    <n v="1"/>
    <x v="2"/>
    <x v="106"/>
    <x v="5"/>
    <s v="Percent of GDP"/>
    <s v="Units"/>
    <x v="1"/>
    <n v="12.47"/>
  </r>
  <r>
    <n v="1"/>
    <x v="2"/>
    <x v="106"/>
    <x v="5"/>
    <s v="Percent of GDP"/>
    <s v="Units"/>
    <x v="2"/>
    <n v="13.89"/>
  </r>
  <r>
    <n v="1"/>
    <x v="2"/>
    <x v="106"/>
    <x v="5"/>
    <s v="Percent of GDP"/>
    <s v="Units"/>
    <x v="3"/>
    <n v="12.493"/>
  </r>
  <r>
    <n v="1"/>
    <x v="2"/>
    <x v="106"/>
    <x v="5"/>
    <s v="Percent of GDP"/>
    <s v="Units"/>
    <x v="4"/>
    <n v="8.6039999999999992"/>
  </r>
  <r>
    <n v="1"/>
    <x v="2"/>
    <x v="106"/>
    <x v="5"/>
    <s v="Percent of GDP"/>
    <s v="Units"/>
    <x v="5"/>
    <n v="10.47"/>
  </r>
  <r>
    <n v="1"/>
    <x v="2"/>
    <x v="106"/>
    <x v="5"/>
    <s v="Percent of GDP"/>
    <s v="Units"/>
    <x v="6"/>
    <n v="10.273"/>
  </r>
  <r>
    <n v="1"/>
    <x v="2"/>
    <x v="94"/>
    <x v="8"/>
    <s v="Percent change"/>
    <s v="Units"/>
    <x v="0"/>
    <n v="6.1429999999999998"/>
  </r>
  <r>
    <n v="1"/>
    <x v="2"/>
    <x v="94"/>
    <x v="8"/>
    <s v="Percent change"/>
    <s v="Units"/>
    <x v="1"/>
    <n v="3.55"/>
  </r>
  <r>
    <n v="1"/>
    <x v="2"/>
    <x v="94"/>
    <x v="8"/>
    <s v="Percent change"/>
    <s v="Units"/>
    <x v="2"/>
    <n v="1.399"/>
  </r>
  <r>
    <n v="1"/>
    <x v="2"/>
    <x v="94"/>
    <x v="8"/>
    <s v="Percent change"/>
    <s v="Units"/>
    <x v="3"/>
    <n v="11.904"/>
  </r>
  <r>
    <n v="1"/>
    <x v="2"/>
    <x v="94"/>
    <x v="8"/>
    <s v="Percent change"/>
    <s v="Units"/>
    <x v="4"/>
    <n v="1.409"/>
  </r>
  <r>
    <n v="1"/>
    <x v="2"/>
    <x v="94"/>
    <x v="8"/>
    <s v="Percent change"/>
    <s v="Units"/>
    <x v="5"/>
    <n v="10.423999999999999"/>
  </r>
  <r>
    <n v="1"/>
    <x v="2"/>
    <x v="94"/>
    <x v="8"/>
    <s v="Percent change"/>
    <s v="Units"/>
    <x v="6"/>
    <n v="6.0860000000000003"/>
  </r>
  <r>
    <n v="200"/>
    <x v="3"/>
    <x v="94"/>
    <x v="8"/>
    <s v="Percent change"/>
    <s v="Units"/>
    <x v="0"/>
    <n v="6.1429999999999998"/>
  </r>
  <r>
    <n v="200"/>
    <x v="3"/>
    <x v="94"/>
    <x v="8"/>
    <s v="Percent change"/>
    <s v="Units"/>
    <x v="1"/>
    <n v="3.55"/>
  </r>
  <r>
    <n v="200"/>
    <x v="3"/>
    <x v="94"/>
    <x v="8"/>
    <s v="Percent change"/>
    <s v="Units"/>
    <x v="2"/>
    <n v="1.399"/>
  </r>
  <r>
    <n v="200"/>
    <x v="3"/>
    <x v="94"/>
    <x v="8"/>
    <s v="Percent change"/>
    <s v="Units"/>
    <x v="3"/>
    <n v="11.904"/>
  </r>
  <r>
    <n v="200"/>
    <x v="3"/>
    <x v="94"/>
    <x v="8"/>
    <s v="Percent change"/>
    <s v="Units"/>
    <x v="4"/>
    <n v="1.409"/>
  </r>
  <r>
    <n v="200"/>
    <x v="3"/>
    <x v="94"/>
    <x v="8"/>
    <s v="Percent change"/>
    <s v="Units"/>
    <x v="5"/>
    <n v="10.423999999999999"/>
  </r>
  <r>
    <n v="200"/>
    <x v="3"/>
    <x v="94"/>
    <x v="8"/>
    <s v="Percent change"/>
    <s v="Units"/>
    <x v="6"/>
    <n v="6.0860000000000003"/>
  </r>
  <r>
    <n v="603"/>
    <x v="12"/>
    <x v="94"/>
    <x v="8"/>
    <s v="Percent change"/>
    <s v="Units"/>
    <x v="0"/>
    <n v="6.1429999999999998"/>
  </r>
  <r>
    <n v="603"/>
    <x v="12"/>
    <x v="94"/>
    <x v="8"/>
    <s v="Percent change"/>
    <s v="Units"/>
    <x v="1"/>
    <n v="3.55"/>
  </r>
  <r>
    <n v="603"/>
    <x v="12"/>
    <x v="94"/>
    <x v="8"/>
    <s v="Percent change"/>
    <s v="Units"/>
    <x v="2"/>
    <n v="1.399"/>
  </r>
  <r>
    <n v="603"/>
    <x v="12"/>
    <x v="94"/>
    <x v="8"/>
    <s v="Percent change"/>
    <s v="Units"/>
    <x v="3"/>
    <n v="11.904"/>
  </r>
  <r>
    <n v="603"/>
    <x v="12"/>
    <x v="94"/>
    <x v="8"/>
    <s v="Percent change"/>
    <s v="Units"/>
    <x v="4"/>
    <n v="1.409"/>
  </r>
  <r>
    <n v="603"/>
    <x v="12"/>
    <x v="94"/>
    <x v="8"/>
    <s v="Percent change"/>
    <s v="Units"/>
    <x v="5"/>
    <n v="10.423999999999999"/>
  </r>
  <r>
    <n v="603"/>
    <x v="12"/>
    <x v="94"/>
    <x v="8"/>
    <s v="Percent change"/>
    <s v="Units"/>
    <x v="6"/>
    <n v="6.0860000000000003"/>
  </r>
  <r>
    <n v="200"/>
    <x v="3"/>
    <x v="73"/>
    <x v="6"/>
    <s v="Percent change"/>
    <s v="Units"/>
    <x v="0"/>
    <n v="15.132999999999999"/>
  </r>
  <r>
    <n v="200"/>
    <x v="3"/>
    <x v="73"/>
    <x v="6"/>
    <s v="Percent change"/>
    <s v="Units"/>
    <x v="1"/>
    <n v="-13.13"/>
  </r>
  <r>
    <n v="200"/>
    <x v="3"/>
    <x v="73"/>
    <x v="6"/>
    <s v="Percent change"/>
    <s v="Units"/>
    <x v="2"/>
    <n v="0.39900000000000002"/>
  </r>
  <r>
    <n v="200"/>
    <x v="3"/>
    <x v="73"/>
    <x v="6"/>
    <s v="Percent change"/>
    <s v="Units"/>
    <x v="3"/>
    <n v="13.265000000000001"/>
  </r>
  <r>
    <n v="200"/>
    <x v="3"/>
    <x v="73"/>
    <x v="6"/>
    <s v="Percent change"/>
    <s v="Units"/>
    <x v="4"/>
    <n v="26.472999999999999"/>
  </r>
  <r>
    <n v="200"/>
    <x v="3"/>
    <x v="73"/>
    <x v="6"/>
    <s v="Percent change"/>
    <s v="Units"/>
    <x v="5"/>
    <n v="10.35"/>
  </r>
  <r>
    <n v="200"/>
    <x v="3"/>
    <x v="73"/>
    <x v="6"/>
    <s v="Percent change"/>
    <s v="Units"/>
    <x v="6"/>
    <n v="9.8239999999999998"/>
  </r>
  <r>
    <n v="1"/>
    <x v="2"/>
    <x v="73"/>
    <x v="6"/>
    <s v="Percent change"/>
    <s v="Units"/>
    <x v="0"/>
    <n v="15.132999999999999"/>
  </r>
  <r>
    <n v="1"/>
    <x v="2"/>
    <x v="73"/>
    <x v="6"/>
    <s v="Percent change"/>
    <s v="Units"/>
    <x v="1"/>
    <n v="-13.13"/>
  </r>
  <r>
    <n v="1"/>
    <x v="2"/>
    <x v="73"/>
    <x v="6"/>
    <s v="Percent change"/>
    <s v="Units"/>
    <x v="2"/>
    <n v="0.39900000000000002"/>
  </r>
  <r>
    <n v="1"/>
    <x v="2"/>
    <x v="73"/>
    <x v="6"/>
    <s v="Percent change"/>
    <s v="Units"/>
    <x v="3"/>
    <n v="13.265000000000001"/>
  </r>
  <r>
    <n v="1"/>
    <x v="2"/>
    <x v="73"/>
    <x v="6"/>
    <s v="Percent change"/>
    <s v="Units"/>
    <x v="4"/>
    <n v="26.472999999999999"/>
  </r>
  <r>
    <n v="1"/>
    <x v="2"/>
    <x v="73"/>
    <x v="6"/>
    <s v="Percent change"/>
    <s v="Units"/>
    <x v="5"/>
    <n v="10.35"/>
  </r>
  <r>
    <n v="1"/>
    <x v="2"/>
    <x v="73"/>
    <x v="6"/>
    <s v="Percent change"/>
    <s v="Units"/>
    <x v="6"/>
    <n v="9.8239999999999998"/>
  </r>
  <r>
    <n v="400"/>
    <x v="11"/>
    <x v="73"/>
    <x v="6"/>
    <s v="Percent change"/>
    <s v="Units"/>
    <x v="0"/>
    <n v="15.132999999999999"/>
  </r>
  <r>
    <n v="400"/>
    <x v="11"/>
    <x v="73"/>
    <x v="6"/>
    <s v="Percent change"/>
    <s v="Units"/>
    <x v="1"/>
    <n v="-13.13"/>
  </r>
  <r>
    <n v="400"/>
    <x v="11"/>
    <x v="73"/>
    <x v="6"/>
    <s v="Percent change"/>
    <s v="Units"/>
    <x v="2"/>
    <n v="0.39900000000000002"/>
  </r>
  <r>
    <n v="400"/>
    <x v="11"/>
    <x v="73"/>
    <x v="6"/>
    <s v="Percent change"/>
    <s v="Units"/>
    <x v="3"/>
    <n v="13.265000000000001"/>
  </r>
  <r>
    <n v="400"/>
    <x v="11"/>
    <x v="73"/>
    <x v="6"/>
    <s v="Percent change"/>
    <s v="Units"/>
    <x v="4"/>
    <n v="26.472999999999999"/>
  </r>
  <r>
    <n v="400"/>
    <x v="11"/>
    <x v="73"/>
    <x v="6"/>
    <s v="Percent change"/>
    <s v="Units"/>
    <x v="5"/>
    <n v="10.35"/>
  </r>
  <r>
    <n v="400"/>
    <x v="11"/>
    <x v="73"/>
    <x v="6"/>
    <s v="Percent change"/>
    <s v="Units"/>
    <x v="6"/>
    <n v="9.8239999999999998"/>
  </r>
  <r>
    <n v="1"/>
    <x v="2"/>
    <x v="112"/>
    <x v="6"/>
    <s v="Percent change"/>
    <s v="Units"/>
    <x v="0"/>
    <n v="18.018000000000001"/>
  </r>
  <r>
    <n v="1"/>
    <x v="2"/>
    <x v="112"/>
    <x v="6"/>
    <s v="Percent change"/>
    <s v="Units"/>
    <x v="1"/>
    <n v="-3.3809999999999998"/>
  </r>
  <r>
    <n v="1"/>
    <x v="2"/>
    <x v="112"/>
    <x v="6"/>
    <s v="Percent change"/>
    <s v="Units"/>
    <x v="2"/>
    <n v="23.672999999999998"/>
  </r>
  <r>
    <n v="1"/>
    <x v="2"/>
    <x v="112"/>
    <x v="6"/>
    <s v="Percent change"/>
    <s v="Units"/>
    <x v="3"/>
    <n v="-7.1909999999999998"/>
  </r>
  <r>
    <n v="1"/>
    <x v="2"/>
    <x v="112"/>
    <x v="6"/>
    <s v="Percent change"/>
    <s v="Units"/>
    <x v="4"/>
    <n v="-11.497"/>
  </r>
  <r>
    <n v="1"/>
    <x v="2"/>
    <x v="112"/>
    <x v="6"/>
    <s v="Percent change"/>
    <s v="Units"/>
    <x v="5"/>
    <n v="10.333"/>
  </r>
  <r>
    <n v="1"/>
    <x v="2"/>
    <x v="112"/>
    <x v="6"/>
    <s v="Percent change"/>
    <s v="Units"/>
    <x v="6"/>
    <n v="8.33"/>
  </r>
  <r>
    <n v="505"/>
    <x v="4"/>
    <x v="112"/>
    <x v="6"/>
    <s v="Percent change"/>
    <s v="Units"/>
    <x v="0"/>
    <n v="18.018000000000001"/>
  </r>
  <r>
    <n v="505"/>
    <x v="4"/>
    <x v="112"/>
    <x v="6"/>
    <s v="Percent change"/>
    <s v="Units"/>
    <x v="1"/>
    <n v="-3.3809999999999998"/>
  </r>
  <r>
    <n v="505"/>
    <x v="4"/>
    <x v="112"/>
    <x v="6"/>
    <s v="Percent change"/>
    <s v="Units"/>
    <x v="2"/>
    <n v="23.672999999999998"/>
  </r>
  <r>
    <n v="505"/>
    <x v="4"/>
    <x v="112"/>
    <x v="6"/>
    <s v="Percent change"/>
    <s v="Units"/>
    <x v="3"/>
    <n v="-7.1909999999999998"/>
  </r>
  <r>
    <n v="505"/>
    <x v="4"/>
    <x v="112"/>
    <x v="6"/>
    <s v="Percent change"/>
    <s v="Units"/>
    <x v="4"/>
    <n v="-11.497"/>
  </r>
  <r>
    <n v="505"/>
    <x v="4"/>
    <x v="112"/>
    <x v="6"/>
    <s v="Percent change"/>
    <s v="Units"/>
    <x v="5"/>
    <n v="10.333"/>
  </r>
  <r>
    <n v="505"/>
    <x v="4"/>
    <x v="112"/>
    <x v="6"/>
    <s v="Percent change"/>
    <s v="Units"/>
    <x v="6"/>
    <n v="8.33"/>
  </r>
  <r>
    <n v="200"/>
    <x v="3"/>
    <x v="112"/>
    <x v="6"/>
    <s v="Percent change"/>
    <s v="Units"/>
    <x v="0"/>
    <n v="18.018000000000001"/>
  </r>
  <r>
    <n v="200"/>
    <x v="3"/>
    <x v="112"/>
    <x v="6"/>
    <s v="Percent change"/>
    <s v="Units"/>
    <x v="1"/>
    <n v="-3.3809999999999998"/>
  </r>
  <r>
    <n v="200"/>
    <x v="3"/>
    <x v="112"/>
    <x v="6"/>
    <s v="Percent change"/>
    <s v="Units"/>
    <x v="2"/>
    <n v="23.672999999999998"/>
  </r>
  <r>
    <n v="200"/>
    <x v="3"/>
    <x v="112"/>
    <x v="6"/>
    <s v="Percent change"/>
    <s v="Units"/>
    <x v="3"/>
    <n v="-7.1909999999999998"/>
  </r>
  <r>
    <n v="200"/>
    <x v="3"/>
    <x v="112"/>
    <x v="6"/>
    <s v="Percent change"/>
    <s v="Units"/>
    <x v="4"/>
    <n v="-11.497"/>
  </r>
  <r>
    <n v="200"/>
    <x v="3"/>
    <x v="112"/>
    <x v="6"/>
    <s v="Percent change"/>
    <s v="Units"/>
    <x v="5"/>
    <n v="10.333"/>
  </r>
  <r>
    <n v="200"/>
    <x v="3"/>
    <x v="112"/>
    <x v="6"/>
    <s v="Percent change"/>
    <s v="Units"/>
    <x v="6"/>
    <n v="8.33"/>
  </r>
  <r>
    <n v="200"/>
    <x v="3"/>
    <x v="56"/>
    <x v="3"/>
    <s v="Percent of GDP"/>
    <s v="Units"/>
    <x v="0"/>
    <n v="15.353"/>
  </r>
  <r>
    <n v="200"/>
    <x v="3"/>
    <x v="56"/>
    <x v="3"/>
    <s v="Percent of GDP"/>
    <s v="Units"/>
    <x v="1"/>
    <n v="14.468999999999999"/>
  </r>
  <r>
    <n v="200"/>
    <x v="3"/>
    <x v="56"/>
    <x v="3"/>
    <s v="Percent of GDP"/>
    <s v="Units"/>
    <x v="2"/>
    <n v="13.798"/>
  </r>
  <r>
    <n v="200"/>
    <x v="3"/>
    <x v="56"/>
    <x v="3"/>
    <s v="Percent of GDP"/>
    <s v="Units"/>
    <x v="3"/>
    <n v="12.696"/>
  </r>
  <r>
    <n v="200"/>
    <x v="3"/>
    <x v="56"/>
    <x v="3"/>
    <s v="Percent of GDP"/>
    <s v="Units"/>
    <x v="4"/>
    <n v="10.763"/>
  </r>
  <r>
    <n v="200"/>
    <x v="3"/>
    <x v="56"/>
    <x v="3"/>
    <s v="Percent of GDP"/>
    <s v="Units"/>
    <x v="5"/>
    <n v="10.288"/>
  </r>
  <r>
    <n v="200"/>
    <x v="3"/>
    <x v="56"/>
    <x v="3"/>
    <s v="Percent of GDP"/>
    <s v="Units"/>
    <x v="6"/>
    <n v="10.773999999999999"/>
  </r>
  <r>
    <n v="603"/>
    <x v="12"/>
    <x v="56"/>
    <x v="3"/>
    <s v="Percent of GDP"/>
    <s v="Units"/>
    <x v="0"/>
    <n v="15.353"/>
  </r>
  <r>
    <n v="603"/>
    <x v="12"/>
    <x v="56"/>
    <x v="3"/>
    <s v="Percent of GDP"/>
    <s v="Units"/>
    <x v="1"/>
    <n v="14.468999999999999"/>
  </r>
  <r>
    <n v="603"/>
    <x v="12"/>
    <x v="56"/>
    <x v="3"/>
    <s v="Percent of GDP"/>
    <s v="Units"/>
    <x v="2"/>
    <n v="13.798"/>
  </r>
  <r>
    <n v="603"/>
    <x v="12"/>
    <x v="56"/>
    <x v="3"/>
    <s v="Percent of GDP"/>
    <s v="Units"/>
    <x v="3"/>
    <n v="12.696"/>
  </r>
  <r>
    <n v="603"/>
    <x v="12"/>
    <x v="56"/>
    <x v="3"/>
    <s v="Percent of GDP"/>
    <s v="Units"/>
    <x v="4"/>
    <n v="10.763"/>
  </r>
  <r>
    <n v="603"/>
    <x v="12"/>
    <x v="56"/>
    <x v="3"/>
    <s v="Percent of GDP"/>
    <s v="Units"/>
    <x v="5"/>
    <n v="10.288"/>
  </r>
  <r>
    <n v="603"/>
    <x v="12"/>
    <x v="56"/>
    <x v="3"/>
    <s v="Percent of GDP"/>
    <s v="Units"/>
    <x v="6"/>
    <n v="10.773999999999999"/>
  </r>
  <r>
    <n v="205"/>
    <x v="7"/>
    <x v="137"/>
    <x v="6"/>
    <s v="Percent change"/>
    <s v="Units"/>
    <x v="0"/>
    <n v="-0.19600000000000001"/>
  </r>
  <r>
    <n v="205"/>
    <x v="7"/>
    <x v="137"/>
    <x v="6"/>
    <s v="Percent change"/>
    <s v="Units"/>
    <x v="1"/>
    <n v="-5.7069999999999999"/>
  </r>
  <r>
    <n v="205"/>
    <x v="7"/>
    <x v="137"/>
    <x v="6"/>
    <s v="Percent change"/>
    <s v="Units"/>
    <x v="2"/>
    <n v="-5.6459999999999999"/>
  </r>
  <r>
    <n v="205"/>
    <x v="7"/>
    <x v="137"/>
    <x v="6"/>
    <s v="Percent change"/>
    <s v="Units"/>
    <x v="3"/>
    <n v="6.6779999999999999"/>
  </r>
  <r>
    <n v="205"/>
    <x v="7"/>
    <x v="137"/>
    <x v="6"/>
    <s v="Percent change"/>
    <s v="Units"/>
    <x v="4"/>
    <n v="24.189"/>
  </r>
  <r>
    <n v="205"/>
    <x v="7"/>
    <x v="137"/>
    <x v="6"/>
    <s v="Percent change"/>
    <s v="Units"/>
    <x v="5"/>
    <n v="10.244999999999999"/>
  </r>
  <r>
    <n v="205"/>
    <x v="7"/>
    <x v="137"/>
    <x v="6"/>
    <s v="Percent change"/>
    <s v="Units"/>
    <x v="6"/>
    <n v="3.8210000000000002"/>
  </r>
  <r>
    <n v="1"/>
    <x v="2"/>
    <x v="137"/>
    <x v="6"/>
    <s v="Percent change"/>
    <s v="Units"/>
    <x v="0"/>
    <n v="-0.19600000000000001"/>
  </r>
  <r>
    <n v="1"/>
    <x v="2"/>
    <x v="137"/>
    <x v="6"/>
    <s v="Percent change"/>
    <s v="Units"/>
    <x v="1"/>
    <n v="-5.7069999999999999"/>
  </r>
  <r>
    <n v="1"/>
    <x v="2"/>
    <x v="137"/>
    <x v="6"/>
    <s v="Percent change"/>
    <s v="Units"/>
    <x v="2"/>
    <n v="-5.6459999999999999"/>
  </r>
  <r>
    <n v="1"/>
    <x v="2"/>
    <x v="137"/>
    <x v="6"/>
    <s v="Percent change"/>
    <s v="Units"/>
    <x v="3"/>
    <n v="6.6779999999999999"/>
  </r>
  <r>
    <n v="1"/>
    <x v="2"/>
    <x v="137"/>
    <x v="6"/>
    <s v="Percent change"/>
    <s v="Units"/>
    <x v="4"/>
    <n v="24.189"/>
  </r>
  <r>
    <n v="1"/>
    <x v="2"/>
    <x v="137"/>
    <x v="6"/>
    <s v="Percent change"/>
    <s v="Units"/>
    <x v="5"/>
    <n v="10.244999999999999"/>
  </r>
  <r>
    <n v="1"/>
    <x v="2"/>
    <x v="137"/>
    <x v="6"/>
    <s v="Percent change"/>
    <s v="Units"/>
    <x v="6"/>
    <n v="3.8210000000000002"/>
  </r>
  <r>
    <n v="200"/>
    <x v="3"/>
    <x v="137"/>
    <x v="6"/>
    <s v="Percent change"/>
    <s v="Units"/>
    <x v="0"/>
    <n v="-0.19600000000000001"/>
  </r>
  <r>
    <n v="200"/>
    <x v="3"/>
    <x v="137"/>
    <x v="6"/>
    <s v="Percent change"/>
    <s v="Units"/>
    <x v="1"/>
    <n v="-5.7069999999999999"/>
  </r>
  <r>
    <n v="200"/>
    <x v="3"/>
    <x v="137"/>
    <x v="6"/>
    <s v="Percent change"/>
    <s v="Units"/>
    <x v="2"/>
    <n v="-5.6459999999999999"/>
  </r>
  <r>
    <n v="200"/>
    <x v="3"/>
    <x v="137"/>
    <x v="6"/>
    <s v="Percent change"/>
    <s v="Units"/>
    <x v="3"/>
    <n v="6.6779999999999999"/>
  </r>
  <r>
    <n v="200"/>
    <x v="3"/>
    <x v="137"/>
    <x v="6"/>
    <s v="Percent change"/>
    <s v="Units"/>
    <x v="4"/>
    <n v="24.189"/>
  </r>
  <r>
    <n v="200"/>
    <x v="3"/>
    <x v="137"/>
    <x v="6"/>
    <s v="Percent change"/>
    <s v="Units"/>
    <x v="5"/>
    <n v="10.244999999999999"/>
  </r>
  <r>
    <n v="200"/>
    <x v="3"/>
    <x v="137"/>
    <x v="6"/>
    <s v="Percent change"/>
    <s v="Units"/>
    <x v="6"/>
    <n v="3.8210000000000002"/>
  </r>
  <r>
    <n v="400"/>
    <x v="11"/>
    <x v="50"/>
    <x v="5"/>
    <s v="Percent of GDP"/>
    <s v="Units"/>
    <x v="0"/>
    <n v="14.34"/>
  </r>
  <r>
    <n v="400"/>
    <x v="11"/>
    <x v="50"/>
    <x v="5"/>
    <s v="Percent of GDP"/>
    <s v="Units"/>
    <x v="1"/>
    <n v="1.746"/>
  </r>
  <r>
    <n v="400"/>
    <x v="11"/>
    <x v="50"/>
    <x v="5"/>
    <s v="Percent of GDP"/>
    <s v="Units"/>
    <x v="2"/>
    <n v="21.177"/>
  </r>
  <r>
    <n v="400"/>
    <x v="11"/>
    <x v="50"/>
    <x v="5"/>
    <s v="Percent of GDP"/>
    <s v="Units"/>
    <x v="3"/>
    <n v="33.896999999999998"/>
  </r>
  <r>
    <n v="400"/>
    <x v="11"/>
    <x v="50"/>
    <x v="5"/>
    <s v="Percent of GDP"/>
    <s v="Units"/>
    <x v="4"/>
    <n v="16.452999999999999"/>
  </r>
  <r>
    <n v="400"/>
    <x v="11"/>
    <x v="50"/>
    <x v="5"/>
    <s v="Percent of GDP"/>
    <s v="Units"/>
    <x v="5"/>
    <n v="10.233000000000001"/>
  </r>
  <r>
    <n v="400"/>
    <x v="11"/>
    <x v="50"/>
    <x v="5"/>
    <s v="Percent of GDP"/>
    <s v="Units"/>
    <x v="6"/>
    <n v="9.0570000000000004"/>
  </r>
  <r>
    <n v="200"/>
    <x v="3"/>
    <x v="50"/>
    <x v="5"/>
    <s v="Percent of GDP"/>
    <s v="Units"/>
    <x v="0"/>
    <n v="14.34"/>
  </r>
  <r>
    <n v="200"/>
    <x v="3"/>
    <x v="50"/>
    <x v="5"/>
    <s v="Percent of GDP"/>
    <s v="Units"/>
    <x v="1"/>
    <n v="1.746"/>
  </r>
  <r>
    <n v="200"/>
    <x v="3"/>
    <x v="50"/>
    <x v="5"/>
    <s v="Percent of GDP"/>
    <s v="Units"/>
    <x v="2"/>
    <n v="21.177"/>
  </r>
  <r>
    <n v="200"/>
    <x v="3"/>
    <x v="50"/>
    <x v="5"/>
    <s v="Percent of GDP"/>
    <s v="Units"/>
    <x v="3"/>
    <n v="33.896999999999998"/>
  </r>
  <r>
    <n v="200"/>
    <x v="3"/>
    <x v="50"/>
    <x v="5"/>
    <s v="Percent of GDP"/>
    <s v="Units"/>
    <x v="4"/>
    <n v="16.452999999999999"/>
  </r>
  <r>
    <n v="200"/>
    <x v="3"/>
    <x v="50"/>
    <x v="5"/>
    <s v="Percent of GDP"/>
    <s v="Units"/>
    <x v="5"/>
    <n v="10.233000000000001"/>
  </r>
  <r>
    <n v="200"/>
    <x v="3"/>
    <x v="50"/>
    <x v="5"/>
    <s v="Percent of GDP"/>
    <s v="Units"/>
    <x v="6"/>
    <n v="9.0570000000000004"/>
  </r>
  <r>
    <n v="1"/>
    <x v="2"/>
    <x v="50"/>
    <x v="5"/>
    <s v="Percent of GDP"/>
    <s v="Units"/>
    <x v="0"/>
    <n v="14.34"/>
  </r>
  <r>
    <n v="1"/>
    <x v="2"/>
    <x v="50"/>
    <x v="5"/>
    <s v="Percent of GDP"/>
    <s v="Units"/>
    <x v="1"/>
    <n v="1.746"/>
  </r>
  <r>
    <n v="1"/>
    <x v="2"/>
    <x v="50"/>
    <x v="5"/>
    <s v="Percent of GDP"/>
    <s v="Units"/>
    <x v="2"/>
    <n v="21.177"/>
  </r>
  <r>
    <n v="1"/>
    <x v="2"/>
    <x v="50"/>
    <x v="5"/>
    <s v="Percent of GDP"/>
    <s v="Units"/>
    <x v="3"/>
    <n v="33.896999999999998"/>
  </r>
  <r>
    <n v="1"/>
    <x v="2"/>
    <x v="50"/>
    <x v="5"/>
    <s v="Percent of GDP"/>
    <s v="Units"/>
    <x v="4"/>
    <n v="16.452999999999999"/>
  </r>
  <r>
    <n v="1"/>
    <x v="2"/>
    <x v="50"/>
    <x v="5"/>
    <s v="Percent of GDP"/>
    <s v="Units"/>
    <x v="5"/>
    <n v="10.233000000000001"/>
  </r>
  <r>
    <n v="1"/>
    <x v="2"/>
    <x v="50"/>
    <x v="5"/>
    <s v="Percent of GDP"/>
    <s v="Units"/>
    <x v="6"/>
    <n v="9.0570000000000004"/>
  </r>
  <r>
    <n v="200"/>
    <x v="3"/>
    <x v="126"/>
    <x v="6"/>
    <s v="Percent change"/>
    <s v="Units"/>
    <x v="0"/>
    <n v="15.702"/>
  </r>
  <r>
    <n v="200"/>
    <x v="3"/>
    <x v="126"/>
    <x v="6"/>
    <s v="Percent change"/>
    <s v="Units"/>
    <x v="1"/>
    <n v="-17.643999999999998"/>
  </r>
  <r>
    <n v="200"/>
    <x v="3"/>
    <x v="126"/>
    <x v="6"/>
    <s v="Percent change"/>
    <s v="Units"/>
    <x v="2"/>
    <n v="19.998999999999999"/>
  </r>
  <r>
    <n v="200"/>
    <x v="3"/>
    <x v="126"/>
    <x v="6"/>
    <s v="Percent change"/>
    <s v="Units"/>
    <x v="3"/>
    <n v="-6.4790000000000001"/>
  </r>
  <r>
    <n v="200"/>
    <x v="3"/>
    <x v="126"/>
    <x v="6"/>
    <s v="Percent change"/>
    <s v="Units"/>
    <x v="4"/>
    <n v="5.1449999999999996"/>
  </r>
  <r>
    <n v="200"/>
    <x v="3"/>
    <x v="126"/>
    <x v="6"/>
    <s v="Percent change"/>
    <s v="Units"/>
    <x v="5"/>
    <n v="10.02"/>
  </r>
  <r>
    <n v="200"/>
    <x v="3"/>
    <x v="126"/>
    <x v="6"/>
    <s v="Percent change"/>
    <s v="Units"/>
    <x v="6"/>
    <n v="-0.98299999999999998"/>
  </r>
  <r>
    <n v="603"/>
    <x v="12"/>
    <x v="126"/>
    <x v="6"/>
    <s v="Percent change"/>
    <s v="Units"/>
    <x v="0"/>
    <n v="15.702"/>
  </r>
  <r>
    <n v="603"/>
    <x v="12"/>
    <x v="126"/>
    <x v="6"/>
    <s v="Percent change"/>
    <s v="Units"/>
    <x v="1"/>
    <n v="-17.643999999999998"/>
  </r>
  <r>
    <n v="603"/>
    <x v="12"/>
    <x v="126"/>
    <x v="6"/>
    <s v="Percent change"/>
    <s v="Units"/>
    <x v="2"/>
    <n v="19.998999999999999"/>
  </r>
  <r>
    <n v="603"/>
    <x v="12"/>
    <x v="126"/>
    <x v="6"/>
    <s v="Percent change"/>
    <s v="Units"/>
    <x v="3"/>
    <n v="-6.4790000000000001"/>
  </r>
  <r>
    <n v="603"/>
    <x v="12"/>
    <x v="126"/>
    <x v="6"/>
    <s v="Percent change"/>
    <s v="Units"/>
    <x v="4"/>
    <n v="5.1449999999999996"/>
  </r>
  <r>
    <n v="603"/>
    <x v="12"/>
    <x v="126"/>
    <x v="6"/>
    <s v="Percent change"/>
    <s v="Units"/>
    <x v="5"/>
    <n v="10.02"/>
  </r>
  <r>
    <n v="603"/>
    <x v="12"/>
    <x v="126"/>
    <x v="6"/>
    <s v="Percent change"/>
    <s v="Units"/>
    <x v="6"/>
    <n v="-0.98299999999999998"/>
  </r>
  <r>
    <n v="1"/>
    <x v="2"/>
    <x v="126"/>
    <x v="6"/>
    <s v="Percent change"/>
    <s v="Units"/>
    <x v="0"/>
    <n v="15.702"/>
  </r>
  <r>
    <n v="1"/>
    <x v="2"/>
    <x v="126"/>
    <x v="6"/>
    <s v="Percent change"/>
    <s v="Units"/>
    <x v="1"/>
    <n v="-17.643999999999998"/>
  </r>
  <r>
    <n v="1"/>
    <x v="2"/>
    <x v="126"/>
    <x v="6"/>
    <s v="Percent change"/>
    <s v="Units"/>
    <x v="2"/>
    <n v="19.998999999999999"/>
  </r>
  <r>
    <n v="1"/>
    <x v="2"/>
    <x v="126"/>
    <x v="6"/>
    <s v="Percent change"/>
    <s v="Units"/>
    <x v="3"/>
    <n v="-6.4790000000000001"/>
  </r>
  <r>
    <n v="1"/>
    <x v="2"/>
    <x v="126"/>
    <x v="6"/>
    <s v="Percent change"/>
    <s v="Units"/>
    <x v="4"/>
    <n v="5.1449999999999996"/>
  </r>
  <r>
    <n v="1"/>
    <x v="2"/>
    <x v="126"/>
    <x v="6"/>
    <s v="Percent change"/>
    <s v="Units"/>
    <x v="5"/>
    <n v="10.02"/>
  </r>
  <r>
    <n v="1"/>
    <x v="2"/>
    <x v="126"/>
    <x v="6"/>
    <s v="Percent change"/>
    <s v="Units"/>
    <x v="6"/>
    <n v="-0.98299999999999998"/>
  </r>
  <r>
    <n v="505"/>
    <x v="4"/>
    <x v="143"/>
    <x v="4"/>
    <s v="Percent change"/>
    <s v="Units"/>
    <x v="0"/>
    <n v="6.2859999999999996"/>
  </r>
  <r>
    <n v="505"/>
    <x v="4"/>
    <x v="143"/>
    <x v="4"/>
    <s v="Percent change"/>
    <s v="Units"/>
    <x v="1"/>
    <n v="-15.053000000000001"/>
  </r>
  <r>
    <n v="505"/>
    <x v="4"/>
    <x v="143"/>
    <x v="4"/>
    <s v="Percent change"/>
    <s v="Units"/>
    <x v="2"/>
    <n v="-22.001000000000001"/>
  </r>
  <r>
    <n v="505"/>
    <x v="4"/>
    <x v="143"/>
    <x v="4"/>
    <s v="Percent change"/>
    <s v="Units"/>
    <x v="3"/>
    <n v="23.89"/>
  </r>
  <r>
    <n v="505"/>
    <x v="4"/>
    <x v="143"/>
    <x v="4"/>
    <s v="Percent change"/>
    <s v="Units"/>
    <x v="4"/>
    <n v="53.573"/>
  </r>
  <r>
    <n v="505"/>
    <x v="4"/>
    <x v="143"/>
    <x v="4"/>
    <s v="Percent change"/>
    <s v="Units"/>
    <x v="5"/>
    <n v="9.9710000000000001"/>
  </r>
  <r>
    <n v="505"/>
    <x v="4"/>
    <x v="143"/>
    <x v="4"/>
    <s v="Percent change"/>
    <s v="Units"/>
    <x v="6"/>
    <n v="13.705"/>
  </r>
  <r>
    <n v="1"/>
    <x v="2"/>
    <x v="143"/>
    <x v="4"/>
    <s v="Percent change"/>
    <s v="Units"/>
    <x v="0"/>
    <n v="6.2859999999999996"/>
  </r>
  <r>
    <n v="1"/>
    <x v="2"/>
    <x v="143"/>
    <x v="4"/>
    <s v="Percent change"/>
    <s v="Units"/>
    <x v="1"/>
    <n v="-15.053000000000001"/>
  </r>
  <r>
    <n v="1"/>
    <x v="2"/>
    <x v="143"/>
    <x v="4"/>
    <s v="Percent change"/>
    <s v="Units"/>
    <x v="2"/>
    <n v="-22.001000000000001"/>
  </r>
  <r>
    <n v="1"/>
    <x v="2"/>
    <x v="143"/>
    <x v="4"/>
    <s v="Percent change"/>
    <s v="Units"/>
    <x v="3"/>
    <n v="23.89"/>
  </r>
  <r>
    <n v="1"/>
    <x v="2"/>
    <x v="143"/>
    <x v="4"/>
    <s v="Percent change"/>
    <s v="Units"/>
    <x v="4"/>
    <n v="53.573"/>
  </r>
  <r>
    <n v="1"/>
    <x v="2"/>
    <x v="143"/>
    <x v="4"/>
    <s v="Percent change"/>
    <s v="Units"/>
    <x v="5"/>
    <n v="9.9710000000000001"/>
  </r>
  <r>
    <n v="1"/>
    <x v="2"/>
    <x v="143"/>
    <x v="4"/>
    <s v="Percent change"/>
    <s v="Units"/>
    <x v="6"/>
    <n v="13.705"/>
  </r>
  <r>
    <n v="200"/>
    <x v="3"/>
    <x v="143"/>
    <x v="4"/>
    <s v="Percent change"/>
    <s v="Units"/>
    <x v="0"/>
    <n v="6.2859999999999996"/>
  </r>
  <r>
    <n v="200"/>
    <x v="3"/>
    <x v="143"/>
    <x v="4"/>
    <s v="Percent change"/>
    <s v="Units"/>
    <x v="1"/>
    <n v="-15.053000000000001"/>
  </r>
  <r>
    <n v="200"/>
    <x v="3"/>
    <x v="143"/>
    <x v="4"/>
    <s v="Percent change"/>
    <s v="Units"/>
    <x v="2"/>
    <n v="-22.001000000000001"/>
  </r>
  <r>
    <n v="200"/>
    <x v="3"/>
    <x v="143"/>
    <x v="4"/>
    <s v="Percent change"/>
    <s v="Units"/>
    <x v="3"/>
    <n v="23.89"/>
  </r>
  <r>
    <n v="200"/>
    <x v="3"/>
    <x v="143"/>
    <x v="4"/>
    <s v="Percent change"/>
    <s v="Units"/>
    <x v="4"/>
    <n v="53.573"/>
  </r>
  <r>
    <n v="200"/>
    <x v="3"/>
    <x v="143"/>
    <x v="4"/>
    <s v="Percent change"/>
    <s v="Units"/>
    <x v="5"/>
    <n v="9.9710000000000001"/>
  </r>
  <r>
    <n v="200"/>
    <x v="3"/>
    <x v="143"/>
    <x v="4"/>
    <s v="Percent change"/>
    <s v="Units"/>
    <x v="6"/>
    <n v="13.705"/>
  </r>
  <r>
    <n v="205"/>
    <x v="7"/>
    <x v="39"/>
    <x v="5"/>
    <s v="Percent of GDP"/>
    <s v="Units"/>
    <x v="0"/>
    <n v="16.797000000000001"/>
  </r>
  <r>
    <n v="205"/>
    <x v="7"/>
    <x v="39"/>
    <x v="5"/>
    <s v="Percent of GDP"/>
    <s v="Units"/>
    <x v="1"/>
    <n v="15.7"/>
  </r>
  <r>
    <n v="205"/>
    <x v="7"/>
    <x v="39"/>
    <x v="5"/>
    <s v="Percent of GDP"/>
    <s v="Units"/>
    <x v="2"/>
    <n v="13.28"/>
  </r>
  <r>
    <n v="205"/>
    <x v="7"/>
    <x v="39"/>
    <x v="5"/>
    <s v="Percent of GDP"/>
    <s v="Units"/>
    <x v="3"/>
    <n v="13.557"/>
  </r>
  <r>
    <n v="205"/>
    <x v="7"/>
    <x v="39"/>
    <x v="5"/>
    <s v="Percent of GDP"/>
    <s v="Units"/>
    <x v="4"/>
    <n v="10.14"/>
  </r>
  <r>
    <n v="205"/>
    <x v="7"/>
    <x v="39"/>
    <x v="5"/>
    <s v="Percent of GDP"/>
    <s v="Units"/>
    <x v="5"/>
    <n v="9.875"/>
  </r>
  <r>
    <n v="205"/>
    <x v="7"/>
    <x v="39"/>
    <x v="5"/>
    <s v="Percent of GDP"/>
    <s v="Units"/>
    <x v="6"/>
    <n v="11.154999999999999"/>
  </r>
  <r>
    <n v="1"/>
    <x v="2"/>
    <x v="39"/>
    <x v="5"/>
    <s v="Percent of GDP"/>
    <s v="Units"/>
    <x v="0"/>
    <n v="16.797000000000001"/>
  </r>
  <r>
    <n v="1"/>
    <x v="2"/>
    <x v="39"/>
    <x v="5"/>
    <s v="Percent of GDP"/>
    <s v="Units"/>
    <x v="1"/>
    <n v="15.7"/>
  </r>
  <r>
    <n v="1"/>
    <x v="2"/>
    <x v="39"/>
    <x v="5"/>
    <s v="Percent of GDP"/>
    <s v="Units"/>
    <x v="2"/>
    <n v="13.28"/>
  </r>
  <r>
    <n v="1"/>
    <x v="2"/>
    <x v="39"/>
    <x v="5"/>
    <s v="Percent of GDP"/>
    <s v="Units"/>
    <x v="3"/>
    <n v="13.557"/>
  </r>
  <r>
    <n v="1"/>
    <x v="2"/>
    <x v="39"/>
    <x v="5"/>
    <s v="Percent of GDP"/>
    <s v="Units"/>
    <x v="4"/>
    <n v="10.14"/>
  </r>
  <r>
    <n v="1"/>
    <x v="2"/>
    <x v="39"/>
    <x v="5"/>
    <s v="Percent of GDP"/>
    <s v="Units"/>
    <x v="5"/>
    <n v="9.875"/>
  </r>
  <r>
    <n v="1"/>
    <x v="2"/>
    <x v="39"/>
    <x v="5"/>
    <s v="Percent of GDP"/>
    <s v="Units"/>
    <x v="6"/>
    <n v="11.154999999999999"/>
  </r>
  <r>
    <n v="200"/>
    <x v="3"/>
    <x v="39"/>
    <x v="5"/>
    <s v="Percent of GDP"/>
    <s v="Units"/>
    <x v="0"/>
    <n v="16.797000000000001"/>
  </r>
  <r>
    <n v="200"/>
    <x v="3"/>
    <x v="39"/>
    <x v="5"/>
    <s v="Percent of GDP"/>
    <s v="Units"/>
    <x v="1"/>
    <n v="15.7"/>
  </r>
  <r>
    <n v="200"/>
    <x v="3"/>
    <x v="39"/>
    <x v="5"/>
    <s v="Percent of GDP"/>
    <s v="Units"/>
    <x v="2"/>
    <n v="13.28"/>
  </r>
  <r>
    <n v="200"/>
    <x v="3"/>
    <x v="39"/>
    <x v="5"/>
    <s v="Percent of GDP"/>
    <s v="Units"/>
    <x v="3"/>
    <n v="13.557"/>
  </r>
  <r>
    <n v="200"/>
    <x v="3"/>
    <x v="39"/>
    <x v="5"/>
    <s v="Percent of GDP"/>
    <s v="Units"/>
    <x v="4"/>
    <n v="10.14"/>
  </r>
  <r>
    <n v="200"/>
    <x v="3"/>
    <x v="39"/>
    <x v="5"/>
    <s v="Percent of GDP"/>
    <s v="Units"/>
    <x v="5"/>
    <n v="9.875"/>
  </r>
  <r>
    <n v="200"/>
    <x v="3"/>
    <x v="39"/>
    <x v="5"/>
    <s v="Percent of GDP"/>
    <s v="Units"/>
    <x v="6"/>
    <n v="11.154999999999999"/>
  </r>
  <r>
    <n v="200"/>
    <x v="3"/>
    <x v="163"/>
    <x v="0"/>
    <s v="U.S. dollars"/>
    <s v="Billions"/>
    <x v="0"/>
    <n v="6.9930000000000003"/>
  </r>
  <r>
    <n v="200"/>
    <x v="3"/>
    <x v="163"/>
    <x v="0"/>
    <s v="U.S. dollars"/>
    <s v="Billions"/>
    <x v="1"/>
    <n v="7.4"/>
  </r>
  <r>
    <n v="200"/>
    <x v="3"/>
    <x v="163"/>
    <x v="0"/>
    <s v="U.S. dollars"/>
    <s v="Billions"/>
    <x v="2"/>
    <n v="8.3379999999999992"/>
  </r>
  <r>
    <n v="200"/>
    <x v="3"/>
    <x v="163"/>
    <x v="0"/>
    <s v="U.S. dollars"/>
    <s v="Billions"/>
    <x v="3"/>
    <n v="8.1440000000000001"/>
  </r>
  <r>
    <n v="200"/>
    <x v="3"/>
    <x v="163"/>
    <x v="0"/>
    <s v="U.S. dollars"/>
    <s v="Billions"/>
    <x v="4"/>
    <n v="9.0549999999999997"/>
  </r>
  <r>
    <n v="200"/>
    <x v="3"/>
    <x v="163"/>
    <x v="0"/>
    <s v="U.S. dollars"/>
    <s v="Billions"/>
    <x v="5"/>
    <n v="9.8320000000000007"/>
  </r>
  <r>
    <n v="200"/>
    <x v="3"/>
    <x v="163"/>
    <x v="0"/>
    <s v="U.S. dollars"/>
    <s v="Billions"/>
    <x v="6"/>
    <n v="10.557"/>
  </r>
  <r>
    <n v="603"/>
    <x v="12"/>
    <x v="163"/>
    <x v="0"/>
    <s v="U.S. dollars"/>
    <s v="Billions"/>
    <x v="0"/>
    <n v="6.9930000000000003"/>
  </r>
  <r>
    <n v="603"/>
    <x v="12"/>
    <x v="163"/>
    <x v="0"/>
    <s v="U.S. dollars"/>
    <s v="Billions"/>
    <x v="1"/>
    <n v="7.4"/>
  </r>
  <r>
    <n v="603"/>
    <x v="12"/>
    <x v="163"/>
    <x v="0"/>
    <s v="U.S. dollars"/>
    <s v="Billions"/>
    <x v="2"/>
    <n v="8.3379999999999992"/>
  </r>
  <r>
    <n v="603"/>
    <x v="12"/>
    <x v="163"/>
    <x v="0"/>
    <s v="U.S. dollars"/>
    <s v="Billions"/>
    <x v="3"/>
    <n v="8.1440000000000001"/>
  </r>
  <r>
    <n v="603"/>
    <x v="12"/>
    <x v="163"/>
    <x v="0"/>
    <s v="U.S. dollars"/>
    <s v="Billions"/>
    <x v="4"/>
    <n v="9.0549999999999997"/>
  </r>
  <r>
    <n v="603"/>
    <x v="12"/>
    <x v="163"/>
    <x v="0"/>
    <s v="U.S. dollars"/>
    <s v="Billions"/>
    <x v="5"/>
    <n v="9.8320000000000007"/>
  </r>
  <r>
    <n v="603"/>
    <x v="12"/>
    <x v="163"/>
    <x v="0"/>
    <s v="U.S. dollars"/>
    <s v="Billions"/>
    <x v="6"/>
    <n v="10.557"/>
  </r>
  <r>
    <n v="1"/>
    <x v="2"/>
    <x v="163"/>
    <x v="0"/>
    <s v="U.S. dollars"/>
    <s v="Billions"/>
    <x v="0"/>
    <n v="6.9930000000000003"/>
  </r>
  <r>
    <n v="1"/>
    <x v="2"/>
    <x v="163"/>
    <x v="0"/>
    <s v="U.S. dollars"/>
    <s v="Billions"/>
    <x v="1"/>
    <n v="7.4"/>
  </r>
  <r>
    <n v="1"/>
    <x v="2"/>
    <x v="163"/>
    <x v="0"/>
    <s v="U.S. dollars"/>
    <s v="Billions"/>
    <x v="2"/>
    <n v="8.3379999999999992"/>
  </r>
  <r>
    <n v="1"/>
    <x v="2"/>
    <x v="163"/>
    <x v="0"/>
    <s v="U.S. dollars"/>
    <s v="Billions"/>
    <x v="3"/>
    <n v="8.1440000000000001"/>
  </r>
  <r>
    <n v="1"/>
    <x v="2"/>
    <x v="163"/>
    <x v="0"/>
    <s v="U.S. dollars"/>
    <s v="Billions"/>
    <x v="4"/>
    <n v="9.0549999999999997"/>
  </r>
  <r>
    <n v="1"/>
    <x v="2"/>
    <x v="163"/>
    <x v="0"/>
    <s v="U.S. dollars"/>
    <s v="Billions"/>
    <x v="5"/>
    <n v="9.8320000000000007"/>
  </r>
  <r>
    <n v="1"/>
    <x v="2"/>
    <x v="163"/>
    <x v="0"/>
    <s v="U.S. dollars"/>
    <s v="Billions"/>
    <x v="6"/>
    <n v="10.557"/>
  </r>
  <r>
    <n v="200"/>
    <x v="3"/>
    <x v="71"/>
    <x v="4"/>
    <s v="Percent change"/>
    <s v="Units"/>
    <x v="0"/>
    <n v="1.6E-2"/>
  </r>
  <r>
    <n v="200"/>
    <x v="3"/>
    <x v="71"/>
    <x v="4"/>
    <s v="Percent change"/>
    <s v="Units"/>
    <x v="1"/>
    <n v="-7.26"/>
  </r>
  <r>
    <n v="200"/>
    <x v="3"/>
    <x v="71"/>
    <x v="4"/>
    <s v="Percent change"/>
    <s v="Units"/>
    <x v="2"/>
    <n v="11.012"/>
  </r>
  <r>
    <n v="200"/>
    <x v="3"/>
    <x v="71"/>
    <x v="4"/>
    <s v="Percent change"/>
    <s v="Units"/>
    <x v="3"/>
    <n v="3.512"/>
  </r>
  <r>
    <n v="200"/>
    <x v="3"/>
    <x v="71"/>
    <x v="4"/>
    <s v="Percent change"/>
    <s v="Units"/>
    <x v="4"/>
    <n v="-9.2829999999999995"/>
  </r>
  <r>
    <n v="200"/>
    <x v="3"/>
    <x v="71"/>
    <x v="4"/>
    <s v="Percent change"/>
    <s v="Units"/>
    <x v="5"/>
    <n v="9.7910000000000004"/>
  </r>
  <r>
    <n v="200"/>
    <x v="3"/>
    <x v="71"/>
    <x v="4"/>
    <s v="Percent change"/>
    <s v="Units"/>
    <x v="6"/>
    <n v="8.0459999999999994"/>
  </r>
  <r>
    <n v="1"/>
    <x v="2"/>
    <x v="71"/>
    <x v="4"/>
    <s v="Percent change"/>
    <s v="Units"/>
    <x v="0"/>
    <n v="1.6E-2"/>
  </r>
  <r>
    <n v="1"/>
    <x v="2"/>
    <x v="71"/>
    <x v="4"/>
    <s v="Percent change"/>
    <s v="Units"/>
    <x v="1"/>
    <n v="-7.26"/>
  </r>
  <r>
    <n v="1"/>
    <x v="2"/>
    <x v="71"/>
    <x v="4"/>
    <s v="Percent change"/>
    <s v="Units"/>
    <x v="2"/>
    <n v="11.012"/>
  </r>
  <r>
    <n v="1"/>
    <x v="2"/>
    <x v="71"/>
    <x v="4"/>
    <s v="Percent change"/>
    <s v="Units"/>
    <x v="3"/>
    <n v="3.512"/>
  </r>
  <r>
    <n v="1"/>
    <x v="2"/>
    <x v="71"/>
    <x v="4"/>
    <s v="Percent change"/>
    <s v="Units"/>
    <x v="4"/>
    <n v="-9.2829999999999995"/>
  </r>
  <r>
    <n v="1"/>
    <x v="2"/>
    <x v="71"/>
    <x v="4"/>
    <s v="Percent change"/>
    <s v="Units"/>
    <x v="5"/>
    <n v="9.7910000000000004"/>
  </r>
  <r>
    <n v="1"/>
    <x v="2"/>
    <x v="71"/>
    <x v="4"/>
    <s v="Percent change"/>
    <s v="Units"/>
    <x v="6"/>
    <n v="8.0459999999999994"/>
  </r>
  <r>
    <n v="603"/>
    <x v="12"/>
    <x v="71"/>
    <x v="4"/>
    <s v="Percent change"/>
    <s v="Units"/>
    <x v="0"/>
    <n v="1.6E-2"/>
  </r>
  <r>
    <n v="603"/>
    <x v="12"/>
    <x v="71"/>
    <x v="4"/>
    <s v="Percent change"/>
    <s v="Units"/>
    <x v="1"/>
    <n v="-7.26"/>
  </r>
  <r>
    <n v="603"/>
    <x v="12"/>
    <x v="71"/>
    <x v="4"/>
    <s v="Percent change"/>
    <s v="Units"/>
    <x v="2"/>
    <n v="11.012"/>
  </r>
  <r>
    <n v="603"/>
    <x v="12"/>
    <x v="71"/>
    <x v="4"/>
    <s v="Percent change"/>
    <s v="Units"/>
    <x v="3"/>
    <n v="3.512"/>
  </r>
  <r>
    <n v="603"/>
    <x v="12"/>
    <x v="71"/>
    <x v="4"/>
    <s v="Percent change"/>
    <s v="Units"/>
    <x v="4"/>
    <n v="-9.2829999999999995"/>
  </r>
  <r>
    <n v="603"/>
    <x v="12"/>
    <x v="71"/>
    <x v="4"/>
    <s v="Percent change"/>
    <s v="Units"/>
    <x v="5"/>
    <n v="9.7910000000000004"/>
  </r>
  <r>
    <n v="603"/>
    <x v="12"/>
    <x v="71"/>
    <x v="4"/>
    <s v="Percent change"/>
    <s v="Units"/>
    <x v="6"/>
    <n v="8.0459999999999994"/>
  </r>
  <r>
    <n v="505"/>
    <x v="4"/>
    <x v="143"/>
    <x v="1"/>
    <s v="Percent change"/>
    <s v="Units"/>
    <x v="0"/>
    <n v="7.32"/>
  </r>
  <r>
    <n v="505"/>
    <x v="4"/>
    <x v="143"/>
    <x v="1"/>
    <s v="Percent change"/>
    <s v="Units"/>
    <x v="1"/>
    <n v="3.7349999999999999"/>
  </r>
  <r>
    <n v="505"/>
    <x v="4"/>
    <x v="143"/>
    <x v="1"/>
    <s v="Percent change"/>
    <s v="Units"/>
    <x v="2"/>
    <n v="7.359"/>
  </r>
  <r>
    <n v="505"/>
    <x v="4"/>
    <x v="143"/>
    <x v="1"/>
    <s v="Percent change"/>
    <s v="Units"/>
    <x v="3"/>
    <n v="15.153"/>
  </r>
  <r>
    <n v="505"/>
    <x v="4"/>
    <x v="143"/>
    <x v="1"/>
    <s v="Percent change"/>
    <s v="Units"/>
    <x v="4"/>
    <n v="10.348000000000001"/>
  </r>
  <r>
    <n v="505"/>
    <x v="4"/>
    <x v="143"/>
    <x v="1"/>
    <s v="Percent change"/>
    <s v="Units"/>
    <x v="5"/>
    <n v="9.7469999999999999"/>
  </r>
  <r>
    <n v="505"/>
    <x v="4"/>
    <x v="143"/>
    <x v="1"/>
    <s v="Percent change"/>
    <s v="Units"/>
    <x v="6"/>
    <n v="9.9499999999999993"/>
  </r>
  <r>
    <n v="200"/>
    <x v="3"/>
    <x v="143"/>
    <x v="1"/>
    <s v="Percent change"/>
    <s v="Units"/>
    <x v="0"/>
    <n v="7.32"/>
  </r>
  <r>
    <n v="200"/>
    <x v="3"/>
    <x v="143"/>
    <x v="1"/>
    <s v="Percent change"/>
    <s v="Units"/>
    <x v="1"/>
    <n v="3.7349999999999999"/>
  </r>
  <r>
    <n v="200"/>
    <x v="3"/>
    <x v="143"/>
    <x v="1"/>
    <s v="Percent change"/>
    <s v="Units"/>
    <x v="2"/>
    <n v="7.359"/>
  </r>
  <r>
    <n v="200"/>
    <x v="3"/>
    <x v="143"/>
    <x v="1"/>
    <s v="Percent change"/>
    <s v="Units"/>
    <x v="3"/>
    <n v="15.153"/>
  </r>
  <r>
    <n v="200"/>
    <x v="3"/>
    <x v="143"/>
    <x v="1"/>
    <s v="Percent change"/>
    <s v="Units"/>
    <x v="4"/>
    <n v="10.348000000000001"/>
  </r>
  <r>
    <n v="200"/>
    <x v="3"/>
    <x v="143"/>
    <x v="1"/>
    <s v="Percent change"/>
    <s v="Units"/>
    <x v="5"/>
    <n v="9.7469999999999999"/>
  </r>
  <r>
    <n v="200"/>
    <x v="3"/>
    <x v="143"/>
    <x v="1"/>
    <s v="Percent change"/>
    <s v="Units"/>
    <x v="6"/>
    <n v="9.9499999999999993"/>
  </r>
  <r>
    <n v="1"/>
    <x v="2"/>
    <x v="143"/>
    <x v="1"/>
    <s v="Percent change"/>
    <s v="Units"/>
    <x v="0"/>
    <n v="7.32"/>
  </r>
  <r>
    <n v="1"/>
    <x v="2"/>
    <x v="143"/>
    <x v="1"/>
    <s v="Percent change"/>
    <s v="Units"/>
    <x v="1"/>
    <n v="3.7349999999999999"/>
  </r>
  <r>
    <n v="1"/>
    <x v="2"/>
    <x v="143"/>
    <x v="1"/>
    <s v="Percent change"/>
    <s v="Units"/>
    <x v="2"/>
    <n v="7.359"/>
  </r>
  <r>
    <n v="1"/>
    <x v="2"/>
    <x v="143"/>
    <x v="1"/>
    <s v="Percent change"/>
    <s v="Units"/>
    <x v="3"/>
    <n v="15.153"/>
  </r>
  <r>
    <n v="1"/>
    <x v="2"/>
    <x v="143"/>
    <x v="1"/>
    <s v="Percent change"/>
    <s v="Units"/>
    <x v="4"/>
    <n v="10.348000000000001"/>
  </r>
  <r>
    <n v="1"/>
    <x v="2"/>
    <x v="143"/>
    <x v="1"/>
    <s v="Percent change"/>
    <s v="Units"/>
    <x v="5"/>
    <n v="9.7469999999999999"/>
  </r>
  <r>
    <n v="1"/>
    <x v="2"/>
    <x v="143"/>
    <x v="1"/>
    <s v="Percent change"/>
    <s v="Units"/>
    <x v="6"/>
    <n v="9.9499999999999993"/>
  </r>
  <r>
    <n v="603"/>
    <x v="12"/>
    <x v="138"/>
    <x v="6"/>
    <s v="Percent change"/>
    <s v="Units"/>
    <x v="0"/>
    <n v="10.536"/>
  </r>
  <r>
    <n v="603"/>
    <x v="12"/>
    <x v="138"/>
    <x v="6"/>
    <s v="Percent change"/>
    <s v="Units"/>
    <x v="1"/>
    <n v="3.8719999999999999"/>
  </r>
  <r>
    <n v="603"/>
    <x v="12"/>
    <x v="138"/>
    <x v="6"/>
    <s v="Percent change"/>
    <s v="Units"/>
    <x v="2"/>
    <n v="-6.569"/>
  </r>
  <r>
    <n v="603"/>
    <x v="12"/>
    <x v="138"/>
    <x v="6"/>
    <s v="Percent change"/>
    <s v="Units"/>
    <x v="3"/>
    <n v="-8.7439999999999998"/>
  </r>
  <r>
    <n v="603"/>
    <x v="12"/>
    <x v="138"/>
    <x v="6"/>
    <s v="Percent change"/>
    <s v="Units"/>
    <x v="4"/>
    <n v="1.597"/>
  </r>
  <r>
    <n v="603"/>
    <x v="12"/>
    <x v="138"/>
    <x v="6"/>
    <s v="Percent change"/>
    <s v="Units"/>
    <x v="5"/>
    <n v="9.7449999999999992"/>
  </r>
  <r>
    <n v="603"/>
    <x v="12"/>
    <x v="138"/>
    <x v="6"/>
    <s v="Percent change"/>
    <s v="Units"/>
    <x v="6"/>
    <n v="4.4800000000000004"/>
  </r>
  <r>
    <n v="1"/>
    <x v="2"/>
    <x v="138"/>
    <x v="6"/>
    <s v="Percent change"/>
    <s v="Units"/>
    <x v="0"/>
    <n v="10.536"/>
  </r>
  <r>
    <n v="1"/>
    <x v="2"/>
    <x v="138"/>
    <x v="6"/>
    <s v="Percent change"/>
    <s v="Units"/>
    <x v="1"/>
    <n v="3.8719999999999999"/>
  </r>
  <r>
    <n v="1"/>
    <x v="2"/>
    <x v="138"/>
    <x v="6"/>
    <s v="Percent change"/>
    <s v="Units"/>
    <x v="2"/>
    <n v="-6.569"/>
  </r>
  <r>
    <n v="1"/>
    <x v="2"/>
    <x v="138"/>
    <x v="6"/>
    <s v="Percent change"/>
    <s v="Units"/>
    <x v="3"/>
    <n v="-8.7439999999999998"/>
  </r>
  <r>
    <n v="1"/>
    <x v="2"/>
    <x v="138"/>
    <x v="6"/>
    <s v="Percent change"/>
    <s v="Units"/>
    <x v="4"/>
    <n v="1.597"/>
  </r>
  <r>
    <n v="1"/>
    <x v="2"/>
    <x v="138"/>
    <x v="6"/>
    <s v="Percent change"/>
    <s v="Units"/>
    <x v="5"/>
    <n v="9.7449999999999992"/>
  </r>
  <r>
    <n v="1"/>
    <x v="2"/>
    <x v="138"/>
    <x v="6"/>
    <s v="Percent change"/>
    <s v="Units"/>
    <x v="6"/>
    <n v="4.4800000000000004"/>
  </r>
  <r>
    <n v="200"/>
    <x v="3"/>
    <x v="138"/>
    <x v="6"/>
    <s v="Percent change"/>
    <s v="Units"/>
    <x v="0"/>
    <n v="10.536"/>
  </r>
  <r>
    <n v="200"/>
    <x v="3"/>
    <x v="138"/>
    <x v="6"/>
    <s v="Percent change"/>
    <s v="Units"/>
    <x v="1"/>
    <n v="3.8719999999999999"/>
  </r>
  <r>
    <n v="200"/>
    <x v="3"/>
    <x v="138"/>
    <x v="6"/>
    <s v="Percent change"/>
    <s v="Units"/>
    <x v="2"/>
    <n v="-6.569"/>
  </r>
  <r>
    <n v="200"/>
    <x v="3"/>
    <x v="138"/>
    <x v="6"/>
    <s v="Percent change"/>
    <s v="Units"/>
    <x v="3"/>
    <n v="-8.7439999999999998"/>
  </r>
  <r>
    <n v="200"/>
    <x v="3"/>
    <x v="138"/>
    <x v="6"/>
    <s v="Percent change"/>
    <s v="Units"/>
    <x v="4"/>
    <n v="1.597"/>
  </r>
  <r>
    <n v="200"/>
    <x v="3"/>
    <x v="138"/>
    <x v="6"/>
    <s v="Percent change"/>
    <s v="Units"/>
    <x v="5"/>
    <n v="9.7449999999999992"/>
  </r>
  <r>
    <n v="200"/>
    <x v="3"/>
    <x v="138"/>
    <x v="6"/>
    <s v="Percent change"/>
    <s v="Units"/>
    <x v="6"/>
    <n v="4.4800000000000004"/>
  </r>
  <r>
    <n v="1"/>
    <x v="2"/>
    <x v="159"/>
    <x v="5"/>
    <s v="Percent of GDP"/>
    <s v="Units"/>
    <x v="0"/>
    <n v="11.739000000000001"/>
  </r>
  <r>
    <n v="1"/>
    <x v="2"/>
    <x v="159"/>
    <x v="5"/>
    <s v="Percent of GDP"/>
    <s v="Units"/>
    <x v="1"/>
    <n v="11.86"/>
  </r>
  <r>
    <n v="1"/>
    <x v="2"/>
    <x v="159"/>
    <x v="5"/>
    <s v="Percent of GDP"/>
    <s v="Units"/>
    <x v="2"/>
    <n v="6.92"/>
  </r>
  <r>
    <n v="1"/>
    <x v="2"/>
    <x v="159"/>
    <x v="5"/>
    <s v="Percent of GDP"/>
    <s v="Units"/>
    <x v="3"/>
    <n v="7.1849999999999996"/>
  </r>
  <r>
    <n v="1"/>
    <x v="2"/>
    <x v="159"/>
    <x v="5"/>
    <s v="Percent of GDP"/>
    <s v="Units"/>
    <x v="4"/>
    <n v="7.8650000000000002"/>
  </r>
  <r>
    <n v="1"/>
    <x v="2"/>
    <x v="159"/>
    <x v="5"/>
    <s v="Percent of GDP"/>
    <s v="Units"/>
    <x v="5"/>
    <n v="9.7390000000000008"/>
  </r>
  <r>
    <n v="1"/>
    <x v="2"/>
    <x v="159"/>
    <x v="5"/>
    <s v="Percent of GDP"/>
    <s v="Units"/>
    <x v="6"/>
    <n v="10.936"/>
  </r>
  <r>
    <n v="205"/>
    <x v="7"/>
    <x v="159"/>
    <x v="5"/>
    <s v="Percent of GDP"/>
    <s v="Units"/>
    <x v="0"/>
    <n v="11.739000000000001"/>
  </r>
  <r>
    <n v="205"/>
    <x v="7"/>
    <x v="159"/>
    <x v="5"/>
    <s v="Percent of GDP"/>
    <s v="Units"/>
    <x v="1"/>
    <n v="11.86"/>
  </r>
  <r>
    <n v="205"/>
    <x v="7"/>
    <x v="159"/>
    <x v="5"/>
    <s v="Percent of GDP"/>
    <s v="Units"/>
    <x v="2"/>
    <n v="6.92"/>
  </r>
  <r>
    <n v="205"/>
    <x v="7"/>
    <x v="159"/>
    <x v="5"/>
    <s v="Percent of GDP"/>
    <s v="Units"/>
    <x v="3"/>
    <n v="7.1849999999999996"/>
  </r>
  <r>
    <n v="205"/>
    <x v="7"/>
    <x v="159"/>
    <x v="5"/>
    <s v="Percent of GDP"/>
    <s v="Units"/>
    <x v="4"/>
    <n v="7.8650000000000002"/>
  </r>
  <r>
    <n v="205"/>
    <x v="7"/>
    <x v="159"/>
    <x v="5"/>
    <s v="Percent of GDP"/>
    <s v="Units"/>
    <x v="5"/>
    <n v="9.7390000000000008"/>
  </r>
  <r>
    <n v="205"/>
    <x v="7"/>
    <x v="159"/>
    <x v="5"/>
    <s v="Percent of GDP"/>
    <s v="Units"/>
    <x v="6"/>
    <n v="10.936"/>
  </r>
  <r>
    <n v="200"/>
    <x v="3"/>
    <x v="159"/>
    <x v="5"/>
    <s v="Percent of GDP"/>
    <s v="Units"/>
    <x v="0"/>
    <n v="11.739000000000001"/>
  </r>
  <r>
    <n v="200"/>
    <x v="3"/>
    <x v="159"/>
    <x v="5"/>
    <s v="Percent of GDP"/>
    <s v="Units"/>
    <x v="1"/>
    <n v="11.86"/>
  </r>
  <r>
    <n v="200"/>
    <x v="3"/>
    <x v="159"/>
    <x v="5"/>
    <s v="Percent of GDP"/>
    <s v="Units"/>
    <x v="2"/>
    <n v="6.92"/>
  </r>
  <r>
    <n v="200"/>
    <x v="3"/>
    <x v="159"/>
    <x v="5"/>
    <s v="Percent of GDP"/>
    <s v="Units"/>
    <x v="3"/>
    <n v="7.1849999999999996"/>
  </r>
  <r>
    <n v="200"/>
    <x v="3"/>
    <x v="159"/>
    <x v="5"/>
    <s v="Percent of GDP"/>
    <s v="Units"/>
    <x v="4"/>
    <n v="7.8650000000000002"/>
  </r>
  <r>
    <n v="200"/>
    <x v="3"/>
    <x v="159"/>
    <x v="5"/>
    <s v="Percent of GDP"/>
    <s v="Units"/>
    <x v="5"/>
    <n v="9.7390000000000008"/>
  </r>
  <r>
    <n v="200"/>
    <x v="3"/>
    <x v="159"/>
    <x v="5"/>
    <s v="Percent of GDP"/>
    <s v="Units"/>
    <x v="6"/>
    <n v="10.936"/>
  </r>
  <r>
    <n v="603"/>
    <x v="12"/>
    <x v="166"/>
    <x v="4"/>
    <s v="Percent change"/>
    <s v="Units"/>
    <x v="0"/>
    <n v="-4.891"/>
  </r>
  <r>
    <n v="603"/>
    <x v="12"/>
    <x v="166"/>
    <x v="4"/>
    <s v="Percent change"/>
    <s v="Units"/>
    <x v="1"/>
    <n v="-39.244"/>
  </r>
  <r>
    <n v="603"/>
    <x v="12"/>
    <x v="166"/>
    <x v="4"/>
    <s v="Percent change"/>
    <s v="Units"/>
    <x v="2"/>
    <n v="-7.1859999999999999"/>
  </r>
  <r>
    <n v="603"/>
    <x v="12"/>
    <x v="166"/>
    <x v="4"/>
    <s v="Percent change"/>
    <s v="Units"/>
    <x v="3"/>
    <n v="41.219000000000001"/>
  </r>
  <r>
    <n v="603"/>
    <x v="12"/>
    <x v="166"/>
    <x v="4"/>
    <s v="Percent change"/>
    <s v="Units"/>
    <x v="4"/>
    <n v="10.202"/>
  </r>
  <r>
    <n v="603"/>
    <x v="12"/>
    <x v="166"/>
    <x v="4"/>
    <s v="Percent change"/>
    <s v="Units"/>
    <x v="5"/>
    <n v="9.7200000000000006"/>
  </r>
  <r>
    <n v="603"/>
    <x v="12"/>
    <x v="166"/>
    <x v="4"/>
    <s v="Percent change"/>
    <s v="Units"/>
    <x v="6"/>
    <n v="9.718"/>
  </r>
  <r>
    <n v="200"/>
    <x v="3"/>
    <x v="166"/>
    <x v="4"/>
    <s v="Percent change"/>
    <s v="Units"/>
    <x v="0"/>
    <n v="-4.891"/>
  </r>
  <r>
    <n v="200"/>
    <x v="3"/>
    <x v="166"/>
    <x v="4"/>
    <s v="Percent change"/>
    <s v="Units"/>
    <x v="1"/>
    <n v="-39.244"/>
  </r>
  <r>
    <n v="200"/>
    <x v="3"/>
    <x v="166"/>
    <x v="4"/>
    <s v="Percent change"/>
    <s v="Units"/>
    <x v="2"/>
    <n v="-7.1859999999999999"/>
  </r>
  <r>
    <n v="200"/>
    <x v="3"/>
    <x v="166"/>
    <x v="4"/>
    <s v="Percent change"/>
    <s v="Units"/>
    <x v="3"/>
    <n v="41.219000000000001"/>
  </r>
  <r>
    <n v="200"/>
    <x v="3"/>
    <x v="166"/>
    <x v="4"/>
    <s v="Percent change"/>
    <s v="Units"/>
    <x v="4"/>
    <n v="10.202"/>
  </r>
  <r>
    <n v="200"/>
    <x v="3"/>
    <x v="166"/>
    <x v="4"/>
    <s v="Percent change"/>
    <s v="Units"/>
    <x v="5"/>
    <n v="9.7200000000000006"/>
  </r>
  <r>
    <n v="200"/>
    <x v="3"/>
    <x v="166"/>
    <x v="4"/>
    <s v="Percent change"/>
    <s v="Units"/>
    <x v="6"/>
    <n v="9.718"/>
  </r>
  <r>
    <n v="1"/>
    <x v="2"/>
    <x v="166"/>
    <x v="4"/>
    <s v="Percent change"/>
    <s v="Units"/>
    <x v="0"/>
    <n v="-4.891"/>
  </r>
  <r>
    <n v="1"/>
    <x v="2"/>
    <x v="166"/>
    <x v="4"/>
    <s v="Percent change"/>
    <s v="Units"/>
    <x v="1"/>
    <n v="-39.244"/>
  </r>
  <r>
    <n v="1"/>
    <x v="2"/>
    <x v="166"/>
    <x v="4"/>
    <s v="Percent change"/>
    <s v="Units"/>
    <x v="2"/>
    <n v="-7.1859999999999999"/>
  </r>
  <r>
    <n v="1"/>
    <x v="2"/>
    <x v="166"/>
    <x v="4"/>
    <s v="Percent change"/>
    <s v="Units"/>
    <x v="3"/>
    <n v="41.219000000000001"/>
  </r>
  <r>
    <n v="1"/>
    <x v="2"/>
    <x v="166"/>
    <x v="4"/>
    <s v="Percent change"/>
    <s v="Units"/>
    <x v="4"/>
    <n v="10.202"/>
  </r>
  <r>
    <n v="1"/>
    <x v="2"/>
    <x v="166"/>
    <x v="4"/>
    <s v="Percent change"/>
    <s v="Units"/>
    <x v="5"/>
    <n v="9.7200000000000006"/>
  </r>
  <r>
    <n v="1"/>
    <x v="2"/>
    <x v="166"/>
    <x v="4"/>
    <s v="Percent change"/>
    <s v="Units"/>
    <x v="6"/>
    <n v="9.718"/>
  </r>
  <r>
    <n v="1"/>
    <x v="2"/>
    <x v="49"/>
    <x v="6"/>
    <s v="Percent change"/>
    <s v="Units"/>
    <x v="0"/>
    <n v="-9.6880000000000006"/>
  </r>
  <r>
    <n v="1"/>
    <x v="2"/>
    <x v="49"/>
    <x v="6"/>
    <s v="Percent change"/>
    <s v="Units"/>
    <x v="1"/>
    <n v="-18.972000000000001"/>
  </r>
  <r>
    <n v="1"/>
    <x v="2"/>
    <x v="49"/>
    <x v="6"/>
    <s v="Percent change"/>
    <s v="Units"/>
    <x v="2"/>
    <n v="-5.7039999999999997"/>
  </r>
  <r>
    <n v="1"/>
    <x v="2"/>
    <x v="49"/>
    <x v="6"/>
    <s v="Percent change"/>
    <s v="Units"/>
    <x v="3"/>
    <n v="-4.9139999999999997"/>
  </r>
  <r>
    <n v="1"/>
    <x v="2"/>
    <x v="49"/>
    <x v="6"/>
    <s v="Percent change"/>
    <s v="Units"/>
    <x v="4"/>
    <n v="3"/>
  </r>
  <r>
    <n v="1"/>
    <x v="2"/>
    <x v="49"/>
    <x v="6"/>
    <s v="Percent change"/>
    <s v="Units"/>
    <x v="5"/>
    <n v="9.6969999999999992"/>
  </r>
  <r>
    <n v="1"/>
    <x v="2"/>
    <x v="49"/>
    <x v="6"/>
    <s v="Percent change"/>
    <s v="Units"/>
    <x v="6"/>
    <n v="6.835"/>
  </r>
  <r>
    <n v="200"/>
    <x v="3"/>
    <x v="49"/>
    <x v="6"/>
    <s v="Percent change"/>
    <s v="Units"/>
    <x v="0"/>
    <n v="-9.6880000000000006"/>
  </r>
  <r>
    <n v="200"/>
    <x v="3"/>
    <x v="49"/>
    <x v="6"/>
    <s v="Percent change"/>
    <s v="Units"/>
    <x v="1"/>
    <n v="-18.972000000000001"/>
  </r>
  <r>
    <n v="200"/>
    <x v="3"/>
    <x v="49"/>
    <x v="6"/>
    <s v="Percent change"/>
    <s v="Units"/>
    <x v="2"/>
    <n v="-5.7039999999999997"/>
  </r>
  <r>
    <n v="200"/>
    <x v="3"/>
    <x v="49"/>
    <x v="6"/>
    <s v="Percent change"/>
    <s v="Units"/>
    <x v="3"/>
    <n v="-4.9139999999999997"/>
  </r>
  <r>
    <n v="200"/>
    <x v="3"/>
    <x v="49"/>
    <x v="6"/>
    <s v="Percent change"/>
    <s v="Units"/>
    <x v="4"/>
    <n v="3"/>
  </r>
  <r>
    <n v="200"/>
    <x v="3"/>
    <x v="49"/>
    <x v="6"/>
    <s v="Percent change"/>
    <s v="Units"/>
    <x v="5"/>
    <n v="9.6969999999999992"/>
  </r>
  <r>
    <n v="200"/>
    <x v="3"/>
    <x v="49"/>
    <x v="6"/>
    <s v="Percent change"/>
    <s v="Units"/>
    <x v="6"/>
    <n v="6.835"/>
  </r>
  <r>
    <n v="400"/>
    <x v="11"/>
    <x v="49"/>
    <x v="6"/>
    <s v="Percent change"/>
    <s v="Units"/>
    <x v="0"/>
    <n v="-9.6880000000000006"/>
  </r>
  <r>
    <n v="400"/>
    <x v="11"/>
    <x v="49"/>
    <x v="6"/>
    <s v="Percent change"/>
    <s v="Units"/>
    <x v="1"/>
    <n v="-18.972000000000001"/>
  </r>
  <r>
    <n v="400"/>
    <x v="11"/>
    <x v="49"/>
    <x v="6"/>
    <s v="Percent change"/>
    <s v="Units"/>
    <x v="2"/>
    <n v="-5.7039999999999997"/>
  </r>
  <r>
    <n v="400"/>
    <x v="11"/>
    <x v="49"/>
    <x v="6"/>
    <s v="Percent change"/>
    <s v="Units"/>
    <x v="3"/>
    <n v="-4.9139999999999997"/>
  </r>
  <r>
    <n v="400"/>
    <x v="11"/>
    <x v="49"/>
    <x v="6"/>
    <s v="Percent change"/>
    <s v="Units"/>
    <x v="4"/>
    <n v="3"/>
  </r>
  <r>
    <n v="400"/>
    <x v="11"/>
    <x v="49"/>
    <x v="6"/>
    <s v="Percent change"/>
    <s v="Units"/>
    <x v="5"/>
    <n v="9.6969999999999992"/>
  </r>
  <r>
    <n v="400"/>
    <x v="11"/>
    <x v="49"/>
    <x v="6"/>
    <s v="Percent change"/>
    <s v="Units"/>
    <x v="6"/>
    <n v="6.835"/>
  </r>
  <r>
    <n v="110"/>
    <x v="0"/>
    <x v="53"/>
    <x v="11"/>
    <s v="Percent of total labor force"/>
    <s v="Units"/>
    <x v="0"/>
    <n v="17.324999999999999"/>
  </r>
  <r>
    <n v="110"/>
    <x v="0"/>
    <x v="53"/>
    <x v="11"/>
    <s v="Percent of total labor force"/>
    <s v="Units"/>
    <x v="1"/>
    <n v="16.324999999999999"/>
  </r>
  <r>
    <n v="110"/>
    <x v="0"/>
    <x v="53"/>
    <x v="11"/>
    <s v="Percent of total labor force"/>
    <s v="Units"/>
    <x v="2"/>
    <n v="14.775"/>
  </r>
  <r>
    <n v="110"/>
    <x v="0"/>
    <x v="53"/>
    <x v="11"/>
    <s v="Percent of total labor force"/>
    <s v="Units"/>
    <x v="3"/>
    <n v="12.425000000000001"/>
  </r>
  <r>
    <n v="110"/>
    <x v="0"/>
    <x v="53"/>
    <x v="11"/>
    <s v="Percent of total labor force"/>
    <s v="Units"/>
    <x v="4"/>
    <n v="10.891"/>
  </r>
  <r>
    <n v="110"/>
    <x v="0"/>
    <x v="53"/>
    <x v="11"/>
    <s v="Percent of total labor force"/>
    <s v="Units"/>
    <x v="5"/>
    <n v="9.3569999999999993"/>
  </r>
  <r>
    <n v="110"/>
    <x v="0"/>
    <x v="53"/>
    <x v="11"/>
    <s v="Percent of total labor force"/>
    <s v="Units"/>
    <x v="6"/>
    <n v="8.6579999999999995"/>
  </r>
  <r>
    <n v="163"/>
    <x v="5"/>
    <x v="53"/>
    <x v="11"/>
    <s v="Percent of total labor force"/>
    <s v="Units"/>
    <x v="0"/>
    <n v="17.324999999999999"/>
  </r>
  <r>
    <n v="163"/>
    <x v="5"/>
    <x v="53"/>
    <x v="11"/>
    <s v="Percent of total labor force"/>
    <s v="Units"/>
    <x v="1"/>
    <n v="16.324999999999999"/>
  </r>
  <r>
    <n v="163"/>
    <x v="5"/>
    <x v="53"/>
    <x v="11"/>
    <s v="Percent of total labor force"/>
    <s v="Units"/>
    <x v="2"/>
    <n v="14.775"/>
  </r>
  <r>
    <n v="163"/>
    <x v="5"/>
    <x v="53"/>
    <x v="11"/>
    <s v="Percent of total labor force"/>
    <s v="Units"/>
    <x v="3"/>
    <n v="12.425000000000001"/>
  </r>
  <r>
    <n v="163"/>
    <x v="5"/>
    <x v="53"/>
    <x v="11"/>
    <s v="Percent of total labor force"/>
    <s v="Units"/>
    <x v="4"/>
    <n v="10.891"/>
  </r>
  <r>
    <n v="163"/>
    <x v="5"/>
    <x v="53"/>
    <x v="11"/>
    <s v="Percent of total labor force"/>
    <s v="Units"/>
    <x v="5"/>
    <n v="9.3569999999999993"/>
  </r>
  <r>
    <n v="163"/>
    <x v="5"/>
    <x v="53"/>
    <x v="11"/>
    <s v="Percent of total labor force"/>
    <s v="Units"/>
    <x v="6"/>
    <n v="8.6579999999999995"/>
  </r>
  <r>
    <n v="1"/>
    <x v="2"/>
    <x v="154"/>
    <x v="4"/>
    <s v="Percent change"/>
    <s v="Units"/>
    <x v="0"/>
    <n v="1.651"/>
  </r>
  <r>
    <n v="1"/>
    <x v="2"/>
    <x v="154"/>
    <x v="4"/>
    <s v="Percent change"/>
    <s v="Units"/>
    <x v="1"/>
    <n v="-27.440999999999999"/>
  </r>
  <r>
    <n v="1"/>
    <x v="2"/>
    <x v="154"/>
    <x v="4"/>
    <s v="Percent change"/>
    <s v="Units"/>
    <x v="2"/>
    <n v="41.448999999999998"/>
  </r>
  <r>
    <n v="1"/>
    <x v="2"/>
    <x v="154"/>
    <x v="4"/>
    <s v="Percent change"/>
    <s v="Units"/>
    <x v="3"/>
    <n v="25.247"/>
  </r>
  <r>
    <n v="1"/>
    <x v="2"/>
    <x v="154"/>
    <x v="4"/>
    <s v="Percent change"/>
    <s v="Units"/>
    <x v="4"/>
    <n v="7.6210000000000004"/>
  </r>
  <r>
    <n v="1"/>
    <x v="2"/>
    <x v="154"/>
    <x v="4"/>
    <s v="Percent change"/>
    <s v="Units"/>
    <x v="5"/>
    <n v="9.3390000000000004"/>
  </r>
  <r>
    <n v="1"/>
    <x v="2"/>
    <x v="154"/>
    <x v="4"/>
    <s v="Percent change"/>
    <s v="Units"/>
    <x v="6"/>
    <n v="5.3280000000000003"/>
  </r>
  <r>
    <n v="903"/>
    <x v="8"/>
    <x v="154"/>
    <x v="4"/>
    <s v="Percent change"/>
    <s v="Units"/>
    <x v="0"/>
    <n v="1.651"/>
  </r>
  <r>
    <n v="903"/>
    <x v="8"/>
    <x v="154"/>
    <x v="4"/>
    <s v="Percent change"/>
    <s v="Units"/>
    <x v="1"/>
    <n v="-27.440999999999999"/>
  </r>
  <r>
    <n v="903"/>
    <x v="8"/>
    <x v="154"/>
    <x v="4"/>
    <s v="Percent change"/>
    <s v="Units"/>
    <x v="2"/>
    <n v="41.448999999999998"/>
  </r>
  <r>
    <n v="903"/>
    <x v="8"/>
    <x v="154"/>
    <x v="4"/>
    <s v="Percent change"/>
    <s v="Units"/>
    <x v="3"/>
    <n v="25.247"/>
  </r>
  <r>
    <n v="903"/>
    <x v="8"/>
    <x v="154"/>
    <x v="4"/>
    <s v="Percent change"/>
    <s v="Units"/>
    <x v="4"/>
    <n v="7.6210000000000004"/>
  </r>
  <r>
    <n v="903"/>
    <x v="8"/>
    <x v="154"/>
    <x v="4"/>
    <s v="Percent change"/>
    <s v="Units"/>
    <x v="5"/>
    <n v="9.3390000000000004"/>
  </r>
  <r>
    <n v="903"/>
    <x v="8"/>
    <x v="154"/>
    <x v="4"/>
    <s v="Percent change"/>
    <s v="Units"/>
    <x v="6"/>
    <n v="5.3280000000000003"/>
  </r>
  <r>
    <n v="200"/>
    <x v="3"/>
    <x v="154"/>
    <x v="4"/>
    <s v="Percent change"/>
    <s v="Units"/>
    <x v="0"/>
    <n v="1.651"/>
  </r>
  <r>
    <n v="200"/>
    <x v="3"/>
    <x v="154"/>
    <x v="4"/>
    <s v="Percent change"/>
    <s v="Units"/>
    <x v="1"/>
    <n v="-27.440999999999999"/>
  </r>
  <r>
    <n v="200"/>
    <x v="3"/>
    <x v="154"/>
    <x v="4"/>
    <s v="Percent change"/>
    <s v="Units"/>
    <x v="2"/>
    <n v="41.448999999999998"/>
  </r>
  <r>
    <n v="200"/>
    <x v="3"/>
    <x v="154"/>
    <x v="4"/>
    <s v="Percent change"/>
    <s v="Units"/>
    <x v="3"/>
    <n v="25.247"/>
  </r>
  <r>
    <n v="200"/>
    <x v="3"/>
    <x v="154"/>
    <x v="4"/>
    <s v="Percent change"/>
    <s v="Units"/>
    <x v="4"/>
    <n v="7.6210000000000004"/>
  </r>
  <r>
    <n v="200"/>
    <x v="3"/>
    <x v="154"/>
    <x v="4"/>
    <s v="Percent change"/>
    <s v="Units"/>
    <x v="5"/>
    <n v="9.3390000000000004"/>
  </r>
  <r>
    <n v="200"/>
    <x v="3"/>
    <x v="154"/>
    <x v="4"/>
    <s v="Percent change"/>
    <s v="Units"/>
    <x v="6"/>
    <n v="5.3280000000000003"/>
  </r>
  <r>
    <n v="200"/>
    <x v="3"/>
    <x v="151"/>
    <x v="6"/>
    <s v="Percent change"/>
    <s v="Units"/>
    <x v="0"/>
    <n v="11.772"/>
  </r>
  <r>
    <n v="200"/>
    <x v="3"/>
    <x v="151"/>
    <x v="6"/>
    <s v="Percent change"/>
    <s v="Units"/>
    <x v="1"/>
    <n v="-15.734"/>
  </r>
  <r>
    <n v="200"/>
    <x v="3"/>
    <x v="151"/>
    <x v="6"/>
    <s v="Percent change"/>
    <s v="Units"/>
    <x v="2"/>
    <n v="-0.36899999999999999"/>
  </r>
  <r>
    <n v="200"/>
    <x v="3"/>
    <x v="151"/>
    <x v="6"/>
    <s v="Percent change"/>
    <s v="Units"/>
    <x v="3"/>
    <n v="13.019"/>
  </r>
  <r>
    <n v="200"/>
    <x v="3"/>
    <x v="151"/>
    <x v="6"/>
    <s v="Percent change"/>
    <s v="Units"/>
    <x v="4"/>
    <n v="15.831"/>
  </r>
  <r>
    <n v="200"/>
    <x v="3"/>
    <x v="151"/>
    <x v="6"/>
    <s v="Percent change"/>
    <s v="Units"/>
    <x v="5"/>
    <n v="9.3079999999999998"/>
  </r>
  <r>
    <n v="200"/>
    <x v="3"/>
    <x v="151"/>
    <x v="6"/>
    <s v="Percent change"/>
    <s v="Units"/>
    <x v="6"/>
    <n v="10.539"/>
  </r>
  <r>
    <n v="1"/>
    <x v="2"/>
    <x v="151"/>
    <x v="6"/>
    <s v="Percent change"/>
    <s v="Units"/>
    <x v="0"/>
    <n v="11.772"/>
  </r>
  <r>
    <n v="1"/>
    <x v="2"/>
    <x v="151"/>
    <x v="6"/>
    <s v="Percent change"/>
    <s v="Units"/>
    <x v="1"/>
    <n v="-15.734"/>
  </r>
  <r>
    <n v="1"/>
    <x v="2"/>
    <x v="151"/>
    <x v="6"/>
    <s v="Percent change"/>
    <s v="Units"/>
    <x v="2"/>
    <n v="-0.36899999999999999"/>
  </r>
  <r>
    <n v="1"/>
    <x v="2"/>
    <x v="151"/>
    <x v="6"/>
    <s v="Percent change"/>
    <s v="Units"/>
    <x v="3"/>
    <n v="13.019"/>
  </r>
  <r>
    <n v="1"/>
    <x v="2"/>
    <x v="151"/>
    <x v="6"/>
    <s v="Percent change"/>
    <s v="Units"/>
    <x v="4"/>
    <n v="15.831"/>
  </r>
  <r>
    <n v="1"/>
    <x v="2"/>
    <x v="151"/>
    <x v="6"/>
    <s v="Percent change"/>
    <s v="Units"/>
    <x v="5"/>
    <n v="9.3079999999999998"/>
  </r>
  <r>
    <n v="1"/>
    <x v="2"/>
    <x v="151"/>
    <x v="6"/>
    <s v="Percent change"/>
    <s v="Units"/>
    <x v="6"/>
    <n v="10.539"/>
  </r>
  <r>
    <n v="205"/>
    <x v="7"/>
    <x v="151"/>
    <x v="6"/>
    <s v="Percent change"/>
    <s v="Units"/>
    <x v="0"/>
    <n v="11.772"/>
  </r>
  <r>
    <n v="205"/>
    <x v="7"/>
    <x v="151"/>
    <x v="6"/>
    <s v="Percent change"/>
    <s v="Units"/>
    <x v="1"/>
    <n v="-15.734"/>
  </r>
  <r>
    <n v="205"/>
    <x v="7"/>
    <x v="151"/>
    <x v="6"/>
    <s v="Percent change"/>
    <s v="Units"/>
    <x v="2"/>
    <n v="-0.36899999999999999"/>
  </r>
  <r>
    <n v="205"/>
    <x v="7"/>
    <x v="151"/>
    <x v="6"/>
    <s v="Percent change"/>
    <s v="Units"/>
    <x v="3"/>
    <n v="13.019"/>
  </r>
  <r>
    <n v="205"/>
    <x v="7"/>
    <x v="151"/>
    <x v="6"/>
    <s v="Percent change"/>
    <s v="Units"/>
    <x v="4"/>
    <n v="15.831"/>
  </r>
  <r>
    <n v="205"/>
    <x v="7"/>
    <x v="151"/>
    <x v="6"/>
    <s v="Percent change"/>
    <s v="Units"/>
    <x v="5"/>
    <n v="9.3079999999999998"/>
  </r>
  <r>
    <n v="205"/>
    <x v="7"/>
    <x v="151"/>
    <x v="6"/>
    <s v="Percent change"/>
    <s v="Units"/>
    <x v="6"/>
    <n v="10.539"/>
  </r>
  <r>
    <n v="1"/>
    <x v="2"/>
    <x v="35"/>
    <x v="1"/>
    <s v="Percent change"/>
    <s v="Units"/>
    <x v="0"/>
    <n v="5.4749999999999996"/>
  </r>
  <r>
    <n v="1"/>
    <x v="2"/>
    <x v="35"/>
    <x v="1"/>
    <s v="Percent change"/>
    <s v="Units"/>
    <x v="1"/>
    <n v="5.6479999999999997"/>
  </r>
  <r>
    <n v="1"/>
    <x v="2"/>
    <x v="35"/>
    <x v="1"/>
    <s v="Percent change"/>
    <s v="Units"/>
    <x v="2"/>
    <n v="5.5579999999999998"/>
  </r>
  <r>
    <n v="1"/>
    <x v="2"/>
    <x v="35"/>
    <x v="1"/>
    <s v="Percent change"/>
    <s v="Units"/>
    <x v="3"/>
    <n v="6.15"/>
  </r>
  <r>
    <n v="1"/>
    <x v="2"/>
    <x v="35"/>
    <x v="1"/>
    <s v="Percent change"/>
    <s v="Units"/>
    <x v="4"/>
    <n v="9.016"/>
  </r>
  <r>
    <n v="1"/>
    <x v="2"/>
    <x v="35"/>
    <x v="1"/>
    <s v="Percent change"/>
    <s v="Units"/>
    <x v="5"/>
    <n v="9.3000000000000007"/>
  </r>
  <r>
    <n v="1"/>
    <x v="2"/>
    <x v="35"/>
    <x v="1"/>
    <s v="Percent change"/>
    <s v="Units"/>
    <x v="6"/>
    <n v="6.1"/>
  </r>
  <r>
    <n v="505"/>
    <x v="4"/>
    <x v="35"/>
    <x v="1"/>
    <s v="Percent change"/>
    <s v="Units"/>
    <x v="0"/>
    <n v="5.4749999999999996"/>
  </r>
  <r>
    <n v="505"/>
    <x v="4"/>
    <x v="35"/>
    <x v="1"/>
    <s v="Percent change"/>
    <s v="Units"/>
    <x v="1"/>
    <n v="5.6479999999999997"/>
  </r>
  <r>
    <n v="505"/>
    <x v="4"/>
    <x v="35"/>
    <x v="1"/>
    <s v="Percent change"/>
    <s v="Units"/>
    <x v="2"/>
    <n v="5.5579999999999998"/>
  </r>
  <r>
    <n v="505"/>
    <x v="4"/>
    <x v="35"/>
    <x v="1"/>
    <s v="Percent change"/>
    <s v="Units"/>
    <x v="3"/>
    <n v="6.15"/>
  </r>
  <r>
    <n v="505"/>
    <x v="4"/>
    <x v="35"/>
    <x v="1"/>
    <s v="Percent change"/>
    <s v="Units"/>
    <x v="4"/>
    <n v="9.016"/>
  </r>
  <r>
    <n v="505"/>
    <x v="4"/>
    <x v="35"/>
    <x v="1"/>
    <s v="Percent change"/>
    <s v="Units"/>
    <x v="5"/>
    <n v="9.3000000000000007"/>
  </r>
  <r>
    <n v="505"/>
    <x v="4"/>
    <x v="35"/>
    <x v="1"/>
    <s v="Percent change"/>
    <s v="Units"/>
    <x v="6"/>
    <n v="6.1"/>
  </r>
  <r>
    <n v="200"/>
    <x v="3"/>
    <x v="35"/>
    <x v="1"/>
    <s v="Percent change"/>
    <s v="Units"/>
    <x v="0"/>
    <n v="5.4749999999999996"/>
  </r>
  <r>
    <n v="200"/>
    <x v="3"/>
    <x v="35"/>
    <x v="1"/>
    <s v="Percent change"/>
    <s v="Units"/>
    <x v="1"/>
    <n v="5.6479999999999997"/>
  </r>
  <r>
    <n v="200"/>
    <x v="3"/>
    <x v="35"/>
    <x v="1"/>
    <s v="Percent change"/>
    <s v="Units"/>
    <x v="2"/>
    <n v="5.5579999999999998"/>
  </r>
  <r>
    <n v="200"/>
    <x v="3"/>
    <x v="35"/>
    <x v="1"/>
    <s v="Percent change"/>
    <s v="Units"/>
    <x v="3"/>
    <n v="6.15"/>
  </r>
  <r>
    <n v="200"/>
    <x v="3"/>
    <x v="35"/>
    <x v="1"/>
    <s v="Percent change"/>
    <s v="Units"/>
    <x v="4"/>
    <n v="9.016"/>
  </r>
  <r>
    <n v="200"/>
    <x v="3"/>
    <x v="35"/>
    <x v="1"/>
    <s v="Percent change"/>
    <s v="Units"/>
    <x v="5"/>
    <n v="9.3000000000000007"/>
  </r>
  <r>
    <n v="200"/>
    <x v="3"/>
    <x v="35"/>
    <x v="1"/>
    <s v="Percent change"/>
    <s v="Units"/>
    <x v="6"/>
    <n v="6.1"/>
  </r>
  <r>
    <n v="200"/>
    <x v="3"/>
    <x v="152"/>
    <x v="6"/>
    <s v="Percent change"/>
    <s v="Units"/>
    <x v="0"/>
    <n v="1.36"/>
  </r>
  <r>
    <n v="200"/>
    <x v="3"/>
    <x v="152"/>
    <x v="6"/>
    <s v="Percent change"/>
    <s v="Units"/>
    <x v="1"/>
    <n v="-17.474"/>
  </r>
  <r>
    <n v="200"/>
    <x v="3"/>
    <x v="152"/>
    <x v="6"/>
    <s v="Percent change"/>
    <s v="Units"/>
    <x v="2"/>
    <n v="-4.0739999999999998"/>
  </r>
  <r>
    <n v="200"/>
    <x v="3"/>
    <x v="152"/>
    <x v="6"/>
    <s v="Percent change"/>
    <s v="Units"/>
    <x v="3"/>
    <n v="5.8390000000000004"/>
  </r>
  <r>
    <n v="200"/>
    <x v="3"/>
    <x v="152"/>
    <x v="6"/>
    <s v="Percent change"/>
    <s v="Units"/>
    <x v="4"/>
    <n v="16.712"/>
  </r>
  <r>
    <n v="200"/>
    <x v="3"/>
    <x v="152"/>
    <x v="6"/>
    <s v="Percent change"/>
    <s v="Units"/>
    <x v="5"/>
    <n v="9.2970000000000006"/>
  </r>
  <r>
    <n v="200"/>
    <x v="3"/>
    <x v="152"/>
    <x v="6"/>
    <s v="Percent change"/>
    <s v="Units"/>
    <x v="6"/>
    <n v="5.5209999999999999"/>
  </r>
  <r>
    <n v="603"/>
    <x v="12"/>
    <x v="152"/>
    <x v="6"/>
    <s v="Percent change"/>
    <s v="Units"/>
    <x v="0"/>
    <n v="1.36"/>
  </r>
  <r>
    <n v="603"/>
    <x v="12"/>
    <x v="152"/>
    <x v="6"/>
    <s v="Percent change"/>
    <s v="Units"/>
    <x v="1"/>
    <n v="-17.474"/>
  </r>
  <r>
    <n v="603"/>
    <x v="12"/>
    <x v="152"/>
    <x v="6"/>
    <s v="Percent change"/>
    <s v="Units"/>
    <x v="2"/>
    <n v="-4.0739999999999998"/>
  </r>
  <r>
    <n v="603"/>
    <x v="12"/>
    <x v="152"/>
    <x v="6"/>
    <s v="Percent change"/>
    <s v="Units"/>
    <x v="3"/>
    <n v="5.8390000000000004"/>
  </r>
  <r>
    <n v="603"/>
    <x v="12"/>
    <x v="152"/>
    <x v="6"/>
    <s v="Percent change"/>
    <s v="Units"/>
    <x v="4"/>
    <n v="16.712"/>
  </r>
  <r>
    <n v="603"/>
    <x v="12"/>
    <x v="152"/>
    <x v="6"/>
    <s v="Percent change"/>
    <s v="Units"/>
    <x v="5"/>
    <n v="9.2970000000000006"/>
  </r>
  <r>
    <n v="603"/>
    <x v="12"/>
    <x v="152"/>
    <x v="6"/>
    <s v="Percent change"/>
    <s v="Units"/>
    <x v="6"/>
    <n v="5.5209999999999999"/>
  </r>
  <r>
    <n v="1"/>
    <x v="2"/>
    <x v="152"/>
    <x v="6"/>
    <s v="Percent change"/>
    <s v="Units"/>
    <x v="0"/>
    <n v="1.36"/>
  </r>
  <r>
    <n v="1"/>
    <x v="2"/>
    <x v="152"/>
    <x v="6"/>
    <s v="Percent change"/>
    <s v="Units"/>
    <x v="1"/>
    <n v="-17.474"/>
  </r>
  <r>
    <n v="1"/>
    <x v="2"/>
    <x v="152"/>
    <x v="6"/>
    <s v="Percent change"/>
    <s v="Units"/>
    <x v="2"/>
    <n v="-4.0739999999999998"/>
  </r>
  <r>
    <n v="1"/>
    <x v="2"/>
    <x v="152"/>
    <x v="6"/>
    <s v="Percent change"/>
    <s v="Units"/>
    <x v="3"/>
    <n v="5.8390000000000004"/>
  </r>
  <r>
    <n v="1"/>
    <x v="2"/>
    <x v="152"/>
    <x v="6"/>
    <s v="Percent change"/>
    <s v="Units"/>
    <x v="4"/>
    <n v="16.712"/>
  </r>
  <r>
    <n v="1"/>
    <x v="2"/>
    <x v="152"/>
    <x v="6"/>
    <s v="Percent change"/>
    <s v="Units"/>
    <x v="5"/>
    <n v="9.2970000000000006"/>
  </r>
  <r>
    <n v="1"/>
    <x v="2"/>
    <x v="152"/>
    <x v="6"/>
    <s v="Percent change"/>
    <s v="Units"/>
    <x v="6"/>
    <n v="5.5209999999999999"/>
  </r>
  <r>
    <n v="400"/>
    <x v="11"/>
    <x v="60"/>
    <x v="3"/>
    <s v="Percent of GDP"/>
    <s v="Units"/>
    <x v="0"/>
    <n v="18.655000000000001"/>
  </r>
  <r>
    <n v="400"/>
    <x v="11"/>
    <x v="60"/>
    <x v="3"/>
    <s v="Percent of GDP"/>
    <s v="Units"/>
    <x v="1"/>
    <n v="10.728"/>
  </r>
  <r>
    <n v="400"/>
    <x v="11"/>
    <x v="60"/>
    <x v="3"/>
    <s v="Percent of GDP"/>
    <s v="Units"/>
    <x v="2"/>
    <n v="9.7420000000000009"/>
  </r>
  <r>
    <n v="400"/>
    <x v="11"/>
    <x v="60"/>
    <x v="3"/>
    <s v="Percent of GDP"/>
    <s v="Units"/>
    <x v="3"/>
    <n v="17.696000000000002"/>
  </r>
  <r>
    <n v="400"/>
    <x v="11"/>
    <x v="60"/>
    <x v="3"/>
    <s v="Percent of GDP"/>
    <s v="Units"/>
    <x v="4"/>
    <n v="8.6039999999999992"/>
  </r>
  <r>
    <n v="400"/>
    <x v="11"/>
    <x v="60"/>
    <x v="3"/>
    <s v="Percent of GDP"/>
    <s v="Units"/>
    <x v="5"/>
    <n v="9.2409999999999997"/>
  </r>
  <r>
    <n v="400"/>
    <x v="11"/>
    <x v="60"/>
    <x v="3"/>
    <s v="Percent of GDP"/>
    <s v="Units"/>
    <x v="6"/>
    <n v="11.917"/>
  </r>
  <r>
    <n v="200"/>
    <x v="3"/>
    <x v="60"/>
    <x v="3"/>
    <s v="Percent of GDP"/>
    <s v="Units"/>
    <x v="0"/>
    <n v="18.655000000000001"/>
  </r>
  <r>
    <n v="200"/>
    <x v="3"/>
    <x v="60"/>
    <x v="3"/>
    <s v="Percent of GDP"/>
    <s v="Units"/>
    <x v="1"/>
    <n v="10.728"/>
  </r>
  <r>
    <n v="200"/>
    <x v="3"/>
    <x v="60"/>
    <x v="3"/>
    <s v="Percent of GDP"/>
    <s v="Units"/>
    <x v="2"/>
    <n v="9.7420000000000009"/>
  </r>
  <r>
    <n v="200"/>
    <x v="3"/>
    <x v="60"/>
    <x v="3"/>
    <s v="Percent of GDP"/>
    <s v="Units"/>
    <x v="3"/>
    <n v="17.696000000000002"/>
  </r>
  <r>
    <n v="200"/>
    <x v="3"/>
    <x v="60"/>
    <x v="3"/>
    <s v="Percent of GDP"/>
    <s v="Units"/>
    <x v="4"/>
    <n v="8.6039999999999992"/>
  </r>
  <r>
    <n v="200"/>
    <x v="3"/>
    <x v="60"/>
    <x v="3"/>
    <s v="Percent of GDP"/>
    <s v="Units"/>
    <x v="5"/>
    <n v="9.2409999999999997"/>
  </r>
  <r>
    <n v="200"/>
    <x v="3"/>
    <x v="60"/>
    <x v="3"/>
    <s v="Percent of GDP"/>
    <s v="Units"/>
    <x v="6"/>
    <n v="11.917"/>
  </r>
  <r>
    <n v="110"/>
    <x v="0"/>
    <x v="37"/>
    <x v="4"/>
    <s v="Percent change"/>
    <s v="Units"/>
    <x v="0"/>
    <n v="4.5110000000000001"/>
  </r>
  <r>
    <n v="110"/>
    <x v="0"/>
    <x v="37"/>
    <x v="4"/>
    <s v="Percent change"/>
    <s v="Units"/>
    <x v="1"/>
    <n v="-6.1050000000000004"/>
  </r>
  <r>
    <n v="110"/>
    <x v="0"/>
    <x v="37"/>
    <x v="4"/>
    <s v="Percent change"/>
    <s v="Units"/>
    <x v="2"/>
    <n v="7.6710000000000003"/>
  </r>
  <r>
    <n v="110"/>
    <x v="0"/>
    <x v="37"/>
    <x v="4"/>
    <s v="Percent change"/>
    <s v="Units"/>
    <x v="3"/>
    <n v="10.843"/>
  </r>
  <r>
    <n v="110"/>
    <x v="0"/>
    <x v="37"/>
    <x v="4"/>
    <s v="Percent change"/>
    <s v="Units"/>
    <x v="4"/>
    <n v="12.538"/>
  </r>
  <r>
    <n v="110"/>
    <x v="0"/>
    <x v="37"/>
    <x v="4"/>
    <s v="Percent change"/>
    <s v="Units"/>
    <x v="5"/>
    <n v="9.23"/>
  </r>
  <r>
    <n v="110"/>
    <x v="0"/>
    <x v="37"/>
    <x v="4"/>
    <s v="Percent change"/>
    <s v="Units"/>
    <x v="6"/>
    <n v="2"/>
  </r>
  <r>
    <n v="1"/>
    <x v="2"/>
    <x v="37"/>
    <x v="4"/>
    <s v="Percent change"/>
    <s v="Units"/>
    <x v="0"/>
    <n v="4.5110000000000001"/>
  </r>
  <r>
    <n v="1"/>
    <x v="2"/>
    <x v="37"/>
    <x v="4"/>
    <s v="Percent change"/>
    <s v="Units"/>
    <x v="1"/>
    <n v="-6.1050000000000004"/>
  </r>
  <r>
    <n v="1"/>
    <x v="2"/>
    <x v="37"/>
    <x v="4"/>
    <s v="Percent change"/>
    <s v="Units"/>
    <x v="2"/>
    <n v="7.6710000000000003"/>
  </r>
  <r>
    <n v="1"/>
    <x v="2"/>
    <x v="37"/>
    <x v="4"/>
    <s v="Percent change"/>
    <s v="Units"/>
    <x v="3"/>
    <n v="10.843"/>
  </r>
  <r>
    <n v="1"/>
    <x v="2"/>
    <x v="37"/>
    <x v="4"/>
    <s v="Percent change"/>
    <s v="Units"/>
    <x v="4"/>
    <n v="12.538"/>
  </r>
  <r>
    <n v="1"/>
    <x v="2"/>
    <x v="37"/>
    <x v="4"/>
    <s v="Percent change"/>
    <s v="Units"/>
    <x v="5"/>
    <n v="9.23"/>
  </r>
  <r>
    <n v="1"/>
    <x v="2"/>
    <x v="37"/>
    <x v="4"/>
    <s v="Percent change"/>
    <s v="Units"/>
    <x v="6"/>
    <n v="2"/>
  </r>
  <r>
    <n v="123"/>
    <x v="9"/>
    <x v="37"/>
    <x v="4"/>
    <s v="Percent change"/>
    <s v="Units"/>
    <x v="0"/>
    <n v="4.5110000000000001"/>
  </r>
  <r>
    <n v="123"/>
    <x v="9"/>
    <x v="37"/>
    <x v="4"/>
    <s v="Percent change"/>
    <s v="Units"/>
    <x v="1"/>
    <n v="-6.1050000000000004"/>
  </r>
  <r>
    <n v="123"/>
    <x v="9"/>
    <x v="37"/>
    <x v="4"/>
    <s v="Percent change"/>
    <s v="Units"/>
    <x v="2"/>
    <n v="7.6710000000000003"/>
  </r>
  <r>
    <n v="123"/>
    <x v="9"/>
    <x v="37"/>
    <x v="4"/>
    <s v="Percent change"/>
    <s v="Units"/>
    <x v="3"/>
    <n v="10.843"/>
  </r>
  <r>
    <n v="123"/>
    <x v="9"/>
    <x v="37"/>
    <x v="4"/>
    <s v="Percent change"/>
    <s v="Units"/>
    <x v="4"/>
    <n v="12.538"/>
  </r>
  <r>
    <n v="123"/>
    <x v="9"/>
    <x v="37"/>
    <x v="4"/>
    <s v="Percent change"/>
    <s v="Units"/>
    <x v="5"/>
    <n v="9.23"/>
  </r>
  <r>
    <n v="123"/>
    <x v="9"/>
    <x v="37"/>
    <x v="4"/>
    <s v="Percent change"/>
    <s v="Units"/>
    <x v="6"/>
    <n v="2"/>
  </r>
  <r>
    <n v="1"/>
    <x v="2"/>
    <x v="17"/>
    <x v="6"/>
    <s v="Percent change"/>
    <s v="Units"/>
    <x v="0"/>
    <n v="3.2690000000000001"/>
  </r>
  <r>
    <n v="1"/>
    <x v="2"/>
    <x v="17"/>
    <x v="6"/>
    <s v="Percent change"/>
    <s v="Units"/>
    <x v="1"/>
    <n v="-16.114000000000001"/>
  </r>
  <r>
    <n v="1"/>
    <x v="2"/>
    <x v="17"/>
    <x v="6"/>
    <s v="Percent change"/>
    <s v="Units"/>
    <x v="2"/>
    <n v="5.3079999999999998"/>
  </r>
  <r>
    <n v="1"/>
    <x v="2"/>
    <x v="17"/>
    <x v="6"/>
    <s v="Percent change"/>
    <s v="Units"/>
    <x v="3"/>
    <n v="10.487"/>
  </r>
  <r>
    <n v="1"/>
    <x v="2"/>
    <x v="17"/>
    <x v="6"/>
    <s v="Percent change"/>
    <s v="Units"/>
    <x v="4"/>
    <n v="15.991"/>
  </r>
  <r>
    <n v="1"/>
    <x v="2"/>
    <x v="17"/>
    <x v="6"/>
    <s v="Percent change"/>
    <s v="Units"/>
    <x v="5"/>
    <n v="9.0429999999999993"/>
  </r>
  <r>
    <n v="1"/>
    <x v="2"/>
    <x v="17"/>
    <x v="6"/>
    <s v="Percent change"/>
    <s v="Units"/>
    <x v="6"/>
    <n v="10.462999999999999"/>
  </r>
  <r>
    <n v="400"/>
    <x v="11"/>
    <x v="17"/>
    <x v="6"/>
    <s v="Percent change"/>
    <s v="Units"/>
    <x v="0"/>
    <n v="3.2690000000000001"/>
  </r>
  <r>
    <n v="400"/>
    <x v="11"/>
    <x v="17"/>
    <x v="6"/>
    <s v="Percent change"/>
    <s v="Units"/>
    <x v="1"/>
    <n v="-16.114000000000001"/>
  </r>
  <r>
    <n v="400"/>
    <x v="11"/>
    <x v="17"/>
    <x v="6"/>
    <s v="Percent change"/>
    <s v="Units"/>
    <x v="2"/>
    <n v="5.3079999999999998"/>
  </r>
  <r>
    <n v="400"/>
    <x v="11"/>
    <x v="17"/>
    <x v="6"/>
    <s v="Percent change"/>
    <s v="Units"/>
    <x v="3"/>
    <n v="10.487"/>
  </r>
  <r>
    <n v="400"/>
    <x v="11"/>
    <x v="17"/>
    <x v="6"/>
    <s v="Percent change"/>
    <s v="Units"/>
    <x v="4"/>
    <n v="15.991"/>
  </r>
  <r>
    <n v="400"/>
    <x v="11"/>
    <x v="17"/>
    <x v="6"/>
    <s v="Percent change"/>
    <s v="Units"/>
    <x v="5"/>
    <n v="9.0429999999999993"/>
  </r>
  <r>
    <n v="400"/>
    <x v="11"/>
    <x v="17"/>
    <x v="6"/>
    <s v="Percent change"/>
    <s v="Units"/>
    <x v="6"/>
    <n v="10.462999999999999"/>
  </r>
  <r>
    <n v="200"/>
    <x v="3"/>
    <x v="17"/>
    <x v="6"/>
    <s v="Percent change"/>
    <s v="Units"/>
    <x v="0"/>
    <n v="3.2690000000000001"/>
  </r>
  <r>
    <n v="200"/>
    <x v="3"/>
    <x v="17"/>
    <x v="6"/>
    <s v="Percent change"/>
    <s v="Units"/>
    <x v="1"/>
    <n v="-16.114000000000001"/>
  </r>
  <r>
    <n v="200"/>
    <x v="3"/>
    <x v="17"/>
    <x v="6"/>
    <s v="Percent change"/>
    <s v="Units"/>
    <x v="2"/>
    <n v="5.3079999999999998"/>
  </r>
  <r>
    <n v="200"/>
    <x v="3"/>
    <x v="17"/>
    <x v="6"/>
    <s v="Percent change"/>
    <s v="Units"/>
    <x v="3"/>
    <n v="10.487"/>
  </r>
  <r>
    <n v="200"/>
    <x v="3"/>
    <x v="17"/>
    <x v="6"/>
    <s v="Percent change"/>
    <s v="Units"/>
    <x v="4"/>
    <n v="15.991"/>
  </r>
  <r>
    <n v="200"/>
    <x v="3"/>
    <x v="17"/>
    <x v="6"/>
    <s v="Percent change"/>
    <s v="Units"/>
    <x v="5"/>
    <n v="9.0429999999999993"/>
  </r>
  <r>
    <n v="200"/>
    <x v="3"/>
    <x v="17"/>
    <x v="6"/>
    <s v="Percent change"/>
    <s v="Units"/>
    <x v="6"/>
    <n v="10.462999999999999"/>
  </r>
  <r>
    <n v="200"/>
    <x v="3"/>
    <x v="136"/>
    <x v="5"/>
    <s v="Percent of GDP"/>
    <s v="Units"/>
    <x v="0"/>
    <n v="13.553000000000001"/>
  </r>
  <r>
    <n v="200"/>
    <x v="3"/>
    <x v="136"/>
    <x v="5"/>
    <s v="Percent of GDP"/>
    <s v="Units"/>
    <x v="1"/>
    <n v="17.146000000000001"/>
  </r>
  <r>
    <n v="200"/>
    <x v="3"/>
    <x v="136"/>
    <x v="5"/>
    <s v="Percent of GDP"/>
    <s v="Units"/>
    <x v="2"/>
    <n v="6.2539999999999996"/>
  </r>
  <r>
    <n v="200"/>
    <x v="3"/>
    <x v="136"/>
    <x v="5"/>
    <s v="Percent of GDP"/>
    <s v="Units"/>
    <x v="3"/>
    <n v="4.49"/>
  </r>
  <r>
    <n v="200"/>
    <x v="3"/>
    <x v="136"/>
    <x v="5"/>
    <s v="Percent of GDP"/>
    <s v="Units"/>
    <x v="4"/>
    <n v="5.109"/>
  </r>
  <r>
    <n v="200"/>
    <x v="3"/>
    <x v="136"/>
    <x v="5"/>
    <s v="Percent of GDP"/>
    <s v="Units"/>
    <x v="5"/>
    <n v="8.9369999999999994"/>
  </r>
  <r>
    <n v="200"/>
    <x v="3"/>
    <x v="136"/>
    <x v="5"/>
    <s v="Percent of GDP"/>
    <s v="Units"/>
    <x v="6"/>
    <n v="9.5519999999999996"/>
  </r>
  <r>
    <n v="603"/>
    <x v="12"/>
    <x v="136"/>
    <x v="5"/>
    <s v="Percent of GDP"/>
    <s v="Units"/>
    <x v="0"/>
    <n v="13.553000000000001"/>
  </r>
  <r>
    <n v="603"/>
    <x v="12"/>
    <x v="136"/>
    <x v="5"/>
    <s v="Percent of GDP"/>
    <s v="Units"/>
    <x v="1"/>
    <n v="17.146000000000001"/>
  </r>
  <r>
    <n v="603"/>
    <x v="12"/>
    <x v="136"/>
    <x v="5"/>
    <s v="Percent of GDP"/>
    <s v="Units"/>
    <x v="2"/>
    <n v="6.2539999999999996"/>
  </r>
  <r>
    <n v="603"/>
    <x v="12"/>
    <x v="136"/>
    <x v="5"/>
    <s v="Percent of GDP"/>
    <s v="Units"/>
    <x v="3"/>
    <n v="4.49"/>
  </r>
  <r>
    <n v="603"/>
    <x v="12"/>
    <x v="136"/>
    <x v="5"/>
    <s v="Percent of GDP"/>
    <s v="Units"/>
    <x v="4"/>
    <n v="5.109"/>
  </r>
  <r>
    <n v="603"/>
    <x v="12"/>
    <x v="136"/>
    <x v="5"/>
    <s v="Percent of GDP"/>
    <s v="Units"/>
    <x v="5"/>
    <n v="8.9369999999999994"/>
  </r>
  <r>
    <n v="603"/>
    <x v="12"/>
    <x v="136"/>
    <x v="5"/>
    <s v="Percent of GDP"/>
    <s v="Units"/>
    <x v="6"/>
    <n v="9.5519999999999996"/>
  </r>
  <r>
    <n v="1"/>
    <x v="2"/>
    <x v="136"/>
    <x v="5"/>
    <s v="Percent of GDP"/>
    <s v="Units"/>
    <x v="0"/>
    <n v="13.553000000000001"/>
  </r>
  <r>
    <n v="1"/>
    <x v="2"/>
    <x v="136"/>
    <x v="5"/>
    <s v="Percent of GDP"/>
    <s v="Units"/>
    <x v="1"/>
    <n v="17.146000000000001"/>
  </r>
  <r>
    <n v="1"/>
    <x v="2"/>
    <x v="136"/>
    <x v="5"/>
    <s v="Percent of GDP"/>
    <s v="Units"/>
    <x v="2"/>
    <n v="6.2539999999999996"/>
  </r>
  <r>
    <n v="1"/>
    <x v="2"/>
    <x v="136"/>
    <x v="5"/>
    <s v="Percent of GDP"/>
    <s v="Units"/>
    <x v="3"/>
    <n v="4.49"/>
  </r>
  <r>
    <n v="1"/>
    <x v="2"/>
    <x v="136"/>
    <x v="5"/>
    <s v="Percent of GDP"/>
    <s v="Units"/>
    <x v="4"/>
    <n v="5.109"/>
  </r>
  <r>
    <n v="1"/>
    <x v="2"/>
    <x v="136"/>
    <x v="5"/>
    <s v="Percent of GDP"/>
    <s v="Units"/>
    <x v="5"/>
    <n v="8.9369999999999994"/>
  </r>
  <r>
    <n v="1"/>
    <x v="2"/>
    <x v="136"/>
    <x v="5"/>
    <s v="Percent of GDP"/>
    <s v="Units"/>
    <x v="6"/>
    <n v="9.5519999999999996"/>
  </r>
  <r>
    <n v="1"/>
    <x v="2"/>
    <x v="97"/>
    <x v="6"/>
    <s v="Percent change"/>
    <s v="Units"/>
    <x v="0"/>
    <n v="17.568000000000001"/>
  </r>
  <r>
    <n v="1"/>
    <x v="2"/>
    <x v="97"/>
    <x v="6"/>
    <s v="Percent change"/>
    <s v="Units"/>
    <x v="1"/>
    <n v="-2.4350000000000001"/>
  </r>
  <r>
    <n v="1"/>
    <x v="2"/>
    <x v="97"/>
    <x v="6"/>
    <s v="Percent change"/>
    <s v="Units"/>
    <x v="2"/>
    <n v="-8.1479999999999997"/>
  </r>
  <r>
    <n v="1"/>
    <x v="2"/>
    <x v="97"/>
    <x v="6"/>
    <s v="Percent change"/>
    <s v="Units"/>
    <x v="3"/>
    <n v="-1.181"/>
  </r>
  <r>
    <n v="1"/>
    <x v="2"/>
    <x v="97"/>
    <x v="6"/>
    <s v="Percent change"/>
    <s v="Units"/>
    <x v="4"/>
    <n v="21.553999999999998"/>
  </r>
  <r>
    <n v="1"/>
    <x v="2"/>
    <x v="97"/>
    <x v="6"/>
    <s v="Percent change"/>
    <s v="Units"/>
    <x v="5"/>
    <n v="8.9160000000000004"/>
  </r>
  <r>
    <n v="1"/>
    <x v="2"/>
    <x v="97"/>
    <x v="6"/>
    <s v="Percent change"/>
    <s v="Units"/>
    <x v="6"/>
    <n v="7.33"/>
  </r>
  <r>
    <n v="200"/>
    <x v="3"/>
    <x v="15"/>
    <x v="4"/>
    <s v="Percent change"/>
    <s v="Units"/>
    <x v="0"/>
    <n v="-3.5219999999999998"/>
  </r>
  <r>
    <n v="200"/>
    <x v="3"/>
    <x v="15"/>
    <x v="4"/>
    <s v="Percent change"/>
    <s v="Units"/>
    <x v="1"/>
    <n v="-8.0579999999999998"/>
  </r>
  <r>
    <n v="200"/>
    <x v="3"/>
    <x v="15"/>
    <x v="4"/>
    <s v="Percent change"/>
    <s v="Units"/>
    <x v="2"/>
    <n v="21.693000000000001"/>
  </r>
  <r>
    <n v="200"/>
    <x v="3"/>
    <x v="15"/>
    <x v="4"/>
    <s v="Percent change"/>
    <s v="Units"/>
    <x v="3"/>
    <n v="-0.65900000000000003"/>
  </r>
  <r>
    <n v="200"/>
    <x v="3"/>
    <x v="15"/>
    <x v="4"/>
    <s v="Percent change"/>
    <s v="Units"/>
    <x v="4"/>
    <n v="6.0540000000000003"/>
  </r>
  <r>
    <n v="200"/>
    <x v="3"/>
    <x v="15"/>
    <x v="4"/>
    <s v="Percent change"/>
    <s v="Units"/>
    <x v="5"/>
    <n v="8.9160000000000004"/>
  </r>
  <r>
    <n v="200"/>
    <x v="3"/>
    <x v="15"/>
    <x v="4"/>
    <s v="Percent change"/>
    <s v="Units"/>
    <x v="6"/>
    <n v="8.1210000000000004"/>
  </r>
  <r>
    <n v="1"/>
    <x v="2"/>
    <x v="15"/>
    <x v="4"/>
    <s v="Percent change"/>
    <s v="Units"/>
    <x v="0"/>
    <n v="-3.5219999999999998"/>
  </r>
  <r>
    <n v="1"/>
    <x v="2"/>
    <x v="15"/>
    <x v="4"/>
    <s v="Percent change"/>
    <s v="Units"/>
    <x v="1"/>
    <n v="-8.0579999999999998"/>
  </r>
  <r>
    <n v="1"/>
    <x v="2"/>
    <x v="15"/>
    <x v="4"/>
    <s v="Percent change"/>
    <s v="Units"/>
    <x v="2"/>
    <n v="21.693000000000001"/>
  </r>
  <r>
    <n v="1"/>
    <x v="2"/>
    <x v="15"/>
    <x v="4"/>
    <s v="Percent change"/>
    <s v="Units"/>
    <x v="3"/>
    <n v="-0.65900000000000003"/>
  </r>
  <r>
    <n v="1"/>
    <x v="2"/>
    <x v="15"/>
    <x v="4"/>
    <s v="Percent change"/>
    <s v="Units"/>
    <x v="4"/>
    <n v="6.0540000000000003"/>
  </r>
  <r>
    <n v="1"/>
    <x v="2"/>
    <x v="15"/>
    <x v="4"/>
    <s v="Percent change"/>
    <s v="Units"/>
    <x v="5"/>
    <n v="8.9160000000000004"/>
  </r>
  <r>
    <n v="1"/>
    <x v="2"/>
    <x v="15"/>
    <x v="4"/>
    <s v="Percent change"/>
    <s v="Units"/>
    <x v="6"/>
    <n v="8.1210000000000004"/>
  </r>
  <r>
    <n v="200"/>
    <x v="3"/>
    <x v="97"/>
    <x v="6"/>
    <s v="Percent change"/>
    <s v="Units"/>
    <x v="0"/>
    <n v="17.568000000000001"/>
  </r>
  <r>
    <n v="200"/>
    <x v="3"/>
    <x v="97"/>
    <x v="6"/>
    <s v="Percent change"/>
    <s v="Units"/>
    <x v="1"/>
    <n v="-2.4350000000000001"/>
  </r>
  <r>
    <n v="200"/>
    <x v="3"/>
    <x v="97"/>
    <x v="6"/>
    <s v="Percent change"/>
    <s v="Units"/>
    <x v="2"/>
    <n v="-8.1479999999999997"/>
  </r>
  <r>
    <n v="200"/>
    <x v="3"/>
    <x v="97"/>
    <x v="6"/>
    <s v="Percent change"/>
    <s v="Units"/>
    <x v="3"/>
    <n v="-1.181"/>
  </r>
  <r>
    <n v="200"/>
    <x v="3"/>
    <x v="97"/>
    <x v="6"/>
    <s v="Percent change"/>
    <s v="Units"/>
    <x v="4"/>
    <n v="21.553999999999998"/>
  </r>
  <r>
    <n v="200"/>
    <x v="3"/>
    <x v="97"/>
    <x v="6"/>
    <s v="Percent change"/>
    <s v="Units"/>
    <x v="5"/>
    <n v="8.9160000000000004"/>
  </r>
  <r>
    <n v="200"/>
    <x v="3"/>
    <x v="97"/>
    <x v="6"/>
    <s v="Percent change"/>
    <s v="Units"/>
    <x v="6"/>
    <n v="7.33"/>
  </r>
  <r>
    <n v="510"/>
    <x v="10"/>
    <x v="15"/>
    <x v="4"/>
    <s v="Percent change"/>
    <s v="Units"/>
    <x v="0"/>
    <n v="-3.5219999999999998"/>
  </r>
  <r>
    <n v="510"/>
    <x v="10"/>
    <x v="15"/>
    <x v="4"/>
    <s v="Percent change"/>
    <s v="Units"/>
    <x v="1"/>
    <n v="-8.0579999999999998"/>
  </r>
  <r>
    <n v="510"/>
    <x v="10"/>
    <x v="15"/>
    <x v="4"/>
    <s v="Percent change"/>
    <s v="Units"/>
    <x v="2"/>
    <n v="21.693000000000001"/>
  </r>
  <r>
    <n v="510"/>
    <x v="10"/>
    <x v="15"/>
    <x v="4"/>
    <s v="Percent change"/>
    <s v="Units"/>
    <x v="3"/>
    <n v="-0.65900000000000003"/>
  </r>
  <r>
    <n v="510"/>
    <x v="10"/>
    <x v="15"/>
    <x v="4"/>
    <s v="Percent change"/>
    <s v="Units"/>
    <x v="4"/>
    <n v="6.0540000000000003"/>
  </r>
  <r>
    <n v="510"/>
    <x v="10"/>
    <x v="15"/>
    <x v="4"/>
    <s v="Percent change"/>
    <s v="Units"/>
    <x v="5"/>
    <n v="8.9160000000000004"/>
  </r>
  <r>
    <n v="510"/>
    <x v="10"/>
    <x v="15"/>
    <x v="4"/>
    <s v="Percent change"/>
    <s v="Units"/>
    <x v="6"/>
    <n v="8.1210000000000004"/>
  </r>
  <r>
    <n v="603"/>
    <x v="12"/>
    <x v="97"/>
    <x v="6"/>
    <s v="Percent change"/>
    <s v="Units"/>
    <x v="0"/>
    <n v="17.568000000000001"/>
  </r>
  <r>
    <n v="603"/>
    <x v="12"/>
    <x v="97"/>
    <x v="6"/>
    <s v="Percent change"/>
    <s v="Units"/>
    <x v="1"/>
    <n v="-2.4350000000000001"/>
  </r>
  <r>
    <n v="603"/>
    <x v="12"/>
    <x v="97"/>
    <x v="6"/>
    <s v="Percent change"/>
    <s v="Units"/>
    <x v="2"/>
    <n v="-8.1479999999999997"/>
  </r>
  <r>
    <n v="603"/>
    <x v="12"/>
    <x v="97"/>
    <x v="6"/>
    <s v="Percent change"/>
    <s v="Units"/>
    <x v="3"/>
    <n v="-1.181"/>
  </r>
  <r>
    <n v="603"/>
    <x v="12"/>
    <x v="97"/>
    <x v="6"/>
    <s v="Percent change"/>
    <s v="Units"/>
    <x v="4"/>
    <n v="21.553999999999998"/>
  </r>
  <r>
    <n v="603"/>
    <x v="12"/>
    <x v="97"/>
    <x v="6"/>
    <s v="Percent change"/>
    <s v="Units"/>
    <x v="5"/>
    <n v="8.9160000000000004"/>
  </r>
  <r>
    <n v="603"/>
    <x v="12"/>
    <x v="97"/>
    <x v="6"/>
    <s v="Percent change"/>
    <s v="Units"/>
    <x v="6"/>
    <n v="7.33"/>
  </r>
  <r>
    <n v="505"/>
    <x v="4"/>
    <x v="15"/>
    <x v="4"/>
    <s v="Percent change"/>
    <s v="Units"/>
    <x v="0"/>
    <n v="-3.5219999999999998"/>
  </r>
  <r>
    <n v="505"/>
    <x v="4"/>
    <x v="15"/>
    <x v="4"/>
    <s v="Percent change"/>
    <s v="Units"/>
    <x v="1"/>
    <n v="-8.0579999999999998"/>
  </r>
  <r>
    <n v="505"/>
    <x v="4"/>
    <x v="15"/>
    <x v="4"/>
    <s v="Percent change"/>
    <s v="Units"/>
    <x v="2"/>
    <n v="21.693000000000001"/>
  </r>
  <r>
    <n v="505"/>
    <x v="4"/>
    <x v="15"/>
    <x v="4"/>
    <s v="Percent change"/>
    <s v="Units"/>
    <x v="3"/>
    <n v="-0.65900000000000003"/>
  </r>
  <r>
    <n v="505"/>
    <x v="4"/>
    <x v="15"/>
    <x v="4"/>
    <s v="Percent change"/>
    <s v="Units"/>
    <x v="4"/>
    <n v="6.0540000000000003"/>
  </r>
  <r>
    <n v="505"/>
    <x v="4"/>
    <x v="15"/>
    <x v="4"/>
    <s v="Percent change"/>
    <s v="Units"/>
    <x v="5"/>
    <n v="8.9160000000000004"/>
  </r>
  <r>
    <n v="505"/>
    <x v="4"/>
    <x v="15"/>
    <x v="4"/>
    <s v="Percent change"/>
    <s v="Units"/>
    <x v="6"/>
    <n v="8.1210000000000004"/>
  </r>
  <r>
    <n v="1"/>
    <x v="2"/>
    <x v="129"/>
    <x v="6"/>
    <s v="Percent change"/>
    <s v="Units"/>
    <x v="0"/>
    <n v="45.588000000000001"/>
  </r>
  <r>
    <n v="1"/>
    <x v="2"/>
    <x v="129"/>
    <x v="6"/>
    <s v="Percent change"/>
    <s v="Units"/>
    <x v="1"/>
    <n v="-17.818000000000001"/>
  </r>
  <r>
    <n v="1"/>
    <x v="2"/>
    <x v="129"/>
    <x v="6"/>
    <s v="Percent change"/>
    <s v="Units"/>
    <x v="2"/>
    <n v="5.87"/>
  </r>
  <r>
    <n v="1"/>
    <x v="2"/>
    <x v="129"/>
    <x v="6"/>
    <s v="Percent change"/>
    <s v="Units"/>
    <x v="3"/>
    <n v="8.3219999999999992"/>
  </r>
  <r>
    <n v="1"/>
    <x v="2"/>
    <x v="129"/>
    <x v="6"/>
    <s v="Percent change"/>
    <s v="Units"/>
    <x v="4"/>
    <n v="14.404"/>
  </r>
  <r>
    <n v="1"/>
    <x v="2"/>
    <x v="129"/>
    <x v="6"/>
    <s v="Percent change"/>
    <s v="Units"/>
    <x v="5"/>
    <n v="8.8640000000000008"/>
  </r>
  <r>
    <n v="1"/>
    <x v="2"/>
    <x v="129"/>
    <x v="6"/>
    <s v="Percent change"/>
    <s v="Units"/>
    <x v="6"/>
    <n v="0.84799999999999998"/>
  </r>
  <r>
    <n v="603"/>
    <x v="12"/>
    <x v="129"/>
    <x v="6"/>
    <s v="Percent change"/>
    <s v="Units"/>
    <x v="0"/>
    <n v="45.588000000000001"/>
  </r>
  <r>
    <n v="603"/>
    <x v="12"/>
    <x v="129"/>
    <x v="6"/>
    <s v="Percent change"/>
    <s v="Units"/>
    <x v="1"/>
    <n v="-17.818000000000001"/>
  </r>
  <r>
    <n v="603"/>
    <x v="12"/>
    <x v="129"/>
    <x v="6"/>
    <s v="Percent change"/>
    <s v="Units"/>
    <x v="2"/>
    <n v="5.87"/>
  </r>
  <r>
    <n v="603"/>
    <x v="12"/>
    <x v="129"/>
    <x v="6"/>
    <s v="Percent change"/>
    <s v="Units"/>
    <x v="3"/>
    <n v="8.3219999999999992"/>
  </r>
  <r>
    <n v="603"/>
    <x v="12"/>
    <x v="129"/>
    <x v="6"/>
    <s v="Percent change"/>
    <s v="Units"/>
    <x v="4"/>
    <n v="14.404"/>
  </r>
  <r>
    <n v="603"/>
    <x v="12"/>
    <x v="129"/>
    <x v="6"/>
    <s v="Percent change"/>
    <s v="Units"/>
    <x v="5"/>
    <n v="8.8640000000000008"/>
  </r>
  <r>
    <n v="603"/>
    <x v="12"/>
    <x v="129"/>
    <x v="6"/>
    <s v="Percent change"/>
    <s v="Units"/>
    <x v="6"/>
    <n v="0.84799999999999998"/>
  </r>
  <r>
    <n v="200"/>
    <x v="3"/>
    <x v="129"/>
    <x v="6"/>
    <s v="Percent change"/>
    <s v="Units"/>
    <x v="0"/>
    <n v="45.588000000000001"/>
  </r>
  <r>
    <n v="200"/>
    <x v="3"/>
    <x v="129"/>
    <x v="6"/>
    <s v="Percent change"/>
    <s v="Units"/>
    <x v="1"/>
    <n v="-17.818000000000001"/>
  </r>
  <r>
    <n v="200"/>
    <x v="3"/>
    <x v="129"/>
    <x v="6"/>
    <s v="Percent change"/>
    <s v="Units"/>
    <x v="2"/>
    <n v="5.87"/>
  </r>
  <r>
    <n v="200"/>
    <x v="3"/>
    <x v="129"/>
    <x v="6"/>
    <s v="Percent change"/>
    <s v="Units"/>
    <x v="3"/>
    <n v="8.3219999999999992"/>
  </r>
  <r>
    <n v="200"/>
    <x v="3"/>
    <x v="129"/>
    <x v="6"/>
    <s v="Percent change"/>
    <s v="Units"/>
    <x v="4"/>
    <n v="14.404"/>
  </r>
  <r>
    <n v="200"/>
    <x v="3"/>
    <x v="129"/>
    <x v="6"/>
    <s v="Percent change"/>
    <s v="Units"/>
    <x v="5"/>
    <n v="8.8640000000000008"/>
  </r>
  <r>
    <n v="200"/>
    <x v="3"/>
    <x v="129"/>
    <x v="6"/>
    <s v="Percent change"/>
    <s v="Units"/>
    <x v="6"/>
    <n v="0.84799999999999998"/>
  </r>
  <r>
    <n v="903"/>
    <x v="8"/>
    <x v="154"/>
    <x v="6"/>
    <s v="Percent change"/>
    <s v="Units"/>
    <x v="0"/>
    <n v="4.7190000000000003"/>
  </r>
  <r>
    <n v="903"/>
    <x v="8"/>
    <x v="154"/>
    <x v="6"/>
    <s v="Percent change"/>
    <s v="Units"/>
    <x v="1"/>
    <n v="-19.547000000000001"/>
  </r>
  <r>
    <n v="903"/>
    <x v="8"/>
    <x v="154"/>
    <x v="6"/>
    <s v="Percent change"/>
    <s v="Units"/>
    <x v="2"/>
    <n v="23.655000000000001"/>
  </r>
  <r>
    <n v="903"/>
    <x v="8"/>
    <x v="154"/>
    <x v="6"/>
    <s v="Percent change"/>
    <s v="Units"/>
    <x v="3"/>
    <n v="11.68"/>
  </r>
  <r>
    <n v="903"/>
    <x v="8"/>
    <x v="154"/>
    <x v="6"/>
    <s v="Percent change"/>
    <s v="Units"/>
    <x v="4"/>
    <n v="6.7359999999999998"/>
  </r>
  <r>
    <n v="903"/>
    <x v="8"/>
    <x v="154"/>
    <x v="6"/>
    <s v="Percent change"/>
    <s v="Units"/>
    <x v="5"/>
    <n v="8.8539999999999992"/>
  </r>
  <r>
    <n v="903"/>
    <x v="8"/>
    <x v="154"/>
    <x v="6"/>
    <s v="Percent change"/>
    <s v="Units"/>
    <x v="6"/>
    <n v="5.16"/>
  </r>
  <r>
    <n v="200"/>
    <x v="3"/>
    <x v="154"/>
    <x v="6"/>
    <s v="Percent change"/>
    <s v="Units"/>
    <x v="0"/>
    <n v="4.7190000000000003"/>
  </r>
  <r>
    <n v="200"/>
    <x v="3"/>
    <x v="154"/>
    <x v="6"/>
    <s v="Percent change"/>
    <s v="Units"/>
    <x v="1"/>
    <n v="-19.547000000000001"/>
  </r>
  <r>
    <n v="200"/>
    <x v="3"/>
    <x v="154"/>
    <x v="6"/>
    <s v="Percent change"/>
    <s v="Units"/>
    <x v="2"/>
    <n v="23.655000000000001"/>
  </r>
  <r>
    <n v="200"/>
    <x v="3"/>
    <x v="154"/>
    <x v="6"/>
    <s v="Percent change"/>
    <s v="Units"/>
    <x v="3"/>
    <n v="11.68"/>
  </r>
  <r>
    <n v="200"/>
    <x v="3"/>
    <x v="154"/>
    <x v="6"/>
    <s v="Percent change"/>
    <s v="Units"/>
    <x v="4"/>
    <n v="6.7359999999999998"/>
  </r>
  <r>
    <n v="200"/>
    <x v="3"/>
    <x v="154"/>
    <x v="6"/>
    <s v="Percent change"/>
    <s v="Units"/>
    <x v="5"/>
    <n v="8.8539999999999992"/>
  </r>
  <r>
    <n v="200"/>
    <x v="3"/>
    <x v="154"/>
    <x v="6"/>
    <s v="Percent change"/>
    <s v="Units"/>
    <x v="6"/>
    <n v="5.16"/>
  </r>
  <r>
    <n v="1"/>
    <x v="2"/>
    <x v="154"/>
    <x v="6"/>
    <s v="Percent change"/>
    <s v="Units"/>
    <x v="0"/>
    <n v="4.7190000000000003"/>
  </r>
  <r>
    <n v="1"/>
    <x v="2"/>
    <x v="154"/>
    <x v="6"/>
    <s v="Percent change"/>
    <s v="Units"/>
    <x v="1"/>
    <n v="-19.547000000000001"/>
  </r>
  <r>
    <n v="1"/>
    <x v="2"/>
    <x v="154"/>
    <x v="6"/>
    <s v="Percent change"/>
    <s v="Units"/>
    <x v="2"/>
    <n v="23.655000000000001"/>
  </r>
  <r>
    <n v="1"/>
    <x v="2"/>
    <x v="154"/>
    <x v="6"/>
    <s v="Percent change"/>
    <s v="Units"/>
    <x v="3"/>
    <n v="11.68"/>
  </r>
  <r>
    <n v="1"/>
    <x v="2"/>
    <x v="154"/>
    <x v="6"/>
    <s v="Percent change"/>
    <s v="Units"/>
    <x v="4"/>
    <n v="6.7359999999999998"/>
  </r>
  <r>
    <n v="1"/>
    <x v="2"/>
    <x v="154"/>
    <x v="6"/>
    <s v="Percent change"/>
    <s v="Units"/>
    <x v="5"/>
    <n v="8.8539999999999992"/>
  </r>
  <r>
    <n v="1"/>
    <x v="2"/>
    <x v="154"/>
    <x v="6"/>
    <s v="Percent change"/>
    <s v="Units"/>
    <x v="6"/>
    <n v="5.16"/>
  </r>
  <r>
    <n v="200"/>
    <x v="3"/>
    <x v="35"/>
    <x v="2"/>
    <s v="Percent of GDP"/>
    <s v="Units"/>
    <x v="0"/>
    <n v="8.1440000000000001"/>
  </r>
  <r>
    <n v="200"/>
    <x v="3"/>
    <x v="35"/>
    <x v="2"/>
    <s v="Percent of GDP"/>
    <s v="Units"/>
    <x v="1"/>
    <n v="8.468"/>
  </r>
  <r>
    <n v="200"/>
    <x v="3"/>
    <x v="35"/>
    <x v="2"/>
    <s v="Percent of GDP"/>
    <s v="Units"/>
    <x v="2"/>
    <n v="9.3620000000000001"/>
  </r>
  <r>
    <n v="200"/>
    <x v="3"/>
    <x v="35"/>
    <x v="2"/>
    <s v="Percent of GDP"/>
    <s v="Units"/>
    <x v="3"/>
    <n v="8.9179999999999993"/>
  </r>
  <r>
    <n v="200"/>
    <x v="3"/>
    <x v="35"/>
    <x v="2"/>
    <s v="Percent of GDP"/>
    <s v="Units"/>
    <x v="4"/>
    <n v="8.3030000000000008"/>
  </r>
  <r>
    <n v="200"/>
    <x v="3"/>
    <x v="35"/>
    <x v="2"/>
    <s v="Percent of GDP"/>
    <s v="Units"/>
    <x v="5"/>
    <n v="8.7949999999999999"/>
  </r>
  <r>
    <n v="200"/>
    <x v="3"/>
    <x v="35"/>
    <x v="2"/>
    <s v="Percent of GDP"/>
    <s v="Units"/>
    <x v="6"/>
    <n v="9.2579999999999991"/>
  </r>
  <r>
    <n v="505"/>
    <x v="4"/>
    <x v="35"/>
    <x v="2"/>
    <s v="Percent of GDP"/>
    <s v="Units"/>
    <x v="0"/>
    <n v="8.1440000000000001"/>
  </r>
  <r>
    <n v="505"/>
    <x v="4"/>
    <x v="35"/>
    <x v="2"/>
    <s v="Percent of GDP"/>
    <s v="Units"/>
    <x v="1"/>
    <n v="8.468"/>
  </r>
  <r>
    <n v="505"/>
    <x v="4"/>
    <x v="35"/>
    <x v="2"/>
    <s v="Percent of GDP"/>
    <s v="Units"/>
    <x v="2"/>
    <n v="9.3620000000000001"/>
  </r>
  <r>
    <n v="505"/>
    <x v="4"/>
    <x v="35"/>
    <x v="2"/>
    <s v="Percent of GDP"/>
    <s v="Units"/>
    <x v="3"/>
    <n v="8.9179999999999993"/>
  </r>
  <r>
    <n v="505"/>
    <x v="4"/>
    <x v="35"/>
    <x v="2"/>
    <s v="Percent of GDP"/>
    <s v="Units"/>
    <x v="4"/>
    <n v="8.3030000000000008"/>
  </r>
  <r>
    <n v="505"/>
    <x v="4"/>
    <x v="35"/>
    <x v="2"/>
    <s v="Percent of GDP"/>
    <s v="Units"/>
    <x v="5"/>
    <n v="8.7949999999999999"/>
  </r>
  <r>
    <n v="505"/>
    <x v="4"/>
    <x v="35"/>
    <x v="2"/>
    <s v="Percent of GDP"/>
    <s v="Units"/>
    <x v="6"/>
    <n v="9.2579999999999991"/>
  </r>
  <r>
    <n v="505"/>
    <x v="4"/>
    <x v="33"/>
    <x v="6"/>
    <s v="Percent change"/>
    <s v="Units"/>
    <x v="0"/>
    <n v="4.1710000000000003"/>
  </r>
  <r>
    <n v="505"/>
    <x v="4"/>
    <x v="33"/>
    <x v="6"/>
    <s v="Percent change"/>
    <s v="Units"/>
    <x v="1"/>
    <n v="1.9750000000000001"/>
  </r>
  <r>
    <n v="505"/>
    <x v="4"/>
    <x v="33"/>
    <x v="6"/>
    <s v="Percent change"/>
    <s v="Units"/>
    <x v="2"/>
    <n v="17.48"/>
  </r>
  <r>
    <n v="505"/>
    <x v="4"/>
    <x v="33"/>
    <x v="6"/>
    <s v="Percent change"/>
    <s v="Units"/>
    <x v="3"/>
    <n v="2.794"/>
  </r>
  <r>
    <n v="505"/>
    <x v="4"/>
    <x v="33"/>
    <x v="6"/>
    <s v="Percent change"/>
    <s v="Units"/>
    <x v="4"/>
    <n v="-4.7240000000000002"/>
  </r>
  <r>
    <n v="505"/>
    <x v="4"/>
    <x v="33"/>
    <x v="6"/>
    <s v="Percent change"/>
    <s v="Units"/>
    <x v="5"/>
    <n v="8.74"/>
  </r>
  <r>
    <n v="505"/>
    <x v="4"/>
    <x v="33"/>
    <x v="6"/>
    <s v="Percent change"/>
    <s v="Units"/>
    <x v="6"/>
    <n v="6.6319999999999997"/>
  </r>
  <r>
    <n v="200"/>
    <x v="3"/>
    <x v="33"/>
    <x v="6"/>
    <s v="Percent change"/>
    <s v="Units"/>
    <x v="0"/>
    <n v="4.1710000000000003"/>
  </r>
  <r>
    <n v="200"/>
    <x v="3"/>
    <x v="33"/>
    <x v="6"/>
    <s v="Percent change"/>
    <s v="Units"/>
    <x v="1"/>
    <n v="1.9750000000000001"/>
  </r>
  <r>
    <n v="200"/>
    <x v="3"/>
    <x v="33"/>
    <x v="6"/>
    <s v="Percent change"/>
    <s v="Units"/>
    <x v="2"/>
    <n v="17.48"/>
  </r>
  <r>
    <n v="200"/>
    <x v="3"/>
    <x v="33"/>
    <x v="6"/>
    <s v="Percent change"/>
    <s v="Units"/>
    <x v="3"/>
    <n v="2.794"/>
  </r>
  <r>
    <n v="200"/>
    <x v="3"/>
    <x v="33"/>
    <x v="6"/>
    <s v="Percent change"/>
    <s v="Units"/>
    <x v="4"/>
    <n v="-4.7240000000000002"/>
  </r>
  <r>
    <n v="200"/>
    <x v="3"/>
    <x v="33"/>
    <x v="6"/>
    <s v="Percent change"/>
    <s v="Units"/>
    <x v="5"/>
    <n v="8.74"/>
  </r>
  <r>
    <n v="200"/>
    <x v="3"/>
    <x v="33"/>
    <x v="6"/>
    <s v="Percent change"/>
    <s v="Units"/>
    <x v="6"/>
    <n v="6.6319999999999997"/>
  </r>
  <r>
    <n v="1"/>
    <x v="2"/>
    <x v="33"/>
    <x v="6"/>
    <s v="Percent change"/>
    <s v="Units"/>
    <x v="0"/>
    <n v="4.1710000000000003"/>
  </r>
  <r>
    <n v="1"/>
    <x v="2"/>
    <x v="33"/>
    <x v="6"/>
    <s v="Percent change"/>
    <s v="Units"/>
    <x v="1"/>
    <n v="1.9750000000000001"/>
  </r>
  <r>
    <n v="1"/>
    <x v="2"/>
    <x v="33"/>
    <x v="6"/>
    <s v="Percent change"/>
    <s v="Units"/>
    <x v="2"/>
    <n v="17.48"/>
  </r>
  <r>
    <n v="1"/>
    <x v="2"/>
    <x v="33"/>
    <x v="6"/>
    <s v="Percent change"/>
    <s v="Units"/>
    <x v="3"/>
    <n v="2.794"/>
  </r>
  <r>
    <n v="1"/>
    <x v="2"/>
    <x v="33"/>
    <x v="6"/>
    <s v="Percent change"/>
    <s v="Units"/>
    <x v="4"/>
    <n v="-4.7240000000000002"/>
  </r>
  <r>
    <n v="1"/>
    <x v="2"/>
    <x v="33"/>
    <x v="6"/>
    <s v="Percent change"/>
    <s v="Units"/>
    <x v="5"/>
    <n v="8.74"/>
  </r>
  <r>
    <n v="1"/>
    <x v="2"/>
    <x v="33"/>
    <x v="6"/>
    <s v="Percent change"/>
    <s v="Units"/>
    <x v="6"/>
    <n v="6.6319999999999997"/>
  </r>
  <r>
    <n v="200"/>
    <x v="3"/>
    <x v="99"/>
    <x v="5"/>
    <s v="Percent of GDP"/>
    <s v="Units"/>
    <x v="0"/>
    <n v="11.991"/>
  </r>
  <r>
    <n v="200"/>
    <x v="3"/>
    <x v="99"/>
    <x v="5"/>
    <s v="Percent of GDP"/>
    <s v="Units"/>
    <x v="1"/>
    <n v="6.8390000000000004"/>
  </r>
  <r>
    <n v="200"/>
    <x v="3"/>
    <x v="99"/>
    <x v="5"/>
    <s v="Percent of GDP"/>
    <s v="Units"/>
    <x v="2"/>
    <n v="9.3070000000000004"/>
  </r>
  <r>
    <n v="200"/>
    <x v="3"/>
    <x v="99"/>
    <x v="5"/>
    <s v="Percent of GDP"/>
    <s v="Units"/>
    <x v="3"/>
    <n v="5.5410000000000004"/>
  </r>
  <r>
    <n v="200"/>
    <x v="3"/>
    <x v="99"/>
    <x v="5"/>
    <s v="Percent of GDP"/>
    <s v="Units"/>
    <x v="4"/>
    <n v="9.6769999999999996"/>
  </r>
  <r>
    <n v="200"/>
    <x v="3"/>
    <x v="99"/>
    <x v="5"/>
    <s v="Percent of GDP"/>
    <s v="Units"/>
    <x v="5"/>
    <n v="8.7360000000000007"/>
  </r>
  <r>
    <n v="200"/>
    <x v="3"/>
    <x v="99"/>
    <x v="5"/>
    <s v="Percent of GDP"/>
    <s v="Units"/>
    <x v="6"/>
    <n v="8.8040000000000003"/>
  </r>
  <r>
    <n v="400"/>
    <x v="11"/>
    <x v="99"/>
    <x v="5"/>
    <s v="Percent of GDP"/>
    <s v="Units"/>
    <x v="0"/>
    <n v="11.991"/>
  </r>
  <r>
    <n v="400"/>
    <x v="11"/>
    <x v="99"/>
    <x v="5"/>
    <s v="Percent of GDP"/>
    <s v="Units"/>
    <x v="1"/>
    <n v="6.8390000000000004"/>
  </r>
  <r>
    <n v="400"/>
    <x v="11"/>
    <x v="99"/>
    <x v="5"/>
    <s v="Percent of GDP"/>
    <s v="Units"/>
    <x v="2"/>
    <n v="9.3070000000000004"/>
  </r>
  <r>
    <n v="400"/>
    <x v="11"/>
    <x v="99"/>
    <x v="5"/>
    <s v="Percent of GDP"/>
    <s v="Units"/>
    <x v="3"/>
    <n v="5.5410000000000004"/>
  </r>
  <r>
    <n v="400"/>
    <x v="11"/>
    <x v="99"/>
    <x v="5"/>
    <s v="Percent of GDP"/>
    <s v="Units"/>
    <x v="4"/>
    <n v="9.6769999999999996"/>
  </r>
  <r>
    <n v="400"/>
    <x v="11"/>
    <x v="99"/>
    <x v="5"/>
    <s v="Percent of GDP"/>
    <s v="Units"/>
    <x v="5"/>
    <n v="8.7360000000000007"/>
  </r>
  <r>
    <n v="400"/>
    <x v="11"/>
    <x v="99"/>
    <x v="5"/>
    <s v="Percent of GDP"/>
    <s v="Units"/>
    <x v="6"/>
    <n v="8.8040000000000003"/>
  </r>
  <r>
    <n v="1"/>
    <x v="2"/>
    <x v="99"/>
    <x v="5"/>
    <s v="Percent of GDP"/>
    <s v="Units"/>
    <x v="0"/>
    <n v="11.991"/>
  </r>
  <r>
    <n v="1"/>
    <x v="2"/>
    <x v="99"/>
    <x v="5"/>
    <s v="Percent of GDP"/>
    <s v="Units"/>
    <x v="1"/>
    <n v="6.8390000000000004"/>
  </r>
  <r>
    <n v="1"/>
    <x v="2"/>
    <x v="99"/>
    <x v="5"/>
    <s v="Percent of GDP"/>
    <s v="Units"/>
    <x v="2"/>
    <n v="9.3070000000000004"/>
  </r>
  <r>
    <n v="1"/>
    <x v="2"/>
    <x v="99"/>
    <x v="5"/>
    <s v="Percent of GDP"/>
    <s v="Units"/>
    <x v="3"/>
    <n v="5.5410000000000004"/>
  </r>
  <r>
    <n v="1"/>
    <x v="2"/>
    <x v="99"/>
    <x v="5"/>
    <s v="Percent of GDP"/>
    <s v="Units"/>
    <x v="4"/>
    <n v="9.6769999999999996"/>
  </r>
  <r>
    <n v="1"/>
    <x v="2"/>
    <x v="99"/>
    <x v="5"/>
    <s v="Percent of GDP"/>
    <s v="Units"/>
    <x v="5"/>
    <n v="8.7360000000000007"/>
  </r>
  <r>
    <n v="1"/>
    <x v="2"/>
    <x v="99"/>
    <x v="5"/>
    <s v="Percent of GDP"/>
    <s v="Units"/>
    <x v="6"/>
    <n v="8.8040000000000003"/>
  </r>
  <r>
    <n v="603"/>
    <x v="12"/>
    <x v="165"/>
    <x v="4"/>
    <s v="Percent change"/>
    <s v="Units"/>
    <x v="0"/>
    <n v="-23.443000000000001"/>
  </r>
  <r>
    <n v="603"/>
    <x v="12"/>
    <x v="165"/>
    <x v="4"/>
    <s v="Percent change"/>
    <s v="Units"/>
    <x v="1"/>
    <n v="-37.838000000000001"/>
  </r>
  <r>
    <n v="603"/>
    <x v="12"/>
    <x v="165"/>
    <x v="4"/>
    <s v="Percent change"/>
    <s v="Units"/>
    <x v="2"/>
    <n v="33.213000000000001"/>
  </r>
  <r>
    <n v="603"/>
    <x v="12"/>
    <x v="165"/>
    <x v="4"/>
    <s v="Percent change"/>
    <s v="Units"/>
    <x v="3"/>
    <n v="-7.1820000000000004"/>
  </r>
  <r>
    <n v="603"/>
    <x v="12"/>
    <x v="165"/>
    <x v="4"/>
    <s v="Percent change"/>
    <s v="Units"/>
    <x v="4"/>
    <n v="21.95"/>
  </r>
  <r>
    <n v="603"/>
    <x v="12"/>
    <x v="165"/>
    <x v="4"/>
    <s v="Percent change"/>
    <s v="Units"/>
    <x v="5"/>
    <n v="8.7230000000000008"/>
  </r>
  <r>
    <n v="603"/>
    <x v="12"/>
    <x v="165"/>
    <x v="4"/>
    <s v="Percent change"/>
    <s v="Units"/>
    <x v="6"/>
    <n v="6.0659999999999998"/>
  </r>
  <r>
    <n v="1"/>
    <x v="2"/>
    <x v="165"/>
    <x v="4"/>
    <s v="Percent change"/>
    <s v="Units"/>
    <x v="0"/>
    <n v="-23.443000000000001"/>
  </r>
  <r>
    <n v="1"/>
    <x v="2"/>
    <x v="165"/>
    <x v="4"/>
    <s v="Percent change"/>
    <s v="Units"/>
    <x v="1"/>
    <n v="-37.838000000000001"/>
  </r>
  <r>
    <n v="1"/>
    <x v="2"/>
    <x v="165"/>
    <x v="4"/>
    <s v="Percent change"/>
    <s v="Units"/>
    <x v="2"/>
    <n v="33.213000000000001"/>
  </r>
  <r>
    <n v="1"/>
    <x v="2"/>
    <x v="165"/>
    <x v="4"/>
    <s v="Percent change"/>
    <s v="Units"/>
    <x v="3"/>
    <n v="-7.1820000000000004"/>
  </r>
  <r>
    <n v="1"/>
    <x v="2"/>
    <x v="165"/>
    <x v="4"/>
    <s v="Percent change"/>
    <s v="Units"/>
    <x v="4"/>
    <n v="21.95"/>
  </r>
  <r>
    <n v="1"/>
    <x v="2"/>
    <x v="165"/>
    <x v="4"/>
    <s v="Percent change"/>
    <s v="Units"/>
    <x v="5"/>
    <n v="8.7230000000000008"/>
  </r>
  <r>
    <n v="1"/>
    <x v="2"/>
    <x v="165"/>
    <x v="4"/>
    <s v="Percent change"/>
    <s v="Units"/>
    <x v="6"/>
    <n v="6.0659999999999998"/>
  </r>
  <r>
    <n v="200"/>
    <x v="3"/>
    <x v="165"/>
    <x v="4"/>
    <s v="Percent change"/>
    <s v="Units"/>
    <x v="0"/>
    <n v="-23.443000000000001"/>
  </r>
  <r>
    <n v="200"/>
    <x v="3"/>
    <x v="165"/>
    <x v="4"/>
    <s v="Percent change"/>
    <s v="Units"/>
    <x v="1"/>
    <n v="-37.838000000000001"/>
  </r>
  <r>
    <n v="200"/>
    <x v="3"/>
    <x v="165"/>
    <x v="4"/>
    <s v="Percent change"/>
    <s v="Units"/>
    <x v="2"/>
    <n v="33.213000000000001"/>
  </r>
  <r>
    <n v="200"/>
    <x v="3"/>
    <x v="165"/>
    <x v="4"/>
    <s v="Percent change"/>
    <s v="Units"/>
    <x v="3"/>
    <n v="-7.1820000000000004"/>
  </r>
  <r>
    <n v="200"/>
    <x v="3"/>
    <x v="165"/>
    <x v="4"/>
    <s v="Percent change"/>
    <s v="Units"/>
    <x v="4"/>
    <n v="21.95"/>
  </r>
  <r>
    <n v="200"/>
    <x v="3"/>
    <x v="165"/>
    <x v="4"/>
    <s v="Percent change"/>
    <s v="Units"/>
    <x v="5"/>
    <n v="8.7230000000000008"/>
  </r>
  <r>
    <n v="200"/>
    <x v="3"/>
    <x v="165"/>
    <x v="4"/>
    <s v="Percent change"/>
    <s v="Units"/>
    <x v="6"/>
    <n v="6.0659999999999998"/>
  </r>
  <r>
    <n v="1"/>
    <x v="2"/>
    <x v="47"/>
    <x v="1"/>
    <s v="Percent change"/>
    <s v="Units"/>
    <x v="0"/>
    <n v="5.2439999999999998"/>
  </r>
  <r>
    <n v="1"/>
    <x v="2"/>
    <x v="47"/>
    <x v="1"/>
    <s v="Percent change"/>
    <s v="Units"/>
    <x v="1"/>
    <n v="6.7990000000000004"/>
  </r>
  <r>
    <n v="1"/>
    <x v="2"/>
    <x v="47"/>
    <x v="1"/>
    <s v="Percent change"/>
    <s v="Units"/>
    <x v="2"/>
    <n v="8.0020000000000007"/>
  </r>
  <r>
    <n v="1"/>
    <x v="2"/>
    <x v="47"/>
    <x v="1"/>
    <s v="Percent change"/>
    <s v="Units"/>
    <x v="3"/>
    <n v="14.956"/>
  </r>
  <r>
    <n v="1"/>
    <x v="2"/>
    <x v="47"/>
    <x v="1"/>
    <s v="Percent change"/>
    <s v="Units"/>
    <x v="4"/>
    <n v="14.558"/>
  </r>
  <r>
    <n v="1"/>
    <x v="2"/>
    <x v="47"/>
    <x v="1"/>
    <s v="Percent change"/>
    <s v="Units"/>
    <x v="5"/>
    <n v="8.6709999999999994"/>
  </r>
  <r>
    <n v="1"/>
    <x v="2"/>
    <x v="47"/>
    <x v="1"/>
    <s v="Percent change"/>
    <s v="Units"/>
    <x v="6"/>
    <n v="6.9749999999999996"/>
  </r>
  <r>
    <n v="200"/>
    <x v="3"/>
    <x v="47"/>
    <x v="1"/>
    <s v="Percent change"/>
    <s v="Units"/>
    <x v="0"/>
    <n v="5.2439999999999998"/>
  </r>
  <r>
    <n v="200"/>
    <x v="3"/>
    <x v="47"/>
    <x v="1"/>
    <s v="Percent change"/>
    <s v="Units"/>
    <x v="1"/>
    <n v="6.7990000000000004"/>
  </r>
  <r>
    <n v="200"/>
    <x v="3"/>
    <x v="47"/>
    <x v="1"/>
    <s v="Percent change"/>
    <s v="Units"/>
    <x v="2"/>
    <n v="8.0020000000000007"/>
  </r>
  <r>
    <n v="200"/>
    <x v="3"/>
    <x v="47"/>
    <x v="1"/>
    <s v="Percent change"/>
    <s v="Units"/>
    <x v="3"/>
    <n v="14.956"/>
  </r>
  <r>
    <n v="200"/>
    <x v="3"/>
    <x v="47"/>
    <x v="1"/>
    <s v="Percent change"/>
    <s v="Units"/>
    <x v="4"/>
    <n v="14.558"/>
  </r>
  <r>
    <n v="200"/>
    <x v="3"/>
    <x v="47"/>
    <x v="1"/>
    <s v="Percent change"/>
    <s v="Units"/>
    <x v="5"/>
    <n v="8.6709999999999994"/>
  </r>
  <r>
    <n v="200"/>
    <x v="3"/>
    <x v="47"/>
    <x v="1"/>
    <s v="Percent change"/>
    <s v="Units"/>
    <x v="6"/>
    <n v="6.9749999999999996"/>
  </r>
  <r>
    <n v="400"/>
    <x v="11"/>
    <x v="47"/>
    <x v="1"/>
    <s v="Percent change"/>
    <s v="Units"/>
    <x v="0"/>
    <n v="5.2439999999999998"/>
  </r>
  <r>
    <n v="400"/>
    <x v="11"/>
    <x v="47"/>
    <x v="1"/>
    <s v="Percent change"/>
    <s v="Units"/>
    <x v="1"/>
    <n v="6.7990000000000004"/>
  </r>
  <r>
    <n v="400"/>
    <x v="11"/>
    <x v="47"/>
    <x v="1"/>
    <s v="Percent change"/>
    <s v="Units"/>
    <x v="2"/>
    <n v="8.0020000000000007"/>
  </r>
  <r>
    <n v="400"/>
    <x v="11"/>
    <x v="47"/>
    <x v="1"/>
    <s v="Percent change"/>
    <s v="Units"/>
    <x v="3"/>
    <n v="14.956"/>
  </r>
  <r>
    <n v="400"/>
    <x v="11"/>
    <x v="47"/>
    <x v="1"/>
    <s v="Percent change"/>
    <s v="Units"/>
    <x v="4"/>
    <n v="14.558"/>
  </r>
  <r>
    <n v="400"/>
    <x v="11"/>
    <x v="47"/>
    <x v="1"/>
    <s v="Percent change"/>
    <s v="Units"/>
    <x v="5"/>
    <n v="8.6709999999999994"/>
  </r>
  <r>
    <n v="400"/>
    <x v="11"/>
    <x v="47"/>
    <x v="1"/>
    <s v="Percent change"/>
    <s v="Units"/>
    <x v="6"/>
    <n v="6.9749999999999996"/>
  </r>
  <r>
    <n v="200"/>
    <x v="3"/>
    <x v="79"/>
    <x v="6"/>
    <s v="Percent change"/>
    <s v="Units"/>
    <x v="0"/>
    <n v="-9.3350000000000009"/>
  </r>
  <r>
    <n v="200"/>
    <x v="3"/>
    <x v="79"/>
    <x v="6"/>
    <s v="Percent change"/>
    <s v="Units"/>
    <x v="1"/>
    <n v="-28.218"/>
  </r>
  <r>
    <n v="200"/>
    <x v="3"/>
    <x v="79"/>
    <x v="6"/>
    <s v="Percent change"/>
    <s v="Units"/>
    <x v="2"/>
    <n v="30.591000000000001"/>
  </r>
  <r>
    <n v="200"/>
    <x v="3"/>
    <x v="79"/>
    <x v="6"/>
    <s v="Percent change"/>
    <s v="Units"/>
    <x v="3"/>
    <n v="26.405999999999999"/>
  </r>
  <r>
    <n v="200"/>
    <x v="3"/>
    <x v="79"/>
    <x v="6"/>
    <s v="Percent change"/>
    <s v="Units"/>
    <x v="4"/>
    <n v="-7.6639999999999997"/>
  </r>
  <r>
    <n v="200"/>
    <x v="3"/>
    <x v="79"/>
    <x v="6"/>
    <s v="Percent change"/>
    <s v="Units"/>
    <x v="5"/>
    <n v="8.6359999999999992"/>
  </r>
  <r>
    <n v="200"/>
    <x v="3"/>
    <x v="79"/>
    <x v="6"/>
    <s v="Percent change"/>
    <s v="Units"/>
    <x v="6"/>
    <n v="8.2040000000000006"/>
  </r>
  <r>
    <n v="205"/>
    <x v="7"/>
    <x v="79"/>
    <x v="6"/>
    <s v="Percent change"/>
    <s v="Units"/>
    <x v="0"/>
    <n v="-9.3350000000000009"/>
  </r>
  <r>
    <n v="205"/>
    <x v="7"/>
    <x v="79"/>
    <x v="6"/>
    <s v="Percent change"/>
    <s v="Units"/>
    <x v="1"/>
    <n v="-28.218"/>
  </r>
  <r>
    <n v="205"/>
    <x v="7"/>
    <x v="79"/>
    <x v="6"/>
    <s v="Percent change"/>
    <s v="Units"/>
    <x v="2"/>
    <n v="30.591000000000001"/>
  </r>
  <r>
    <n v="205"/>
    <x v="7"/>
    <x v="79"/>
    <x v="6"/>
    <s v="Percent change"/>
    <s v="Units"/>
    <x v="3"/>
    <n v="26.405999999999999"/>
  </r>
  <r>
    <n v="205"/>
    <x v="7"/>
    <x v="79"/>
    <x v="6"/>
    <s v="Percent change"/>
    <s v="Units"/>
    <x v="4"/>
    <n v="-7.6639999999999997"/>
  </r>
  <r>
    <n v="205"/>
    <x v="7"/>
    <x v="79"/>
    <x v="6"/>
    <s v="Percent change"/>
    <s v="Units"/>
    <x v="5"/>
    <n v="8.6359999999999992"/>
  </r>
  <r>
    <n v="205"/>
    <x v="7"/>
    <x v="79"/>
    <x v="6"/>
    <s v="Percent change"/>
    <s v="Units"/>
    <x v="6"/>
    <n v="8.2040000000000006"/>
  </r>
  <r>
    <n v="1"/>
    <x v="2"/>
    <x v="79"/>
    <x v="6"/>
    <s v="Percent change"/>
    <s v="Units"/>
    <x v="0"/>
    <n v="-9.3350000000000009"/>
  </r>
  <r>
    <n v="1"/>
    <x v="2"/>
    <x v="79"/>
    <x v="6"/>
    <s v="Percent change"/>
    <s v="Units"/>
    <x v="1"/>
    <n v="-28.218"/>
  </r>
  <r>
    <n v="1"/>
    <x v="2"/>
    <x v="79"/>
    <x v="6"/>
    <s v="Percent change"/>
    <s v="Units"/>
    <x v="2"/>
    <n v="30.591000000000001"/>
  </r>
  <r>
    <n v="1"/>
    <x v="2"/>
    <x v="79"/>
    <x v="6"/>
    <s v="Percent change"/>
    <s v="Units"/>
    <x v="3"/>
    <n v="26.405999999999999"/>
  </r>
  <r>
    <n v="1"/>
    <x v="2"/>
    <x v="79"/>
    <x v="6"/>
    <s v="Percent change"/>
    <s v="Units"/>
    <x v="4"/>
    <n v="-7.6639999999999997"/>
  </r>
  <r>
    <n v="1"/>
    <x v="2"/>
    <x v="79"/>
    <x v="6"/>
    <s v="Percent change"/>
    <s v="Units"/>
    <x v="5"/>
    <n v="8.6359999999999992"/>
  </r>
  <r>
    <n v="1"/>
    <x v="2"/>
    <x v="79"/>
    <x v="6"/>
    <s v="Percent change"/>
    <s v="Units"/>
    <x v="6"/>
    <n v="8.2040000000000006"/>
  </r>
  <r>
    <n v="903"/>
    <x v="8"/>
    <x v="19"/>
    <x v="6"/>
    <s v="Percent change"/>
    <s v="Units"/>
    <x v="0"/>
    <n v="3.1920000000000002"/>
  </r>
  <r>
    <n v="903"/>
    <x v="8"/>
    <x v="19"/>
    <x v="6"/>
    <s v="Percent change"/>
    <s v="Units"/>
    <x v="1"/>
    <n v="-2.4119999999999999"/>
  </r>
  <r>
    <n v="903"/>
    <x v="8"/>
    <x v="19"/>
    <x v="6"/>
    <s v="Percent change"/>
    <s v="Units"/>
    <x v="2"/>
    <n v="16.141999999999999"/>
  </r>
  <r>
    <n v="903"/>
    <x v="8"/>
    <x v="19"/>
    <x v="6"/>
    <s v="Percent change"/>
    <s v="Units"/>
    <x v="3"/>
    <n v="6.7930000000000001"/>
  </r>
  <r>
    <n v="903"/>
    <x v="8"/>
    <x v="19"/>
    <x v="6"/>
    <s v="Percent change"/>
    <s v="Units"/>
    <x v="4"/>
    <n v="-8.3079999999999998"/>
  </r>
  <r>
    <n v="903"/>
    <x v="8"/>
    <x v="19"/>
    <x v="6"/>
    <s v="Percent change"/>
    <s v="Units"/>
    <x v="5"/>
    <n v="8.6329999999999991"/>
  </r>
  <r>
    <n v="903"/>
    <x v="8"/>
    <x v="19"/>
    <x v="6"/>
    <s v="Percent change"/>
    <s v="Units"/>
    <x v="6"/>
    <n v="6.4870000000000001"/>
  </r>
  <r>
    <n v="1"/>
    <x v="2"/>
    <x v="19"/>
    <x v="6"/>
    <s v="Percent change"/>
    <s v="Units"/>
    <x v="0"/>
    <n v="3.1920000000000002"/>
  </r>
  <r>
    <n v="1"/>
    <x v="2"/>
    <x v="19"/>
    <x v="6"/>
    <s v="Percent change"/>
    <s v="Units"/>
    <x v="1"/>
    <n v="-2.4119999999999999"/>
  </r>
  <r>
    <n v="1"/>
    <x v="2"/>
    <x v="19"/>
    <x v="6"/>
    <s v="Percent change"/>
    <s v="Units"/>
    <x v="2"/>
    <n v="16.141999999999999"/>
  </r>
  <r>
    <n v="1"/>
    <x v="2"/>
    <x v="19"/>
    <x v="6"/>
    <s v="Percent change"/>
    <s v="Units"/>
    <x v="3"/>
    <n v="6.7930000000000001"/>
  </r>
  <r>
    <n v="1"/>
    <x v="2"/>
    <x v="19"/>
    <x v="6"/>
    <s v="Percent change"/>
    <s v="Units"/>
    <x v="4"/>
    <n v="-8.3079999999999998"/>
  </r>
  <r>
    <n v="1"/>
    <x v="2"/>
    <x v="19"/>
    <x v="6"/>
    <s v="Percent change"/>
    <s v="Units"/>
    <x v="5"/>
    <n v="8.6329999999999991"/>
  </r>
  <r>
    <n v="1"/>
    <x v="2"/>
    <x v="19"/>
    <x v="6"/>
    <s v="Percent change"/>
    <s v="Units"/>
    <x v="6"/>
    <n v="6.4870000000000001"/>
  </r>
  <r>
    <n v="200"/>
    <x v="3"/>
    <x v="19"/>
    <x v="6"/>
    <s v="Percent change"/>
    <s v="Units"/>
    <x v="0"/>
    <n v="3.1920000000000002"/>
  </r>
  <r>
    <n v="200"/>
    <x v="3"/>
    <x v="19"/>
    <x v="6"/>
    <s v="Percent change"/>
    <s v="Units"/>
    <x v="1"/>
    <n v="-2.4119999999999999"/>
  </r>
  <r>
    <n v="200"/>
    <x v="3"/>
    <x v="19"/>
    <x v="6"/>
    <s v="Percent change"/>
    <s v="Units"/>
    <x v="2"/>
    <n v="16.141999999999999"/>
  </r>
  <r>
    <n v="200"/>
    <x v="3"/>
    <x v="19"/>
    <x v="6"/>
    <s v="Percent change"/>
    <s v="Units"/>
    <x v="3"/>
    <n v="6.7930000000000001"/>
  </r>
  <r>
    <n v="200"/>
    <x v="3"/>
    <x v="19"/>
    <x v="6"/>
    <s v="Percent change"/>
    <s v="Units"/>
    <x v="4"/>
    <n v="-8.3079999999999998"/>
  </r>
  <r>
    <n v="200"/>
    <x v="3"/>
    <x v="19"/>
    <x v="6"/>
    <s v="Percent change"/>
    <s v="Units"/>
    <x v="5"/>
    <n v="8.6329999999999991"/>
  </r>
  <r>
    <n v="200"/>
    <x v="3"/>
    <x v="19"/>
    <x v="6"/>
    <s v="Percent change"/>
    <s v="Units"/>
    <x v="6"/>
    <n v="6.4870000000000001"/>
  </r>
  <r>
    <n v="510"/>
    <x v="10"/>
    <x v="36"/>
    <x v="6"/>
    <s v="Percent change"/>
    <s v="Units"/>
    <x v="0"/>
    <n v="-1.944"/>
  </r>
  <r>
    <n v="510"/>
    <x v="10"/>
    <x v="36"/>
    <x v="6"/>
    <s v="Percent change"/>
    <s v="Units"/>
    <x v="1"/>
    <n v="-8.875"/>
  </r>
  <r>
    <n v="510"/>
    <x v="10"/>
    <x v="36"/>
    <x v="6"/>
    <s v="Percent change"/>
    <s v="Units"/>
    <x v="2"/>
    <n v="24.776"/>
  </r>
  <r>
    <n v="510"/>
    <x v="10"/>
    <x v="36"/>
    <x v="6"/>
    <s v="Percent change"/>
    <s v="Units"/>
    <x v="3"/>
    <n v="16.625"/>
  </r>
  <r>
    <n v="510"/>
    <x v="10"/>
    <x v="36"/>
    <x v="6"/>
    <s v="Percent change"/>
    <s v="Units"/>
    <x v="4"/>
    <n v="-5.141"/>
  </r>
  <r>
    <n v="510"/>
    <x v="10"/>
    <x v="36"/>
    <x v="6"/>
    <s v="Percent change"/>
    <s v="Units"/>
    <x v="5"/>
    <n v="8.6020000000000003"/>
  </r>
  <r>
    <n v="510"/>
    <x v="10"/>
    <x v="36"/>
    <x v="6"/>
    <s v="Percent change"/>
    <s v="Units"/>
    <x v="6"/>
    <n v="5.6040000000000001"/>
  </r>
  <r>
    <n v="200"/>
    <x v="3"/>
    <x v="36"/>
    <x v="6"/>
    <s v="Percent change"/>
    <s v="Units"/>
    <x v="0"/>
    <n v="-1.944"/>
  </r>
  <r>
    <n v="200"/>
    <x v="3"/>
    <x v="36"/>
    <x v="6"/>
    <s v="Percent change"/>
    <s v="Units"/>
    <x v="1"/>
    <n v="-8.875"/>
  </r>
  <r>
    <n v="200"/>
    <x v="3"/>
    <x v="36"/>
    <x v="6"/>
    <s v="Percent change"/>
    <s v="Units"/>
    <x v="2"/>
    <n v="24.776"/>
  </r>
  <r>
    <n v="200"/>
    <x v="3"/>
    <x v="36"/>
    <x v="6"/>
    <s v="Percent change"/>
    <s v="Units"/>
    <x v="3"/>
    <n v="16.625"/>
  </r>
  <r>
    <n v="200"/>
    <x v="3"/>
    <x v="36"/>
    <x v="6"/>
    <s v="Percent change"/>
    <s v="Units"/>
    <x v="4"/>
    <n v="-5.141"/>
  </r>
  <r>
    <n v="200"/>
    <x v="3"/>
    <x v="36"/>
    <x v="6"/>
    <s v="Percent change"/>
    <s v="Units"/>
    <x v="5"/>
    <n v="8.6020000000000003"/>
  </r>
  <r>
    <n v="200"/>
    <x v="3"/>
    <x v="36"/>
    <x v="6"/>
    <s v="Percent change"/>
    <s v="Units"/>
    <x v="6"/>
    <n v="5.6040000000000001"/>
  </r>
  <r>
    <n v="505"/>
    <x v="4"/>
    <x v="36"/>
    <x v="6"/>
    <s v="Percent change"/>
    <s v="Units"/>
    <x v="0"/>
    <n v="-1.944"/>
  </r>
  <r>
    <n v="505"/>
    <x v="4"/>
    <x v="36"/>
    <x v="6"/>
    <s v="Percent change"/>
    <s v="Units"/>
    <x v="1"/>
    <n v="-8.875"/>
  </r>
  <r>
    <n v="505"/>
    <x v="4"/>
    <x v="36"/>
    <x v="6"/>
    <s v="Percent change"/>
    <s v="Units"/>
    <x v="2"/>
    <n v="24.776"/>
  </r>
  <r>
    <n v="505"/>
    <x v="4"/>
    <x v="36"/>
    <x v="6"/>
    <s v="Percent change"/>
    <s v="Units"/>
    <x v="3"/>
    <n v="16.625"/>
  </r>
  <r>
    <n v="505"/>
    <x v="4"/>
    <x v="36"/>
    <x v="6"/>
    <s v="Percent change"/>
    <s v="Units"/>
    <x v="4"/>
    <n v="-5.141"/>
  </r>
  <r>
    <n v="505"/>
    <x v="4"/>
    <x v="36"/>
    <x v="6"/>
    <s v="Percent change"/>
    <s v="Units"/>
    <x v="5"/>
    <n v="8.6020000000000003"/>
  </r>
  <r>
    <n v="505"/>
    <x v="4"/>
    <x v="36"/>
    <x v="6"/>
    <s v="Percent change"/>
    <s v="Units"/>
    <x v="6"/>
    <n v="5.6040000000000001"/>
  </r>
  <r>
    <n v="1"/>
    <x v="2"/>
    <x v="36"/>
    <x v="6"/>
    <s v="Percent change"/>
    <s v="Units"/>
    <x v="0"/>
    <n v="-1.944"/>
  </r>
  <r>
    <n v="1"/>
    <x v="2"/>
    <x v="36"/>
    <x v="6"/>
    <s v="Percent change"/>
    <s v="Units"/>
    <x v="1"/>
    <n v="-8.875"/>
  </r>
  <r>
    <n v="1"/>
    <x v="2"/>
    <x v="36"/>
    <x v="6"/>
    <s v="Percent change"/>
    <s v="Units"/>
    <x v="2"/>
    <n v="24.776"/>
  </r>
  <r>
    <n v="1"/>
    <x v="2"/>
    <x v="36"/>
    <x v="6"/>
    <s v="Percent change"/>
    <s v="Units"/>
    <x v="3"/>
    <n v="16.625"/>
  </r>
  <r>
    <n v="1"/>
    <x v="2"/>
    <x v="36"/>
    <x v="6"/>
    <s v="Percent change"/>
    <s v="Units"/>
    <x v="4"/>
    <n v="-5.141"/>
  </r>
  <r>
    <n v="1"/>
    <x v="2"/>
    <x v="36"/>
    <x v="6"/>
    <s v="Percent change"/>
    <s v="Units"/>
    <x v="5"/>
    <n v="8.6020000000000003"/>
  </r>
  <r>
    <n v="1"/>
    <x v="2"/>
    <x v="36"/>
    <x v="6"/>
    <s v="Percent change"/>
    <s v="Units"/>
    <x v="6"/>
    <n v="5.6040000000000001"/>
  </r>
  <r>
    <n v="1"/>
    <x v="2"/>
    <x v="74"/>
    <x v="6"/>
    <s v="Percent change"/>
    <s v="Units"/>
    <x v="0"/>
    <n v="-2.2970000000000002"/>
  </r>
  <r>
    <n v="1"/>
    <x v="2"/>
    <x v="74"/>
    <x v="6"/>
    <s v="Percent change"/>
    <s v="Units"/>
    <x v="1"/>
    <n v="-12.929"/>
  </r>
  <r>
    <n v="1"/>
    <x v="2"/>
    <x v="74"/>
    <x v="6"/>
    <s v="Percent change"/>
    <s v="Units"/>
    <x v="2"/>
    <n v="19.245999999999999"/>
  </r>
  <r>
    <n v="1"/>
    <x v="2"/>
    <x v="74"/>
    <x v="6"/>
    <s v="Percent change"/>
    <s v="Units"/>
    <x v="3"/>
    <n v="6.0220000000000002"/>
  </r>
  <r>
    <n v="1"/>
    <x v="2"/>
    <x v="74"/>
    <x v="6"/>
    <s v="Percent change"/>
    <s v="Units"/>
    <x v="4"/>
    <n v="5.6120000000000001"/>
  </r>
  <r>
    <n v="1"/>
    <x v="2"/>
    <x v="74"/>
    <x v="6"/>
    <s v="Percent change"/>
    <s v="Units"/>
    <x v="5"/>
    <n v="8.5990000000000002"/>
  </r>
  <r>
    <n v="1"/>
    <x v="2"/>
    <x v="74"/>
    <x v="6"/>
    <s v="Percent change"/>
    <s v="Units"/>
    <x v="6"/>
    <n v="7.3449999999999998"/>
  </r>
  <r>
    <n v="205"/>
    <x v="7"/>
    <x v="74"/>
    <x v="6"/>
    <s v="Percent change"/>
    <s v="Units"/>
    <x v="0"/>
    <n v="-2.2970000000000002"/>
  </r>
  <r>
    <n v="205"/>
    <x v="7"/>
    <x v="74"/>
    <x v="6"/>
    <s v="Percent change"/>
    <s v="Units"/>
    <x v="1"/>
    <n v="-12.929"/>
  </r>
  <r>
    <n v="205"/>
    <x v="7"/>
    <x v="74"/>
    <x v="6"/>
    <s v="Percent change"/>
    <s v="Units"/>
    <x v="2"/>
    <n v="19.245999999999999"/>
  </r>
  <r>
    <n v="205"/>
    <x v="7"/>
    <x v="74"/>
    <x v="6"/>
    <s v="Percent change"/>
    <s v="Units"/>
    <x v="3"/>
    <n v="6.0220000000000002"/>
  </r>
  <r>
    <n v="205"/>
    <x v="7"/>
    <x v="74"/>
    <x v="6"/>
    <s v="Percent change"/>
    <s v="Units"/>
    <x v="4"/>
    <n v="5.6120000000000001"/>
  </r>
  <r>
    <n v="205"/>
    <x v="7"/>
    <x v="74"/>
    <x v="6"/>
    <s v="Percent change"/>
    <s v="Units"/>
    <x v="5"/>
    <n v="8.5990000000000002"/>
  </r>
  <r>
    <n v="205"/>
    <x v="7"/>
    <x v="74"/>
    <x v="6"/>
    <s v="Percent change"/>
    <s v="Units"/>
    <x v="6"/>
    <n v="7.3449999999999998"/>
  </r>
  <r>
    <n v="200"/>
    <x v="3"/>
    <x v="74"/>
    <x v="6"/>
    <s v="Percent change"/>
    <s v="Units"/>
    <x v="0"/>
    <n v="-2.2970000000000002"/>
  </r>
  <r>
    <n v="200"/>
    <x v="3"/>
    <x v="74"/>
    <x v="6"/>
    <s v="Percent change"/>
    <s v="Units"/>
    <x v="1"/>
    <n v="-12.929"/>
  </r>
  <r>
    <n v="200"/>
    <x v="3"/>
    <x v="74"/>
    <x v="6"/>
    <s v="Percent change"/>
    <s v="Units"/>
    <x v="2"/>
    <n v="19.245999999999999"/>
  </r>
  <r>
    <n v="200"/>
    <x v="3"/>
    <x v="74"/>
    <x v="6"/>
    <s v="Percent change"/>
    <s v="Units"/>
    <x v="3"/>
    <n v="6.0220000000000002"/>
  </r>
  <r>
    <n v="200"/>
    <x v="3"/>
    <x v="74"/>
    <x v="6"/>
    <s v="Percent change"/>
    <s v="Units"/>
    <x v="4"/>
    <n v="5.6120000000000001"/>
  </r>
  <r>
    <n v="200"/>
    <x v="3"/>
    <x v="74"/>
    <x v="6"/>
    <s v="Percent change"/>
    <s v="Units"/>
    <x v="5"/>
    <n v="8.5990000000000002"/>
  </r>
  <r>
    <n v="200"/>
    <x v="3"/>
    <x v="74"/>
    <x v="6"/>
    <s v="Percent change"/>
    <s v="Units"/>
    <x v="6"/>
    <n v="7.3449999999999998"/>
  </r>
  <r>
    <n v="200"/>
    <x v="3"/>
    <x v="146"/>
    <x v="6"/>
    <s v="Percent change"/>
    <s v="Units"/>
    <x v="0"/>
    <n v="11.571999999999999"/>
  </r>
  <r>
    <n v="200"/>
    <x v="3"/>
    <x v="146"/>
    <x v="6"/>
    <s v="Percent change"/>
    <s v="Units"/>
    <x v="1"/>
    <n v="4.952"/>
  </r>
  <r>
    <n v="200"/>
    <x v="3"/>
    <x v="146"/>
    <x v="6"/>
    <s v="Percent change"/>
    <s v="Units"/>
    <x v="2"/>
    <n v="2.3439999999999999"/>
  </r>
  <r>
    <n v="200"/>
    <x v="3"/>
    <x v="146"/>
    <x v="6"/>
    <s v="Percent change"/>
    <s v="Units"/>
    <x v="3"/>
    <n v="-11.775"/>
  </r>
  <r>
    <n v="200"/>
    <x v="3"/>
    <x v="146"/>
    <x v="6"/>
    <s v="Percent change"/>
    <s v="Units"/>
    <x v="4"/>
    <n v="-10.214"/>
  </r>
  <r>
    <n v="200"/>
    <x v="3"/>
    <x v="146"/>
    <x v="6"/>
    <s v="Percent change"/>
    <s v="Units"/>
    <x v="5"/>
    <n v="8.5909999999999993"/>
  </r>
  <r>
    <n v="200"/>
    <x v="3"/>
    <x v="146"/>
    <x v="6"/>
    <s v="Percent change"/>
    <s v="Units"/>
    <x v="6"/>
    <n v="9.0980000000000008"/>
  </r>
  <r>
    <n v="603"/>
    <x v="12"/>
    <x v="146"/>
    <x v="6"/>
    <s v="Percent change"/>
    <s v="Units"/>
    <x v="0"/>
    <n v="11.571999999999999"/>
  </r>
  <r>
    <n v="603"/>
    <x v="12"/>
    <x v="146"/>
    <x v="6"/>
    <s v="Percent change"/>
    <s v="Units"/>
    <x v="1"/>
    <n v="4.952"/>
  </r>
  <r>
    <n v="603"/>
    <x v="12"/>
    <x v="146"/>
    <x v="6"/>
    <s v="Percent change"/>
    <s v="Units"/>
    <x v="2"/>
    <n v="2.3439999999999999"/>
  </r>
  <r>
    <n v="603"/>
    <x v="12"/>
    <x v="146"/>
    <x v="6"/>
    <s v="Percent change"/>
    <s v="Units"/>
    <x v="3"/>
    <n v="-11.775"/>
  </r>
  <r>
    <n v="603"/>
    <x v="12"/>
    <x v="146"/>
    <x v="6"/>
    <s v="Percent change"/>
    <s v="Units"/>
    <x v="4"/>
    <n v="-10.214"/>
  </r>
  <r>
    <n v="603"/>
    <x v="12"/>
    <x v="146"/>
    <x v="6"/>
    <s v="Percent change"/>
    <s v="Units"/>
    <x v="5"/>
    <n v="8.5909999999999993"/>
  </r>
  <r>
    <n v="603"/>
    <x v="12"/>
    <x v="146"/>
    <x v="6"/>
    <s v="Percent change"/>
    <s v="Units"/>
    <x v="6"/>
    <n v="9.0980000000000008"/>
  </r>
  <r>
    <n v="1"/>
    <x v="2"/>
    <x v="146"/>
    <x v="6"/>
    <s v="Percent change"/>
    <s v="Units"/>
    <x v="0"/>
    <n v="11.571999999999999"/>
  </r>
  <r>
    <n v="1"/>
    <x v="2"/>
    <x v="146"/>
    <x v="6"/>
    <s v="Percent change"/>
    <s v="Units"/>
    <x v="1"/>
    <n v="4.952"/>
  </r>
  <r>
    <n v="1"/>
    <x v="2"/>
    <x v="146"/>
    <x v="6"/>
    <s v="Percent change"/>
    <s v="Units"/>
    <x v="2"/>
    <n v="2.3439999999999999"/>
  </r>
  <r>
    <n v="1"/>
    <x v="2"/>
    <x v="146"/>
    <x v="6"/>
    <s v="Percent change"/>
    <s v="Units"/>
    <x v="3"/>
    <n v="-11.775"/>
  </r>
  <r>
    <n v="1"/>
    <x v="2"/>
    <x v="146"/>
    <x v="6"/>
    <s v="Percent change"/>
    <s v="Units"/>
    <x v="4"/>
    <n v="-10.214"/>
  </r>
  <r>
    <n v="1"/>
    <x v="2"/>
    <x v="146"/>
    <x v="6"/>
    <s v="Percent change"/>
    <s v="Units"/>
    <x v="5"/>
    <n v="8.5909999999999993"/>
  </r>
  <r>
    <n v="1"/>
    <x v="2"/>
    <x v="146"/>
    <x v="6"/>
    <s v="Percent change"/>
    <s v="Units"/>
    <x v="6"/>
    <n v="9.0980000000000008"/>
  </r>
  <r>
    <n v="200"/>
    <x v="3"/>
    <x v="151"/>
    <x v="4"/>
    <s v="Percent change"/>
    <s v="Units"/>
    <x v="0"/>
    <n v="9.218"/>
  </r>
  <r>
    <n v="200"/>
    <x v="3"/>
    <x v="151"/>
    <x v="4"/>
    <s v="Percent change"/>
    <s v="Units"/>
    <x v="1"/>
    <n v="-41.076000000000001"/>
  </r>
  <r>
    <n v="200"/>
    <x v="3"/>
    <x v="151"/>
    <x v="4"/>
    <s v="Percent change"/>
    <s v="Units"/>
    <x v="2"/>
    <n v="25.876999999999999"/>
  </r>
  <r>
    <n v="200"/>
    <x v="3"/>
    <x v="151"/>
    <x v="4"/>
    <s v="Percent change"/>
    <s v="Units"/>
    <x v="3"/>
    <n v="36.225999999999999"/>
  </r>
  <r>
    <n v="200"/>
    <x v="3"/>
    <x v="151"/>
    <x v="4"/>
    <s v="Percent change"/>
    <s v="Units"/>
    <x v="4"/>
    <n v="19.146000000000001"/>
  </r>
  <r>
    <n v="200"/>
    <x v="3"/>
    <x v="151"/>
    <x v="4"/>
    <s v="Percent change"/>
    <s v="Units"/>
    <x v="5"/>
    <n v="8.4920000000000009"/>
  </r>
  <r>
    <n v="200"/>
    <x v="3"/>
    <x v="151"/>
    <x v="4"/>
    <s v="Percent change"/>
    <s v="Units"/>
    <x v="6"/>
    <n v="5.9189999999999996"/>
  </r>
  <r>
    <n v="205"/>
    <x v="7"/>
    <x v="151"/>
    <x v="4"/>
    <s v="Percent change"/>
    <s v="Units"/>
    <x v="0"/>
    <n v="9.218"/>
  </r>
  <r>
    <n v="205"/>
    <x v="7"/>
    <x v="151"/>
    <x v="4"/>
    <s v="Percent change"/>
    <s v="Units"/>
    <x v="1"/>
    <n v="-41.076000000000001"/>
  </r>
  <r>
    <n v="205"/>
    <x v="7"/>
    <x v="151"/>
    <x v="4"/>
    <s v="Percent change"/>
    <s v="Units"/>
    <x v="2"/>
    <n v="25.876999999999999"/>
  </r>
  <r>
    <n v="205"/>
    <x v="7"/>
    <x v="151"/>
    <x v="4"/>
    <s v="Percent change"/>
    <s v="Units"/>
    <x v="3"/>
    <n v="36.225999999999999"/>
  </r>
  <r>
    <n v="205"/>
    <x v="7"/>
    <x v="151"/>
    <x v="4"/>
    <s v="Percent change"/>
    <s v="Units"/>
    <x v="4"/>
    <n v="19.146000000000001"/>
  </r>
  <r>
    <n v="205"/>
    <x v="7"/>
    <x v="151"/>
    <x v="4"/>
    <s v="Percent change"/>
    <s v="Units"/>
    <x v="5"/>
    <n v="8.4920000000000009"/>
  </r>
  <r>
    <n v="205"/>
    <x v="7"/>
    <x v="151"/>
    <x v="4"/>
    <s v="Percent change"/>
    <s v="Units"/>
    <x v="6"/>
    <n v="5.9189999999999996"/>
  </r>
  <r>
    <n v="1"/>
    <x v="2"/>
    <x v="151"/>
    <x v="4"/>
    <s v="Percent change"/>
    <s v="Units"/>
    <x v="0"/>
    <n v="9.218"/>
  </r>
  <r>
    <n v="1"/>
    <x v="2"/>
    <x v="151"/>
    <x v="4"/>
    <s v="Percent change"/>
    <s v="Units"/>
    <x v="1"/>
    <n v="-41.076000000000001"/>
  </r>
  <r>
    <n v="1"/>
    <x v="2"/>
    <x v="151"/>
    <x v="4"/>
    <s v="Percent change"/>
    <s v="Units"/>
    <x v="2"/>
    <n v="25.876999999999999"/>
  </r>
  <r>
    <n v="1"/>
    <x v="2"/>
    <x v="151"/>
    <x v="4"/>
    <s v="Percent change"/>
    <s v="Units"/>
    <x v="3"/>
    <n v="36.225999999999999"/>
  </r>
  <r>
    <n v="1"/>
    <x v="2"/>
    <x v="151"/>
    <x v="4"/>
    <s v="Percent change"/>
    <s v="Units"/>
    <x v="4"/>
    <n v="19.146000000000001"/>
  </r>
  <r>
    <n v="1"/>
    <x v="2"/>
    <x v="151"/>
    <x v="4"/>
    <s v="Percent change"/>
    <s v="Units"/>
    <x v="5"/>
    <n v="8.4920000000000009"/>
  </r>
  <r>
    <n v="1"/>
    <x v="2"/>
    <x v="151"/>
    <x v="4"/>
    <s v="Percent change"/>
    <s v="Units"/>
    <x v="6"/>
    <n v="5.9189999999999996"/>
  </r>
  <r>
    <n v="1"/>
    <x v="2"/>
    <x v="83"/>
    <x v="6"/>
    <s v="Percent change"/>
    <s v="Units"/>
    <x v="0"/>
    <n v="11.372"/>
  </r>
  <r>
    <n v="1"/>
    <x v="2"/>
    <x v="83"/>
    <x v="6"/>
    <s v="Percent change"/>
    <s v="Units"/>
    <x v="1"/>
    <n v="-3.3109999999999999"/>
  </r>
  <r>
    <n v="1"/>
    <x v="2"/>
    <x v="83"/>
    <x v="6"/>
    <s v="Percent change"/>
    <s v="Units"/>
    <x v="2"/>
    <n v="14.141999999999999"/>
  </r>
  <r>
    <n v="1"/>
    <x v="2"/>
    <x v="83"/>
    <x v="6"/>
    <s v="Percent change"/>
    <s v="Units"/>
    <x v="3"/>
    <n v="10.592000000000001"/>
  </r>
  <r>
    <n v="1"/>
    <x v="2"/>
    <x v="83"/>
    <x v="6"/>
    <s v="Percent change"/>
    <s v="Units"/>
    <x v="4"/>
    <n v="1.272"/>
  </r>
  <r>
    <n v="1"/>
    <x v="2"/>
    <x v="83"/>
    <x v="6"/>
    <s v="Percent change"/>
    <s v="Units"/>
    <x v="5"/>
    <n v="8.4049999999999994"/>
  </r>
  <r>
    <n v="1"/>
    <x v="2"/>
    <x v="83"/>
    <x v="6"/>
    <s v="Percent change"/>
    <s v="Units"/>
    <x v="6"/>
    <n v="7.3250000000000002"/>
  </r>
  <r>
    <n v="200"/>
    <x v="3"/>
    <x v="83"/>
    <x v="6"/>
    <s v="Percent change"/>
    <s v="Units"/>
    <x v="0"/>
    <n v="11.372"/>
  </r>
  <r>
    <n v="200"/>
    <x v="3"/>
    <x v="83"/>
    <x v="6"/>
    <s v="Percent change"/>
    <s v="Units"/>
    <x v="1"/>
    <n v="-3.3109999999999999"/>
  </r>
  <r>
    <n v="200"/>
    <x v="3"/>
    <x v="83"/>
    <x v="6"/>
    <s v="Percent change"/>
    <s v="Units"/>
    <x v="2"/>
    <n v="14.141999999999999"/>
  </r>
  <r>
    <n v="200"/>
    <x v="3"/>
    <x v="83"/>
    <x v="6"/>
    <s v="Percent change"/>
    <s v="Units"/>
    <x v="3"/>
    <n v="10.592000000000001"/>
  </r>
  <r>
    <n v="200"/>
    <x v="3"/>
    <x v="83"/>
    <x v="6"/>
    <s v="Percent change"/>
    <s v="Units"/>
    <x v="4"/>
    <n v="1.272"/>
  </r>
  <r>
    <n v="200"/>
    <x v="3"/>
    <x v="83"/>
    <x v="6"/>
    <s v="Percent change"/>
    <s v="Units"/>
    <x v="5"/>
    <n v="8.4049999999999994"/>
  </r>
  <r>
    <n v="200"/>
    <x v="3"/>
    <x v="83"/>
    <x v="6"/>
    <s v="Percent change"/>
    <s v="Units"/>
    <x v="6"/>
    <n v="7.3250000000000002"/>
  </r>
  <r>
    <n v="903"/>
    <x v="8"/>
    <x v="83"/>
    <x v="6"/>
    <s v="Percent change"/>
    <s v="Units"/>
    <x v="0"/>
    <n v="11.372"/>
  </r>
  <r>
    <n v="903"/>
    <x v="8"/>
    <x v="83"/>
    <x v="6"/>
    <s v="Percent change"/>
    <s v="Units"/>
    <x v="1"/>
    <n v="-3.3109999999999999"/>
  </r>
  <r>
    <n v="903"/>
    <x v="8"/>
    <x v="83"/>
    <x v="6"/>
    <s v="Percent change"/>
    <s v="Units"/>
    <x v="2"/>
    <n v="14.141999999999999"/>
  </r>
  <r>
    <n v="903"/>
    <x v="8"/>
    <x v="83"/>
    <x v="6"/>
    <s v="Percent change"/>
    <s v="Units"/>
    <x v="3"/>
    <n v="10.592000000000001"/>
  </r>
  <r>
    <n v="903"/>
    <x v="8"/>
    <x v="83"/>
    <x v="6"/>
    <s v="Percent change"/>
    <s v="Units"/>
    <x v="4"/>
    <n v="1.272"/>
  </r>
  <r>
    <n v="903"/>
    <x v="8"/>
    <x v="83"/>
    <x v="6"/>
    <s v="Percent change"/>
    <s v="Units"/>
    <x v="5"/>
    <n v="8.4049999999999994"/>
  </r>
  <r>
    <n v="903"/>
    <x v="8"/>
    <x v="83"/>
    <x v="6"/>
    <s v="Percent change"/>
    <s v="Units"/>
    <x v="6"/>
    <n v="7.3250000000000002"/>
  </r>
  <r>
    <n v="110"/>
    <x v="0"/>
    <x v="22"/>
    <x v="11"/>
    <s v="Percent of total labor force"/>
    <s v="Units"/>
    <x v="0"/>
    <n v="6.9080000000000004"/>
  </r>
  <r>
    <n v="110"/>
    <x v="0"/>
    <x v="22"/>
    <x v="11"/>
    <s v="Percent of total labor force"/>
    <s v="Units"/>
    <x v="1"/>
    <n v="8.4830000000000005"/>
  </r>
  <r>
    <n v="110"/>
    <x v="0"/>
    <x v="22"/>
    <x v="11"/>
    <s v="Percent of total labor force"/>
    <s v="Units"/>
    <x v="2"/>
    <n v="8.8919999999999995"/>
  </r>
  <r>
    <n v="110"/>
    <x v="0"/>
    <x v="22"/>
    <x v="11"/>
    <s v="Percent of total labor force"/>
    <s v="Units"/>
    <x v="3"/>
    <n v="7.4829999999999997"/>
  </r>
  <r>
    <n v="110"/>
    <x v="0"/>
    <x v="22"/>
    <x v="11"/>
    <s v="Percent of total labor force"/>
    <s v="Units"/>
    <x v="4"/>
    <n v="7.6669999999999998"/>
  </r>
  <r>
    <n v="110"/>
    <x v="0"/>
    <x v="22"/>
    <x v="11"/>
    <s v="Percent of total labor force"/>
    <s v="Units"/>
    <x v="5"/>
    <n v="8.3650000000000002"/>
  </r>
  <r>
    <n v="110"/>
    <x v="0"/>
    <x v="22"/>
    <x v="11"/>
    <s v="Percent of total labor force"/>
    <s v="Units"/>
    <x v="6"/>
    <n v="8.2430000000000003"/>
  </r>
  <r>
    <n v="123"/>
    <x v="9"/>
    <x v="22"/>
    <x v="11"/>
    <s v="Percent of total labor force"/>
    <s v="Units"/>
    <x v="0"/>
    <n v="6.9080000000000004"/>
  </r>
  <r>
    <n v="123"/>
    <x v="9"/>
    <x v="22"/>
    <x v="11"/>
    <s v="Percent of total labor force"/>
    <s v="Units"/>
    <x v="1"/>
    <n v="8.4830000000000005"/>
  </r>
  <r>
    <n v="123"/>
    <x v="9"/>
    <x v="22"/>
    <x v="11"/>
    <s v="Percent of total labor force"/>
    <s v="Units"/>
    <x v="2"/>
    <n v="8.8919999999999995"/>
  </r>
  <r>
    <n v="123"/>
    <x v="9"/>
    <x v="22"/>
    <x v="11"/>
    <s v="Percent of total labor force"/>
    <s v="Units"/>
    <x v="3"/>
    <n v="7.4829999999999997"/>
  </r>
  <r>
    <n v="123"/>
    <x v="9"/>
    <x v="22"/>
    <x v="11"/>
    <s v="Percent of total labor force"/>
    <s v="Units"/>
    <x v="4"/>
    <n v="7.6669999999999998"/>
  </r>
  <r>
    <n v="123"/>
    <x v="9"/>
    <x v="22"/>
    <x v="11"/>
    <s v="Percent of total labor force"/>
    <s v="Units"/>
    <x v="5"/>
    <n v="8.3650000000000002"/>
  </r>
  <r>
    <n v="123"/>
    <x v="9"/>
    <x v="22"/>
    <x v="11"/>
    <s v="Percent of total labor force"/>
    <s v="Units"/>
    <x v="6"/>
    <n v="8.2430000000000003"/>
  </r>
  <r>
    <n v="200"/>
    <x v="3"/>
    <x v="56"/>
    <x v="2"/>
    <s v="Percent of GDP"/>
    <s v="Units"/>
    <x v="0"/>
    <n v="12.819000000000001"/>
  </r>
  <r>
    <n v="200"/>
    <x v="3"/>
    <x v="56"/>
    <x v="2"/>
    <s v="Percent of GDP"/>
    <s v="Units"/>
    <x v="1"/>
    <n v="11.705"/>
  </r>
  <r>
    <n v="200"/>
    <x v="3"/>
    <x v="56"/>
    <x v="2"/>
    <s v="Percent of GDP"/>
    <s v="Units"/>
    <x v="2"/>
    <n v="11.031000000000001"/>
  </r>
  <r>
    <n v="200"/>
    <x v="3"/>
    <x v="56"/>
    <x v="2"/>
    <s v="Percent of GDP"/>
    <s v="Units"/>
    <x v="3"/>
    <n v="8.5380000000000003"/>
  </r>
  <r>
    <n v="200"/>
    <x v="3"/>
    <x v="56"/>
    <x v="2"/>
    <s v="Percent of GDP"/>
    <s v="Units"/>
    <x v="4"/>
    <n v="8.2270000000000003"/>
  </r>
  <r>
    <n v="200"/>
    <x v="3"/>
    <x v="56"/>
    <x v="2"/>
    <s v="Percent of GDP"/>
    <s v="Units"/>
    <x v="5"/>
    <n v="8.2880000000000003"/>
  </r>
  <r>
    <n v="200"/>
    <x v="3"/>
    <x v="56"/>
    <x v="2"/>
    <s v="Percent of GDP"/>
    <s v="Units"/>
    <x v="6"/>
    <n v="8.2739999999999991"/>
  </r>
  <r>
    <n v="603"/>
    <x v="12"/>
    <x v="56"/>
    <x v="2"/>
    <s v="Percent of GDP"/>
    <s v="Units"/>
    <x v="0"/>
    <n v="12.819000000000001"/>
  </r>
  <r>
    <n v="603"/>
    <x v="12"/>
    <x v="56"/>
    <x v="2"/>
    <s v="Percent of GDP"/>
    <s v="Units"/>
    <x v="1"/>
    <n v="11.705"/>
  </r>
  <r>
    <n v="603"/>
    <x v="12"/>
    <x v="56"/>
    <x v="2"/>
    <s v="Percent of GDP"/>
    <s v="Units"/>
    <x v="2"/>
    <n v="11.031000000000001"/>
  </r>
  <r>
    <n v="603"/>
    <x v="12"/>
    <x v="56"/>
    <x v="2"/>
    <s v="Percent of GDP"/>
    <s v="Units"/>
    <x v="3"/>
    <n v="8.5380000000000003"/>
  </r>
  <r>
    <n v="603"/>
    <x v="12"/>
    <x v="56"/>
    <x v="2"/>
    <s v="Percent of GDP"/>
    <s v="Units"/>
    <x v="4"/>
    <n v="8.2270000000000003"/>
  </r>
  <r>
    <n v="603"/>
    <x v="12"/>
    <x v="56"/>
    <x v="2"/>
    <s v="Percent of GDP"/>
    <s v="Units"/>
    <x v="5"/>
    <n v="8.2880000000000003"/>
  </r>
  <r>
    <n v="603"/>
    <x v="12"/>
    <x v="56"/>
    <x v="2"/>
    <s v="Percent of GDP"/>
    <s v="Units"/>
    <x v="6"/>
    <n v="8.2739999999999991"/>
  </r>
  <r>
    <n v="200"/>
    <x v="3"/>
    <x v="114"/>
    <x v="4"/>
    <s v="Percent change"/>
    <s v="Units"/>
    <x v="0"/>
    <n v="37.08"/>
  </r>
  <r>
    <n v="200"/>
    <x v="3"/>
    <x v="114"/>
    <x v="4"/>
    <s v="Percent change"/>
    <s v="Units"/>
    <x v="1"/>
    <n v="-51.338999999999999"/>
  </r>
  <r>
    <n v="200"/>
    <x v="3"/>
    <x v="114"/>
    <x v="4"/>
    <s v="Percent change"/>
    <s v="Units"/>
    <x v="2"/>
    <n v="19.356000000000002"/>
  </r>
  <r>
    <n v="200"/>
    <x v="3"/>
    <x v="114"/>
    <x v="4"/>
    <s v="Percent change"/>
    <s v="Units"/>
    <x v="3"/>
    <n v="47.856999999999999"/>
  </r>
  <r>
    <n v="200"/>
    <x v="3"/>
    <x v="114"/>
    <x v="4"/>
    <s v="Percent change"/>
    <s v="Units"/>
    <x v="4"/>
    <n v="30.832000000000001"/>
  </r>
  <r>
    <n v="200"/>
    <x v="3"/>
    <x v="114"/>
    <x v="4"/>
    <s v="Percent change"/>
    <s v="Units"/>
    <x v="5"/>
    <n v="8.2729999999999997"/>
  </r>
  <r>
    <n v="200"/>
    <x v="3"/>
    <x v="114"/>
    <x v="4"/>
    <s v="Percent change"/>
    <s v="Units"/>
    <x v="6"/>
    <n v="13.784000000000001"/>
  </r>
  <r>
    <n v="205"/>
    <x v="7"/>
    <x v="114"/>
    <x v="4"/>
    <s v="Percent change"/>
    <s v="Units"/>
    <x v="0"/>
    <n v="37.08"/>
  </r>
  <r>
    <n v="205"/>
    <x v="7"/>
    <x v="114"/>
    <x v="4"/>
    <s v="Percent change"/>
    <s v="Units"/>
    <x v="1"/>
    <n v="-51.338999999999999"/>
  </r>
  <r>
    <n v="205"/>
    <x v="7"/>
    <x v="114"/>
    <x v="4"/>
    <s v="Percent change"/>
    <s v="Units"/>
    <x v="2"/>
    <n v="19.356000000000002"/>
  </r>
  <r>
    <n v="205"/>
    <x v="7"/>
    <x v="114"/>
    <x v="4"/>
    <s v="Percent change"/>
    <s v="Units"/>
    <x v="3"/>
    <n v="47.856999999999999"/>
  </r>
  <r>
    <n v="205"/>
    <x v="7"/>
    <x v="114"/>
    <x v="4"/>
    <s v="Percent change"/>
    <s v="Units"/>
    <x v="4"/>
    <n v="30.832000000000001"/>
  </r>
  <r>
    <n v="205"/>
    <x v="7"/>
    <x v="114"/>
    <x v="4"/>
    <s v="Percent change"/>
    <s v="Units"/>
    <x v="5"/>
    <n v="8.2729999999999997"/>
  </r>
  <r>
    <n v="205"/>
    <x v="7"/>
    <x v="114"/>
    <x v="4"/>
    <s v="Percent change"/>
    <s v="Units"/>
    <x v="6"/>
    <n v="13.784000000000001"/>
  </r>
  <r>
    <n v="1"/>
    <x v="2"/>
    <x v="114"/>
    <x v="4"/>
    <s v="Percent change"/>
    <s v="Units"/>
    <x v="0"/>
    <n v="37.08"/>
  </r>
  <r>
    <n v="1"/>
    <x v="2"/>
    <x v="114"/>
    <x v="4"/>
    <s v="Percent change"/>
    <s v="Units"/>
    <x v="1"/>
    <n v="-51.338999999999999"/>
  </r>
  <r>
    <n v="1"/>
    <x v="2"/>
    <x v="114"/>
    <x v="4"/>
    <s v="Percent change"/>
    <s v="Units"/>
    <x v="2"/>
    <n v="19.356000000000002"/>
  </r>
  <r>
    <n v="1"/>
    <x v="2"/>
    <x v="114"/>
    <x v="4"/>
    <s v="Percent change"/>
    <s v="Units"/>
    <x v="3"/>
    <n v="47.856999999999999"/>
  </r>
  <r>
    <n v="1"/>
    <x v="2"/>
    <x v="114"/>
    <x v="4"/>
    <s v="Percent change"/>
    <s v="Units"/>
    <x v="4"/>
    <n v="30.832000000000001"/>
  </r>
  <r>
    <n v="1"/>
    <x v="2"/>
    <x v="114"/>
    <x v="4"/>
    <s v="Percent change"/>
    <s v="Units"/>
    <x v="5"/>
    <n v="8.2729999999999997"/>
  </r>
  <r>
    <n v="1"/>
    <x v="2"/>
    <x v="114"/>
    <x v="4"/>
    <s v="Percent change"/>
    <s v="Units"/>
    <x v="6"/>
    <n v="13.784000000000001"/>
  </r>
  <r>
    <n v="1"/>
    <x v="2"/>
    <x v="74"/>
    <x v="4"/>
    <s v="Percent change"/>
    <s v="Units"/>
    <x v="0"/>
    <n v="4.2610000000000001"/>
  </r>
  <r>
    <n v="1"/>
    <x v="2"/>
    <x v="74"/>
    <x v="4"/>
    <s v="Percent change"/>
    <s v="Units"/>
    <x v="1"/>
    <n v="-10.632999999999999"/>
  </r>
  <r>
    <n v="1"/>
    <x v="2"/>
    <x v="74"/>
    <x v="4"/>
    <s v="Percent change"/>
    <s v="Units"/>
    <x v="2"/>
    <n v="15.933999999999999"/>
  </r>
  <r>
    <n v="1"/>
    <x v="2"/>
    <x v="74"/>
    <x v="4"/>
    <s v="Percent change"/>
    <s v="Units"/>
    <x v="3"/>
    <n v="13.207000000000001"/>
  </r>
  <r>
    <n v="1"/>
    <x v="2"/>
    <x v="74"/>
    <x v="4"/>
    <s v="Percent change"/>
    <s v="Units"/>
    <x v="4"/>
    <n v="10.46"/>
  </r>
  <r>
    <n v="1"/>
    <x v="2"/>
    <x v="74"/>
    <x v="4"/>
    <s v="Percent change"/>
    <s v="Units"/>
    <x v="5"/>
    <n v="8.2560000000000002"/>
  </r>
  <r>
    <n v="1"/>
    <x v="2"/>
    <x v="74"/>
    <x v="4"/>
    <s v="Percent change"/>
    <s v="Units"/>
    <x v="6"/>
    <n v="6.2779999999999996"/>
  </r>
  <r>
    <n v="200"/>
    <x v="3"/>
    <x v="74"/>
    <x v="4"/>
    <s v="Percent change"/>
    <s v="Units"/>
    <x v="0"/>
    <n v="4.2610000000000001"/>
  </r>
  <r>
    <n v="200"/>
    <x v="3"/>
    <x v="74"/>
    <x v="4"/>
    <s v="Percent change"/>
    <s v="Units"/>
    <x v="1"/>
    <n v="-10.632999999999999"/>
  </r>
  <r>
    <n v="200"/>
    <x v="3"/>
    <x v="74"/>
    <x v="4"/>
    <s v="Percent change"/>
    <s v="Units"/>
    <x v="2"/>
    <n v="15.933999999999999"/>
  </r>
  <r>
    <n v="200"/>
    <x v="3"/>
    <x v="74"/>
    <x v="4"/>
    <s v="Percent change"/>
    <s v="Units"/>
    <x v="3"/>
    <n v="13.207000000000001"/>
  </r>
  <r>
    <n v="200"/>
    <x v="3"/>
    <x v="74"/>
    <x v="4"/>
    <s v="Percent change"/>
    <s v="Units"/>
    <x v="4"/>
    <n v="10.46"/>
  </r>
  <r>
    <n v="200"/>
    <x v="3"/>
    <x v="74"/>
    <x v="4"/>
    <s v="Percent change"/>
    <s v="Units"/>
    <x v="5"/>
    <n v="8.2560000000000002"/>
  </r>
  <r>
    <n v="200"/>
    <x v="3"/>
    <x v="74"/>
    <x v="4"/>
    <s v="Percent change"/>
    <s v="Units"/>
    <x v="6"/>
    <n v="6.2779999999999996"/>
  </r>
  <r>
    <n v="205"/>
    <x v="7"/>
    <x v="74"/>
    <x v="4"/>
    <s v="Percent change"/>
    <s v="Units"/>
    <x v="0"/>
    <n v="4.2610000000000001"/>
  </r>
  <r>
    <n v="205"/>
    <x v="7"/>
    <x v="74"/>
    <x v="4"/>
    <s v="Percent change"/>
    <s v="Units"/>
    <x v="1"/>
    <n v="-10.632999999999999"/>
  </r>
  <r>
    <n v="205"/>
    <x v="7"/>
    <x v="74"/>
    <x v="4"/>
    <s v="Percent change"/>
    <s v="Units"/>
    <x v="2"/>
    <n v="15.933999999999999"/>
  </r>
  <r>
    <n v="205"/>
    <x v="7"/>
    <x v="74"/>
    <x v="4"/>
    <s v="Percent change"/>
    <s v="Units"/>
    <x v="3"/>
    <n v="13.207000000000001"/>
  </r>
  <r>
    <n v="205"/>
    <x v="7"/>
    <x v="74"/>
    <x v="4"/>
    <s v="Percent change"/>
    <s v="Units"/>
    <x v="4"/>
    <n v="10.46"/>
  </r>
  <r>
    <n v="205"/>
    <x v="7"/>
    <x v="74"/>
    <x v="4"/>
    <s v="Percent change"/>
    <s v="Units"/>
    <x v="5"/>
    <n v="8.2560000000000002"/>
  </r>
  <r>
    <n v="205"/>
    <x v="7"/>
    <x v="74"/>
    <x v="4"/>
    <s v="Percent change"/>
    <s v="Units"/>
    <x v="6"/>
    <n v="6.2779999999999996"/>
  </r>
  <r>
    <n v="603"/>
    <x v="12"/>
    <x v="125"/>
    <x v="8"/>
    <s v="Percent change"/>
    <s v="Units"/>
    <x v="0"/>
    <n v="4.6139999999999999"/>
  </r>
  <r>
    <n v="603"/>
    <x v="12"/>
    <x v="125"/>
    <x v="8"/>
    <s v="Percent change"/>
    <s v="Units"/>
    <x v="1"/>
    <n v="1.3420000000000001"/>
  </r>
  <r>
    <n v="603"/>
    <x v="12"/>
    <x v="125"/>
    <x v="8"/>
    <s v="Percent change"/>
    <s v="Units"/>
    <x v="2"/>
    <n v="6.54"/>
  </r>
  <r>
    <n v="603"/>
    <x v="12"/>
    <x v="125"/>
    <x v="8"/>
    <s v="Percent change"/>
    <s v="Units"/>
    <x v="3"/>
    <n v="4"/>
  </r>
  <r>
    <n v="603"/>
    <x v="12"/>
    <x v="125"/>
    <x v="8"/>
    <s v="Percent change"/>
    <s v="Units"/>
    <x v="4"/>
    <n v="4.1020000000000003"/>
  </r>
  <r>
    <n v="603"/>
    <x v="12"/>
    <x v="125"/>
    <x v="8"/>
    <s v="Percent change"/>
    <s v="Units"/>
    <x v="5"/>
    <n v="8.2520000000000007"/>
  </r>
  <r>
    <n v="603"/>
    <x v="12"/>
    <x v="125"/>
    <x v="8"/>
    <s v="Percent change"/>
    <s v="Units"/>
    <x v="6"/>
    <n v="10.189"/>
  </r>
  <r>
    <n v="200"/>
    <x v="3"/>
    <x v="125"/>
    <x v="8"/>
    <s v="Percent change"/>
    <s v="Units"/>
    <x v="0"/>
    <n v="4.6139999999999999"/>
  </r>
  <r>
    <n v="200"/>
    <x v="3"/>
    <x v="125"/>
    <x v="8"/>
    <s v="Percent change"/>
    <s v="Units"/>
    <x v="1"/>
    <n v="1.3420000000000001"/>
  </r>
  <r>
    <n v="200"/>
    <x v="3"/>
    <x v="125"/>
    <x v="8"/>
    <s v="Percent change"/>
    <s v="Units"/>
    <x v="2"/>
    <n v="6.54"/>
  </r>
  <r>
    <n v="200"/>
    <x v="3"/>
    <x v="125"/>
    <x v="8"/>
    <s v="Percent change"/>
    <s v="Units"/>
    <x v="3"/>
    <n v="4"/>
  </r>
  <r>
    <n v="200"/>
    <x v="3"/>
    <x v="125"/>
    <x v="8"/>
    <s v="Percent change"/>
    <s v="Units"/>
    <x v="4"/>
    <n v="4.1020000000000003"/>
  </r>
  <r>
    <n v="200"/>
    <x v="3"/>
    <x v="125"/>
    <x v="8"/>
    <s v="Percent change"/>
    <s v="Units"/>
    <x v="5"/>
    <n v="8.2520000000000007"/>
  </r>
  <r>
    <n v="200"/>
    <x v="3"/>
    <x v="125"/>
    <x v="8"/>
    <s v="Percent change"/>
    <s v="Units"/>
    <x v="6"/>
    <n v="10.189"/>
  </r>
  <r>
    <n v="1"/>
    <x v="2"/>
    <x v="125"/>
    <x v="8"/>
    <s v="Percent change"/>
    <s v="Units"/>
    <x v="0"/>
    <n v="4.6139999999999999"/>
  </r>
  <r>
    <n v="1"/>
    <x v="2"/>
    <x v="125"/>
    <x v="8"/>
    <s v="Percent change"/>
    <s v="Units"/>
    <x v="1"/>
    <n v="1.3420000000000001"/>
  </r>
  <r>
    <n v="1"/>
    <x v="2"/>
    <x v="125"/>
    <x v="8"/>
    <s v="Percent change"/>
    <s v="Units"/>
    <x v="2"/>
    <n v="6.54"/>
  </r>
  <r>
    <n v="1"/>
    <x v="2"/>
    <x v="125"/>
    <x v="8"/>
    <s v="Percent change"/>
    <s v="Units"/>
    <x v="3"/>
    <n v="4"/>
  </r>
  <r>
    <n v="1"/>
    <x v="2"/>
    <x v="125"/>
    <x v="8"/>
    <s v="Percent change"/>
    <s v="Units"/>
    <x v="4"/>
    <n v="4.1020000000000003"/>
  </r>
  <r>
    <n v="1"/>
    <x v="2"/>
    <x v="125"/>
    <x v="8"/>
    <s v="Percent change"/>
    <s v="Units"/>
    <x v="5"/>
    <n v="8.2520000000000007"/>
  </r>
  <r>
    <n v="1"/>
    <x v="2"/>
    <x v="125"/>
    <x v="8"/>
    <s v="Percent change"/>
    <s v="Units"/>
    <x v="6"/>
    <n v="10.189"/>
  </r>
  <r>
    <n v="1"/>
    <x v="2"/>
    <x v="71"/>
    <x v="6"/>
    <s v="Percent change"/>
    <s v="Units"/>
    <x v="0"/>
    <n v="4.2169999999999996"/>
  </r>
  <r>
    <n v="1"/>
    <x v="2"/>
    <x v="71"/>
    <x v="6"/>
    <s v="Percent change"/>
    <s v="Units"/>
    <x v="1"/>
    <n v="-2.4350000000000001"/>
  </r>
  <r>
    <n v="1"/>
    <x v="2"/>
    <x v="71"/>
    <x v="6"/>
    <s v="Percent change"/>
    <s v="Units"/>
    <x v="2"/>
    <n v="13.752000000000001"/>
  </r>
  <r>
    <n v="1"/>
    <x v="2"/>
    <x v="71"/>
    <x v="6"/>
    <s v="Percent change"/>
    <s v="Units"/>
    <x v="3"/>
    <n v="3.681"/>
  </r>
  <r>
    <n v="1"/>
    <x v="2"/>
    <x v="71"/>
    <x v="6"/>
    <s v="Percent change"/>
    <s v="Units"/>
    <x v="4"/>
    <n v="-11.87"/>
  </r>
  <r>
    <n v="1"/>
    <x v="2"/>
    <x v="71"/>
    <x v="6"/>
    <s v="Percent change"/>
    <s v="Units"/>
    <x v="5"/>
    <n v="8.2360000000000007"/>
  </r>
  <r>
    <n v="1"/>
    <x v="2"/>
    <x v="71"/>
    <x v="6"/>
    <s v="Percent change"/>
    <s v="Units"/>
    <x v="6"/>
    <n v="5.8979999999999997"/>
  </r>
  <r>
    <n v="603"/>
    <x v="12"/>
    <x v="71"/>
    <x v="6"/>
    <s v="Percent change"/>
    <s v="Units"/>
    <x v="0"/>
    <n v="4.2169999999999996"/>
  </r>
  <r>
    <n v="603"/>
    <x v="12"/>
    <x v="71"/>
    <x v="6"/>
    <s v="Percent change"/>
    <s v="Units"/>
    <x v="1"/>
    <n v="-2.4350000000000001"/>
  </r>
  <r>
    <n v="603"/>
    <x v="12"/>
    <x v="71"/>
    <x v="6"/>
    <s v="Percent change"/>
    <s v="Units"/>
    <x v="2"/>
    <n v="13.752000000000001"/>
  </r>
  <r>
    <n v="603"/>
    <x v="12"/>
    <x v="71"/>
    <x v="6"/>
    <s v="Percent change"/>
    <s v="Units"/>
    <x v="3"/>
    <n v="3.681"/>
  </r>
  <r>
    <n v="603"/>
    <x v="12"/>
    <x v="71"/>
    <x v="6"/>
    <s v="Percent change"/>
    <s v="Units"/>
    <x v="4"/>
    <n v="-11.87"/>
  </r>
  <r>
    <n v="603"/>
    <x v="12"/>
    <x v="71"/>
    <x v="6"/>
    <s v="Percent change"/>
    <s v="Units"/>
    <x v="5"/>
    <n v="8.2360000000000007"/>
  </r>
  <r>
    <n v="603"/>
    <x v="12"/>
    <x v="71"/>
    <x v="6"/>
    <s v="Percent change"/>
    <s v="Units"/>
    <x v="6"/>
    <n v="5.8979999999999997"/>
  </r>
  <r>
    <n v="200"/>
    <x v="3"/>
    <x v="71"/>
    <x v="6"/>
    <s v="Percent change"/>
    <s v="Units"/>
    <x v="0"/>
    <n v="4.2169999999999996"/>
  </r>
  <r>
    <n v="200"/>
    <x v="3"/>
    <x v="71"/>
    <x v="6"/>
    <s v="Percent change"/>
    <s v="Units"/>
    <x v="1"/>
    <n v="-2.4350000000000001"/>
  </r>
  <r>
    <n v="200"/>
    <x v="3"/>
    <x v="71"/>
    <x v="6"/>
    <s v="Percent change"/>
    <s v="Units"/>
    <x v="2"/>
    <n v="13.752000000000001"/>
  </r>
  <r>
    <n v="200"/>
    <x v="3"/>
    <x v="71"/>
    <x v="6"/>
    <s v="Percent change"/>
    <s v="Units"/>
    <x v="3"/>
    <n v="3.681"/>
  </r>
  <r>
    <n v="200"/>
    <x v="3"/>
    <x v="71"/>
    <x v="6"/>
    <s v="Percent change"/>
    <s v="Units"/>
    <x v="4"/>
    <n v="-11.87"/>
  </r>
  <r>
    <n v="200"/>
    <x v="3"/>
    <x v="71"/>
    <x v="6"/>
    <s v="Percent change"/>
    <s v="Units"/>
    <x v="5"/>
    <n v="8.2360000000000007"/>
  </r>
  <r>
    <n v="200"/>
    <x v="3"/>
    <x v="71"/>
    <x v="6"/>
    <s v="Percent change"/>
    <s v="Units"/>
    <x v="6"/>
    <n v="5.8979999999999997"/>
  </r>
  <r>
    <n v="510"/>
    <x v="10"/>
    <x v="31"/>
    <x v="6"/>
    <s v="Percent change"/>
    <s v="Units"/>
    <x v="0"/>
    <n v="-7.9000000000000001E-2"/>
  </r>
  <r>
    <n v="510"/>
    <x v="10"/>
    <x v="31"/>
    <x v="6"/>
    <s v="Percent change"/>
    <s v="Units"/>
    <x v="1"/>
    <n v="-1.6659999999999999"/>
  </r>
  <r>
    <n v="510"/>
    <x v="10"/>
    <x v="31"/>
    <x v="6"/>
    <s v="Percent change"/>
    <s v="Units"/>
    <x v="2"/>
    <n v="9.5660000000000007"/>
  </r>
  <r>
    <n v="510"/>
    <x v="10"/>
    <x v="31"/>
    <x v="6"/>
    <s v="Percent change"/>
    <s v="Units"/>
    <x v="3"/>
    <n v="3.3"/>
  </r>
  <r>
    <n v="510"/>
    <x v="10"/>
    <x v="31"/>
    <x v="6"/>
    <s v="Percent change"/>
    <s v="Units"/>
    <x v="4"/>
    <n v="1.0169999999999999"/>
  </r>
  <r>
    <n v="510"/>
    <x v="10"/>
    <x v="31"/>
    <x v="6"/>
    <s v="Percent change"/>
    <s v="Units"/>
    <x v="5"/>
    <n v="8.1509999999999998"/>
  </r>
  <r>
    <n v="510"/>
    <x v="10"/>
    <x v="31"/>
    <x v="6"/>
    <s v="Percent change"/>
    <s v="Units"/>
    <x v="6"/>
    <n v="5.2160000000000002"/>
  </r>
  <r>
    <n v="123"/>
    <x v="9"/>
    <x v="31"/>
    <x v="6"/>
    <s v="Percent change"/>
    <s v="Units"/>
    <x v="0"/>
    <n v="-7.9000000000000001E-2"/>
  </r>
  <r>
    <n v="123"/>
    <x v="9"/>
    <x v="31"/>
    <x v="6"/>
    <s v="Percent change"/>
    <s v="Units"/>
    <x v="1"/>
    <n v="-1.6659999999999999"/>
  </r>
  <r>
    <n v="123"/>
    <x v="9"/>
    <x v="31"/>
    <x v="6"/>
    <s v="Percent change"/>
    <s v="Units"/>
    <x v="2"/>
    <n v="9.5660000000000007"/>
  </r>
  <r>
    <n v="123"/>
    <x v="9"/>
    <x v="31"/>
    <x v="6"/>
    <s v="Percent change"/>
    <s v="Units"/>
    <x v="3"/>
    <n v="3.3"/>
  </r>
  <r>
    <n v="123"/>
    <x v="9"/>
    <x v="31"/>
    <x v="6"/>
    <s v="Percent change"/>
    <s v="Units"/>
    <x v="4"/>
    <n v="1.0169999999999999"/>
  </r>
  <r>
    <n v="123"/>
    <x v="9"/>
    <x v="31"/>
    <x v="6"/>
    <s v="Percent change"/>
    <s v="Units"/>
    <x v="5"/>
    <n v="8.1509999999999998"/>
  </r>
  <r>
    <n v="123"/>
    <x v="9"/>
    <x v="31"/>
    <x v="6"/>
    <s v="Percent change"/>
    <s v="Units"/>
    <x v="6"/>
    <n v="5.2160000000000002"/>
  </r>
  <r>
    <n v="110"/>
    <x v="0"/>
    <x v="31"/>
    <x v="6"/>
    <s v="Percent change"/>
    <s v="Units"/>
    <x v="0"/>
    <n v="-7.9000000000000001E-2"/>
  </r>
  <r>
    <n v="110"/>
    <x v="0"/>
    <x v="31"/>
    <x v="6"/>
    <s v="Percent change"/>
    <s v="Units"/>
    <x v="1"/>
    <n v="-1.6659999999999999"/>
  </r>
  <r>
    <n v="110"/>
    <x v="0"/>
    <x v="31"/>
    <x v="6"/>
    <s v="Percent change"/>
    <s v="Units"/>
    <x v="2"/>
    <n v="9.5660000000000007"/>
  </r>
  <r>
    <n v="110"/>
    <x v="0"/>
    <x v="31"/>
    <x v="6"/>
    <s v="Percent change"/>
    <s v="Units"/>
    <x v="3"/>
    <n v="3.3"/>
  </r>
  <r>
    <n v="110"/>
    <x v="0"/>
    <x v="31"/>
    <x v="6"/>
    <s v="Percent change"/>
    <s v="Units"/>
    <x v="4"/>
    <n v="1.0169999999999999"/>
  </r>
  <r>
    <n v="110"/>
    <x v="0"/>
    <x v="31"/>
    <x v="6"/>
    <s v="Percent change"/>
    <s v="Units"/>
    <x v="5"/>
    <n v="8.1509999999999998"/>
  </r>
  <r>
    <n v="110"/>
    <x v="0"/>
    <x v="31"/>
    <x v="6"/>
    <s v="Percent change"/>
    <s v="Units"/>
    <x v="6"/>
    <n v="5.2160000000000002"/>
  </r>
  <r>
    <n v="1"/>
    <x v="2"/>
    <x v="31"/>
    <x v="6"/>
    <s v="Percent change"/>
    <s v="Units"/>
    <x v="0"/>
    <n v="-7.9000000000000001E-2"/>
  </r>
  <r>
    <n v="1"/>
    <x v="2"/>
    <x v="31"/>
    <x v="6"/>
    <s v="Percent change"/>
    <s v="Units"/>
    <x v="1"/>
    <n v="-1.6659999999999999"/>
  </r>
  <r>
    <n v="1"/>
    <x v="2"/>
    <x v="31"/>
    <x v="6"/>
    <s v="Percent change"/>
    <s v="Units"/>
    <x v="2"/>
    <n v="9.5660000000000007"/>
  </r>
  <r>
    <n v="1"/>
    <x v="2"/>
    <x v="31"/>
    <x v="6"/>
    <s v="Percent change"/>
    <s v="Units"/>
    <x v="3"/>
    <n v="3.3"/>
  </r>
  <r>
    <n v="1"/>
    <x v="2"/>
    <x v="31"/>
    <x v="6"/>
    <s v="Percent change"/>
    <s v="Units"/>
    <x v="4"/>
    <n v="1.0169999999999999"/>
  </r>
  <r>
    <n v="1"/>
    <x v="2"/>
    <x v="31"/>
    <x v="6"/>
    <s v="Percent change"/>
    <s v="Units"/>
    <x v="5"/>
    <n v="8.1509999999999998"/>
  </r>
  <r>
    <n v="1"/>
    <x v="2"/>
    <x v="31"/>
    <x v="6"/>
    <s v="Percent change"/>
    <s v="Units"/>
    <x v="6"/>
    <n v="5.2160000000000002"/>
  </r>
  <r>
    <n v="200"/>
    <x v="3"/>
    <x v="136"/>
    <x v="4"/>
    <s v="Percent change"/>
    <s v="Units"/>
    <x v="0"/>
    <n v="-7.4530000000000003"/>
  </r>
  <r>
    <n v="200"/>
    <x v="3"/>
    <x v="136"/>
    <x v="4"/>
    <s v="Percent change"/>
    <s v="Units"/>
    <x v="1"/>
    <n v="-15.268000000000001"/>
  </r>
  <r>
    <n v="200"/>
    <x v="3"/>
    <x v="136"/>
    <x v="4"/>
    <s v="Percent change"/>
    <s v="Units"/>
    <x v="2"/>
    <n v="11.879"/>
  </r>
  <r>
    <n v="200"/>
    <x v="3"/>
    <x v="136"/>
    <x v="4"/>
    <s v="Percent change"/>
    <s v="Units"/>
    <x v="3"/>
    <n v="22.588000000000001"/>
  </r>
  <r>
    <n v="200"/>
    <x v="3"/>
    <x v="136"/>
    <x v="4"/>
    <s v="Percent change"/>
    <s v="Units"/>
    <x v="4"/>
    <n v="3.0569999999999999"/>
  </r>
  <r>
    <n v="200"/>
    <x v="3"/>
    <x v="136"/>
    <x v="4"/>
    <s v="Percent change"/>
    <s v="Units"/>
    <x v="5"/>
    <n v="8.1440000000000001"/>
  </r>
  <r>
    <n v="200"/>
    <x v="3"/>
    <x v="136"/>
    <x v="4"/>
    <s v="Percent change"/>
    <s v="Units"/>
    <x v="6"/>
    <n v="5.0519999999999996"/>
  </r>
  <r>
    <n v="1"/>
    <x v="2"/>
    <x v="136"/>
    <x v="4"/>
    <s v="Percent change"/>
    <s v="Units"/>
    <x v="0"/>
    <n v="-7.4530000000000003"/>
  </r>
  <r>
    <n v="1"/>
    <x v="2"/>
    <x v="136"/>
    <x v="4"/>
    <s v="Percent change"/>
    <s v="Units"/>
    <x v="1"/>
    <n v="-15.268000000000001"/>
  </r>
  <r>
    <n v="1"/>
    <x v="2"/>
    <x v="136"/>
    <x v="4"/>
    <s v="Percent change"/>
    <s v="Units"/>
    <x v="2"/>
    <n v="11.879"/>
  </r>
  <r>
    <n v="1"/>
    <x v="2"/>
    <x v="136"/>
    <x v="4"/>
    <s v="Percent change"/>
    <s v="Units"/>
    <x v="3"/>
    <n v="22.588000000000001"/>
  </r>
  <r>
    <n v="1"/>
    <x v="2"/>
    <x v="136"/>
    <x v="4"/>
    <s v="Percent change"/>
    <s v="Units"/>
    <x v="4"/>
    <n v="3.0569999999999999"/>
  </r>
  <r>
    <n v="1"/>
    <x v="2"/>
    <x v="136"/>
    <x v="4"/>
    <s v="Percent change"/>
    <s v="Units"/>
    <x v="5"/>
    <n v="8.1440000000000001"/>
  </r>
  <r>
    <n v="1"/>
    <x v="2"/>
    <x v="136"/>
    <x v="4"/>
    <s v="Percent change"/>
    <s v="Units"/>
    <x v="6"/>
    <n v="5.0519999999999996"/>
  </r>
  <r>
    <n v="603"/>
    <x v="12"/>
    <x v="136"/>
    <x v="4"/>
    <s v="Percent change"/>
    <s v="Units"/>
    <x v="0"/>
    <n v="-7.4530000000000003"/>
  </r>
  <r>
    <n v="603"/>
    <x v="12"/>
    <x v="136"/>
    <x v="4"/>
    <s v="Percent change"/>
    <s v="Units"/>
    <x v="1"/>
    <n v="-15.268000000000001"/>
  </r>
  <r>
    <n v="603"/>
    <x v="12"/>
    <x v="136"/>
    <x v="4"/>
    <s v="Percent change"/>
    <s v="Units"/>
    <x v="2"/>
    <n v="11.879"/>
  </r>
  <r>
    <n v="603"/>
    <x v="12"/>
    <x v="136"/>
    <x v="4"/>
    <s v="Percent change"/>
    <s v="Units"/>
    <x v="3"/>
    <n v="22.588000000000001"/>
  </r>
  <r>
    <n v="603"/>
    <x v="12"/>
    <x v="136"/>
    <x v="4"/>
    <s v="Percent change"/>
    <s v="Units"/>
    <x v="4"/>
    <n v="3.0569999999999999"/>
  </r>
  <r>
    <n v="603"/>
    <x v="12"/>
    <x v="136"/>
    <x v="4"/>
    <s v="Percent change"/>
    <s v="Units"/>
    <x v="5"/>
    <n v="8.1440000000000001"/>
  </r>
  <r>
    <n v="603"/>
    <x v="12"/>
    <x v="136"/>
    <x v="4"/>
    <s v="Percent change"/>
    <s v="Units"/>
    <x v="6"/>
    <n v="5.0519999999999996"/>
  </r>
  <r>
    <n v="200"/>
    <x v="3"/>
    <x v="152"/>
    <x v="4"/>
    <s v="Percent change"/>
    <s v="Units"/>
    <x v="0"/>
    <n v="16.562999999999999"/>
  </r>
  <r>
    <n v="200"/>
    <x v="3"/>
    <x v="152"/>
    <x v="4"/>
    <s v="Percent change"/>
    <s v="Units"/>
    <x v="1"/>
    <n v="-55.5"/>
  </r>
  <r>
    <n v="200"/>
    <x v="3"/>
    <x v="152"/>
    <x v="4"/>
    <s v="Percent change"/>
    <s v="Units"/>
    <x v="2"/>
    <n v="-25.436"/>
  </r>
  <r>
    <n v="200"/>
    <x v="3"/>
    <x v="152"/>
    <x v="4"/>
    <s v="Percent change"/>
    <s v="Units"/>
    <x v="3"/>
    <n v="82.046000000000006"/>
  </r>
  <r>
    <n v="200"/>
    <x v="3"/>
    <x v="152"/>
    <x v="4"/>
    <s v="Percent change"/>
    <s v="Units"/>
    <x v="4"/>
    <n v="14.8"/>
  </r>
  <r>
    <n v="200"/>
    <x v="3"/>
    <x v="152"/>
    <x v="4"/>
    <s v="Percent change"/>
    <s v="Units"/>
    <x v="5"/>
    <n v="8.1359999999999992"/>
  </r>
  <r>
    <n v="200"/>
    <x v="3"/>
    <x v="152"/>
    <x v="4"/>
    <s v="Percent change"/>
    <s v="Units"/>
    <x v="6"/>
    <n v="8.7100000000000009"/>
  </r>
  <r>
    <n v="1"/>
    <x v="2"/>
    <x v="152"/>
    <x v="4"/>
    <s v="Percent change"/>
    <s v="Units"/>
    <x v="0"/>
    <n v="16.562999999999999"/>
  </r>
  <r>
    <n v="1"/>
    <x v="2"/>
    <x v="152"/>
    <x v="4"/>
    <s v="Percent change"/>
    <s v="Units"/>
    <x v="1"/>
    <n v="-55.5"/>
  </r>
  <r>
    <n v="1"/>
    <x v="2"/>
    <x v="152"/>
    <x v="4"/>
    <s v="Percent change"/>
    <s v="Units"/>
    <x v="2"/>
    <n v="-25.436"/>
  </r>
  <r>
    <n v="1"/>
    <x v="2"/>
    <x v="152"/>
    <x v="4"/>
    <s v="Percent change"/>
    <s v="Units"/>
    <x v="3"/>
    <n v="82.046000000000006"/>
  </r>
  <r>
    <n v="1"/>
    <x v="2"/>
    <x v="152"/>
    <x v="4"/>
    <s v="Percent change"/>
    <s v="Units"/>
    <x v="4"/>
    <n v="14.8"/>
  </r>
  <r>
    <n v="1"/>
    <x v="2"/>
    <x v="152"/>
    <x v="4"/>
    <s v="Percent change"/>
    <s v="Units"/>
    <x v="5"/>
    <n v="8.1359999999999992"/>
  </r>
  <r>
    <n v="1"/>
    <x v="2"/>
    <x v="152"/>
    <x v="4"/>
    <s v="Percent change"/>
    <s v="Units"/>
    <x v="6"/>
    <n v="8.7100000000000009"/>
  </r>
  <r>
    <n v="603"/>
    <x v="12"/>
    <x v="152"/>
    <x v="4"/>
    <s v="Percent change"/>
    <s v="Units"/>
    <x v="0"/>
    <n v="16.562999999999999"/>
  </r>
  <r>
    <n v="603"/>
    <x v="12"/>
    <x v="152"/>
    <x v="4"/>
    <s v="Percent change"/>
    <s v="Units"/>
    <x v="1"/>
    <n v="-55.5"/>
  </r>
  <r>
    <n v="603"/>
    <x v="12"/>
    <x v="152"/>
    <x v="4"/>
    <s v="Percent change"/>
    <s v="Units"/>
    <x v="2"/>
    <n v="-25.436"/>
  </r>
  <r>
    <n v="603"/>
    <x v="12"/>
    <x v="152"/>
    <x v="4"/>
    <s v="Percent change"/>
    <s v="Units"/>
    <x v="3"/>
    <n v="82.046000000000006"/>
  </r>
  <r>
    <n v="603"/>
    <x v="12"/>
    <x v="152"/>
    <x v="4"/>
    <s v="Percent change"/>
    <s v="Units"/>
    <x v="4"/>
    <n v="14.8"/>
  </r>
  <r>
    <n v="603"/>
    <x v="12"/>
    <x v="152"/>
    <x v="4"/>
    <s v="Percent change"/>
    <s v="Units"/>
    <x v="5"/>
    <n v="8.1359999999999992"/>
  </r>
  <r>
    <n v="603"/>
    <x v="12"/>
    <x v="152"/>
    <x v="4"/>
    <s v="Percent change"/>
    <s v="Units"/>
    <x v="6"/>
    <n v="8.7100000000000009"/>
  </r>
  <r>
    <n v="1"/>
    <x v="2"/>
    <x v="159"/>
    <x v="6"/>
    <s v="Percent change"/>
    <s v="Units"/>
    <x v="0"/>
    <n v="4.9669999999999996"/>
  </r>
  <r>
    <n v="1"/>
    <x v="2"/>
    <x v="159"/>
    <x v="6"/>
    <s v="Percent change"/>
    <s v="Units"/>
    <x v="1"/>
    <n v="-10.439"/>
  </r>
  <r>
    <n v="1"/>
    <x v="2"/>
    <x v="159"/>
    <x v="6"/>
    <s v="Percent change"/>
    <s v="Units"/>
    <x v="2"/>
    <n v="-8.5289999999999999"/>
  </r>
  <r>
    <n v="1"/>
    <x v="2"/>
    <x v="159"/>
    <x v="6"/>
    <s v="Percent change"/>
    <s v="Units"/>
    <x v="3"/>
    <n v="7.4269999999999996"/>
  </r>
  <r>
    <n v="1"/>
    <x v="2"/>
    <x v="159"/>
    <x v="6"/>
    <s v="Percent change"/>
    <s v="Units"/>
    <x v="4"/>
    <n v="7.7220000000000004"/>
  </r>
  <r>
    <n v="1"/>
    <x v="2"/>
    <x v="159"/>
    <x v="6"/>
    <s v="Percent change"/>
    <s v="Units"/>
    <x v="5"/>
    <n v="8.1359999999999992"/>
  </r>
  <r>
    <n v="1"/>
    <x v="2"/>
    <x v="159"/>
    <x v="6"/>
    <s v="Percent change"/>
    <s v="Units"/>
    <x v="6"/>
    <n v="6.2569999999999997"/>
  </r>
  <r>
    <n v="205"/>
    <x v="7"/>
    <x v="159"/>
    <x v="6"/>
    <s v="Percent change"/>
    <s v="Units"/>
    <x v="0"/>
    <n v="4.9669999999999996"/>
  </r>
  <r>
    <n v="205"/>
    <x v="7"/>
    <x v="159"/>
    <x v="6"/>
    <s v="Percent change"/>
    <s v="Units"/>
    <x v="1"/>
    <n v="-10.439"/>
  </r>
  <r>
    <n v="205"/>
    <x v="7"/>
    <x v="159"/>
    <x v="6"/>
    <s v="Percent change"/>
    <s v="Units"/>
    <x v="2"/>
    <n v="-8.5289999999999999"/>
  </r>
  <r>
    <n v="205"/>
    <x v="7"/>
    <x v="159"/>
    <x v="6"/>
    <s v="Percent change"/>
    <s v="Units"/>
    <x v="3"/>
    <n v="7.4269999999999996"/>
  </r>
  <r>
    <n v="205"/>
    <x v="7"/>
    <x v="159"/>
    <x v="6"/>
    <s v="Percent change"/>
    <s v="Units"/>
    <x v="4"/>
    <n v="7.7220000000000004"/>
  </r>
  <r>
    <n v="205"/>
    <x v="7"/>
    <x v="159"/>
    <x v="6"/>
    <s v="Percent change"/>
    <s v="Units"/>
    <x v="5"/>
    <n v="8.1359999999999992"/>
  </r>
  <r>
    <n v="205"/>
    <x v="7"/>
    <x v="159"/>
    <x v="6"/>
    <s v="Percent change"/>
    <s v="Units"/>
    <x v="6"/>
    <n v="6.2569999999999997"/>
  </r>
  <r>
    <n v="200"/>
    <x v="3"/>
    <x v="159"/>
    <x v="6"/>
    <s v="Percent change"/>
    <s v="Units"/>
    <x v="0"/>
    <n v="4.9669999999999996"/>
  </r>
  <r>
    <n v="200"/>
    <x v="3"/>
    <x v="159"/>
    <x v="6"/>
    <s v="Percent change"/>
    <s v="Units"/>
    <x v="1"/>
    <n v="-10.439"/>
  </r>
  <r>
    <n v="200"/>
    <x v="3"/>
    <x v="159"/>
    <x v="6"/>
    <s v="Percent change"/>
    <s v="Units"/>
    <x v="2"/>
    <n v="-8.5289999999999999"/>
  </r>
  <r>
    <n v="200"/>
    <x v="3"/>
    <x v="159"/>
    <x v="6"/>
    <s v="Percent change"/>
    <s v="Units"/>
    <x v="3"/>
    <n v="7.4269999999999996"/>
  </r>
  <r>
    <n v="200"/>
    <x v="3"/>
    <x v="159"/>
    <x v="6"/>
    <s v="Percent change"/>
    <s v="Units"/>
    <x v="4"/>
    <n v="7.7220000000000004"/>
  </r>
  <r>
    <n v="200"/>
    <x v="3"/>
    <x v="159"/>
    <x v="6"/>
    <s v="Percent change"/>
    <s v="Units"/>
    <x v="5"/>
    <n v="8.1359999999999992"/>
  </r>
  <r>
    <n v="200"/>
    <x v="3"/>
    <x v="159"/>
    <x v="6"/>
    <s v="Percent change"/>
    <s v="Units"/>
    <x v="6"/>
    <n v="6.2569999999999997"/>
  </r>
  <r>
    <n v="163"/>
    <x v="5"/>
    <x v="115"/>
    <x v="11"/>
    <s v="Percent of total labor force"/>
    <s v="Units"/>
    <x v="0"/>
    <n v="4.4480000000000004"/>
  </r>
  <r>
    <n v="163"/>
    <x v="5"/>
    <x v="115"/>
    <x v="11"/>
    <s v="Percent of total labor force"/>
    <s v="Units"/>
    <x v="1"/>
    <n v="6.806"/>
  </r>
  <r>
    <n v="163"/>
    <x v="5"/>
    <x v="115"/>
    <x v="11"/>
    <s v="Percent of total labor force"/>
    <s v="Units"/>
    <x v="2"/>
    <n v="6.1769999999999996"/>
  </r>
  <r>
    <n v="163"/>
    <x v="5"/>
    <x v="115"/>
    <x v="11"/>
    <s v="Percent of total labor force"/>
    <s v="Units"/>
    <x v="3"/>
    <n v="5.5709999999999997"/>
  </r>
  <r>
    <n v="163"/>
    <x v="5"/>
    <x v="115"/>
    <x v="11"/>
    <s v="Percent of total labor force"/>
    <s v="Units"/>
    <x v="4"/>
    <n v="6.3760000000000003"/>
  </r>
  <r>
    <n v="163"/>
    <x v="5"/>
    <x v="115"/>
    <x v="11"/>
    <s v="Percent of total labor force"/>
    <s v="Units"/>
    <x v="5"/>
    <n v="8.0579999999999998"/>
  </r>
  <r>
    <n v="163"/>
    <x v="5"/>
    <x v="115"/>
    <x v="11"/>
    <s v="Percent of total labor force"/>
    <s v="Units"/>
    <x v="6"/>
    <n v="7.6689999999999996"/>
  </r>
  <r>
    <n v="110"/>
    <x v="0"/>
    <x v="115"/>
    <x v="11"/>
    <s v="Percent of total labor force"/>
    <s v="Units"/>
    <x v="0"/>
    <n v="4.4480000000000004"/>
  </r>
  <r>
    <n v="110"/>
    <x v="0"/>
    <x v="115"/>
    <x v="11"/>
    <s v="Percent of total labor force"/>
    <s v="Units"/>
    <x v="1"/>
    <n v="6.806"/>
  </r>
  <r>
    <n v="110"/>
    <x v="0"/>
    <x v="115"/>
    <x v="11"/>
    <s v="Percent of total labor force"/>
    <s v="Units"/>
    <x v="2"/>
    <n v="6.1769999999999996"/>
  </r>
  <r>
    <n v="110"/>
    <x v="0"/>
    <x v="115"/>
    <x v="11"/>
    <s v="Percent of total labor force"/>
    <s v="Units"/>
    <x v="3"/>
    <n v="5.5709999999999997"/>
  </r>
  <r>
    <n v="110"/>
    <x v="0"/>
    <x v="115"/>
    <x v="11"/>
    <s v="Percent of total labor force"/>
    <s v="Units"/>
    <x v="4"/>
    <n v="6.3760000000000003"/>
  </r>
  <r>
    <n v="110"/>
    <x v="0"/>
    <x v="115"/>
    <x v="11"/>
    <s v="Percent of total labor force"/>
    <s v="Units"/>
    <x v="5"/>
    <n v="8.0579999999999998"/>
  </r>
  <r>
    <n v="110"/>
    <x v="0"/>
    <x v="115"/>
    <x v="11"/>
    <s v="Percent of total labor force"/>
    <s v="Units"/>
    <x v="6"/>
    <n v="7.6689999999999996"/>
  </r>
  <r>
    <n v="1"/>
    <x v="2"/>
    <x v="116"/>
    <x v="0"/>
    <s v="U.S. dollars"/>
    <s v="Billions"/>
    <x v="0"/>
    <n v="5.5430000000000001"/>
  </r>
  <r>
    <n v="1"/>
    <x v="2"/>
    <x v="116"/>
    <x v="0"/>
    <s v="U.S. dollars"/>
    <s v="Billions"/>
    <x v="1"/>
    <n v="4.7770000000000001"/>
  </r>
  <r>
    <n v="1"/>
    <x v="2"/>
    <x v="116"/>
    <x v="0"/>
    <s v="U.S. dollars"/>
    <s v="Billions"/>
    <x v="2"/>
    <n v="5.8650000000000002"/>
  </r>
  <r>
    <n v="1"/>
    <x v="2"/>
    <x v="116"/>
    <x v="0"/>
    <s v="U.S. dollars"/>
    <s v="Billions"/>
    <x v="3"/>
    <n v="6.2430000000000003"/>
  </r>
  <r>
    <n v="1"/>
    <x v="2"/>
    <x v="116"/>
    <x v="0"/>
    <s v="U.S. dollars"/>
    <s v="Billions"/>
    <x v="4"/>
    <n v="7.4059999999999997"/>
  </r>
  <r>
    <n v="1"/>
    <x v="2"/>
    <x v="116"/>
    <x v="0"/>
    <s v="U.S. dollars"/>
    <s v="Billions"/>
    <x v="5"/>
    <n v="8.0109999999999992"/>
  </r>
  <r>
    <n v="1"/>
    <x v="2"/>
    <x v="116"/>
    <x v="0"/>
    <s v="U.S. dollars"/>
    <s v="Billions"/>
    <x v="6"/>
    <n v="8.4670000000000005"/>
  </r>
  <r>
    <n v="200"/>
    <x v="3"/>
    <x v="116"/>
    <x v="0"/>
    <s v="U.S. dollars"/>
    <s v="Billions"/>
    <x v="0"/>
    <n v="5.5430000000000001"/>
  </r>
  <r>
    <n v="200"/>
    <x v="3"/>
    <x v="116"/>
    <x v="0"/>
    <s v="U.S. dollars"/>
    <s v="Billions"/>
    <x v="1"/>
    <n v="4.7770000000000001"/>
  </r>
  <r>
    <n v="200"/>
    <x v="3"/>
    <x v="116"/>
    <x v="0"/>
    <s v="U.S. dollars"/>
    <s v="Billions"/>
    <x v="2"/>
    <n v="5.8650000000000002"/>
  </r>
  <r>
    <n v="200"/>
    <x v="3"/>
    <x v="116"/>
    <x v="0"/>
    <s v="U.S. dollars"/>
    <s v="Billions"/>
    <x v="3"/>
    <n v="6.2430000000000003"/>
  </r>
  <r>
    <n v="200"/>
    <x v="3"/>
    <x v="116"/>
    <x v="0"/>
    <s v="U.S. dollars"/>
    <s v="Billions"/>
    <x v="4"/>
    <n v="7.4059999999999997"/>
  </r>
  <r>
    <n v="200"/>
    <x v="3"/>
    <x v="116"/>
    <x v="0"/>
    <s v="U.S. dollars"/>
    <s v="Billions"/>
    <x v="5"/>
    <n v="8.0109999999999992"/>
  </r>
  <r>
    <n v="200"/>
    <x v="3"/>
    <x v="116"/>
    <x v="0"/>
    <s v="U.S. dollars"/>
    <s v="Billions"/>
    <x v="6"/>
    <n v="8.4670000000000005"/>
  </r>
  <r>
    <n v="903"/>
    <x v="8"/>
    <x v="116"/>
    <x v="0"/>
    <s v="U.S. dollars"/>
    <s v="Billions"/>
    <x v="0"/>
    <n v="5.5430000000000001"/>
  </r>
  <r>
    <n v="903"/>
    <x v="8"/>
    <x v="116"/>
    <x v="0"/>
    <s v="U.S. dollars"/>
    <s v="Billions"/>
    <x v="1"/>
    <n v="4.7770000000000001"/>
  </r>
  <r>
    <n v="903"/>
    <x v="8"/>
    <x v="116"/>
    <x v="0"/>
    <s v="U.S. dollars"/>
    <s v="Billions"/>
    <x v="2"/>
    <n v="5.8650000000000002"/>
  </r>
  <r>
    <n v="903"/>
    <x v="8"/>
    <x v="116"/>
    <x v="0"/>
    <s v="U.S. dollars"/>
    <s v="Billions"/>
    <x v="3"/>
    <n v="6.2430000000000003"/>
  </r>
  <r>
    <n v="903"/>
    <x v="8"/>
    <x v="116"/>
    <x v="0"/>
    <s v="U.S. dollars"/>
    <s v="Billions"/>
    <x v="4"/>
    <n v="7.4059999999999997"/>
  </r>
  <r>
    <n v="903"/>
    <x v="8"/>
    <x v="116"/>
    <x v="0"/>
    <s v="U.S. dollars"/>
    <s v="Billions"/>
    <x v="5"/>
    <n v="8.0109999999999992"/>
  </r>
  <r>
    <n v="903"/>
    <x v="8"/>
    <x v="116"/>
    <x v="0"/>
    <s v="U.S. dollars"/>
    <s v="Billions"/>
    <x v="6"/>
    <n v="8.4670000000000005"/>
  </r>
  <r>
    <n v="200"/>
    <x v="3"/>
    <x v="69"/>
    <x v="4"/>
    <s v="Percent change"/>
    <s v="Units"/>
    <x v="0"/>
    <n v="-0.91100000000000003"/>
  </r>
  <r>
    <n v="200"/>
    <x v="3"/>
    <x v="69"/>
    <x v="4"/>
    <s v="Percent change"/>
    <s v="Units"/>
    <x v="1"/>
    <n v="1.9810000000000001"/>
  </r>
  <r>
    <n v="200"/>
    <x v="3"/>
    <x v="69"/>
    <x v="4"/>
    <s v="Percent change"/>
    <s v="Units"/>
    <x v="2"/>
    <n v="-12.601000000000001"/>
  </r>
  <r>
    <n v="200"/>
    <x v="3"/>
    <x v="69"/>
    <x v="4"/>
    <s v="Percent change"/>
    <s v="Units"/>
    <x v="3"/>
    <n v="17.762"/>
  </r>
  <r>
    <n v="200"/>
    <x v="3"/>
    <x v="69"/>
    <x v="4"/>
    <s v="Percent change"/>
    <s v="Units"/>
    <x v="4"/>
    <n v="5.7990000000000004"/>
  </r>
  <r>
    <n v="200"/>
    <x v="3"/>
    <x v="69"/>
    <x v="4"/>
    <s v="Percent change"/>
    <s v="Units"/>
    <x v="5"/>
    <n v="8.0060000000000002"/>
  </r>
  <r>
    <n v="200"/>
    <x v="3"/>
    <x v="69"/>
    <x v="4"/>
    <s v="Percent change"/>
    <s v="Units"/>
    <x v="6"/>
    <n v="3.8929999999999998"/>
  </r>
  <r>
    <n v="1"/>
    <x v="2"/>
    <x v="69"/>
    <x v="4"/>
    <s v="Percent change"/>
    <s v="Units"/>
    <x v="0"/>
    <n v="-0.91100000000000003"/>
  </r>
  <r>
    <n v="1"/>
    <x v="2"/>
    <x v="69"/>
    <x v="4"/>
    <s v="Percent change"/>
    <s v="Units"/>
    <x v="1"/>
    <n v="1.9810000000000001"/>
  </r>
  <r>
    <n v="1"/>
    <x v="2"/>
    <x v="69"/>
    <x v="4"/>
    <s v="Percent change"/>
    <s v="Units"/>
    <x v="2"/>
    <n v="-12.601000000000001"/>
  </r>
  <r>
    <n v="1"/>
    <x v="2"/>
    <x v="69"/>
    <x v="4"/>
    <s v="Percent change"/>
    <s v="Units"/>
    <x v="3"/>
    <n v="17.762"/>
  </r>
  <r>
    <n v="1"/>
    <x v="2"/>
    <x v="69"/>
    <x v="4"/>
    <s v="Percent change"/>
    <s v="Units"/>
    <x v="4"/>
    <n v="5.7990000000000004"/>
  </r>
  <r>
    <n v="1"/>
    <x v="2"/>
    <x v="69"/>
    <x v="4"/>
    <s v="Percent change"/>
    <s v="Units"/>
    <x v="5"/>
    <n v="8.0060000000000002"/>
  </r>
  <r>
    <n v="1"/>
    <x v="2"/>
    <x v="69"/>
    <x v="4"/>
    <s v="Percent change"/>
    <s v="Units"/>
    <x v="6"/>
    <n v="3.8929999999999998"/>
  </r>
  <r>
    <n v="400"/>
    <x v="11"/>
    <x v="69"/>
    <x v="4"/>
    <s v="Percent change"/>
    <s v="Units"/>
    <x v="0"/>
    <n v="-0.91100000000000003"/>
  </r>
  <r>
    <n v="400"/>
    <x v="11"/>
    <x v="69"/>
    <x v="4"/>
    <s v="Percent change"/>
    <s v="Units"/>
    <x v="1"/>
    <n v="1.9810000000000001"/>
  </r>
  <r>
    <n v="400"/>
    <x v="11"/>
    <x v="69"/>
    <x v="4"/>
    <s v="Percent change"/>
    <s v="Units"/>
    <x v="2"/>
    <n v="-12.601000000000001"/>
  </r>
  <r>
    <n v="400"/>
    <x v="11"/>
    <x v="69"/>
    <x v="4"/>
    <s v="Percent change"/>
    <s v="Units"/>
    <x v="3"/>
    <n v="17.762"/>
  </r>
  <r>
    <n v="400"/>
    <x v="11"/>
    <x v="69"/>
    <x v="4"/>
    <s v="Percent change"/>
    <s v="Units"/>
    <x v="4"/>
    <n v="5.7990000000000004"/>
  </r>
  <r>
    <n v="400"/>
    <x v="11"/>
    <x v="69"/>
    <x v="4"/>
    <s v="Percent change"/>
    <s v="Units"/>
    <x v="5"/>
    <n v="8.0060000000000002"/>
  </r>
  <r>
    <n v="400"/>
    <x v="11"/>
    <x v="69"/>
    <x v="4"/>
    <s v="Percent change"/>
    <s v="Units"/>
    <x v="6"/>
    <n v="3.8929999999999998"/>
  </r>
  <r>
    <n v="123"/>
    <x v="9"/>
    <x v="31"/>
    <x v="4"/>
    <s v="Percent change"/>
    <s v="Units"/>
    <x v="0"/>
    <n v="-2.5000000000000001E-2"/>
  </r>
  <r>
    <n v="123"/>
    <x v="9"/>
    <x v="31"/>
    <x v="4"/>
    <s v="Percent change"/>
    <s v="Units"/>
    <x v="1"/>
    <n v="-0.17899999999999999"/>
  </r>
  <r>
    <n v="123"/>
    <x v="9"/>
    <x v="31"/>
    <x v="4"/>
    <s v="Percent change"/>
    <s v="Units"/>
    <x v="2"/>
    <n v="9.202"/>
  </r>
  <r>
    <n v="123"/>
    <x v="9"/>
    <x v="31"/>
    <x v="4"/>
    <s v="Percent change"/>
    <s v="Units"/>
    <x v="3"/>
    <n v="3.0030000000000001"/>
  </r>
  <r>
    <n v="123"/>
    <x v="9"/>
    <x v="31"/>
    <x v="4"/>
    <s v="Percent change"/>
    <s v="Units"/>
    <x v="4"/>
    <n v="2.3839999999999999"/>
  </r>
  <r>
    <n v="123"/>
    <x v="9"/>
    <x v="31"/>
    <x v="4"/>
    <s v="Percent change"/>
    <s v="Units"/>
    <x v="5"/>
    <n v="7.9889999999999999"/>
  </r>
  <r>
    <n v="123"/>
    <x v="9"/>
    <x v="31"/>
    <x v="4"/>
    <s v="Percent change"/>
    <s v="Units"/>
    <x v="6"/>
    <n v="4.6239999999999997"/>
  </r>
  <r>
    <n v="510"/>
    <x v="10"/>
    <x v="31"/>
    <x v="4"/>
    <s v="Percent change"/>
    <s v="Units"/>
    <x v="0"/>
    <n v="-2.5000000000000001E-2"/>
  </r>
  <r>
    <n v="510"/>
    <x v="10"/>
    <x v="31"/>
    <x v="4"/>
    <s v="Percent change"/>
    <s v="Units"/>
    <x v="1"/>
    <n v="-0.17899999999999999"/>
  </r>
  <r>
    <n v="510"/>
    <x v="10"/>
    <x v="31"/>
    <x v="4"/>
    <s v="Percent change"/>
    <s v="Units"/>
    <x v="2"/>
    <n v="9.202"/>
  </r>
  <r>
    <n v="510"/>
    <x v="10"/>
    <x v="31"/>
    <x v="4"/>
    <s v="Percent change"/>
    <s v="Units"/>
    <x v="3"/>
    <n v="3.0030000000000001"/>
  </r>
  <r>
    <n v="510"/>
    <x v="10"/>
    <x v="31"/>
    <x v="4"/>
    <s v="Percent change"/>
    <s v="Units"/>
    <x v="4"/>
    <n v="2.3839999999999999"/>
  </r>
  <r>
    <n v="510"/>
    <x v="10"/>
    <x v="31"/>
    <x v="4"/>
    <s v="Percent change"/>
    <s v="Units"/>
    <x v="5"/>
    <n v="7.9889999999999999"/>
  </r>
  <r>
    <n v="510"/>
    <x v="10"/>
    <x v="31"/>
    <x v="4"/>
    <s v="Percent change"/>
    <s v="Units"/>
    <x v="6"/>
    <n v="4.6239999999999997"/>
  </r>
  <r>
    <n v="110"/>
    <x v="0"/>
    <x v="31"/>
    <x v="4"/>
    <s v="Percent change"/>
    <s v="Units"/>
    <x v="0"/>
    <n v="-2.5000000000000001E-2"/>
  </r>
  <r>
    <n v="110"/>
    <x v="0"/>
    <x v="31"/>
    <x v="4"/>
    <s v="Percent change"/>
    <s v="Units"/>
    <x v="1"/>
    <n v="-0.17899999999999999"/>
  </r>
  <r>
    <n v="110"/>
    <x v="0"/>
    <x v="31"/>
    <x v="4"/>
    <s v="Percent change"/>
    <s v="Units"/>
    <x v="2"/>
    <n v="9.202"/>
  </r>
  <r>
    <n v="110"/>
    <x v="0"/>
    <x v="31"/>
    <x v="4"/>
    <s v="Percent change"/>
    <s v="Units"/>
    <x v="3"/>
    <n v="3.0030000000000001"/>
  </r>
  <r>
    <n v="110"/>
    <x v="0"/>
    <x v="31"/>
    <x v="4"/>
    <s v="Percent change"/>
    <s v="Units"/>
    <x v="4"/>
    <n v="2.3839999999999999"/>
  </r>
  <r>
    <n v="110"/>
    <x v="0"/>
    <x v="31"/>
    <x v="4"/>
    <s v="Percent change"/>
    <s v="Units"/>
    <x v="5"/>
    <n v="7.9889999999999999"/>
  </r>
  <r>
    <n v="110"/>
    <x v="0"/>
    <x v="31"/>
    <x v="4"/>
    <s v="Percent change"/>
    <s v="Units"/>
    <x v="6"/>
    <n v="4.6239999999999997"/>
  </r>
  <r>
    <n v="1"/>
    <x v="2"/>
    <x v="31"/>
    <x v="4"/>
    <s v="Percent change"/>
    <s v="Units"/>
    <x v="0"/>
    <n v="-2.5000000000000001E-2"/>
  </r>
  <r>
    <n v="1"/>
    <x v="2"/>
    <x v="31"/>
    <x v="4"/>
    <s v="Percent change"/>
    <s v="Units"/>
    <x v="1"/>
    <n v="-0.17899999999999999"/>
  </r>
  <r>
    <n v="1"/>
    <x v="2"/>
    <x v="31"/>
    <x v="4"/>
    <s v="Percent change"/>
    <s v="Units"/>
    <x v="2"/>
    <n v="9.202"/>
  </r>
  <r>
    <n v="1"/>
    <x v="2"/>
    <x v="31"/>
    <x v="4"/>
    <s v="Percent change"/>
    <s v="Units"/>
    <x v="3"/>
    <n v="3.0030000000000001"/>
  </r>
  <r>
    <n v="1"/>
    <x v="2"/>
    <x v="31"/>
    <x v="4"/>
    <s v="Percent change"/>
    <s v="Units"/>
    <x v="4"/>
    <n v="2.3839999999999999"/>
  </r>
  <r>
    <n v="1"/>
    <x v="2"/>
    <x v="31"/>
    <x v="4"/>
    <s v="Percent change"/>
    <s v="Units"/>
    <x v="5"/>
    <n v="7.9889999999999999"/>
  </r>
  <r>
    <n v="1"/>
    <x v="2"/>
    <x v="31"/>
    <x v="4"/>
    <s v="Percent change"/>
    <s v="Units"/>
    <x v="6"/>
    <n v="4.6239999999999997"/>
  </r>
  <r>
    <n v="1"/>
    <x v="2"/>
    <x v="126"/>
    <x v="5"/>
    <s v="Percent of GDP"/>
    <s v="Units"/>
    <x v="0"/>
    <n v="-6.9160000000000004"/>
  </r>
  <r>
    <n v="1"/>
    <x v="2"/>
    <x v="126"/>
    <x v="5"/>
    <s v="Percent of GDP"/>
    <s v="Units"/>
    <x v="1"/>
    <n v="4.2069999999999999"/>
  </r>
  <r>
    <n v="1"/>
    <x v="2"/>
    <x v="126"/>
    <x v="5"/>
    <s v="Percent of GDP"/>
    <s v="Units"/>
    <x v="2"/>
    <n v="1.633"/>
  </r>
  <r>
    <n v="1"/>
    <x v="2"/>
    <x v="126"/>
    <x v="5"/>
    <s v="Percent of GDP"/>
    <s v="Units"/>
    <x v="3"/>
    <n v="0.67200000000000004"/>
  </r>
  <r>
    <n v="1"/>
    <x v="2"/>
    <x v="126"/>
    <x v="5"/>
    <s v="Percent of GDP"/>
    <s v="Units"/>
    <x v="4"/>
    <n v="7.5069999999999997"/>
  </r>
  <r>
    <n v="1"/>
    <x v="2"/>
    <x v="126"/>
    <x v="5"/>
    <s v="Percent of GDP"/>
    <s v="Units"/>
    <x v="5"/>
    <n v="7.9180000000000001"/>
  </r>
  <r>
    <n v="1"/>
    <x v="2"/>
    <x v="126"/>
    <x v="5"/>
    <s v="Percent of GDP"/>
    <s v="Units"/>
    <x v="6"/>
    <n v="8.625"/>
  </r>
  <r>
    <n v="200"/>
    <x v="3"/>
    <x v="126"/>
    <x v="5"/>
    <s v="Percent of GDP"/>
    <s v="Units"/>
    <x v="0"/>
    <n v="-6.9160000000000004"/>
  </r>
  <r>
    <n v="200"/>
    <x v="3"/>
    <x v="126"/>
    <x v="5"/>
    <s v="Percent of GDP"/>
    <s v="Units"/>
    <x v="1"/>
    <n v="4.2069999999999999"/>
  </r>
  <r>
    <n v="200"/>
    <x v="3"/>
    <x v="126"/>
    <x v="5"/>
    <s v="Percent of GDP"/>
    <s v="Units"/>
    <x v="2"/>
    <n v="1.633"/>
  </r>
  <r>
    <n v="200"/>
    <x v="3"/>
    <x v="126"/>
    <x v="5"/>
    <s v="Percent of GDP"/>
    <s v="Units"/>
    <x v="3"/>
    <n v="0.67200000000000004"/>
  </r>
  <r>
    <n v="200"/>
    <x v="3"/>
    <x v="126"/>
    <x v="5"/>
    <s v="Percent of GDP"/>
    <s v="Units"/>
    <x v="4"/>
    <n v="7.5069999999999997"/>
  </r>
  <r>
    <n v="200"/>
    <x v="3"/>
    <x v="126"/>
    <x v="5"/>
    <s v="Percent of GDP"/>
    <s v="Units"/>
    <x v="5"/>
    <n v="7.9180000000000001"/>
  </r>
  <r>
    <n v="200"/>
    <x v="3"/>
    <x v="126"/>
    <x v="5"/>
    <s v="Percent of GDP"/>
    <s v="Units"/>
    <x v="6"/>
    <n v="8.625"/>
  </r>
  <r>
    <n v="603"/>
    <x v="12"/>
    <x v="126"/>
    <x v="5"/>
    <s v="Percent of GDP"/>
    <s v="Units"/>
    <x v="0"/>
    <n v="-6.9160000000000004"/>
  </r>
  <r>
    <n v="603"/>
    <x v="12"/>
    <x v="126"/>
    <x v="5"/>
    <s v="Percent of GDP"/>
    <s v="Units"/>
    <x v="1"/>
    <n v="4.2069999999999999"/>
  </r>
  <r>
    <n v="603"/>
    <x v="12"/>
    <x v="126"/>
    <x v="5"/>
    <s v="Percent of GDP"/>
    <s v="Units"/>
    <x v="2"/>
    <n v="1.633"/>
  </r>
  <r>
    <n v="603"/>
    <x v="12"/>
    <x v="126"/>
    <x v="5"/>
    <s v="Percent of GDP"/>
    <s v="Units"/>
    <x v="3"/>
    <n v="0.67200000000000004"/>
  </r>
  <r>
    <n v="603"/>
    <x v="12"/>
    <x v="126"/>
    <x v="5"/>
    <s v="Percent of GDP"/>
    <s v="Units"/>
    <x v="4"/>
    <n v="7.5069999999999997"/>
  </r>
  <r>
    <n v="603"/>
    <x v="12"/>
    <x v="126"/>
    <x v="5"/>
    <s v="Percent of GDP"/>
    <s v="Units"/>
    <x v="5"/>
    <n v="7.9180000000000001"/>
  </r>
  <r>
    <n v="603"/>
    <x v="12"/>
    <x v="126"/>
    <x v="5"/>
    <s v="Percent of GDP"/>
    <s v="Units"/>
    <x v="6"/>
    <n v="8.625"/>
  </r>
  <r>
    <n v="200"/>
    <x v="3"/>
    <x v="4"/>
    <x v="10"/>
    <s v="Percent"/>
    <s v="Units"/>
    <x v="0"/>
    <n v="7.0090000000000003"/>
  </r>
  <r>
    <n v="200"/>
    <x v="3"/>
    <x v="4"/>
    <x v="10"/>
    <s v="Percent"/>
    <s v="Units"/>
    <x v="1"/>
    <n v="6.8010000000000002"/>
  </r>
  <r>
    <n v="200"/>
    <x v="3"/>
    <x v="4"/>
    <x v="10"/>
    <s v="Percent"/>
    <s v="Units"/>
    <x v="2"/>
    <n v="7.0110000000000001"/>
  </r>
  <r>
    <n v="200"/>
    <x v="3"/>
    <x v="4"/>
    <x v="10"/>
    <s v="Percent"/>
    <s v="Units"/>
    <x v="3"/>
    <n v="7.2569999999999997"/>
  </r>
  <r>
    <n v="200"/>
    <x v="3"/>
    <x v="4"/>
    <x v="10"/>
    <s v="Percent"/>
    <s v="Units"/>
    <x v="4"/>
    <n v="7.59"/>
  </r>
  <r>
    <n v="200"/>
    <x v="3"/>
    <x v="4"/>
    <x v="10"/>
    <s v="Percent"/>
    <s v="Units"/>
    <x v="5"/>
    <n v="7.86"/>
  </r>
  <r>
    <n v="200"/>
    <x v="3"/>
    <x v="4"/>
    <x v="10"/>
    <s v="Percent"/>
    <s v="Units"/>
    <x v="6"/>
    <n v="8.1080000000000005"/>
  </r>
  <r>
    <n v="505"/>
    <x v="4"/>
    <x v="4"/>
    <x v="10"/>
    <s v="Percent"/>
    <s v="Units"/>
    <x v="0"/>
    <n v="7.0090000000000003"/>
  </r>
  <r>
    <n v="505"/>
    <x v="4"/>
    <x v="4"/>
    <x v="10"/>
    <s v="Percent"/>
    <s v="Units"/>
    <x v="1"/>
    <n v="6.8010000000000002"/>
  </r>
  <r>
    <n v="505"/>
    <x v="4"/>
    <x v="4"/>
    <x v="10"/>
    <s v="Percent"/>
    <s v="Units"/>
    <x v="2"/>
    <n v="7.0110000000000001"/>
  </r>
  <r>
    <n v="505"/>
    <x v="4"/>
    <x v="4"/>
    <x v="10"/>
    <s v="Percent"/>
    <s v="Units"/>
    <x v="3"/>
    <n v="7.2569999999999997"/>
  </r>
  <r>
    <n v="505"/>
    <x v="4"/>
    <x v="4"/>
    <x v="10"/>
    <s v="Percent"/>
    <s v="Units"/>
    <x v="4"/>
    <n v="7.59"/>
  </r>
  <r>
    <n v="505"/>
    <x v="4"/>
    <x v="4"/>
    <x v="10"/>
    <s v="Percent"/>
    <s v="Units"/>
    <x v="5"/>
    <n v="7.86"/>
  </r>
  <r>
    <n v="505"/>
    <x v="4"/>
    <x v="4"/>
    <x v="10"/>
    <s v="Percent"/>
    <s v="Units"/>
    <x v="6"/>
    <n v="8.1080000000000005"/>
  </r>
  <r>
    <n v="200"/>
    <x v="3"/>
    <x v="95"/>
    <x v="8"/>
    <s v="Percent change"/>
    <s v="Units"/>
    <x v="0"/>
    <n v="-11.196"/>
  </r>
  <r>
    <n v="200"/>
    <x v="3"/>
    <x v="95"/>
    <x v="8"/>
    <s v="Percent change"/>
    <s v="Units"/>
    <x v="1"/>
    <n v="-29.456"/>
  </r>
  <r>
    <n v="200"/>
    <x v="3"/>
    <x v="95"/>
    <x v="8"/>
    <s v="Percent change"/>
    <s v="Units"/>
    <x v="2"/>
    <n v="28.335000000000001"/>
  </r>
  <r>
    <n v="200"/>
    <x v="3"/>
    <x v="95"/>
    <x v="8"/>
    <s v="Percent change"/>
    <s v="Units"/>
    <x v="3"/>
    <n v="-8.2520000000000007"/>
  </r>
  <r>
    <n v="200"/>
    <x v="3"/>
    <x v="95"/>
    <x v="8"/>
    <s v="Percent change"/>
    <s v="Units"/>
    <x v="4"/>
    <n v="10.156000000000001"/>
  </r>
  <r>
    <n v="200"/>
    <x v="3"/>
    <x v="95"/>
    <x v="8"/>
    <s v="Percent change"/>
    <s v="Units"/>
    <x v="5"/>
    <n v="7.8319999999999999"/>
  </r>
  <r>
    <n v="200"/>
    <x v="3"/>
    <x v="95"/>
    <x v="8"/>
    <s v="Percent change"/>
    <s v="Units"/>
    <x v="6"/>
    <n v="6.9459999999999997"/>
  </r>
  <r>
    <n v="400"/>
    <x v="11"/>
    <x v="95"/>
    <x v="8"/>
    <s v="Percent change"/>
    <s v="Units"/>
    <x v="0"/>
    <n v="-11.196"/>
  </r>
  <r>
    <n v="400"/>
    <x v="11"/>
    <x v="95"/>
    <x v="8"/>
    <s v="Percent change"/>
    <s v="Units"/>
    <x v="1"/>
    <n v="-29.456"/>
  </r>
  <r>
    <n v="400"/>
    <x v="11"/>
    <x v="95"/>
    <x v="8"/>
    <s v="Percent change"/>
    <s v="Units"/>
    <x v="2"/>
    <n v="28.335000000000001"/>
  </r>
  <r>
    <n v="400"/>
    <x v="11"/>
    <x v="95"/>
    <x v="8"/>
    <s v="Percent change"/>
    <s v="Units"/>
    <x v="3"/>
    <n v="-8.2520000000000007"/>
  </r>
  <r>
    <n v="400"/>
    <x v="11"/>
    <x v="95"/>
    <x v="8"/>
    <s v="Percent change"/>
    <s v="Units"/>
    <x v="4"/>
    <n v="10.156000000000001"/>
  </r>
  <r>
    <n v="400"/>
    <x v="11"/>
    <x v="95"/>
    <x v="8"/>
    <s v="Percent change"/>
    <s v="Units"/>
    <x v="5"/>
    <n v="7.8319999999999999"/>
  </r>
  <r>
    <n v="400"/>
    <x v="11"/>
    <x v="95"/>
    <x v="8"/>
    <s v="Percent change"/>
    <s v="Units"/>
    <x v="6"/>
    <n v="6.9459999999999997"/>
  </r>
  <r>
    <n v="1"/>
    <x v="2"/>
    <x v="95"/>
    <x v="8"/>
    <s v="Percent change"/>
    <s v="Units"/>
    <x v="0"/>
    <n v="-11.196"/>
  </r>
  <r>
    <n v="1"/>
    <x v="2"/>
    <x v="95"/>
    <x v="8"/>
    <s v="Percent change"/>
    <s v="Units"/>
    <x v="1"/>
    <n v="-29.456"/>
  </r>
  <r>
    <n v="1"/>
    <x v="2"/>
    <x v="95"/>
    <x v="8"/>
    <s v="Percent change"/>
    <s v="Units"/>
    <x v="2"/>
    <n v="28.335000000000001"/>
  </r>
  <r>
    <n v="1"/>
    <x v="2"/>
    <x v="95"/>
    <x v="8"/>
    <s v="Percent change"/>
    <s v="Units"/>
    <x v="3"/>
    <n v="-8.2520000000000007"/>
  </r>
  <r>
    <n v="1"/>
    <x v="2"/>
    <x v="95"/>
    <x v="8"/>
    <s v="Percent change"/>
    <s v="Units"/>
    <x v="4"/>
    <n v="10.156000000000001"/>
  </r>
  <r>
    <n v="1"/>
    <x v="2"/>
    <x v="95"/>
    <x v="8"/>
    <s v="Percent change"/>
    <s v="Units"/>
    <x v="5"/>
    <n v="7.8319999999999999"/>
  </r>
  <r>
    <n v="1"/>
    <x v="2"/>
    <x v="95"/>
    <x v="8"/>
    <s v="Percent change"/>
    <s v="Units"/>
    <x v="6"/>
    <n v="6.9459999999999997"/>
  </r>
  <r>
    <n v="163"/>
    <x v="5"/>
    <x v="8"/>
    <x v="11"/>
    <s v="Percent of total labor force"/>
    <s v="Units"/>
    <x v="0"/>
    <n v="9.9"/>
  </r>
  <r>
    <n v="163"/>
    <x v="5"/>
    <x v="8"/>
    <x v="11"/>
    <s v="Percent of total labor force"/>
    <s v="Units"/>
    <x v="1"/>
    <n v="9.3580000000000005"/>
  </r>
  <r>
    <n v="163"/>
    <x v="5"/>
    <x v="8"/>
    <x v="11"/>
    <s v="Percent of total labor force"/>
    <s v="Units"/>
    <x v="2"/>
    <n v="9.5250000000000004"/>
  </r>
  <r>
    <n v="163"/>
    <x v="5"/>
    <x v="8"/>
    <x v="11"/>
    <s v="Percent of total labor force"/>
    <s v="Units"/>
    <x v="3"/>
    <n v="8.1170000000000009"/>
  </r>
  <r>
    <n v="163"/>
    <x v="5"/>
    <x v="8"/>
    <x v="11"/>
    <s v="Percent of total labor force"/>
    <s v="Units"/>
    <x v="4"/>
    <n v="7.6580000000000004"/>
  </r>
  <r>
    <n v="163"/>
    <x v="5"/>
    <x v="8"/>
    <x v="11"/>
    <s v="Percent of total labor force"/>
    <s v="Units"/>
    <x v="5"/>
    <n v="7.8280000000000003"/>
  </r>
  <r>
    <n v="163"/>
    <x v="5"/>
    <x v="8"/>
    <x v="11"/>
    <s v="Percent of total labor force"/>
    <s v="Units"/>
    <x v="6"/>
    <n v="8.016"/>
  </r>
  <r>
    <n v="119"/>
    <x v="1"/>
    <x v="8"/>
    <x v="11"/>
    <s v="Percent of total labor force"/>
    <s v="Units"/>
    <x v="0"/>
    <n v="9.9"/>
  </r>
  <r>
    <n v="119"/>
    <x v="1"/>
    <x v="8"/>
    <x v="11"/>
    <s v="Percent of total labor force"/>
    <s v="Units"/>
    <x v="1"/>
    <n v="9.3580000000000005"/>
  </r>
  <r>
    <n v="119"/>
    <x v="1"/>
    <x v="8"/>
    <x v="11"/>
    <s v="Percent of total labor force"/>
    <s v="Units"/>
    <x v="2"/>
    <n v="9.5250000000000004"/>
  </r>
  <r>
    <n v="119"/>
    <x v="1"/>
    <x v="8"/>
    <x v="11"/>
    <s v="Percent of total labor force"/>
    <s v="Units"/>
    <x v="3"/>
    <n v="8.1170000000000009"/>
  </r>
  <r>
    <n v="119"/>
    <x v="1"/>
    <x v="8"/>
    <x v="11"/>
    <s v="Percent of total labor force"/>
    <s v="Units"/>
    <x v="4"/>
    <n v="7.6580000000000004"/>
  </r>
  <r>
    <n v="119"/>
    <x v="1"/>
    <x v="8"/>
    <x v="11"/>
    <s v="Percent of total labor force"/>
    <s v="Units"/>
    <x v="5"/>
    <n v="7.8280000000000003"/>
  </r>
  <r>
    <n v="119"/>
    <x v="1"/>
    <x v="8"/>
    <x v="11"/>
    <s v="Percent of total labor force"/>
    <s v="Units"/>
    <x v="6"/>
    <n v="8.016"/>
  </r>
  <r>
    <n v="110"/>
    <x v="0"/>
    <x v="8"/>
    <x v="11"/>
    <s v="Percent of total labor force"/>
    <s v="Units"/>
    <x v="0"/>
    <n v="9.9"/>
  </r>
  <r>
    <n v="110"/>
    <x v="0"/>
    <x v="8"/>
    <x v="11"/>
    <s v="Percent of total labor force"/>
    <s v="Units"/>
    <x v="1"/>
    <n v="9.3580000000000005"/>
  </r>
  <r>
    <n v="110"/>
    <x v="0"/>
    <x v="8"/>
    <x v="11"/>
    <s v="Percent of total labor force"/>
    <s v="Units"/>
    <x v="2"/>
    <n v="9.5250000000000004"/>
  </r>
  <r>
    <n v="110"/>
    <x v="0"/>
    <x v="8"/>
    <x v="11"/>
    <s v="Percent of total labor force"/>
    <s v="Units"/>
    <x v="3"/>
    <n v="8.1170000000000009"/>
  </r>
  <r>
    <n v="110"/>
    <x v="0"/>
    <x v="8"/>
    <x v="11"/>
    <s v="Percent of total labor force"/>
    <s v="Units"/>
    <x v="4"/>
    <n v="7.6580000000000004"/>
  </r>
  <r>
    <n v="110"/>
    <x v="0"/>
    <x v="8"/>
    <x v="11"/>
    <s v="Percent of total labor force"/>
    <s v="Units"/>
    <x v="5"/>
    <n v="7.8280000000000003"/>
  </r>
  <r>
    <n v="110"/>
    <x v="0"/>
    <x v="8"/>
    <x v="11"/>
    <s v="Percent of total labor force"/>
    <s v="Units"/>
    <x v="6"/>
    <n v="8.016"/>
  </r>
  <r>
    <n v="1"/>
    <x v="2"/>
    <x v="179"/>
    <x v="1"/>
    <s v="Percent change"/>
    <s v="Units"/>
    <x v="0"/>
    <n v="5.6230000000000002"/>
  </r>
  <r>
    <n v="1"/>
    <x v="2"/>
    <x v="179"/>
    <x v="1"/>
    <s v="Percent change"/>
    <s v="Units"/>
    <x v="1"/>
    <n v="4.1879999999999997"/>
  </r>
  <r>
    <n v="1"/>
    <x v="2"/>
    <x v="179"/>
    <x v="1"/>
    <s v="Percent change"/>
    <s v="Units"/>
    <x v="2"/>
    <n v="5.819"/>
  </r>
  <r>
    <n v="1"/>
    <x v="2"/>
    <x v="179"/>
    <x v="1"/>
    <s v="Percent change"/>
    <s v="Units"/>
    <x v="3"/>
    <n v="8.157"/>
  </r>
  <r>
    <n v="1"/>
    <x v="2"/>
    <x v="179"/>
    <x v="1"/>
    <s v="Percent change"/>
    <s v="Units"/>
    <x v="4"/>
    <n v="9.8610000000000007"/>
  </r>
  <r>
    <n v="1"/>
    <x v="2"/>
    <x v="179"/>
    <x v="1"/>
    <s v="Percent change"/>
    <s v="Units"/>
    <x v="5"/>
    <n v="7.7889999999999997"/>
  </r>
  <r>
    <n v="1"/>
    <x v="2"/>
    <x v="179"/>
    <x v="1"/>
    <s v="Percent change"/>
    <s v="Units"/>
    <x v="6"/>
    <n v="7.3419999999999996"/>
  </r>
  <r>
    <n v="603"/>
    <x v="12"/>
    <x v="179"/>
    <x v="1"/>
    <s v="Percent change"/>
    <s v="Units"/>
    <x v="0"/>
    <n v="5.6230000000000002"/>
  </r>
  <r>
    <n v="603"/>
    <x v="12"/>
    <x v="179"/>
    <x v="1"/>
    <s v="Percent change"/>
    <s v="Units"/>
    <x v="1"/>
    <n v="4.1879999999999997"/>
  </r>
  <r>
    <n v="603"/>
    <x v="12"/>
    <x v="179"/>
    <x v="1"/>
    <s v="Percent change"/>
    <s v="Units"/>
    <x v="2"/>
    <n v="5.819"/>
  </r>
  <r>
    <n v="603"/>
    <x v="12"/>
    <x v="179"/>
    <x v="1"/>
    <s v="Percent change"/>
    <s v="Units"/>
    <x v="3"/>
    <n v="8.157"/>
  </r>
  <r>
    <n v="603"/>
    <x v="12"/>
    <x v="179"/>
    <x v="1"/>
    <s v="Percent change"/>
    <s v="Units"/>
    <x v="4"/>
    <n v="9.8610000000000007"/>
  </r>
  <r>
    <n v="603"/>
    <x v="12"/>
    <x v="179"/>
    <x v="1"/>
    <s v="Percent change"/>
    <s v="Units"/>
    <x v="5"/>
    <n v="7.7889999999999997"/>
  </r>
  <r>
    <n v="603"/>
    <x v="12"/>
    <x v="179"/>
    <x v="1"/>
    <s v="Percent change"/>
    <s v="Units"/>
    <x v="6"/>
    <n v="7.3419999999999996"/>
  </r>
  <r>
    <n v="200"/>
    <x v="3"/>
    <x v="179"/>
    <x v="1"/>
    <s v="Percent change"/>
    <s v="Units"/>
    <x v="0"/>
    <n v="5.6230000000000002"/>
  </r>
  <r>
    <n v="200"/>
    <x v="3"/>
    <x v="179"/>
    <x v="1"/>
    <s v="Percent change"/>
    <s v="Units"/>
    <x v="1"/>
    <n v="4.1879999999999997"/>
  </r>
  <r>
    <n v="200"/>
    <x v="3"/>
    <x v="179"/>
    <x v="1"/>
    <s v="Percent change"/>
    <s v="Units"/>
    <x v="2"/>
    <n v="5.819"/>
  </r>
  <r>
    <n v="200"/>
    <x v="3"/>
    <x v="179"/>
    <x v="1"/>
    <s v="Percent change"/>
    <s v="Units"/>
    <x v="3"/>
    <n v="8.157"/>
  </r>
  <r>
    <n v="200"/>
    <x v="3"/>
    <x v="179"/>
    <x v="1"/>
    <s v="Percent change"/>
    <s v="Units"/>
    <x v="4"/>
    <n v="9.8610000000000007"/>
  </r>
  <r>
    <n v="200"/>
    <x v="3"/>
    <x v="179"/>
    <x v="1"/>
    <s v="Percent change"/>
    <s v="Units"/>
    <x v="5"/>
    <n v="7.7889999999999997"/>
  </r>
  <r>
    <n v="200"/>
    <x v="3"/>
    <x v="179"/>
    <x v="1"/>
    <s v="Percent change"/>
    <s v="Units"/>
    <x v="6"/>
    <n v="7.3419999999999996"/>
  </r>
  <r>
    <n v="200"/>
    <x v="3"/>
    <x v="72"/>
    <x v="6"/>
    <s v="Percent change"/>
    <s v="Units"/>
    <x v="0"/>
    <n v="-22.2"/>
  </r>
  <r>
    <n v="200"/>
    <x v="3"/>
    <x v="72"/>
    <x v="6"/>
    <s v="Percent change"/>
    <s v="Units"/>
    <x v="1"/>
    <n v="-27.062000000000001"/>
  </r>
  <r>
    <n v="200"/>
    <x v="3"/>
    <x v="72"/>
    <x v="6"/>
    <s v="Percent change"/>
    <s v="Units"/>
    <x v="2"/>
    <n v="-2.1960000000000002"/>
  </r>
  <r>
    <n v="200"/>
    <x v="3"/>
    <x v="72"/>
    <x v="6"/>
    <s v="Percent change"/>
    <s v="Units"/>
    <x v="3"/>
    <n v="10.952999999999999"/>
  </r>
  <r>
    <n v="200"/>
    <x v="3"/>
    <x v="72"/>
    <x v="6"/>
    <s v="Percent change"/>
    <s v="Units"/>
    <x v="4"/>
    <n v="4.93"/>
  </r>
  <r>
    <n v="200"/>
    <x v="3"/>
    <x v="72"/>
    <x v="6"/>
    <s v="Percent change"/>
    <s v="Units"/>
    <x v="5"/>
    <n v="7.702"/>
  </r>
  <r>
    <n v="200"/>
    <x v="3"/>
    <x v="72"/>
    <x v="6"/>
    <s v="Percent change"/>
    <s v="Units"/>
    <x v="6"/>
    <n v="6.4829999999999997"/>
  </r>
  <r>
    <n v="205"/>
    <x v="7"/>
    <x v="72"/>
    <x v="6"/>
    <s v="Percent change"/>
    <s v="Units"/>
    <x v="0"/>
    <n v="-22.2"/>
  </r>
  <r>
    <n v="205"/>
    <x v="7"/>
    <x v="72"/>
    <x v="6"/>
    <s v="Percent change"/>
    <s v="Units"/>
    <x v="1"/>
    <n v="-27.062000000000001"/>
  </r>
  <r>
    <n v="205"/>
    <x v="7"/>
    <x v="72"/>
    <x v="6"/>
    <s v="Percent change"/>
    <s v="Units"/>
    <x v="2"/>
    <n v="-2.1960000000000002"/>
  </r>
  <r>
    <n v="205"/>
    <x v="7"/>
    <x v="72"/>
    <x v="6"/>
    <s v="Percent change"/>
    <s v="Units"/>
    <x v="3"/>
    <n v="10.952999999999999"/>
  </r>
  <r>
    <n v="205"/>
    <x v="7"/>
    <x v="72"/>
    <x v="6"/>
    <s v="Percent change"/>
    <s v="Units"/>
    <x v="4"/>
    <n v="4.93"/>
  </r>
  <r>
    <n v="205"/>
    <x v="7"/>
    <x v="72"/>
    <x v="6"/>
    <s v="Percent change"/>
    <s v="Units"/>
    <x v="5"/>
    <n v="7.702"/>
  </r>
  <r>
    <n v="205"/>
    <x v="7"/>
    <x v="72"/>
    <x v="6"/>
    <s v="Percent change"/>
    <s v="Units"/>
    <x v="6"/>
    <n v="6.4829999999999997"/>
  </r>
  <r>
    <n v="1"/>
    <x v="2"/>
    <x v="72"/>
    <x v="6"/>
    <s v="Percent change"/>
    <s v="Units"/>
    <x v="0"/>
    <n v="-22.2"/>
  </r>
  <r>
    <n v="1"/>
    <x v="2"/>
    <x v="72"/>
    <x v="6"/>
    <s v="Percent change"/>
    <s v="Units"/>
    <x v="1"/>
    <n v="-27.062000000000001"/>
  </r>
  <r>
    <n v="1"/>
    <x v="2"/>
    <x v="72"/>
    <x v="6"/>
    <s v="Percent change"/>
    <s v="Units"/>
    <x v="2"/>
    <n v="-2.1960000000000002"/>
  </r>
  <r>
    <n v="1"/>
    <x v="2"/>
    <x v="72"/>
    <x v="6"/>
    <s v="Percent change"/>
    <s v="Units"/>
    <x v="3"/>
    <n v="10.952999999999999"/>
  </r>
  <r>
    <n v="1"/>
    <x v="2"/>
    <x v="72"/>
    <x v="6"/>
    <s v="Percent change"/>
    <s v="Units"/>
    <x v="4"/>
    <n v="4.93"/>
  </r>
  <r>
    <n v="1"/>
    <x v="2"/>
    <x v="72"/>
    <x v="6"/>
    <s v="Percent change"/>
    <s v="Units"/>
    <x v="5"/>
    <n v="7.702"/>
  </r>
  <r>
    <n v="1"/>
    <x v="2"/>
    <x v="72"/>
    <x v="6"/>
    <s v="Percent change"/>
    <s v="Units"/>
    <x v="6"/>
    <n v="6.4829999999999997"/>
  </r>
  <r>
    <n v="1"/>
    <x v="2"/>
    <x v="122"/>
    <x v="1"/>
    <s v="Percent change"/>
    <s v="Units"/>
    <x v="0"/>
    <n v="2.7130000000000001"/>
  </r>
  <r>
    <n v="1"/>
    <x v="2"/>
    <x v="122"/>
    <x v="1"/>
    <s v="Percent change"/>
    <s v="Units"/>
    <x v="1"/>
    <n v="5.3460000000000001"/>
  </r>
  <r>
    <n v="1"/>
    <x v="2"/>
    <x v="122"/>
    <x v="1"/>
    <s v="Percent change"/>
    <s v="Units"/>
    <x v="2"/>
    <n v="2.343"/>
  </r>
  <r>
    <n v="1"/>
    <x v="2"/>
    <x v="122"/>
    <x v="1"/>
    <s v="Percent change"/>
    <s v="Units"/>
    <x v="3"/>
    <n v="6.6790000000000003"/>
  </r>
  <r>
    <n v="1"/>
    <x v="2"/>
    <x v="122"/>
    <x v="1"/>
    <s v="Percent change"/>
    <s v="Units"/>
    <x v="4"/>
    <n v="12.041"/>
  </r>
  <r>
    <n v="1"/>
    <x v="2"/>
    <x v="122"/>
    <x v="1"/>
    <s v="Percent change"/>
    <s v="Units"/>
    <x v="5"/>
    <n v="7.6310000000000002"/>
  </r>
  <r>
    <n v="1"/>
    <x v="2"/>
    <x v="122"/>
    <x v="1"/>
    <s v="Percent change"/>
    <s v="Units"/>
    <x v="6"/>
    <n v="6.0039999999999996"/>
  </r>
  <r>
    <n v="200"/>
    <x v="3"/>
    <x v="122"/>
    <x v="1"/>
    <s v="Percent change"/>
    <s v="Units"/>
    <x v="0"/>
    <n v="2.7130000000000001"/>
  </r>
  <r>
    <n v="200"/>
    <x v="3"/>
    <x v="122"/>
    <x v="1"/>
    <s v="Percent change"/>
    <s v="Units"/>
    <x v="1"/>
    <n v="5.3460000000000001"/>
  </r>
  <r>
    <n v="200"/>
    <x v="3"/>
    <x v="122"/>
    <x v="1"/>
    <s v="Percent change"/>
    <s v="Units"/>
    <x v="2"/>
    <n v="2.343"/>
  </r>
  <r>
    <n v="200"/>
    <x v="3"/>
    <x v="122"/>
    <x v="1"/>
    <s v="Percent change"/>
    <s v="Units"/>
    <x v="3"/>
    <n v="6.6790000000000003"/>
  </r>
  <r>
    <n v="200"/>
    <x v="3"/>
    <x v="122"/>
    <x v="1"/>
    <s v="Percent change"/>
    <s v="Units"/>
    <x v="4"/>
    <n v="12.041"/>
  </r>
  <r>
    <n v="200"/>
    <x v="3"/>
    <x v="122"/>
    <x v="1"/>
    <s v="Percent change"/>
    <s v="Units"/>
    <x v="5"/>
    <n v="7.6310000000000002"/>
  </r>
  <r>
    <n v="200"/>
    <x v="3"/>
    <x v="122"/>
    <x v="1"/>
    <s v="Percent change"/>
    <s v="Units"/>
    <x v="6"/>
    <n v="6.0039999999999996"/>
  </r>
  <r>
    <n v="505"/>
    <x v="4"/>
    <x v="122"/>
    <x v="1"/>
    <s v="Percent change"/>
    <s v="Units"/>
    <x v="0"/>
    <n v="2.7130000000000001"/>
  </r>
  <r>
    <n v="505"/>
    <x v="4"/>
    <x v="122"/>
    <x v="1"/>
    <s v="Percent change"/>
    <s v="Units"/>
    <x v="1"/>
    <n v="5.3460000000000001"/>
  </r>
  <r>
    <n v="505"/>
    <x v="4"/>
    <x v="122"/>
    <x v="1"/>
    <s v="Percent change"/>
    <s v="Units"/>
    <x v="2"/>
    <n v="2.343"/>
  </r>
  <r>
    <n v="505"/>
    <x v="4"/>
    <x v="122"/>
    <x v="1"/>
    <s v="Percent change"/>
    <s v="Units"/>
    <x v="3"/>
    <n v="6.6790000000000003"/>
  </r>
  <r>
    <n v="505"/>
    <x v="4"/>
    <x v="122"/>
    <x v="1"/>
    <s v="Percent change"/>
    <s v="Units"/>
    <x v="4"/>
    <n v="12.041"/>
  </r>
  <r>
    <n v="505"/>
    <x v="4"/>
    <x v="122"/>
    <x v="1"/>
    <s v="Percent change"/>
    <s v="Units"/>
    <x v="5"/>
    <n v="7.6310000000000002"/>
  </r>
  <r>
    <n v="505"/>
    <x v="4"/>
    <x v="122"/>
    <x v="1"/>
    <s v="Percent change"/>
    <s v="Units"/>
    <x v="6"/>
    <n v="6.0039999999999996"/>
  </r>
  <r>
    <n v="205"/>
    <x v="7"/>
    <x v="167"/>
    <x v="6"/>
    <s v="Percent change"/>
    <s v="Units"/>
    <x v="0"/>
    <n v="-4.048"/>
  </r>
  <r>
    <n v="205"/>
    <x v="7"/>
    <x v="167"/>
    <x v="6"/>
    <s v="Percent change"/>
    <s v="Units"/>
    <x v="1"/>
    <n v="0.873"/>
  </r>
  <r>
    <n v="205"/>
    <x v="7"/>
    <x v="167"/>
    <x v="6"/>
    <s v="Percent change"/>
    <s v="Units"/>
    <x v="2"/>
    <n v="17.989000000000001"/>
  </r>
  <r>
    <n v="205"/>
    <x v="7"/>
    <x v="167"/>
    <x v="6"/>
    <s v="Percent change"/>
    <s v="Units"/>
    <x v="3"/>
    <n v="6.44"/>
  </r>
  <r>
    <n v="205"/>
    <x v="7"/>
    <x v="167"/>
    <x v="6"/>
    <s v="Percent change"/>
    <s v="Units"/>
    <x v="4"/>
    <n v="9.1579999999999995"/>
  </r>
  <r>
    <n v="205"/>
    <x v="7"/>
    <x v="167"/>
    <x v="6"/>
    <s v="Percent change"/>
    <s v="Units"/>
    <x v="5"/>
    <n v="7.609"/>
  </r>
  <r>
    <n v="205"/>
    <x v="7"/>
    <x v="167"/>
    <x v="6"/>
    <s v="Percent change"/>
    <s v="Units"/>
    <x v="6"/>
    <n v="5.0039999999999996"/>
  </r>
  <r>
    <n v="1"/>
    <x v="2"/>
    <x v="167"/>
    <x v="6"/>
    <s v="Percent change"/>
    <s v="Units"/>
    <x v="0"/>
    <n v="-4.048"/>
  </r>
  <r>
    <n v="1"/>
    <x v="2"/>
    <x v="167"/>
    <x v="6"/>
    <s v="Percent change"/>
    <s v="Units"/>
    <x v="1"/>
    <n v="0.873"/>
  </r>
  <r>
    <n v="1"/>
    <x v="2"/>
    <x v="167"/>
    <x v="6"/>
    <s v="Percent change"/>
    <s v="Units"/>
    <x v="2"/>
    <n v="17.989000000000001"/>
  </r>
  <r>
    <n v="1"/>
    <x v="2"/>
    <x v="167"/>
    <x v="6"/>
    <s v="Percent change"/>
    <s v="Units"/>
    <x v="3"/>
    <n v="6.44"/>
  </r>
  <r>
    <n v="1"/>
    <x v="2"/>
    <x v="167"/>
    <x v="6"/>
    <s v="Percent change"/>
    <s v="Units"/>
    <x v="4"/>
    <n v="9.1579999999999995"/>
  </r>
  <r>
    <n v="1"/>
    <x v="2"/>
    <x v="167"/>
    <x v="6"/>
    <s v="Percent change"/>
    <s v="Units"/>
    <x v="5"/>
    <n v="7.609"/>
  </r>
  <r>
    <n v="1"/>
    <x v="2"/>
    <x v="167"/>
    <x v="6"/>
    <s v="Percent change"/>
    <s v="Units"/>
    <x v="6"/>
    <n v="5.0039999999999996"/>
  </r>
  <r>
    <n v="200"/>
    <x v="3"/>
    <x v="167"/>
    <x v="6"/>
    <s v="Percent change"/>
    <s v="Units"/>
    <x v="0"/>
    <n v="-4.048"/>
  </r>
  <r>
    <n v="200"/>
    <x v="3"/>
    <x v="167"/>
    <x v="6"/>
    <s v="Percent change"/>
    <s v="Units"/>
    <x v="1"/>
    <n v="0.873"/>
  </r>
  <r>
    <n v="200"/>
    <x v="3"/>
    <x v="167"/>
    <x v="6"/>
    <s v="Percent change"/>
    <s v="Units"/>
    <x v="2"/>
    <n v="17.989000000000001"/>
  </r>
  <r>
    <n v="200"/>
    <x v="3"/>
    <x v="167"/>
    <x v="6"/>
    <s v="Percent change"/>
    <s v="Units"/>
    <x v="3"/>
    <n v="6.44"/>
  </r>
  <r>
    <n v="200"/>
    <x v="3"/>
    <x v="167"/>
    <x v="6"/>
    <s v="Percent change"/>
    <s v="Units"/>
    <x v="4"/>
    <n v="9.1579999999999995"/>
  </r>
  <r>
    <n v="200"/>
    <x v="3"/>
    <x v="167"/>
    <x v="6"/>
    <s v="Percent change"/>
    <s v="Units"/>
    <x v="5"/>
    <n v="7.609"/>
  </r>
  <r>
    <n v="200"/>
    <x v="3"/>
    <x v="167"/>
    <x v="6"/>
    <s v="Percent change"/>
    <s v="Units"/>
    <x v="6"/>
    <n v="5.0039999999999996"/>
  </r>
  <r>
    <n v="110"/>
    <x v="0"/>
    <x v="45"/>
    <x v="11"/>
    <s v="Percent of total labor force"/>
    <s v="Units"/>
    <x v="0"/>
    <n v="6.7249999999999996"/>
  </r>
  <r>
    <n v="110"/>
    <x v="0"/>
    <x v="45"/>
    <x v="11"/>
    <s v="Percent of total labor force"/>
    <s v="Units"/>
    <x v="1"/>
    <n v="7.7670000000000003"/>
  </r>
  <r>
    <n v="110"/>
    <x v="0"/>
    <x v="45"/>
    <x v="11"/>
    <s v="Percent of total labor force"/>
    <s v="Units"/>
    <x v="2"/>
    <n v="7.625"/>
  </r>
  <r>
    <n v="110"/>
    <x v="0"/>
    <x v="45"/>
    <x v="11"/>
    <s v="Percent of total labor force"/>
    <s v="Units"/>
    <x v="3"/>
    <n v="6.7670000000000003"/>
  </r>
  <r>
    <n v="110"/>
    <x v="0"/>
    <x v="45"/>
    <x v="11"/>
    <s v="Percent of total labor force"/>
    <s v="Units"/>
    <x v="4"/>
    <n v="7.2080000000000002"/>
  </r>
  <r>
    <n v="110"/>
    <x v="0"/>
    <x v="45"/>
    <x v="11"/>
    <s v="Percent of total labor force"/>
    <s v="Units"/>
    <x v="5"/>
    <n v="7.5990000000000002"/>
  </r>
  <r>
    <n v="110"/>
    <x v="0"/>
    <x v="45"/>
    <x v="11"/>
    <s v="Percent of total labor force"/>
    <s v="Units"/>
    <x v="6"/>
    <n v="7.4189999999999996"/>
  </r>
  <r>
    <n v="163"/>
    <x v="5"/>
    <x v="45"/>
    <x v="11"/>
    <s v="Percent of total labor force"/>
    <s v="Units"/>
    <x v="0"/>
    <n v="6.7249999999999996"/>
  </r>
  <r>
    <n v="163"/>
    <x v="5"/>
    <x v="45"/>
    <x v="11"/>
    <s v="Percent of total labor force"/>
    <s v="Units"/>
    <x v="1"/>
    <n v="7.7670000000000003"/>
  </r>
  <r>
    <n v="163"/>
    <x v="5"/>
    <x v="45"/>
    <x v="11"/>
    <s v="Percent of total labor force"/>
    <s v="Units"/>
    <x v="2"/>
    <n v="7.625"/>
  </r>
  <r>
    <n v="163"/>
    <x v="5"/>
    <x v="45"/>
    <x v="11"/>
    <s v="Percent of total labor force"/>
    <s v="Units"/>
    <x v="3"/>
    <n v="6.7670000000000003"/>
  </r>
  <r>
    <n v="163"/>
    <x v="5"/>
    <x v="45"/>
    <x v="11"/>
    <s v="Percent of total labor force"/>
    <s v="Units"/>
    <x v="4"/>
    <n v="7.2080000000000002"/>
  </r>
  <r>
    <n v="163"/>
    <x v="5"/>
    <x v="45"/>
    <x v="11"/>
    <s v="Percent of total labor force"/>
    <s v="Units"/>
    <x v="5"/>
    <n v="7.5990000000000002"/>
  </r>
  <r>
    <n v="163"/>
    <x v="5"/>
    <x v="45"/>
    <x v="11"/>
    <s v="Percent of total labor force"/>
    <s v="Units"/>
    <x v="6"/>
    <n v="7.4189999999999996"/>
  </r>
  <r>
    <n v="400"/>
    <x v="11"/>
    <x v="49"/>
    <x v="1"/>
    <s v="Percent change"/>
    <s v="Units"/>
    <x v="0"/>
    <n v="1.952"/>
  </r>
  <r>
    <n v="400"/>
    <x v="11"/>
    <x v="49"/>
    <x v="1"/>
    <s v="Percent change"/>
    <s v="Units"/>
    <x v="1"/>
    <n v="2.415"/>
  </r>
  <r>
    <n v="400"/>
    <x v="11"/>
    <x v="49"/>
    <x v="1"/>
    <s v="Percent change"/>
    <s v="Units"/>
    <x v="2"/>
    <n v="7.226"/>
  </r>
  <r>
    <n v="400"/>
    <x v="11"/>
    <x v="49"/>
    <x v="1"/>
    <s v="Percent change"/>
    <s v="Units"/>
    <x v="3"/>
    <n v="9.2669999999999995"/>
  </r>
  <r>
    <n v="400"/>
    <x v="11"/>
    <x v="49"/>
    <x v="1"/>
    <s v="Percent change"/>
    <s v="Units"/>
    <x v="4"/>
    <n v="9.32"/>
  </r>
  <r>
    <n v="400"/>
    <x v="11"/>
    <x v="49"/>
    <x v="1"/>
    <s v="Percent change"/>
    <s v="Units"/>
    <x v="5"/>
    <n v="7.5510000000000002"/>
  </r>
  <r>
    <n v="400"/>
    <x v="11"/>
    <x v="49"/>
    <x v="1"/>
    <s v="Percent change"/>
    <s v="Units"/>
    <x v="6"/>
    <n v="6.3520000000000003"/>
  </r>
  <r>
    <n v="1"/>
    <x v="2"/>
    <x v="49"/>
    <x v="1"/>
    <s v="Percent change"/>
    <s v="Units"/>
    <x v="0"/>
    <n v="1.952"/>
  </r>
  <r>
    <n v="1"/>
    <x v="2"/>
    <x v="49"/>
    <x v="1"/>
    <s v="Percent change"/>
    <s v="Units"/>
    <x v="1"/>
    <n v="2.415"/>
  </r>
  <r>
    <n v="1"/>
    <x v="2"/>
    <x v="49"/>
    <x v="1"/>
    <s v="Percent change"/>
    <s v="Units"/>
    <x v="2"/>
    <n v="7.226"/>
  </r>
  <r>
    <n v="1"/>
    <x v="2"/>
    <x v="49"/>
    <x v="1"/>
    <s v="Percent change"/>
    <s v="Units"/>
    <x v="3"/>
    <n v="9.2669999999999995"/>
  </r>
  <r>
    <n v="1"/>
    <x v="2"/>
    <x v="49"/>
    <x v="1"/>
    <s v="Percent change"/>
    <s v="Units"/>
    <x v="4"/>
    <n v="9.32"/>
  </r>
  <r>
    <n v="1"/>
    <x v="2"/>
    <x v="49"/>
    <x v="1"/>
    <s v="Percent change"/>
    <s v="Units"/>
    <x v="5"/>
    <n v="7.5510000000000002"/>
  </r>
  <r>
    <n v="1"/>
    <x v="2"/>
    <x v="49"/>
    <x v="1"/>
    <s v="Percent change"/>
    <s v="Units"/>
    <x v="6"/>
    <n v="6.3520000000000003"/>
  </r>
  <r>
    <n v="200"/>
    <x v="3"/>
    <x v="49"/>
    <x v="1"/>
    <s v="Percent change"/>
    <s v="Units"/>
    <x v="0"/>
    <n v="1.952"/>
  </r>
  <r>
    <n v="200"/>
    <x v="3"/>
    <x v="49"/>
    <x v="1"/>
    <s v="Percent change"/>
    <s v="Units"/>
    <x v="1"/>
    <n v="2.415"/>
  </r>
  <r>
    <n v="200"/>
    <x v="3"/>
    <x v="49"/>
    <x v="1"/>
    <s v="Percent change"/>
    <s v="Units"/>
    <x v="2"/>
    <n v="7.226"/>
  </r>
  <r>
    <n v="200"/>
    <x v="3"/>
    <x v="49"/>
    <x v="1"/>
    <s v="Percent change"/>
    <s v="Units"/>
    <x v="3"/>
    <n v="9.2669999999999995"/>
  </r>
  <r>
    <n v="200"/>
    <x v="3"/>
    <x v="49"/>
    <x v="1"/>
    <s v="Percent change"/>
    <s v="Units"/>
    <x v="4"/>
    <n v="9.32"/>
  </r>
  <r>
    <n v="200"/>
    <x v="3"/>
    <x v="49"/>
    <x v="1"/>
    <s v="Percent change"/>
    <s v="Units"/>
    <x v="5"/>
    <n v="7.5510000000000002"/>
  </r>
  <r>
    <n v="200"/>
    <x v="3"/>
    <x v="49"/>
    <x v="1"/>
    <s v="Percent change"/>
    <s v="Units"/>
    <x v="6"/>
    <n v="6.3520000000000003"/>
  </r>
  <r>
    <n v="400"/>
    <x v="11"/>
    <x v="188"/>
    <x v="3"/>
    <s v="Percent of GDP"/>
    <s v="Units"/>
    <x v="0"/>
    <n v="3.3380000000000001"/>
  </r>
  <r>
    <n v="400"/>
    <x v="11"/>
    <x v="188"/>
    <x v="3"/>
    <s v="Percent of GDP"/>
    <s v="Units"/>
    <x v="1"/>
    <n v="5.13"/>
  </r>
  <r>
    <n v="400"/>
    <x v="11"/>
    <x v="188"/>
    <x v="3"/>
    <s v="Percent of GDP"/>
    <s v="Units"/>
    <x v="2"/>
    <n v="4.6769999999999996"/>
  </r>
  <r>
    <n v="400"/>
    <x v="11"/>
    <x v="188"/>
    <x v="3"/>
    <s v="Percent of GDP"/>
    <s v="Units"/>
    <x v="3"/>
    <n v="6.9059999999999997"/>
  </r>
  <r>
    <n v="400"/>
    <x v="11"/>
    <x v="188"/>
    <x v="3"/>
    <s v="Percent of GDP"/>
    <s v="Units"/>
    <x v="4"/>
    <n v="6.2969999999999997"/>
  </r>
  <r>
    <n v="400"/>
    <x v="11"/>
    <x v="188"/>
    <x v="3"/>
    <s v="Percent of GDP"/>
    <s v="Units"/>
    <x v="5"/>
    <n v="7.5259999999999998"/>
  </r>
  <r>
    <n v="400"/>
    <x v="11"/>
    <x v="188"/>
    <x v="3"/>
    <s v="Percent of GDP"/>
    <s v="Units"/>
    <x v="6"/>
    <n v="7.173"/>
  </r>
  <r>
    <n v="200"/>
    <x v="3"/>
    <x v="188"/>
    <x v="3"/>
    <s v="Percent of GDP"/>
    <s v="Units"/>
    <x v="0"/>
    <n v="3.3380000000000001"/>
  </r>
  <r>
    <n v="200"/>
    <x v="3"/>
    <x v="188"/>
    <x v="3"/>
    <s v="Percent of GDP"/>
    <s v="Units"/>
    <x v="1"/>
    <n v="5.13"/>
  </r>
  <r>
    <n v="200"/>
    <x v="3"/>
    <x v="188"/>
    <x v="3"/>
    <s v="Percent of GDP"/>
    <s v="Units"/>
    <x v="2"/>
    <n v="4.6769999999999996"/>
  </r>
  <r>
    <n v="200"/>
    <x v="3"/>
    <x v="188"/>
    <x v="3"/>
    <s v="Percent of GDP"/>
    <s v="Units"/>
    <x v="3"/>
    <n v="6.9059999999999997"/>
  </r>
  <r>
    <n v="200"/>
    <x v="3"/>
    <x v="188"/>
    <x v="3"/>
    <s v="Percent of GDP"/>
    <s v="Units"/>
    <x v="4"/>
    <n v="6.2969999999999997"/>
  </r>
  <r>
    <n v="200"/>
    <x v="3"/>
    <x v="188"/>
    <x v="3"/>
    <s v="Percent of GDP"/>
    <s v="Units"/>
    <x v="5"/>
    <n v="7.5259999999999998"/>
  </r>
  <r>
    <n v="200"/>
    <x v="3"/>
    <x v="188"/>
    <x v="3"/>
    <s v="Percent of GDP"/>
    <s v="Units"/>
    <x v="6"/>
    <n v="7.173"/>
  </r>
  <r>
    <n v="903"/>
    <x v="8"/>
    <x v="16"/>
    <x v="6"/>
    <s v="Percent change"/>
    <s v="Units"/>
    <x v="0"/>
    <n v="-4.0209999999999999"/>
  </r>
  <r>
    <n v="903"/>
    <x v="8"/>
    <x v="16"/>
    <x v="6"/>
    <s v="Percent change"/>
    <s v="Units"/>
    <x v="1"/>
    <n v="6.7880000000000003"/>
  </r>
  <r>
    <n v="903"/>
    <x v="8"/>
    <x v="16"/>
    <x v="6"/>
    <s v="Percent change"/>
    <s v="Units"/>
    <x v="2"/>
    <n v="3.181"/>
  </r>
  <r>
    <n v="903"/>
    <x v="8"/>
    <x v="16"/>
    <x v="6"/>
    <s v="Percent change"/>
    <s v="Units"/>
    <x v="3"/>
    <n v="11.933999999999999"/>
  </r>
  <r>
    <n v="903"/>
    <x v="8"/>
    <x v="16"/>
    <x v="6"/>
    <s v="Percent change"/>
    <s v="Units"/>
    <x v="4"/>
    <n v="15.154"/>
  </r>
  <r>
    <n v="903"/>
    <x v="8"/>
    <x v="16"/>
    <x v="6"/>
    <s v="Percent change"/>
    <s v="Units"/>
    <x v="5"/>
    <n v="7.516"/>
  </r>
  <r>
    <n v="903"/>
    <x v="8"/>
    <x v="16"/>
    <x v="6"/>
    <s v="Percent change"/>
    <s v="Units"/>
    <x v="6"/>
    <n v="2.008"/>
  </r>
  <r>
    <n v="200"/>
    <x v="3"/>
    <x v="16"/>
    <x v="6"/>
    <s v="Percent change"/>
    <s v="Units"/>
    <x v="0"/>
    <n v="-4.0209999999999999"/>
  </r>
  <r>
    <n v="200"/>
    <x v="3"/>
    <x v="16"/>
    <x v="6"/>
    <s v="Percent change"/>
    <s v="Units"/>
    <x v="1"/>
    <n v="6.7880000000000003"/>
  </r>
  <r>
    <n v="200"/>
    <x v="3"/>
    <x v="16"/>
    <x v="6"/>
    <s v="Percent change"/>
    <s v="Units"/>
    <x v="2"/>
    <n v="3.181"/>
  </r>
  <r>
    <n v="200"/>
    <x v="3"/>
    <x v="16"/>
    <x v="6"/>
    <s v="Percent change"/>
    <s v="Units"/>
    <x v="3"/>
    <n v="11.933999999999999"/>
  </r>
  <r>
    <n v="200"/>
    <x v="3"/>
    <x v="16"/>
    <x v="6"/>
    <s v="Percent change"/>
    <s v="Units"/>
    <x v="4"/>
    <n v="15.154"/>
  </r>
  <r>
    <n v="200"/>
    <x v="3"/>
    <x v="16"/>
    <x v="6"/>
    <s v="Percent change"/>
    <s v="Units"/>
    <x v="5"/>
    <n v="7.516"/>
  </r>
  <r>
    <n v="200"/>
    <x v="3"/>
    <x v="16"/>
    <x v="6"/>
    <s v="Percent change"/>
    <s v="Units"/>
    <x v="6"/>
    <n v="2.008"/>
  </r>
  <r>
    <n v="1"/>
    <x v="2"/>
    <x v="16"/>
    <x v="6"/>
    <s v="Percent change"/>
    <s v="Units"/>
    <x v="0"/>
    <n v="-4.0209999999999999"/>
  </r>
  <r>
    <n v="1"/>
    <x v="2"/>
    <x v="16"/>
    <x v="6"/>
    <s v="Percent change"/>
    <s v="Units"/>
    <x v="1"/>
    <n v="6.7880000000000003"/>
  </r>
  <r>
    <n v="1"/>
    <x v="2"/>
    <x v="16"/>
    <x v="6"/>
    <s v="Percent change"/>
    <s v="Units"/>
    <x v="2"/>
    <n v="3.181"/>
  </r>
  <r>
    <n v="1"/>
    <x v="2"/>
    <x v="16"/>
    <x v="6"/>
    <s v="Percent change"/>
    <s v="Units"/>
    <x v="3"/>
    <n v="11.933999999999999"/>
  </r>
  <r>
    <n v="1"/>
    <x v="2"/>
    <x v="16"/>
    <x v="6"/>
    <s v="Percent change"/>
    <s v="Units"/>
    <x v="4"/>
    <n v="15.154"/>
  </r>
  <r>
    <n v="1"/>
    <x v="2"/>
    <x v="16"/>
    <x v="6"/>
    <s v="Percent change"/>
    <s v="Units"/>
    <x v="5"/>
    <n v="7.516"/>
  </r>
  <r>
    <n v="1"/>
    <x v="2"/>
    <x v="16"/>
    <x v="6"/>
    <s v="Percent change"/>
    <s v="Units"/>
    <x v="6"/>
    <n v="2.008"/>
  </r>
  <r>
    <n v="603"/>
    <x v="12"/>
    <x v="186"/>
    <x v="5"/>
    <s v="Percent of GDP"/>
    <s v="Units"/>
    <x v="0"/>
    <n v="9.7420000000000009"/>
  </r>
  <r>
    <n v="603"/>
    <x v="12"/>
    <x v="186"/>
    <x v="5"/>
    <s v="Percent of GDP"/>
    <s v="Units"/>
    <x v="1"/>
    <n v="10.722"/>
  </r>
  <r>
    <n v="603"/>
    <x v="12"/>
    <x v="186"/>
    <x v="5"/>
    <s v="Percent of GDP"/>
    <s v="Units"/>
    <x v="2"/>
    <n v="4.6429999999999998"/>
  </r>
  <r>
    <n v="603"/>
    <x v="12"/>
    <x v="186"/>
    <x v="5"/>
    <s v="Percent of GDP"/>
    <s v="Units"/>
    <x v="3"/>
    <n v="2.1070000000000002"/>
  </r>
  <r>
    <n v="603"/>
    <x v="12"/>
    <x v="186"/>
    <x v="5"/>
    <s v="Percent of GDP"/>
    <s v="Units"/>
    <x v="4"/>
    <n v="5.9880000000000004"/>
  </r>
  <r>
    <n v="603"/>
    <x v="12"/>
    <x v="186"/>
    <x v="5"/>
    <s v="Percent of GDP"/>
    <s v="Units"/>
    <x v="5"/>
    <n v="7.4989999999999997"/>
  </r>
  <r>
    <n v="603"/>
    <x v="12"/>
    <x v="186"/>
    <x v="5"/>
    <s v="Percent of GDP"/>
    <s v="Units"/>
    <x v="6"/>
    <n v="10.065"/>
  </r>
  <r>
    <n v="200"/>
    <x v="3"/>
    <x v="186"/>
    <x v="5"/>
    <s v="Percent of GDP"/>
    <s v="Units"/>
    <x v="0"/>
    <n v="9.7420000000000009"/>
  </r>
  <r>
    <n v="200"/>
    <x v="3"/>
    <x v="186"/>
    <x v="5"/>
    <s v="Percent of GDP"/>
    <s v="Units"/>
    <x v="1"/>
    <n v="10.722"/>
  </r>
  <r>
    <n v="200"/>
    <x v="3"/>
    <x v="186"/>
    <x v="5"/>
    <s v="Percent of GDP"/>
    <s v="Units"/>
    <x v="2"/>
    <n v="4.6429999999999998"/>
  </r>
  <r>
    <n v="200"/>
    <x v="3"/>
    <x v="186"/>
    <x v="5"/>
    <s v="Percent of GDP"/>
    <s v="Units"/>
    <x v="3"/>
    <n v="2.1070000000000002"/>
  </r>
  <r>
    <n v="200"/>
    <x v="3"/>
    <x v="186"/>
    <x v="5"/>
    <s v="Percent of GDP"/>
    <s v="Units"/>
    <x v="4"/>
    <n v="5.9880000000000004"/>
  </r>
  <r>
    <n v="200"/>
    <x v="3"/>
    <x v="186"/>
    <x v="5"/>
    <s v="Percent of GDP"/>
    <s v="Units"/>
    <x v="5"/>
    <n v="7.4989999999999997"/>
  </r>
  <r>
    <n v="200"/>
    <x v="3"/>
    <x v="186"/>
    <x v="5"/>
    <s v="Percent of GDP"/>
    <s v="Units"/>
    <x v="6"/>
    <n v="10.065"/>
  </r>
  <r>
    <n v="1"/>
    <x v="2"/>
    <x v="186"/>
    <x v="5"/>
    <s v="Percent of GDP"/>
    <s v="Units"/>
    <x v="0"/>
    <n v="9.7420000000000009"/>
  </r>
  <r>
    <n v="1"/>
    <x v="2"/>
    <x v="186"/>
    <x v="5"/>
    <s v="Percent of GDP"/>
    <s v="Units"/>
    <x v="1"/>
    <n v="10.722"/>
  </r>
  <r>
    <n v="1"/>
    <x v="2"/>
    <x v="186"/>
    <x v="5"/>
    <s v="Percent of GDP"/>
    <s v="Units"/>
    <x v="2"/>
    <n v="4.6429999999999998"/>
  </r>
  <r>
    <n v="1"/>
    <x v="2"/>
    <x v="186"/>
    <x v="5"/>
    <s v="Percent of GDP"/>
    <s v="Units"/>
    <x v="3"/>
    <n v="2.1070000000000002"/>
  </r>
  <r>
    <n v="1"/>
    <x v="2"/>
    <x v="186"/>
    <x v="5"/>
    <s v="Percent of GDP"/>
    <s v="Units"/>
    <x v="4"/>
    <n v="5.9880000000000004"/>
  </r>
  <r>
    <n v="1"/>
    <x v="2"/>
    <x v="186"/>
    <x v="5"/>
    <s v="Percent of GDP"/>
    <s v="Units"/>
    <x v="5"/>
    <n v="7.4989999999999997"/>
  </r>
  <r>
    <n v="1"/>
    <x v="2"/>
    <x v="186"/>
    <x v="5"/>
    <s v="Percent of GDP"/>
    <s v="Units"/>
    <x v="6"/>
    <n v="10.065"/>
  </r>
  <r>
    <n v="603"/>
    <x v="12"/>
    <x v="171"/>
    <x v="4"/>
    <s v="Percent change"/>
    <s v="Units"/>
    <x v="0"/>
    <n v="-20.158000000000001"/>
  </r>
  <r>
    <n v="603"/>
    <x v="12"/>
    <x v="171"/>
    <x v="4"/>
    <s v="Percent change"/>
    <s v="Units"/>
    <x v="1"/>
    <n v="23.494"/>
  </r>
  <r>
    <n v="603"/>
    <x v="12"/>
    <x v="171"/>
    <x v="4"/>
    <s v="Percent change"/>
    <s v="Units"/>
    <x v="2"/>
    <n v="15.034000000000001"/>
  </r>
  <r>
    <n v="603"/>
    <x v="12"/>
    <x v="171"/>
    <x v="4"/>
    <s v="Percent change"/>
    <s v="Units"/>
    <x v="3"/>
    <n v="-17.382999999999999"/>
  </r>
  <r>
    <n v="603"/>
    <x v="12"/>
    <x v="171"/>
    <x v="4"/>
    <s v="Percent change"/>
    <s v="Units"/>
    <x v="4"/>
    <n v="-13.581"/>
  </r>
  <r>
    <n v="603"/>
    <x v="12"/>
    <x v="171"/>
    <x v="4"/>
    <s v="Percent change"/>
    <s v="Units"/>
    <x v="5"/>
    <n v="7.4539999999999997"/>
  </r>
  <r>
    <n v="603"/>
    <x v="12"/>
    <x v="171"/>
    <x v="4"/>
    <s v="Percent change"/>
    <s v="Units"/>
    <x v="6"/>
    <n v="-14.436"/>
  </r>
  <r>
    <n v="200"/>
    <x v="3"/>
    <x v="171"/>
    <x v="4"/>
    <s v="Percent change"/>
    <s v="Units"/>
    <x v="0"/>
    <n v="-20.158000000000001"/>
  </r>
  <r>
    <n v="200"/>
    <x v="3"/>
    <x v="171"/>
    <x v="4"/>
    <s v="Percent change"/>
    <s v="Units"/>
    <x v="1"/>
    <n v="23.494"/>
  </r>
  <r>
    <n v="200"/>
    <x v="3"/>
    <x v="171"/>
    <x v="4"/>
    <s v="Percent change"/>
    <s v="Units"/>
    <x v="2"/>
    <n v="15.034000000000001"/>
  </r>
  <r>
    <n v="200"/>
    <x v="3"/>
    <x v="171"/>
    <x v="4"/>
    <s v="Percent change"/>
    <s v="Units"/>
    <x v="3"/>
    <n v="-17.382999999999999"/>
  </r>
  <r>
    <n v="200"/>
    <x v="3"/>
    <x v="171"/>
    <x v="4"/>
    <s v="Percent change"/>
    <s v="Units"/>
    <x v="4"/>
    <n v="-13.581"/>
  </r>
  <r>
    <n v="200"/>
    <x v="3"/>
    <x v="171"/>
    <x v="4"/>
    <s v="Percent change"/>
    <s v="Units"/>
    <x v="5"/>
    <n v="7.4539999999999997"/>
  </r>
  <r>
    <n v="200"/>
    <x v="3"/>
    <x v="171"/>
    <x v="4"/>
    <s v="Percent change"/>
    <s v="Units"/>
    <x v="6"/>
    <n v="-14.436"/>
  </r>
  <r>
    <n v="1"/>
    <x v="2"/>
    <x v="171"/>
    <x v="4"/>
    <s v="Percent change"/>
    <s v="Units"/>
    <x v="0"/>
    <n v="-20.158000000000001"/>
  </r>
  <r>
    <n v="1"/>
    <x v="2"/>
    <x v="171"/>
    <x v="4"/>
    <s v="Percent change"/>
    <s v="Units"/>
    <x v="1"/>
    <n v="23.494"/>
  </r>
  <r>
    <n v="1"/>
    <x v="2"/>
    <x v="171"/>
    <x v="4"/>
    <s v="Percent change"/>
    <s v="Units"/>
    <x v="2"/>
    <n v="15.034000000000001"/>
  </r>
  <r>
    <n v="1"/>
    <x v="2"/>
    <x v="171"/>
    <x v="4"/>
    <s v="Percent change"/>
    <s v="Units"/>
    <x v="3"/>
    <n v="-17.382999999999999"/>
  </r>
  <r>
    <n v="1"/>
    <x v="2"/>
    <x v="171"/>
    <x v="4"/>
    <s v="Percent change"/>
    <s v="Units"/>
    <x v="4"/>
    <n v="-13.581"/>
  </r>
  <r>
    <n v="1"/>
    <x v="2"/>
    <x v="171"/>
    <x v="4"/>
    <s v="Percent change"/>
    <s v="Units"/>
    <x v="5"/>
    <n v="7.4539999999999997"/>
  </r>
  <r>
    <n v="1"/>
    <x v="2"/>
    <x v="171"/>
    <x v="4"/>
    <s v="Percent change"/>
    <s v="Units"/>
    <x v="6"/>
    <n v="-14.436"/>
  </r>
  <r>
    <n v="400"/>
    <x v="11"/>
    <x v="34"/>
    <x v="4"/>
    <s v="Percent change"/>
    <s v="Units"/>
    <x v="0"/>
    <n v="-19.632999999999999"/>
  </r>
  <r>
    <n v="400"/>
    <x v="11"/>
    <x v="34"/>
    <x v="4"/>
    <s v="Percent change"/>
    <s v="Units"/>
    <x v="1"/>
    <n v="-4.3710000000000004"/>
  </r>
  <r>
    <n v="400"/>
    <x v="11"/>
    <x v="34"/>
    <x v="4"/>
    <s v="Percent change"/>
    <s v="Units"/>
    <x v="2"/>
    <n v="14.523"/>
  </r>
  <r>
    <n v="400"/>
    <x v="11"/>
    <x v="34"/>
    <x v="4"/>
    <s v="Percent change"/>
    <s v="Units"/>
    <x v="3"/>
    <n v="3.53"/>
  </r>
  <r>
    <n v="400"/>
    <x v="11"/>
    <x v="34"/>
    <x v="4"/>
    <s v="Percent change"/>
    <s v="Units"/>
    <x v="4"/>
    <n v="17.562999999999999"/>
  </r>
  <r>
    <n v="400"/>
    <x v="11"/>
    <x v="34"/>
    <x v="4"/>
    <s v="Percent change"/>
    <s v="Units"/>
    <x v="5"/>
    <n v="7.4470000000000001"/>
  </r>
  <r>
    <n v="400"/>
    <x v="11"/>
    <x v="34"/>
    <x v="4"/>
    <s v="Percent change"/>
    <s v="Units"/>
    <x v="6"/>
    <n v="8.4079999999999995"/>
  </r>
  <r>
    <n v="1"/>
    <x v="2"/>
    <x v="34"/>
    <x v="4"/>
    <s v="Percent change"/>
    <s v="Units"/>
    <x v="0"/>
    <n v="-19.632999999999999"/>
  </r>
  <r>
    <n v="1"/>
    <x v="2"/>
    <x v="34"/>
    <x v="4"/>
    <s v="Percent change"/>
    <s v="Units"/>
    <x v="1"/>
    <n v="-4.3710000000000004"/>
  </r>
  <r>
    <n v="1"/>
    <x v="2"/>
    <x v="34"/>
    <x v="4"/>
    <s v="Percent change"/>
    <s v="Units"/>
    <x v="2"/>
    <n v="14.523"/>
  </r>
  <r>
    <n v="1"/>
    <x v="2"/>
    <x v="34"/>
    <x v="4"/>
    <s v="Percent change"/>
    <s v="Units"/>
    <x v="3"/>
    <n v="3.53"/>
  </r>
  <r>
    <n v="1"/>
    <x v="2"/>
    <x v="34"/>
    <x v="4"/>
    <s v="Percent change"/>
    <s v="Units"/>
    <x v="4"/>
    <n v="17.562999999999999"/>
  </r>
  <r>
    <n v="1"/>
    <x v="2"/>
    <x v="34"/>
    <x v="4"/>
    <s v="Percent change"/>
    <s v="Units"/>
    <x v="5"/>
    <n v="7.4470000000000001"/>
  </r>
  <r>
    <n v="1"/>
    <x v="2"/>
    <x v="34"/>
    <x v="4"/>
    <s v="Percent change"/>
    <s v="Units"/>
    <x v="6"/>
    <n v="8.4079999999999995"/>
  </r>
  <r>
    <n v="200"/>
    <x v="3"/>
    <x v="34"/>
    <x v="4"/>
    <s v="Percent change"/>
    <s v="Units"/>
    <x v="0"/>
    <n v="-19.632999999999999"/>
  </r>
  <r>
    <n v="200"/>
    <x v="3"/>
    <x v="34"/>
    <x v="4"/>
    <s v="Percent change"/>
    <s v="Units"/>
    <x v="1"/>
    <n v="-4.3710000000000004"/>
  </r>
  <r>
    <n v="200"/>
    <x v="3"/>
    <x v="34"/>
    <x v="4"/>
    <s v="Percent change"/>
    <s v="Units"/>
    <x v="2"/>
    <n v="14.523"/>
  </r>
  <r>
    <n v="200"/>
    <x v="3"/>
    <x v="34"/>
    <x v="4"/>
    <s v="Percent change"/>
    <s v="Units"/>
    <x v="3"/>
    <n v="3.53"/>
  </r>
  <r>
    <n v="200"/>
    <x v="3"/>
    <x v="34"/>
    <x v="4"/>
    <s v="Percent change"/>
    <s v="Units"/>
    <x v="4"/>
    <n v="17.562999999999999"/>
  </r>
  <r>
    <n v="200"/>
    <x v="3"/>
    <x v="34"/>
    <x v="4"/>
    <s v="Percent change"/>
    <s v="Units"/>
    <x v="5"/>
    <n v="7.4470000000000001"/>
  </r>
  <r>
    <n v="200"/>
    <x v="3"/>
    <x v="34"/>
    <x v="4"/>
    <s v="Percent change"/>
    <s v="Units"/>
    <x v="6"/>
    <n v="8.4079999999999995"/>
  </r>
  <r>
    <n v="603"/>
    <x v="12"/>
    <x v="164"/>
    <x v="4"/>
    <s v="Percent change"/>
    <s v="Units"/>
    <x v="0"/>
    <n v="-5.1999999999999998E-2"/>
  </r>
  <r>
    <n v="603"/>
    <x v="12"/>
    <x v="164"/>
    <x v="4"/>
    <s v="Percent change"/>
    <s v="Units"/>
    <x v="1"/>
    <n v="-2.71"/>
  </r>
  <r>
    <n v="603"/>
    <x v="12"/>
    <x v="164"/>
    <x v="4"/>
    <s v="Percent change"/>
    <s v="Units"/>
    <x v="2"/>
    <n v="7.0609999999999999"/>
  </r>
  <r>
    <n v="603"/>
    <x v="12"/>
    <x v="164"/>
    <x v="4"/>
    <s v="Percent change"/>
    <s v="Units"/>
    <x v="3"/>
    <n v="-6.5090000000000003"/>
  </r>
  <r>
    <n v="603"/>
    <x v="12"/>
    <x v="164"/>
    <x v="4"/>
    <s v="Percent change"/>
    <s v="Units"/>
    <x v="4"/>
    <n v="-9.1199999999999992"/>
  </r>
  <r>
    <n v="603"/>
    <x v="12"/>
    <x v="164"/>
    <x v="4"/>
    <s v="Percent change"/>
    <s v="Units"/>
    <x v="5"/>
    <n v="7.4050000000000002"/>
  </r>
  <r>
    <n v="603"/>
    <x v="12"/>
    <x v="164"/>
    <x v="4"/>
    <s v="Percent change"/>
    <s v="Units"/>
    <x v="6"/>
    <n v="6.53"/>
  </r>
  <r>
    <n v="1"/>
    <x v="2"/>
    <x v="164"/>
    <x v="4"/>
    <s v="Percent change"/>
    <s v="Units"/>
    <x v="0"/>
    <n v="-5.1999999999999998E-2"/>
  </r>
  <r>
    <n v="1"/>
    <x v="2"/>
    <x v="164"/>
    <x v="4"/>
    <s v="Percent change"/>
    <s v="Units"/>
    <x v="1"/>
    <n v="-2.71"/>
  </r>
  <r>
    <n v="1"/>
    <x v="2"/>
    <x v="164"/>
    <x v="4"/>
    <s v="Percent change"/>
    <s v="Units"/>
    <x v="2"/>
    <n v="7.0609999999999999"/>
  </r>
  <r>
    <n v="1"/>
    <x v="2"/>
    <x v="164"/>
    <x v="4"/>
    <s v="Percent change"/>
    <s v="Units"/>
    <x v="3"/>
    <n v="-6.5090000000000003"/>
  </r>
  <r>
    <n v="1"/>
    <x v="2"/>
    <x v="164"/>
    <x v="4"/>
    <s v="Percent change"/>
    <s v="Units"/>
    <x v="4"/>
    <n v="-9.1199999999999992"/>
  </r>
  <r>
    <n v="1"/>
    <x v="2"/>
    <x v="164"/>
    <x v="4"/>
    <s v="Percent change"/>
    <s v="Units"/>
    <x v="5"/>
    <n v="7.4050000000000002"/>
  </r>
  <r>
    <n v="1"/>
    <x v="2"/>
    <x v="164"/>
    <x v="4"/>
    <s v="Percent change"/>
    <s v="Units"/>
    <x v="6"/>
    <n v="6.53"/>
  </r>
  <r>
    <n v="200"/>
    <x v="3"/>
    <x v="164"/>
    <x v="4"/>
    <s v="Percent change"/>
    <s v="Units"/>
    <x v="0"/>
    <n v="-5.1999999999999998E-2"/>
  </r>
  <r>
    <n v="200"/>
    <x v="3"/>
    <x v="164"/>
    <x v="4"/>
    <s v="Percent change"/>
    <s v="Units"/>
    <x v="1"/>
    <n v="-2.71"/>
  </r>
  <r>
    <n v="200"/>
    <x v="3"/>
    <x v="164"/>
    <x v="4"/>
    <s v="Percent change"/>
    <s v="Units"/>
    <x v="2"/>
    <n v="7.0609999999999999"/>
  </r>
  <r>
    <n v="200"/>
    <x v="3"/>
    <x v="164"/>
    <x v="4"/>
    <s v="Percent change"/>
    <s v="Units"/>
    <x v="3"/>
    <n v="-6.5090000000000003"/>
  </r>
  <r>
    <n v="200"/>
    <x v="3"/>
    <x v="164"/>
    <x v="4"/>
    <s v="Percent change"/>
    <s v="Units"/>
    <x v="4"/>
    <n v="-9.1199999999999992"/>
  </r>
  <r>
    <n v="200"/>
    <x v="3"/>
    <x v="164"/>
    <x v="4"/>
    <s v="Percent change"/>
    <s v="Units"/>
    <x v="5"/>
    <n v="7.4050000000000002"/>
  </r>
  <r>
    <n v="200"/>
    <x v="3"/>
    <x v="164"/>
    <x v="4"/>
    <s v="Percent change"/>
    <s v="Units"/>
    <x v="6"/>
    <n v="6.53"/>
  </r>
  <r>
    <n v="400"/>
    <x v="11"/>
    <x v="99"/>
    <x v="1"/>
    <s v="Percent change"/>
    <s v="Units"/>
    <x v="0"/>
    <n v="6.7220000000000004"/>
  </r>
  <r>
    <n v="400"/>
    <x v="11"/>
    <x v="99"/>
    <x v="1"/>
    <s v="Percent change"/>
    <s v="Units"/>
    <x v="1"/>
    <n v="5.6349999999999998"/>
  </r>
  <r>
    <n v="400"/>
    <x v="11"/>
    <x v="99"/>
    <x v="1"/>
    <s v="Percent change"/>
    <s v="Units"/>
    <x v="2"/>
    <n v="5.7069999999999999"/>
  </r>
  <r>
    <n v="400"/>
    <x v="11"/>
    <x v="99"/>
    <x v="1"/>
    <s v="Percent change"/>
    <s v="Units"/>
    <x v="3"/>
    <n v="8.3079999999999998"/>
  </r>
  <r>
    <n v="400"/>
    <x v="11"/>
    <x v="99"/>
    <x v="1"/>
    <s v="Percent change"/>
    <s v="Units"/>
    <x v="4"/>
    <n v="9.3230000000000004"/>
  </r>
  <r>
    <n v="400"/>
    <x v="11"/>
    <x v="99"/>
    <x v="1"/>
    <s v="Percent change"/>
    <s v="Units"/>
    <x v="5"/>
    <n v="7.3579999999999997"/>
  </r>
  <r>
    <n v="400"/>
    <x v="11"/>
    <x v="99"/>
    <x v="1"/>
    <s v="Percent change"/>
    <s v="Units"/>
    <x v="6"/>
    <n v="6.9429999999999996"/>
  </r>
  <r>
    <n v="1"/>
    <x v="2"/>
    <x v="99"/>
    <x v="1"/>
    <s v="Percent change"/>
    <s v="Units"/>
    <x v="0"/>
    <n v="6.7220000000000004"/>
  </r>
  <r>
    <n v="1"/>
    <x v="2"/>
    <x v="99"/>
    <x v="1"/>
    <s v="Percent change"/>
    <s v="Units"/>
    <x v="1"/>
    <n v="5.6349999999999998"/>
  </r>
  <r>
    <n v="1"/>
    <x v="2"/>
    <x v="99"/>
    <x v="1"/>
    <s v="Percent change"/>
    <s v="Units"/>
    <x v="2"/>
    <n v="5.7069999999999999"/>
  </r>
  <r>
    <n v="1"/>
    <x v="2"/>
    <x v="99"/>
    <x v="1"/>
    <s v="Percent change"/>
    <s v="Units"/>
    <x v="3"/>
    <n v="8.3079999999999998"/>
  </r>
  <r>
    <n v="1"/>
    <x v="2"/>
    <x v="99"/>
    <x v="1"/>
    <s v="Percent change"/>
    <s v="Units"/>
    <x v="4"/>
    <n v="9.3230000000000004"/>
  </r>
  <r>
    <n v="1"/>
    <x v="2"/>
    <x v="99"/>
    <x v="1"/>
    <s v="Percent change"/>
    <s v="Units"/>
    <x v="5"/>
    <n v="7.3579999999999997"/>
  </r>
  <r>
    <n v="1"/>
    <x v="2"/>
    <x v="99"/>
    <x v="1"/>
    <s v="Percent change"/>
    <s v="Units"/>
    <x v="6"/>
    <n v="6.9429999999999996"/>
  </r>
  <r>
    <n v="200"/>
    <x v="3"/>
    <x v="99"/>
    <x v="1"/>
    <s v="Percent change"/>
    <s v="Units"/>
    <x v="0"/>
    <n v="6.7220000000000004"/>
  </r>
  <r>
    <n v="200"/>
    <x v="3"/>
    <x v="99"/>
    <x v="1"/>
    <s v="Percent change"/>
    <s v="Units"/>
    <x v="1"/>
    <n v="5.6349999999999998"/>
  </r>
  <r>
    <n v="200"/>
    <x v="3"/>
    <x v="99"/>
    <x v="1"/>
    <s v="Percent change"/>
    <s v="Units"/>
    <x v="2"/>
    <n v="5.7069999999999999"/>
  </r>
  <r>
    <n v="200"/>
    <x v="3"/>
    <x v="99"/>
    <x v="1"/>
    <s v="Percent change"/>
    <s v="Units"/>
    <x v="3"/>
    <n v="8.3079999999999998"/>
  </r>
  <r>
    <n v="200"/>
    <x v="3"/>
    <x v="99"/>
    <x v="1"/>
    <s v="Percent change"/>
    <s v="Units"/>
    <x v="4"/>
    <n v="9.3230000000000004"/>
  </r>
  <r>
    <n v="200"/>
    <x v="3"/>
    <x v="99"/>
    <x v="1"/>
    <s v="Percent change"/>
    <s v="Units"/>
    <x v="5"/>
    <n v="7.3579999999999997"/>
  </r>
  <r>
    <n v="200"/>
    <x v="3"/>
    <x v="99"/>
    <x v="1"/>
    <s v="Percent change"/>
    <s v="Units"/>
    <x v="6"/>
    <n v="6.9429999999999996"/>
  </r>
  <r>
    <n v="163"/>
    <x v="5"/>
    <x v="6"/>
    <x v="11"/>
    <s v="Percent of total labor force"/>
    <s v="Units"/>
    <x v="0"/>
    <n v="8.4250000000000007"/>
  </r>
  <r>
    <n v="163"/>
    <x v="5"/>
    <x v="6"/>
    <x v="11"/>
    <s v="Percent of total labor force"/>
    <s v="Units"/>
    <x v="1"/>
    <n v="8.0329999999999995"/>
  </r>
  <r>
    <n v="163"/>
    <x v="5"/>
    <x v="6"/>
    <x v="11"/>
    <s v="Percent of total labor force"/>
    <s v="Units"/>
    <x v="2"/>
    <n v="7.875"/>
  </r>
  <r>
    <n v="163"/>
    <x v="5"/>
    <x v="6"/>
    <x v="11"/>
    <s v="Percent of total labor force"/>
    <s v="Units"/>
    <x v="3"/>
    <n v="7.3079999999999998"/>
  </r>
  <r>
    <n v="163"/>
    <x v="5"/>
    <x v="6"/>
    <x v="11"/>
    <s v="Percent of total labor force"/>
    <s v="Units"/>
    <x v="4"/>
    <n v="7.4130000000000003"/>
  </r>
  <r>
    <n v="163"/>
    <x v="5"/>
    <x v="6"/>
    <x v="11"/>
    <s v="Percent of total labor force"/>
    <s v="Units"/>
    <x v="5"/>
    <n v="7.3570000000000002"/>
  </r>
  <r>
    <n v="163"/>
    <x v="5"/>
    <x v="6"/>
    <x v="11"/>
    <s v="Percent of total labor force"/>
    <s v="Units"/>
    <x v="6"/>
    <n v="7.0179999999999998"/>
  </r>
  <r>
    <n v="119"/>
    <x v="1"/>
    <x v="6"/>
    <x v="11"/>
    <s v="Percent of total labor force"/>
    <s v="Units"/>
    <x v="0"/>
    <n v="8.4250000000000007"/>
  </r>
  <r>
    <n v="119"/>
    <x v="1"/>
    <x v="6"/>
    <x v="11"/>
    <s v="Percent of total labor force"/>
    <s v="Units"/>
    <x v="1"/>
    <n v="8.0329999999999995"/>
  </r>
  <r>
    <n v="119"/>
    <x v="1"/>
    <x v="6"/>
    <x v="11"/>
    <s v="Percent of total labor force"/>
    <s v="Units"/>
    <x v="2"/>
    <n v="7.875"/>
  </r>
  <r>
    <n v="119"/>
    <x v="1"/>
    <x v="6"/>
    <x v="11"/>
    <s v="Percent of total labor force"/>
    <s v="Units"/>
    <x v="3"/>
    <n v="7.3079999999999998"/>
  </r>
  <r>
    <n v="119"/>
    <x v="1"/>
    <x v="6"/>
    <x v="11"/>
    <s v="Percent of total labor force"/>
    <s v="Units"/>
    <x v="4"/>
    <n v="7.4130000000000003"/>
  </r>
  <r>
    <n v="119"/>
    <x v="1"/>
    <x v="6"/>
    <x v="11"/>
    <s v="Percent of total labor force"/>
    <s v="Units"/>
    <x v="5"/>
    <n v="7.3570000000000002"/>
  </r>
  <r>
    <n v="119"/>
    <x v="1"/>
    <x v="6"/>
    <x v="11"/>
    <s v="Percent of total labor force"/>
    <s v="Units"/>
    <x v="6"/>
    <n v="7.0179999999999998"/>
  </r>
  <r>
    <n v="110"/>
    <x v="0"/>
    <x v="6"/>
    <x v="11"/>
    <s v="Percent of total labor force"/>
    <s v="Units"/>
    <x v="0"/>
    <n v="8.4250000000000007"/>
  </r>
  <r>
    <n v="110"/>
    <x v="0"/>
    <x v="6"/>
    <x v="11"/>
    <s v="Percent of total labor force"/>
    <s v="Units"/>
    <x v="1"/>
    <n v="8.0329999999999995"/>
  </r>
  <r>
    <n v="110"/>
    <x v="0"/>
    <x v="6"/>
    <x v="11"/>
    <s v="Percent of total labor force"/>
    <s v="Units"/>
    <x v="2"/>
    <n v="7.875"/>
  </r>
  <r>
    <n v="110"/>
    <x v="0"/>
    <x v="6"/>
    <x v="11"/>
    <s v="Percent of total labor force"/>
    <s v="Units"/>
    <x v="3"/>
    <n v="7.3079999999999998"/>
  </r>
  <r>
    <n v="110"/>
    <x v="0"/>
    <x v="6"/>
    <x v="11"/>
    <s v="Percent of total labor force"/>
    <s v="Units"/>
    <x v="4"/>
    <n v="7.4130000000000003"/>
  </r>
  <r>
    <n v="110"/>
    <x v="0"/>
    <x v="6"/>
    <x v="11"/>
    <s v="Percent of total labor force"/>
    <s v="Units"/>
    <x v="5"/>
    <n v="7.3570000000000002"/>
  </r>
  <r>
    <n v="110"/>
    <x v="0"/>
    <x v="6"/>
    <x v="11"/>
    <s v="Percent of total labor force"/>
    <s v="Units"/>
    <x v="6"/>
    <n v="7.0179999999999998"/>
  </r>
  <r>
    <n v="200"/>
    <x v="3"/>
    <x v="81"/>
    <x v="4"/>
    <s v="Percent change"/>
    <s v="Units"/>
    <x v="0"/>
    <n v="-2.278"/>
  </r>
  <r>
    <n v="200"/>
    <x v="3"/>
    <x v="81"/>
    <x v="4"/>
    <s v="Percent change"/>
    <s v="Units"/>
    <x v="1"/>
    <n v="-18.295999999999999"/>
  </r>
  <r>
    <n v="200"/>
    <x v="3"/>
    <x v="81"/>
    <x v="4"/>
    <s v="Percent change"/>
    <s v="Units"/>
    <x v="2"/>
    <n v="25.899000000000001"/>
  </r>
  <r>
    <n v="200"/>
    <x v="3"/>
    <x v="81"/>
    <x v="4"/>
    <s v="Percent change"/>
    <s v="Units"/>
    <x v="3"/>
    <n v="-1.2010000000000001"/>
  </r>
  <r>
    <n v="200"/>
    <x v="3"/>
    <x v="81"/>
    <x v="4"/>
    <s v="Percent change"/>
    <s v="Units"/>
    <x v="4"/>
    <n v="-4.665"/>
  </r>
  <r>
    <n v="200"/>
    <x v="3"/>
    <x v="81"/>
    <x v="4"/>
    <s v="Percent change"/>
    <s v="Units"/>
    <x v="5"/>
    <n v="7.3449999999999998"/>
  </r>
  <r>
    <n v="200"/>
    <x v="3"/>
    <x v="81"/>
    <x v="4"/>
    <s v="Percent change"/>
    <s v="Units"/>
    <x v="6"/>
    <n v="3.99"/>
  </r>
  <r>
    <n v="205"/>
    <x v="7"/>
    <x v="81"/>
    <x v="4"/>
    <s v="Percent change"/>
    <s v="Units"/>
    <x v="0"/>
    <n v="-2.278"/>
  </r>
  <r>
    <n v="205"/>
    <x v="7"/>
    <x v="81"/>
    <x v="4"/>
    <s v="Percent change"/>
    <s v="Units"/>
    <x v="1"/>
    <n v="-18.295999999999999"/>
  </r>
  <r>
    <n v="205"/>
    <x v="7"/>
    <x v="81"/>
    <x v="4"/>
    <s v="Percent change"/>
    <s v="Units"/>
    <x v="2"/>
    <n v="25.899000000000001"/>
  </r>
  <r>
    <n v="205"/>
    <x v="7"/>
    <x v="81"/>
    <x v="4"/>
    <s v="Percent change"/>
    <s v="Units"/>
    <x v="3"/>
    <n v="-1.2010000000000001"/>
  </r>
  <r>
    <n v="205"/>
    <x v="7"/>
    <x v="81"/>
    <x v="4"/>
    <s v="Percent change"/>
    <s v="Units"/>
    <x v="4"/>
    <n v="-4.665"/>
  </r>
  <r>
    <n v="205"/>
    <x v="7"/>
    <x v="81"/>
    <x v="4"/>
    <s v="Percent change"/>
    <s v="Units"/>
    <x v="5"/>
    <n v="7.3449999999999998"/>
  </r>
  <r>
    <n v="205"/>
    <x v="7"/>
    <x v="81"/>
    <x v="4"/>
    <s v="Percent change"/>
    <s v="Units"/>
    <x v="6"/>
    <n v="3.99"/>
  </r>
  <r>
    <n v="1"/>
    <x v="2"/>
    <x v="81"/>
    <x v="4"/>
    <s v="Percent change"/>
    <s v="Units"/>
    <x v="0"/>
    <n v="-2.278"/>
  </r>
  <r>
    <n v="1"/>
    <x v="2"/>
    <x v="81"/>
    <x v="4"/>
    <s v="Percent change"/>
    <s v="Units"/>
    <x v="1"/>
    <n v="-18.295999999999999"/>
  </r>
  <r>
    <n v="1"/>
    <x v="2"/>
    <x v="81"/>
    <x v="4"/>
    <s v="Percent change"/>
    <s v="Units"/>
    <x v="2"/>
    <n v="25.899000000000001"/>
  </r>
  <r>
    <n v="1"/>
    <x v="2"/>
    <x v="81"/>
    <x v="4"/>
    <s v="Percent change"/>
    <s v="Units"/>
    <x v="3"/>
    <n v="-1.2010000000000001"/>
  </r>
  <r>
    <n v="1"/>
    <x v="2"/>
    <x v="81"/>
    <x v="4"/>
    <s v="Percent change"/>
    <s v="Units"/>
    <x v="4"/>
    <n v="-4.665"/>
  </r>
  <r>
    <n v="1"/>
    <x v="2"/>
    <x v="81"/>
    <x v="4"/>
    <s v="Percent change"/>
    <s v="Units"/>
    <x v="5"/>
    <n v="7.3449999999999998"/>
  </r>
  <r>
    <n v="1"/>
    <x v="2"/>
    <x v="81"/>
    <x v="4"/>
    <s v="Percent change"/>
    <s v="Units"/>
    <x v="6"/>
    <n v="3.99"/>
  </r>
  <r>
    <n v="1"/>
    <x v="2"/>
    <x v="123"/>
    <x v="0"/>
    <s v="U.S. dollars"/>
    <s v="Billions"/>
    <x v="0"/>
    <n v="5.5990000000000002"/>
  </r>
  <r>
    <n v="1"/>
    <x v="2"/>
    <x v="123"/>
    <x v="0"/>
    <s v="U.S. dollars"/>
    <s v="Billions"/>
    <x v="1"/>
    <n v="3.7389999999999999"/>
  </r>
  <r>
    <n v="1"/>
    <x v="2"/>
    <x v="123"/>
    <x v="0"/>
    <s v="U.S. dollars"/>
    <s v="Billions"/>
    <x v="2"/>
    <n v="5.3920000000000003"/>
  </r>
  <r>
    <n v="1"/>
    <x v="2"/>
    <x v="123"/>
    <x v="0"/>
    <s v="U.S. dollars"/>
    <s v="Billions"/>
    <x v="3"/>
    <n v="6.2380000000000004"/>
  </r>
  <r>
    <n v="1"/>
    <x v="2"/>
    <x v="123"/>
    <x v="0"/>
    <s v="U.S. dollars"/>
    <s v="Billions"/>
    <x v="4"/>
    <n v="6.6849999999999996"/>
  </r>
  <r>
    <n v="1"/>
    <x v="2"/>
    <x v="123"/>
    <x v="0"/>
    <s v="U.S. dollars"/>
    <s v="Billions"/>
    <x v="5"/>
    <n v="7.1989999999999998"/>
  </r>
  <r>
    <n v="1"/>
    <x v="2"/>
    <x v="123"/>
    <x v="0"/>
    <s v="U.S. dollars"/>
    <s v="Billions"/>
    <x v="6"/>
    <n v="7.8970000000000002"/>
  </r>
  <r>
    <n v="200"/>
    <x v="3"/>
    <x v="123"/>
    <x v="0"/>
    <s v="U.S. dollars"/>
    <s v="Billions"/>
    <x v="0"/>
    <n v="5.5990000000000002"/>
  </r>
  <r>
    <n v="200"/>
    <x v="3"/>
    <x v="123"/>
    <x v="0"/>
    <s v="U.S. dollars"/>
    <s v="Billions"/>
    <x v="1"/>
    <n v="3.7389999999999999"/>
  </r>
  <r>
    <n v="200"/>
    <x v="3"/>
    <x v="123"/>
    <x v="0"/>
    <s v="U.S. dollars"/>
    <s v="Billions"/>
    <x v="2"/>
    <n v="5.3920000000000003"/>
  </r>
  <r>
    <n v="200"/>
    <x v="3"/>
    <x v="123"/>
    <x v="0"/>
    <s v="U.S. dollars"/>
    <s v="Billions"/>
    <x v="3"/>
    <n v="6.2380000000000004"/>
  </r>
  <r>
    <n v="200"/>
    <x v="3"/>
    <x v="123"/>
    <x v="0"/>
    <s v="U.S. dollars"/>
    <s v="Billions"/>
    <x v="4"/>
    <n v="6.6849999999999996"/>
  </r>
  <r>
    <n v="200"/>
    <x v="3"/>
    <x v="123"/>
    <x v="0"/>
    <s v="U.S. dollars"/>
    <s v="Billions"/>
    <x v="5"/>
    <n v="7.1989999999999998"/>
  </r>
  <r>
    <n v="200"/>
    <x v="3"/>
    <x v="123"/>
    <x v="0"/>
    <s v="U.S. dollars"/>
    <s v="Billions"/>
    <x v="6"/>
    <n v="7.8970000000000002"/>
  </r>
  <r>
    <n v="505"/>
    <x v="4"/>
    <x v="123"/>
    <x v="0"/>
    <s v="U.S. dollars"/>
    <s v="Billions"/>
    <x v="0"/>
    <n v="5.5990000000000002"/>
  </r>
  <r>
    <n v="505"/>
    <x v="4"/>
    <x v="123"/>
    <x v="0"/>
    <s v="U.S. dollars"/>
    <s v="Billions"/>
    <x v="1"/>
    <n v="3.7389999999999999"/>
  </r>
  <r>
    <n v="505"/>
    <x v="4"/>
    <x v="123"/>
    <x v="0"/>
    <s v="U.S. dollars"/>
    <s v="Billions"/>
    <x v="2"/>
    <n v="5.3920000000000003"/>
  </r>
  <r>
    <n v="505"/>
    <x v="4"/>
    <x v="123"/>
    <x v="0"/>
    <s v="U.S. dollars"/>
    <s v="Billions"/>
    <x v="3"/>
    <n v="6.2380000000000004"/>
  </r>
  <r>
    <n v="505"/>
    <x v="4"/>
    <x v="123"/>
    <x v="0"/>
    <s v="U.S. dollars"/>
    <s v="Billions"/>
    <x v="4"/>
    <n v="6.6849999999999996"/>
  </r>
  <r>
    <n v="505"/>
    <x v="4"/>
    <x v="123"/>
    <x v="0"/>
    <s v="U.S. dollars"/>
    <s v="Billions"/>
    <x v="5"/>
    <n v="7.1989999999999998"/>
  </r>
  <r>
    <n v="505"/>
    <x v="4"/>
    <x v="123"/>
    <x v="0"/>
    <s v="U.S. dollars"/>
    <s v="Billions"/>
    <x v="6"/>
    <n v="7.8970000000000002"/>
  </r>
  <r>
    <n v="200"/>
    <x v="3"/>
    <x v="188"/>
    <x v="2"/>
    <s v="Percent of GDP"/>
    <s v="Units"/>
    <x v="0"/>
    <n v="3.5910000000000002"/>
  </r>
  <r>
    <n v="200"/>
    <x v="3"/>
    <x v="188"/>
    <x v="2"/>
    <s v="Percent of GDP"/>
    <s v="Units"/>
    <x v="1"/>
    <n v="5.399"/>
  </r>
  <r>
    <n v="200"/>
    <x v="3"/>
    <x v="188"/>
    <x v="2"/>
    <s v="Percent of GDP"/>
    <s v="Units"/>
    <x v="2"/>
    <n v="3.827"/>
  </r>
  <r>
    <n v="200"/>
    <x v="3"/>
    <x v="188"/>
    <x v="2"/>
    <s v="Percent of GDP"/>
    <s v="Units"/>
    <x v="3"/>
    <n v="6.9290000000000003"/>
  </r>
  <r>
    <n v="200"/>
    <x v="3"/>
    <x v="188"/>
    <x v="2"/>
    <s v="Percent of GDP"/>
    <s v="Units"/>
    <x v="4"/>
    <n v="6.3470000000000004"/>
  </r>
  <r>
    <n v="200"/>
    <x v="3"/>
    <x v="188"/>
    <x v="2"/>
    <s v="Percent of GDP"/>
    <s v="Units"/>
    <x v="5"/>
    <n v="7.0609999999999999"/>
  </r>
  <r>
    <n v="200"/>
    <x v="3"/>
    <x v="188"/>
    <x v="2"/>
    <s v="Percent of GDP"/>
    <s v="Units"/>
    <x v="6"/>
    <n v="5.8609999999999998"/>
  </r>
  <r>
    <n v="400"/>
    <x v="11"/>
    <x v="188"/>
    <x v="2"/>
    <s v="Percent of GDP"/>
    <s v="Units"/>
    <x v="0"/>
    <n v="3.5910000000000002"/>
  </r>
  <r>
    <n v="400"/>
    <x v="11"/>
    <x v="188"/>
    <x v="2"/>
    <s v="Percent of GDP"/>
    <s v="Units"/>
    <x v="1"/>
    <n v="5.399"/>
  </r>
  <r>
    <n v="400"/>
    <x v="11"/>
    <x v="188"/>
    <x v="2"/>
    <s v="Percent of GDP"/>
    <s v="Units"/>
    <x v="2"/>
    <n v="3.827"/>
  </r>
  <r>
    <n v="400"/>
    <x v="11"/>
    <x v="188"/>
    <x v="2"/>
    <s v="Percent of GDP"/>
    <s v="Units"/>
    <x v="3"/>
    <n v="6.9290000000000003"/>
  </r>
  <r>
    <n v="400"/>
    <x v="11"/>
    <x v="188"/>
    <x v="2"/>
    <s v="Percent of GDP"/>
    <s v="Units"/>
    <x v="4"/>
    <n v="6.3470000000000004"/>
  </r>
  <r>
    <n v="400"/>
    <x v="11"/>
    <x v="188"/>
    <x v="2"/>
    <s v="Percent of GDP"/>
    <s v="Units"/>
    <x v="5"/>
    <n v="7.0609999999999999"/>
  </r>
  <r>
    <n v="400"/>
    <x v="11"/>
    <x v="188"/>
    <x v="2"/>
    <s v="Percent of GDP"/>
    <s v="Units"/>
    <x v="6"/>
    <n v="5.8609999999999998"/>
  </r>
  <r>
    <n v="1"/>
    <x v="2"/>
    <x v="116"/>
    <x v="6"/>
    <s v="Percent change"/>
    <s v="Units"/>
    <x v="0"/>
    <n v="2.423"/>
  </r>
  <r>
    <n v="1"/>
    <x v="2"/>
    <x v="116"/>
    <x v="6"/>
    <s v="Percent change"/>
    <s v="Units"/>
    <x v="1"/>
    <n v="-19.535"/>
  </r>
  <r>
    <n v="1"/>
    <x v="2"/>
    <x v="116"/>
    <x v="6"/>
    <s v="Percent change"/>
    <s v="Units"/>
    <x v="2"/>
    <n v="10.579000000000001"/>
  </r>
  <r>
    <n v="1"/>
    <x v="2"/>
    <x v="116"/>
    <x v="6"/>
    <s v="Percent change"/>
    <s v="Units"/>
    <x v="3"/>
    <n v="24.119"/>
  </r>
  <r>
    <n v="1"/>
    <x v="2"/>
    <x v="116"/>
    <x v="6"/>
    <s v="Percent change"/>
    <s v="Units"/>
    <x v="4"/>
    <n v="5.2069999999999999"/>
  </r>
  <r>
    <n v="1"/>
    <x v="2"/>
    <x v="116"/>
    <x v="6"/>
    <s v="Percent change"/>
    <s v="Units"/>
    <x v="5"/>
    <n v="7.0380000000000003"/>
  </r>
  <r>
    <n v="1"/>
    <x v="2"/>
    <x v="116"/>
    <x v="6"/>
    <s v="Percent change"/>
    <s v="Units"/>
    <x v="6"/>
    <n v="4.6449999999999996"/>
  </r>
  <r>
    <n v="200"/>
    <x v="3"/>
    <x v="116"/>
    <x v="6"/>
    <s v="Percent change"/>
    <s v="Units"/>
    <x v="0"/>
    <n v="2.423"/>
  </r>
  <r>
    <n v="200"/>
    <x v="3"/>
    <x v="116"/>
    <x v="6"/>
    <s v="Percent change"/>
    <s v="Units"/>
    <x v="1"/>
    <n v="-19.535"/>
  </r>
  <r>
    <n v="200"/>
    <x v="3"/>
    <x v="116"/>
    <x v="6"/>
    <s v="Percent change"/>
    <s v="Units"/>
    <x v="2"/>
    <n v="10.579000000000001"/>
  </r>
  <r>
    <n v="200"/>
    <x v="3"/>
    <x v="116"/>
    <x v="6"/>
    <s v="Percent change"/>
    <s v="Units"/>
    <x v="3"/>
    <n v="24.119"/>
  </r>
  <r>
    <n v="200"/>
    <x v="3"/>
    <x v="116"/>
    <x v="6"/>
    <s v="Percent change"/>
    <s v="Units"/>
    <x v="4"/>
    <n v="5.2069999999999999"/>
  </r>
  <r>
    <n v="200"/>
    <x v="3"/>
    <x v="116"/>
    <x v="6"/>
    <s v="Percent change"/>
    <s v="Units"/>
    <x v="5"/>
    <n v="7.0380000000000003"/>
  </r>
  <r>
    <n v="200"/>
    <x v="3"/>
    <x v="116"/>
    <x v="6"/>
    <s v="Percent change"/>
    <s v="Units"/>
    <x v="6"/>
    <n v="4.6449999999999996"/>
  </r>
  <r>
    <n v="903"/>
    <x v="8"/>
    <x v="116"/>
    <x v="6"/>
    <s v="Percent change"/>
    <s v="Units"/>
    <x v="0"/>
    <n v="2.423"/>
  </r>
  <r>
    <n v="903"/>
    <x v="8"/>
    <x v="116"/>
    <x v="6"/>
    <s v="Percent change"/>
    <s v="Units"/>
    <x v="1"/>
    <n v="-19.535"/>
  </r>
  <r>
    <n v="903"/>
    <x v="8"/>
    <x v="116"/>
    <x v="6"/>
    <s v="Percent change"/>
    <s v="Units"/>
    <x v="2"/>
    <n v="10.579000000000001"/>
  </r>
  <r>
    <n v="903"/>
    <x v="8"/>
    <x v="116"/>
    <x v="6"/>
    <s v="Percent change"/>
    <s v="Units"/>
    <x v="3"/>
    <n v="24.119"/>
  </r>
  <r>
    <n v="903"/>
    <x v="8"/>
    <x v="116"/>
    <x v="6"/>
    <s v="Percent change"/>
    <s v="Units"/>
    <x v="4"/>
    <n v="5.2069999999999999"/>
  </r>
  <r>
    <n v="903"/>
    <x v="8"/>
    <x v="116"/>
    <x v="6"/>
    <s v="Percent change"/>
    <s v="Units"/>
    <x v="5"/>
    <n v="7.0380000000000003"/>
  </r>
  <r>
    <n v="903"/>
    <x v="8"/>
    <x v="116"/>
    <x v="6"/>
    <s v="Percent change"/>
    <s v="Units"/>
    <x v="6"/>
    <n v="4.6449999999999996"/>
  </r>
  <r>
    <n v="200"/>
    <x v="3"/>
    <x v="151"/>
    <x v="1"/>
    <s v="Percent change"/>
    <s v="Units"/>
    <x v="0"/>
    <n v="3.91"/>
  </r>
  <r>
    <n v="200"/>
    <x v="3"/>
    <x v="151"/>
    <x v="1"/>
    <s v="Percent change"/>
    <s v="Units"/>
    <x v="1"/>
    <n v="5.21"/>
  </r>
  <r>
    <n v="200"/>
    <x v="3"/>
    <x v="151"/>
    <x v="1"/>
    <s v="Percent change"/>
    <s v="Units"/>
    <x v="2"/>
    <n v="5.8819999999999997"/>
  </r>
  <r>
    <n v="200"/>
    <x v="3"/>
    <x v="151"/>
    <x v="1"/>
    <s v="Percent change"/>
    <s v="Units"/>
    <x v="3"/>
    <n v="10.347"/>
  </r>
  <r>
    <n v="200"/>
    <x v="3"/>
    <x v="151"/>
    <x v="1"/>
    <s v="Percent change"/>
    <s v="Units"/>
    <x v="4"/>
    <n v="6.4710000000000001"/>
  </r>
  <r>
    <n v="200"/>
    <x v="3"/>
    <x v="151"/>
    <x v="1"/>
    <s v="Percent change"/>
    <s v="Units"/>
    <x v="5"/>
    <n v="7"/>
  </r>
  <r>
    <n v="200"/>
    <x v="3"/>
    <x v="151"/>
    <x v="1"/>
    <s v="Percent change"/>
    <s v="Units"/>
    <x v="6"/>
    <n v="5"/>
  </r>
  <r>
    <n v="205"/>
    <x v="7"/>
    <x v="151"/>
    <x v="1"/>
    <s v="Percent change"/>
    <s v="Units"/>
    <x v="0"/>
    <n v="3.91"/>
  </r>
  <r>
    <n v="205"/>
    <x v="7"/>
    <x v="151"/>
    <x v="1"/>
    <s v="Percent change"/>
    <s v="Units"/>
    <x v="1"/>
    <n v="5.21"/>
  </r>
  <r>
    <n v="205"/>
    <x v="7"/>
    <x v="151"/>
    <x v="1"/>
    <s v="Percent change"/>
    <s v="Units"/>
    <x v="2"/>
    <n v="5.8819999999999997"/>
  </r>
  <r>
    <n v="205"/>
    <x v="7"/>
    <x v="151"/>
    <x v="1"/>
    <s v="Percent change"/>
    <s v="Units"/>
    <x v="3"/>
    <n v="10.347"/>
  </r>
  <r>
    <n v="205"/>
    <x v="7"/>
    <x v="151"/>
    <x v="1"/>
    <s v="Percent change"/>
    <s v="Units"/>
    <x v="4"/>
    <n v="6.4710000000000001"/>
  </r>
  <r>
    <n v="205"/>
    <x v="7"/>
    <x v="151"/>
    <x v="1"/>
    <s v="Percent change"/>
    <s v="Units"/>
    <x v="5"/>
    <n v="7"/>
  </r>
  <r>
    <n v="205"/>
    <x v="7"/>
    <x v="151"/>
    <x v="1"/>
    <s v="Percent change"/>
    <s v="Units"/>
    <x v="6"/>
    <n v="5"/>
  </r>
  <r>
    <n v="1"/>
    <x v="2"/>
    <x v="151"/>
    <x v="1"/>
    <s v="Percent change"/>
    <s v="Units"/>
    <x v="0"/>
    <n v="3.91"/>
  </r>
  <r>
    <n v="1"/>
    <x v="2"/>
    <x v="151"/>
    <x v="1"/>
    <s v="Percent change"/>
    <s v="Units"/>
    <x v="1"/>
    <n v="5.21"/>
  </r>
  <r>
    <n v="1"/>
    <x v="2"/>
    <x v="151"/>
    <x v="1"/>
    <s v="Percent change"/>
    <s v="Units"/>
    <x v="2"/>
    <n v="5.8819999999999997"/>
  </r>
  <r>
    <n v="1"/>
    <x v="2"/>
    <x v="151"/>
    <x v="1"/>
    <s v="Percent change"/>
    <s v="Units"/>
    <x v="3"/>
    <n v="10.347"/>
  </r>
  <r>
    <n v="1"/>
    <x v="2"/>
    <x v="151"/>
    <x v="1"/>
    <s v="Percent change"/>
    <s v="Units"/>
    <x v="4"/>
    <n v="6.4710000000000001"/>
  </r>
  <r>
    <n v="1"/>
    <x v="2"/>
    <x v="151"/>
    <x v="1"/>
    <s v="Percent change"/>
    <s v="Units"/>
    <x v="5"/>
    <n v="7"/>
  </r>
  <r>
    <n v="1"/>
    <x v="2"/>
    <x v="151"/>
    <x v="1"/>
    <s v="Percent change"/>
    <s v="Units"/>
    <x v="6"/>
    <n v="5"/>
  </r>
  <r>
    <n v="200"/>
    <x v="3"/>
    <x v="80"/>
    <x v="6"/>
    <s v="Percent change"/>
    <s v="Units"/>
    <x v="0"/>
    <n v="-1.821"/>
  </r>
  <r>
    <n v="200"/>
    <x v="3"/>
    <x v="80"/>
    <x v="6"/>
    <s v="Percent change"/>
    <s v="Units"/>
    <x v="1"/>
    <n v="4.609"/>
  </r>
  <r>
    <n v="200"/>
    <x v="3"/>
    <x v="80"/>
    <x v="6"/>
    <s v="Percent change"/>
    <s v="Units"/>
    <x v="2"/>
    <n v="7.7530000000000001"/>
  </r>
  <r>
    <n v="200"/>
    <x v="3"/>
    <x v="80"/>
    <x v="6"/>
    <s v="Percent change"/>
    <s v="Units"/>
    <x v="3"/>
    <n v="4.2969999999999997"/>
  </r>
  <r>
    <n v="200"/>
    <x v="3"/>
    <x v="80"/>
    <x v="6"/>
    <s v="Percent change"/>
    <s v="Units"/>
    <x v="4"/>
    <n v="7.7350000000000003"/>
  </r>
  <r>
    <n v="200"/>
    <x v="3"/>
    <x v="80"/>
    <x v="6"/>
    <s v="Percent change"/>
    <s v="Units"/>
    <x v="5"/>
    <n v="6.9610000000000003"/>
  </r>
  <r>
    <n v="200"/>
    <x v="3"/>
    <x v="80"/>
    <x v="6"/>
    <s v="Percent change"/>
    <s v="Units"/>
    <x v="6"/>
    <n v="5.7789999999999999"/>
  </r>
  <r>
    <n v="1"/>
    <x v="2"/>
    <x v="80"/>
    <x v="6"/>
    <s v="Percent change"/>
    <s v="Units"/>
    <x v="0"/>
    <n v="-1.821"/>
  </r>
  <r>
    <n v="1"/>
    <x v="2"/>
    <x v="80"/>
    <x v="6"/>
    <s v="Percent change"/>
    <s v="Units"/>
    <x v="1"/>
    <n v="4.609"/>
  </r>
  <r>
    <n v="1"/>
    <x v="2"/>
    <x v="80"/>
    <x v="6"/>
    <s v="Percent change"/>
    <s v="Units"/>
    <x v="2"/>
    <n v="7.7530000000000001"/>
  </r>
  <r>
    <n v="1"/>
    <x v="2"/>
    <x v="80"/>
    <x v="6"/>
    <s v="Percent change"/>
    <s v="Units"/>
    <x v="3"/>
    <n v="4.2969999999999997"/>
  </r>
  <r>
    <n v="1"/>
    <x v="2"/>
    <x v="80"/>
    <x v="6"/>
    <s v="Percent change"/>
    <s v="Units"/>
    <x v="4"/>
    <n v="7.7350000000000003"/>
  </r>
  <r>
    <n v="1"/>
    <x v="2"/>
    <x v="80"/>
    <x v="6"/>
    <s v="Percent change"/>
    <s v="Units"/>
    <x v="5"/>
    <n v="6.9610000000000003"/>
  </r>
  <r>
    <n v="1"/>
    <x v="2"/>
    <x v="80"/>
    <x v="6"/>
    <s v="Percent change"/>
    <s v="Units"/>
    <x v="6"/>
    <n v="5.7789999999999999"/>
  </r>
  <r>
    <n v="603"/>
    <x v="12"/>
    <x v="80"/>
    <x v="6"/>
    <s v="Percent change"/>
    <s v="Units"/>
    <x v="0"/>
    <n v="-1.821"/>
  </r>
  <r>
    <n v="603"/>
    <x v="12"/>
    <x v="80"/>
    <x v="6"/>
    <s v="Percent change"/>
    <s v="Units"/>
    <x v="1"/>
    <n v="4.609"/>
  </r>
  <r>
    <n v="603"/>
    <x v="12"/>
    <x v="80"/>
    <x v="6"/>
    <s v="Percent change"/>
    <s v="Units"/>
    <x v="2"/>
    <n v="7.7530000000000001"/>
  </r>
  <r>
    <n v="603"/>
    <x v="12"/>
    <x v="80"/>
    <x v="6"/>
    <s v="Percent change"/>
    <s v="Units"/>
    <x v="3"/>
    <n v="4.2969999999999997"/>
  </r>
  <r>
    <n v="603"/>
    <x v="12"/>
    <x v="80"/>
    <x v="6"/>
    <s v="Percent change"/>
    <s v="Units"/>
    <x v="4"/>
    <n v="7.7350000000000003"/>
  </r>
  <r>
    <n v="603"/>
    <x v="12"/>
    <x v="80"/>
    <x v="6"/>
    <s v="Percent change"/>
    <s v="Units"/>
    <x v="5"/>
    <n v="6.9610000000000003"/>
  </r>
  <r>
    <n v="603"/>
    <x v="12"/>
    <x v="80"/>
    <x v="6"/>
    <s v="Percent change"/>
    <s v="Units"/>
    <x v="6"/>
    <n v="5.7789999999999999"/>
  </r>
  <r>
    <n v="205"/>
    <x v="7"/>
    <x v="132"/>
    <x v="6"/>
    <s v="Percent change"/>
    <s v="Units"/>
    <x v="0"/>
    <n v="4.9050000000000002"/>
  </r>
  <r>
    <n v="205"/>
    <x v="7"/>
    <x v="132"/>
    <x v="6"/>
    <s v="Percent change"/>
    <s v="Units"/>
    <x v="1"/>
    <n v="-33.957000000000001"/>
  </r>
  <r>
    <n v="205"/>
    <x v="7"/>
    <x v="132"/>
    <x v="6"/>
    <s v="Percent change"/>
    <s v="Units"/>
    <x v="2"/>
    <n v="5.6630000000000003"/>
  </r>
  <r>
    <n v="205"/>
    <x v="7"/>
    <x v="132"/>
    <x v="6"/>
    <s v="Percent change"/>
    <s v="Units"/>
    <x v="3"/>
    <n v="25.771999999999998"/>
  </r>
  <r>
    <n v="205"/>
    <x v="7"/>
    <x v="132"/>
    <x v="6"/>
    <s v="Percent change"/>
    <s v="Units"/>
    <x v="4"/>
    <n v="3.8639999999999999"/>
  </r>
  <r>
    <n v="205"/>
    <x v="7"/>
    <x v="132"/>
    <x v="6"/>
    <s v="Percent change"/>
    <s v="Units"/>
    <x v="5"/>
    <n v="6.9560000000000004"/>
  </r>
  <r>
    <n v="205"/>
    <x v="7"/>
    <x v="132"/>
    <x v="6"/>
    <s v="Percent change"/>
    <s v="Units"/>
    <x v="6"/>
    <n v="4.7229999999999999"/>
  </r>
  <r>
    <n v="1"/>
    <x v="2"/>
    <x v="132"/>
    <x v="6"/>
    <s v="Percent change"/>
    <s v="Units"/>
    <x v="0"/>
    <n v="4.9050000000000002"/>
  </r>
  <r>
    <n v="1"/>
    <x v="2"/>
    <x v="132"/>
    <x v="6"/>
    <s v="Percent change"/>
    <s v="Units"/>
    <x v="1"/>
    <n v="-33.957000000000001"/>
  </r>
  <r>
    <n v="1"/>
    <x v="2"/>
    <x v="132"/>
    <x v="6"/>
    <s v="Percent change"/>
    <s v="Units"/>
    <x v="2"/>
    <n v="5.6630000000000003"/>
  </r>
  <r>
    <n v="1"/>
    <x v="2"/>
    <x v="132"/>
    <x v="6"/>
    <s v="Percent change"/>
    <s v="Units"/>
    <x v="3"/>
    <n v="25.771999999999998"/>
  </r>
  <r>
    <n v="1"/>
    <x v="2"/>
    <x v="132"/>
    <x v="6"/>
    <s v="Percent change"/>
    <s v="Units"/>
    <x v="4"/>
    <n v="3.8639999999999999"/>
  </r>
  <r>
    <n v="1"/>
    <x v="2"/>
    <x v="132"/>
    <x v="6"/>
    <s v="Percent change"/>
    <s v="Units"/>
    <x v="5"/>
    <n v="6.9560000000000004"/>
  </r>
  <r>
    <n v="1"/>
    <x v="2"/>
    <x v="132"/>
    <x v="6"/>
    <s v="Percent change"/>
    <s v="Units"/>
    <x v="6"/>
    <n v="4.7229999999999999"/>
  </r>
  <r>
    <n v="200"/>
    <x v="3"/>
    <x v="132"/>
    <x v="6"/>
    <s v="Percent change"/>
    <s v="Units"/>
    <x v="0"/>
    <n v="4.9050000000000002"/>
  </r>
  <r>
    <n v="200"/>
    <x v="3"/>
    <x v="132"/>
    <x v="6"/>
    <s v="Percent change"/>
    <s v="Units"/>
    <x v="1"/>
    <n v="-33.957000000000001"/>
  </r>
  <r>
    <n v="200"/>
    <x v="3"/>
    <x v="132"/>
    <x v="6"/>
    <s v="Percent change"/>
    <s v="Units"/>
    <x v="2"/>
    <n v="5.6630000000000003"/>
  </r>
  <r>
    <n v="200"/>
    <x v="3"/>
    <x v="132"/>
    <x v="6"/>
    <s v="Percent change"/>
    <s v="Units"/>
    <x v="3"/>
    <n v="25.771999999999998"/>
  </r>
  <r>
    <n v="200"/>
    <x v="3"/>
    <x v="132"/>
    <x v="6"/>
    <s v="Percent change"/>
    <s v="Units"/>
    <x v="4"/>
    <n v="3.8639999999999999"/>
  </r>
  <r>
    <n v="200"/>
    <x v="3"/>
    <x v="132"/>
    <x v="6"/>
    <s v="Percent change"/>
    <s v="Units"/>
    <x v="5"/>
    <n v="6.9560000000000004"/>
  </r>
  <r>
    <n v="200"/>
    <x v="3"/>
    <x v="132"/>
    <x v="6"/>
    <s v="Percent change"/>
    <s v="Units"/>
    <x v="6"/>
    <n v="4.7229999999999999"/>
  </r>
  <r>
    <n v="1"/>
    <x v="2"/>
    <x v="158"/>
    <x v="8"/>
    <s v="Percent change"/>
    <s v="Units"/>
    <x v="0"/>
    <n v="9.4719999999999995"/>
  </r>
  <r>
    <n v="1"/>
    <x v="2"/>
    <x v="158"/>
    <x v="8"/>
    <s v="Percent change"/>
    <s v="Units"/>
    <x v="1"/>
    <n v="-3.38"/>
  </r>
  <r>
    <n v="1"/>
    <x v="2"/>
    <x v="158"/>
    <x v="8"/>
    <s v="Percent change"/>
    <s v="Units"/>
    <x v="2"/>
    <n v="10.88"/>
  </r>
  <r>
    <n v="1"/>
    <x v="2"/>
    <x v="158"/>
    <x v="8"/>
    <s v="Percent change"/>
    <s v="Units"/>
    <x v="3"/>
    <n v="8.1579999999999995"/>
  </r>
  <r>
    <n v="1"/>
    <x v="2"/>
    <x v="158"/>
    <x v="8"/>
    <s v="Percent change"/>
    <s v="Units"/>
    <x v="4"/>
    <n v="6.9489999999999998"/>
  </r>
  <r>
    <n v="1"/>
    <x v="2"/>
    <x v="158"/>
    <x v="8"/>
    <s v="Percent change"/>
    <s v="Units"/>
    <x v="5"/>
    <n v="6.931"/>
  </r>
  <r>
    <n v="1"/>
    <x v="2"/>
    <x v="158"/>
    <x v="8"/>
    <s v="Percent change"/>
    <s v="Units"/>
    <x v="6"/>
    <n v="6.9930000000000003"/>
  </r>
  <r>
    <n v="603"/>
    <x v="12"/>
    <x v="158"/>
    <x v="8"/>
    <s v="Percent change"/>
    <s v="Units"/>
    <x v="0"/>
    <n v="9.4719999999999995"/>
  </r>
  <r>
    <n v="603"/>
    <x v="12"/>
    <x v="158"/>
    <x v="8"/>
    <s v="Percent change"/>
    <s v="Units"/>
    <x v="1"/>
    <n v="-3.38"/>
  </r>
  <r>
    <n v="603"/>
    <x v="12"/>
    <x v="158"/>
    <x v="8"/>
    <s v="Percent change"/>
    <s v="Units"/>
    <x v="2"/>
    <n v="10.88"/>
  </r>
  <r>
    <n v="603"/>
    <x v="12"/>
    <x v="158"/>
    <x v="8"/>
    <s v="Percent change"/>
    <s v="Units"/>
    <x v="3"/>
    <n v="8.1579999999999995"/>
  </r>
  <r>
    <n v="603"/>
    <x v="12"/>
    <x v="158"/>
    <x v="8"/>
    <s v="Percent change"/>
    <s v="Units"/>
    <x v="4"/>
    <n v="6.9489999999999998"/>
  </r>
  <r>
    <n v="603"/>
    <x v="12"/>
    <x v="158"/>
    <x v="8"/>
    <s v="Percent change"/>
    <s v="Units"/>
    <x v="5"/>
    <n v="6.931"/>
  </r>
  <r>
    <n v="603"/>
    <x v="12"/>
    <x v="158"/>
    <x v="8"/>
    <s v="Percent change"/>
    <s v="Units"/>
    <x v="6"/>
    <n v="6.9930000000000003"/>
  </r>
  <r>
    <n v="200"/>
    <x v="3"/>
    <x v="158"/>
    <x v="8"/>
    <s v="Percent change"/>
    <s v="Units"/>
    <x v="0"/>
    <n v="9.4719999999999995"/>
  </r>
  <r>
    <n v="200"/>
    <x v="3"/>
    <x v="158"/>
    <x v="8"/>
    <s v="Percent change"/>
    <s v="Units"/>
    <x v="1"/>
    <n v="-3.38"/>
  </r>
  <r>
    <n v="200"/>
    <x v="3"/>
    <x v="158"/>
    <x v="8"/>
    <s v="Percent change"/>
    <s v="Units"/>
    <x v="2"/>
    <n v="10.88"/>
  </r>
  <r>
    <n v="200"/>
    <x v="3"/>
    <x v="158"/>
    <x v="8"/>
    <s v="Percent change"/>
    <s v="Units"/>
    <x v="3"/>
    <n v="8.1579999999999995"/>
  </r>
  <r>
    <n v="200"/>
    <x v="3"/>
    <x v="158"/>
    <x v="8"/>
    <s v="Percent change"/>
    <s v="Units"/>
    <x v="4"/>
    <n v="6.9489999999999998"/>
  </r>
  <r>
    <n v="200"/>
    <x v="3"/>
    <x v="158"/>
    <x v="8"/>
    <s v="Percent change"/>
    <s v="Units"/>
    <x v="5"/>
    <n v="6.931"/>
  </r>
  <r>
    <n v="200"/>
    <x v="3"/>
    <x v="158"/>
    <x v="8"/>
    <s v="Percent change"/>
    <s v="Units"/>
    <x v="6"/>
    <n v="6.9930000000000003"/>
  </r>
  <r>
    <n v="1"/>
    <x v="2"/>
    <x v="61"/>
    <x v="6"/>
    <s v="Percent change"/>
    <s v="Units"/>
    <x v="0"/>
    <n v="2.177"/>
  </r>
  <r>
    <n v="1"/>
    <x v="2"/>
    <x v="61"/>
    <x v="6"/>
    <s v="Percent change"/>
    <s v="Units"/>
    <x v="1"/>
    <n v="-8.2680000000000007"/>
  </r>
  <r>
    <n v="1"/>
    <x v="2"/>
    <x v="61"/>
    <x v="6"/>
    <s v="Percent change"/>
    <s v="Units"/>
    <x v="2"/>
    <n v="11.629"/>
  </r>
  <r>
    <n v="1"/>
    <x v="2"/>
    <x v="61"/>
    <x v="6"/>
    <s v="Percent change"/>
    <s v="Units"/>
    <x v="3"/>
    <n v="4.4980000000000002"/>
  </r>
  <r>
    <n v="1"/>
    <x v="2"/>
    <x v="61"/>
    <x v="6"/>
    <s v="Percent change"/>
    <s v="Units"/>
    <x v="4"/>
    <n v="-6.7530000000000001"/>
  </r>
  <r>
    <n v="1"/>
    <x v="2"/>
    <x v="61"/>
    <x v="6"/>
    <s v="Percent change"/>
    <s v="Units"/>
    <x v="5"/>
    <n v="6.923"/>
  </r>
  <r>
    <n v="1"/>
    <x v="2"/>
    <x v="61"/>
    <x v="6"/>
    <s v="Percent change"/>
    <s v="Units"/>
    <x v="6"/>
    <n v="3.246"/>
  </r>
  <r>
    <n v="110"/>
    <x v="0"/>
    <x v="61"/>
    <x v="6"/>
    <s v="Percent change"/>
    <s v="Units"/>
    <x v="0"/>
    <n v="2.177"/>
  </r>
  <r>
    <n v="110"/>
    <x v="0"/>
    <x v="61"/>
    <x v="6"/>
    <s v="Percent change"/>
    <s v="Units"/>
    <x v="1"/>
    <n v="-8.2680000000000007"/>
  </r>
  <r>
    <n v="110"/>
    <x v="0"/>
    <x v="61"/>
    <x v="6"/>
    <s v="Percent change"/>
    <s v="Units"/>
    <x v="2"/>
    <n v="11.629"/>
  </r>
  <r>
    <n v="110"/>
    <x v="0"/>
    <x v="61"/>
    <x v="6"/>
    <s v="Percent change"/>
    <s v="Units"/>
    <x v="3"/>
    <n v="4.4980000000000002"/>
  </r>
  <r>
    <n v="110"/>
    <x v="0"/>
    <x v="61"/>
    <x v="6"/>
    <s v="Percent change"/>
    <s v="Units"/>
    <x v="4"/>
    <n v="-6.7530000000000001"/>
  </r>
  <r>
    <n v="110"/>
    <x v="0"/>
    <x v="61"/>
    <x v="6"/>
    <s v="Percent change"/>
    <s v="Units"/>
    <x v="5"/>
    <n v="6.923"/>
  </r>
  <r>
    <n v="110"/>
    <x v="0"/>
    <x v="61"/>
    <x v="6"/>
    <s v="Percent change"/>
    <s v="Units"/>
    <x v="6"/>
    <n v="3.246"/>
  </r>
  <r>
    <n v="163"/>
    <x v="5"/>
    <x v="61"/>
    <x v="6"/>
    <s v="Percent change"/>
    <s v="Units"/>
    <x v="0"/>
    <n v="2.177"/>
  </r>
  <r>
    <n v="163"/>
    <x v="5"/>
    <x v="61"/>
    <x v="6"/>
    <s v="Percent change"/>
    <s v="Units"/>
    <x v="1"/>
    <n v="-8.2680000000000007"/>
  </r>
  <r>
    <n v="163"/>
    <x v="5"/>
    <x v="61"/>
    <x v="6"/>
    <s v="Percent change"/>
    <s v="Units"/>
    <x v="2"/>
    <n v="11.629"/>
  </r>
  <r>
    <n v="163"/>
    <x v="5"/>
    <x v="61"/>
    <x v="6"/>
    <s v="Percent change"/>
    <s v="Units"/>
    <x v="3"/>
    <n v="4.4980000000000002"/>
  </r>
  <r>
    <n v="163"/>
    <x v="5"/>
    <x v="61"/>
    <x v="6"/>
    <s v="Percent change"/>
    <s v="Units"/>
    <x v="4"/>
    <n v="-6.7530000000000001"/>
  </r>
  <r>
    <n v="163"/>
    <x v="5"/>
    <x v="61"/>
    <x v="6"/>
    <s v="Percent change"/>
    <s v="Units"/>
    <x v="5"/>
    <n v="6.923"/>
  </r>
  <r>
    <n v="163"/>
    <x v="5"/>
    <x v="61"/>
    <x v="6"/>
    <s v="Percent change"/>
    <s v="Units"/>
    <x v="6"/>
    <n v="3.246"/>
  </r>
  <r>
    <n v="200"/>
    <x v="3"/>
    <x v="42"/>
    <x v="6"/>
    <s v="Percent change"/>
    <s v="Units"/>
    <x v="0"/>
    <n v="3.3340000000000001"/>
  </r>
  <r>
    <n v="200"/>
    <x v="3"/>
    <x v="42"/>
    <x v="6"/>
    <s v="Percent change"/>
    <s v="Units"/>
    <x v="1"/>
    <n v="-6.6000000000000003E-2"/>
  </r>
  <r>
    <n v="200"/>
    <x v="3"/>
    <x v="42"/>
    <x v="6"/>
    <s v="Percent change"/>
    <s v="Units"/>
    <x v="2"/>
    <n v="-3.5640000000000001"/>
  </r>
  <r>
    <n v="200"/>
    <x v="3"/>
    <x v="42"/>
    <x v="6"/>
    <s v="Percent change"/>
    <s v="Units"/>
    <x v="3"/>
    <n v="6.343"/>
  </r>
  <r>
    <n v="200"/>
    <x v="3"/>
    <x v="42"/>
    <x v="6"/>
    <s v="Percent change"/>
    <s v="Units"/>
    <x v="4"/>
    <n v="-17.475000000000001"/>
  </r>
  <r>
    <n v="200"/>
    <x v="3"/>
    <x v="42"/>
    <x v="6"/>
    <s v="Percent change"/>
    <s v="Units"/>
    <x v="5"/>
    <n v="6.923"/>
  </r>
  <r>
    <n v="200"/>
    <x v="3"/>
    <x v="42"/>
    <x v="6"/>
    <s v="Percent change"/>
    <s v="Units"/>
    <x v="6"/>
    <n v="-0.58599999999999997"/>
  </r>
  <r>
    <n v="1"/>
    <x v="2"/>
    <x v="42"/>
    <x v="6"/>
    <s v="Percent change"/>
    <s v="Units"/>
    <x v="0"/>
    <n v="3.3340000000000001"/>
  </r>
  <r>
    <n v="1"/>
    <x v="2"/>
    <x v="42"/>
    <x v="6"/>
    <s v="Percent change"/>
    <s v="Units"/>
    <x v="1"/>
    <n v="-6.6000000000000003E-2"/>
  </r>
  <r>
    <n v="1"/>
    <x v="2"/>
    <x v="42"/>
    <x v="6"/>
    <s v="Percent change"/>
    <s v="Units"/>
    <x v="2"/>
    <n v="-3.5640000000000001"/>
  </r>
  <r>
    <n v="1"/>
    <x v="2"/>
    <x v="42"/>
    <x v="6"/>
    <s v="Percent change"/>
    <s v="Units"/>
    <x v="3"/>
    <n v="6.343"/>
  </r>
  <r>
    <n v="1"/>
    <x v="2"/>
    <x v="42"/>
    <x v="6"/>
    <s v="Percent change"/>
    <s v="Units"/>
    <x v="4"/>
    <n v="-17.475000000000001"/>
  </r>
  <r>
    <n v="1"/>
    <x v="2"/>
    <x v="42"/>
    <x v="6"/>
    <s v="Percent change"/>
    <s v="Units"/>
    <x v="5"/>
    <n v="6.923"/>
  </r>
  <r>
    <n v="1"/>
    <x v="2"/>
    <x v="42"/>
    <x v="6"/>
    <s v="Percent change"/>
    <s v="Units"/>
    <x v="6"/>
    <n v="-0.58599999999999997"/>
  </r>
  <r>
    <n v="400"/>
    <x v="11"/>
    <x v="42"/>
    <x v="6"/>
    <s v="Percent change"/>
    <s v="Units"/>
    <x v="0"/>
    <n v="3.3340000000000001"/>
  </r>
  <r>
    <n v="400"/>
    <x v="11"/>
    <x v="42"/>
    <x v="6"/>
    <s v="Percent change"/>
    <s v="Units"/>
    <x v="1"/>
    <n v="-6.6000000000000003E-2"/>
  </r>
  <r>
    <n v="400"/>
    <x v="11"/>
    <x v="42"/>
    <x v="6"/>
    <s v="Percent change"/>
    <s v="Units"/>
    <x v="2"/>
    <n v="-3.5640000000000001"/>
  </r>
  <r>
    <n v="400"/>
    <x v="11"/>
    <x v="42"/>
    <x v="6"/>
    <s v="Percent change"/>
    <s v="Units"/>
    <x v="3"/>
    <n v="6.343"/>
  </r>
  <r>
    <n v="400"/>
    <x v="11"/>
    <x v="42"/>
    <x v="6"/>
    <s v="Percent change"/>
    <s v="Units"/>
    <x v="4"/>
    <n v="-17.475000000000001"/>
  </r>
  <r>
    <n v="400"/>
    <x v="11"/>
    <x v="42"/>
    <x v="6"/>
    <s v="Percent change"/>
    <s v="Units"/>
    <x v="5"/>
    <n v="6.923"/>
  </r>
  <r>
    <n v="400"/>
    <x v="11"/>
    <x v="42"/>
    <x v="6"/>
    <s v="Percent change"/>
    <s v="Units"/>
    <x v="6"/>
    <n v="-0.58599999999999997"/>
  </r>
  <r>
    <n v="903"/>
    <x v="8"/>
    <x v="133"/>
    <x v="4"/>
    <s v="Percent change"/>
    <s v="Units"/>
    <x v="0"/>
    <n v="6.7"/>
  </r>
  <r>
    <n v="903"/>
    <x v="8"/>
    <x v="133"/>
    <x v="4"/>
    <s v="Percent change"/>
    <s v="Units"/>
    <x v="1"/>
    <n v="-21.231999999999999"/>
  </r>
  <r>
    <n v="903"/>
    <x v="8"/>
    <x v="133"/>
    <x v="4"/>
    <s v="Percent change"/>
    <s v="Units"/>
    <x v="2"/>
    <n v="16.962"/>
  </r>
  <r>
    <n v="903"/>
    <x v="8"/>
    <x v="133"/>
    <x v="4"/>
    <s v="Percent change"/>
    <s v="Units"/>
    <x v="3"/>
    <n v="28.402999999999999"/>
  </r>
  <r>
    <n v="903"/>
    <x v="8"/>
    <x v="133"/>
    <x v="4"/>
    <s v="Percent change"/>
    <s v="Units"/>
    <x v="4"/>
    <n v="3.9"/>
  </r>
  <r>
    <n v="903"/>
    <x v="8"/>
    <x v="133"/>
    <x v="4"/>
    <s v="Percent change"/>
    <s v="Units"/>
    <x v="5"/>
    <n v="6.9089999999999998"/>
  </r>
  <r>
    <n v="903"/>
    <x v="8"/>
    <x v="133"/>
    <x v="4"/>
    <s v="Percent change"/>
    <s v="Units"/>
    <x v="6"/>
    <n v="9.9710000000000001"/>
  </r>
  <r>
    <n v="1"/>
    <x v="2"/>
    <x v="133"/>
    <x v="4"/>
    <s v="Percent change"/>
    <s v="Units"/>
    <x v="0"/>
    <n v="6.7"/>
  </r>
  <r>
    <n v="1"/>
    <x v="2"/>
    <x v="133"/>
    <x v="4"/>
    <s v="Percent change"/>
    <s v="Units"/>
    <x v="1"/>
    <n v="-21.231999999999999"/>
  </r>
  <r>
    <n v="1"/>
    <x v="2"/>
    <x v="133"/>
    <x v="4"/>
    <s v="Percent change"/>
    <s v="Units"/>
    <x v="2"/>
    <n v="16.962"/>
  </r>
  <r>
    <n v="1"/>
    <x v="2"/>
    <x v="133"/>
    <x v="4"/>
    <s v="Percent change"/>
    <s v="Units"/>
    <x v="3"/>
    <n v="28.402999999999999"/>
  </r>
  <r>
    <n v="1"/>
    <x v="2"/>
    <x v="133"/>
    <x v="4"/>
    <s v="Percent change"/>
    <s v="Units"/>
    <x v="4"/>
    <n v="3.9"/>
  </r>
  <r>
    <n v="1"/>
    <x v="2"/>
    <x v="133"/>
    <x v="4"/>
    <s v="Percent change"/>
    <s v="Units"/>
    <x v="5"/>
    <n v="6.9089999999999998"/>
  </r>
  <r>
    <n v="1"/>
    <x v="2"/>
    <x v="133"/>
    <x v="4"/>
    <s v="Percent change"/>
    <s v="Units"/>
    <x v="6"/>
    <n v="9.9710000000000001"/>
  </r>
  <r>
    <n v="200"/>
    <x v="3"/>
    <x v="133"/>
    <x v="4"/>
    <s v="Percent change"/>
    <s v="Units"/>
    <x v="0"/>
    <n v="6.7"/>
  </r>
  <r>
    <n v="200"/>
    <x v="3"/>
    <x v="133"/>
    <x v="4"/>
    <s v="Percent change"/>
    <s v="Units"/>
    <x v="1"/>
    <n v="-21.231999999999999"/>
  </r>
  <r>
    <n v="200"/>
    <x v="3"/>
    <x v="133"/>
    <x v="4"/>
    <s v="Percent change"/>
    <s v="Units"/>
    <x v="2"/>
    <n v="16.962"/>
  </r>
  <r>
    <n v="200"/>
    <x v="3"/>
    <x v="133"/>
    <x v="4"/>
    <s v="Percent change"/>
    <s v="Units"/>
    <x v="3"/>
    <n v="28.402999999999999"/>
  </r>
  <r>
    <n v="200"/>
    <x v="3"/>
    <x v="133"/>
    <x v="4"/>
    <s v="Percent change"/>
    <s v="Units"/>
    <x v="4"/>
    <n v="3.9"/>
  </r>
  <r>
    <n v="200"/>
    <x v="3"/>
    <x v="133"/>
    <x v="4"/>
    <s v="Percent change"/>
    <s v="Units"/>
    <x v="5"/>
    <n v="6.9089999999999998"/>
  </r>
  <r>
    <n v="200"/>
    <x v="3"/>
    <x v="133"/>
    <x v="4"/>
    <s v="Percent change"/>
    <s v="Units"/>
    <x v="6"/>
    <n v="9.9710000000000001"/>
  </r>
  <r>
    <n v="400"/>
    <x v="11"/>
    <x v="187"/>
    <x v="2"/>
    <s v="Percent of GDP"/>
    <s v="Units"/>
    <x v="0"/>
    <n v="7.3220000000000001"/>
  </r>
  <r>
    <n v="400"/>
    <x v="11"/>
    <x v="187"/>
    <x v="2"/>
    <s v="Percent of GDP"/>
    <s v="Units"/>
    <x v="1"/>
    <n v="6.1840000000000002"/>
  </r>
  <r>
    <n v="400"/>
    <x v="11"/>
    <x v="187"/>
    <x v="2"/>
    <s v="Percent of GDP"/>
    <s v="Units"/>
    <x v="2"/>
    <n v="7.3019999999999996"/>
  </r>
  <r>
    <n v="400"/>
    <x v="11"/>
    <x v="187"/>
    <x v="2"/>
    <s v="Percent of GDP"/>
    <s v="Units"/>
    <x v="3"/>
    <n v="9.4979999999999993"/>
  </r>
  <r>
    <n v="400"/>
    <x v="11"/>
    <x v="187"/>
    <x v="2"/>
    <s v="Percent of GDP"/>
    <s v="Units"/>
    <x v="4"/>
    <n v="6.899"/>
  </r>
  <r>
    <n v="400"/>
    <x v="11"/>
    <x v="187"/>
    <x v="2"/>
    <s v="Percent of GDP"/>
    <s v="Units"/>
    <x v="5"/>
    <n v="6.8890000000000002"/>
  </r>
  <r>
    <n v="400"/>
    <x v="11"/>
    <x v="187"/>
    <x v="2"/>
    <s v="Percent of GDP"/>
    <s v="Units"/>
    <x v="6"/>
    <n v="7.2290000000000001"/>
  </r>
  <r>
    <n v="200"/>
    <x v="3"/>
    <x v="187"/>
    <x v="2"/>
    <s v="Percent of GDP"/>
    <s v="Units"/>
    <x v="0"/>
    <n v="7.3220000000000001"/>
  </r>
  <r>
    <n v="200"/>
    <x v="3"/>
    <x v="187"/>
    <x v="2"/>
    <s v="Percent of GDP"/>
    <s v="Units"/>
    <x v="1"/>
    <n v="6.1840000000000002"/>
  </r>
  <r>
    <n v="200"/>
    <x v="3"/>
    <x v="187"/>
    <x v="2"/>
    <s v="Percent of GDP"/>
    <s v="Units"/>
    <x v="2"/>
    <n v="7.3019999999999996"/>
  </r>
  <r>
    <n v="200"/>
    <x v="3"/>
    <x v="187"/>
    <x v="2"/>
    <s v="Percent of GDP"/>
    <s v="Units"/>
    <x v="3"/>
    <n v="9.4979999999999993"/>
  </r>
  <r>
    <n v="200"/>
    <x v="3"/>
    <x v="187"/>
    <x v="2"/>
    <s v="Percent of GDP"/>
    <s v="Units"/>
    <x v="4"/>
    <n v="6.899"/>
  </r>
  <r>
    <n v="200"/>
    <x v="3"/>
    <x v="187"/>
    <x v="2"/>
    <s v="Percent of GDP"/>
    <s v="Units"/>
    <x v="5"/>
    <n v="6.8890000000000002"/>
  </r>
  <r>
    <n v="200"/>
    <x v="3"/>
    <x v="187"/>
    <x v="2"/>
    <s v="Percent of GDP"/>
    <s v="Units"/>
    <x v="6"/>
    <n v="7.2290000000000001"/>
  </r>
  <r>
    <n v="1"/>
    <x v="2"/>
    <x v="10"/>
    <x v="1"/>
    <s v="Percent change"/>
    <s v="Units"/>
    <x v="0"/>
    <n v="4.47"/>
  </r>
  <r>
    <n v="1"/>
    <x v="2"/>
    <x v="10"/>
    <x v="1"/>
    <s v="Percent change"/>
    <s v="Units"/>
    <x v="1"/>
    <n v="3.3820000000000001"/>
  </r>
  <r>
    <n v="1"/>
    <x v="2"/>
    <x v="10"/>
    <x v="1"/>
    <s v="Percent change"/>
    <s v="Units"/>
    <x v="2"/>
    <n v="6.694"/>
  </r>
  <r>
    <n v="1"/>
    <x v="2"/>
    <x v="10"/>
    <x v="1"/>
    <s v="Percent change"/>
    <s v="Units"/>
    <x v="3"/>
    <n v="13.75"/>
  </r>
  <r>
    <n v="1"/>
    <x v="2"/>
    <x v="10"/>
    <x v="1"/>
    <s v="Percent change"/>
    <s v="Units"/>
    <x v="4"/>
    <n v="5.859"/>
  </r>
  <r>
    <n v="1"/>
    <x v="2"/>
    <x v="10"/>
    <x v="1"/>
    <s v="Percent change"/>
    <s v="Units"/>
    <x v="5"/>
    <n v="6.87"/>
  </r>
  <r>
    <n v="1"/>
    <x v="2"/>
    <x v="10"/>
    <x v="1"/>
    <s v="Percent change"/>
    <s v="Units"/>
    <x v="6"/>
    <n v="4.548"/>
  </r>
  <r>
    <n v="200"/>
    <x v="3"/>
    <x v="10"/>
    <x v="1"/>
    <s v="Percent change"/>
    <s v="Units"/>
    <x v="0"/>
    <n v="4.47"/>
  </r>
  <r>
    <n v="200"/>
    <x v="3"/>
    <x v="10"/>
    <x v="1"/>
    <s v="Percent change"/>
    <s v="Units"/>
    <x v="1"/>
    <n v="3.3820000000000001"/>
  </r>
  <r>
    <n v="200"/>
    <x v="3"/>
    <x v="10"/>
    <x v="1"/>
    <s v="Percent change"/>
    <s v="Units"/>
    <x v="2"/>
    <n v="6.694"/>
  </r>
  <r>
    <n v="200"/>
    <x v="3"/>
    <x v="10"/>
    <x v="1"/>
    <s v="Percent change"/>
    <s v="Units"/>
    <x v="3"/>
    <n v="13.75"/>
  </r>
  <r>
    <n v="200"/>
    <x v="3"/>
    <x v="10"/>
    <x v="1"/>
    <s v="Percent change"/>
    <s v="Units"/>
    <x v="4"/>
    <n v="5.859"/>
  </r>
  <r>
    <n v="200"/>
    <x v="3"/>
    <x v="10"/>
    <x v="1"/>
    <s v="Percent change"/>
    <s v="Units"/>
    <x v="5"/>
    <n v="6.87"/>
  </r>
  <r>
    <n v="200"/>
    <x v="3"/>
    <x v="10"/>
    <x v="1"/>
    <s v="Percent change"/>
    <s v="Units"/>
    <x v="6"/>
    <n v="4.548"/>
  </r>
  <r>
    <n v="903"/>
    <x v="8"/>
    <x v="10"/>
    <x v="1"/>
    <s v="Percent change"/>
    <s v="Units"/>
    <x v="0"/>
    <n v="4.47"/>
  </r>
  <r>
    <n v="903"/>
    <x v="8"/>
    <x v="10"/>
    <x v="1"/>
    <s v="Percent change"/>
    <s v="Units"/>
    <x v="1"/>
    <n v="3.3820000000000001"/>
  </r>
  <r>
    <n v="903"/>
    <x v="8"/>
    <x v="10"/>
    <x v="1"/>
    <s v="Percent change"/>
    <s v="Units"/>
    <x v="2"/>
    <n v="6.694"/>
  </r>
  <r>
    <n v="903"/>
    <x v="8"/>
    <x v="10"/>
    <x v="1"/>
    <s v="Percent change"/>
    <s v="Units"/>
    <x v="3"/>
    <n v="13.75"/>
  </r>
  <r>
    <n v="903"/>
    <x v="8"/>
    <x v="10"/>
    <x v="1"/>
    <s v="Percent change"/>
    <s v="Units"/>
    <x v="4"/>
    <n v="5.859"/>
  </r>
  <r>
    <n v="903"/>
    <x v="8"/>
    <x v="10"/>
    <x v="1"/>
    <s v="Percent change"/>
    <s v="Units"/>
    <x v="5"/>
    <n v="6.87"/>
  </r>
  <r>
    <n v="903"/>
    <x v="8"/>
    <x v="10"/>
    <x v="1"/>
    <s v="Percent change"/>
    <s v="Units"/>
    <x v="6"/>
    <n v="4.548"/>
  </r>
  <r>
    <n v="1"/>
    <x v="2"/>
    <x v="159"/>
    <x v="0"/>
    <s v="U.S. dollars"/>
    <s v="Billions"/>
    <x v="0"/>
    <n v="5.367"/>
  </r>
  <r>
    <n v="1"/>
    <x v="2"/>
    <x v="159"/>
    <x v="0"/>
    <s v="U.S. dollars"/>
    <s v="Billions"/>
    <x v="1"/>
    <n v="4.78"/>
  </r>
  <r>
    <n v="1"/>
    <x v="2"/>
    <x v="159"/>
    <x v="0"/>
    <s v="U.S. dollars"/>
    <s v="Billions"/>
    <x v="2"/>
    <n v="4.9450000000000003"/>
  </r>
  <r>
    <n v="1"/>
    <x v="2"/>
    <x v="159"/>
    <x v="0"/>
    <s v="U.S. dollars"/>
    <s v="Billions"/>
    <x v="3"/>
    <n v="5.8410000000000002"/>
  </r>
  <r>
    <n v="1"/>
    <x v="2"/>
    <x v="159"/>
    <x v="0"/>
    <s v="U.S. dollars"/>
    <s v="Billions"/>
    <x v="4"/>
    <n v="6.3879999999999999"/>
  </r>
  <r>
    <n v="1"/>
    <x v="2"/>
    <x v="159"/>
    <x v="0"/>
    <s v="U.S. dollars"/>
    <s v="Billions"/>
    <x v="5"/>
    <n v="6.8630000000000004"/>
  </r>
  <r>
    <n v="1"/>
    <x v="2"/>
    <x v="159"/>
    <x v="0"/>
    <s v="U.S. dollars"/>
    <s v="Billions"/>
    <x v="6"/>
    <n v="7.2679999999999998"/>
  </r>
  <r>
    <n v="200"/>
    <x v="3"/>
    <x v="159"/>
    <x v="0"/>
    <s v="U.S. dollars"/>
    <s v="Billions"/>
    <x v="0"/>
    <n v="5.367"/>
  </r>
  <r>
    <n v="200"/>
    <x v="3"/>
    <x v="159"/>
    <x v="0"/>
    <s v="U.S. dollars"/>
    <s v="Billions"/>
    <x v="1"/>
    <n v="4.78"/>
  </r>
  <r>
    <n v="200"/>
    <x v="3"/>
    <x v="159"/>
    <x v="0"/>
    <s v="U.S. dollars"/>
    <s v="Billions"/>
    <x v="2"/>
    <n v="4.9450000000000003"/>
  </r>
  <r>
    <n v="200"/>
    <x v="3"/>
    <x v="159"/>
    <x v="0"/>
    <s v="U.S. dollars"/>
    <s v="Billions"/>
    <x v="3"/>
    <n v="5.8410000000000002"/>
  </r>
  <r>
    <n v="200"/>
    <x v="3"/>
    <x v="159"/>
    <x v="0"/>
    <s v="U.S. dollars"/>
    <s v="Billions"/>
    <x v="4"/>
    <n v="6.3879999999999999"/>
  </r>
  <r>
    <n v="200"/>
    <x v="3"/>
    <x v="159"/>
    <x v="0"/>
    <s v="U.S. dollars"/>
    <s v="Billions"/>
    <x v="5"/>
    <n v="6.8630000000000004"/>
  </r>
  <r>
    <n v="200"/>
    <x v="3"/>
    <x v="159"/>
    <x v="0"/>
    <s v="U.S. dollars"/>
    <s v="Billions"/>
    <x v="6"/>
    <n v="7.2679999999999998"/>
  </r>
  <r>
    <n v="205"/>
    <x v="7"/>
    <x v="159"/>
    <x v="0"/>
    <s v="U.S. dollars"/>
    <s v="Billions"/>
    <x v="0"/>
    <n v="5.367"/>
  </r>
  <r>
    <n v="205"/>
    <x v="7"/>
    <x v="159"/>
    <x v="0"/>
    <s v="U.S. dollars"/>
    <s v="Billions"/>
    <x v="1"/>
    <n v="4.78"/>
  </r>
  <r>
    <n v="205"/>
    <x v="7"/>
    <x v="159"/>
    <x v="0"/>
    <s v="U.S. dollars"/>
    <s v="Billions"/>
    <x v="2"/>
    <n v="4.9450000000000003"/>
  </r>
  <r>
    <n v="205"/>
    <x v="7"/>
    <x v="159"/>
    <x v="0"/>
    <s v="U.S. dollars"/>
    <s v="Billions"/>
    <x v="3"/>
    <n v="5.8410000000000002"/>
  </r>
  <r>
    <n v="205"/>
    <x v="7"/>
    <x v="159"/>
    <x v="0"/>
    <s v="U.S. dollars"/>
    <s v="Billions"/>
    <x v="4"/>
    <n v="6.3879999999999999"/>
  </r>
  <r>
    <n v="205"/>
    <x v="7"/>
    <x v="159"/>
    <x v="0"/>
    <s v="U.S. dollars"/>
    <s v="Billions"/>
    <x v="5"/>
    <n v="6.8630000000000004"/>
  </r>
  <r>
    <n v="205"/>
    <x v="7"/>
    <x v="159"/>
    <x v="0"/>
    <s v="U.S. dollars"/>
    <s v="Billions"/>
    <x v="6"/>
    <n v="7.2679999999999998"/>
  </r>
  <r>
    <n v="200"/>
    <x v="3"/>
    <x v="172"/>
    <x v="6"/>
    <s v="Percent change"/>
    <s v="Units"/>
    <x v="0"/>
    <n v="-4.2210000000000001"/>
  </r>
  <r>
    <n v="200"/>
    <x v="3"/>
    <x v="172"/>
    <x v="6"/>
    <s v="Percent change"/>
    <s v="Units"/>
    <x v="1"/>
    <n v="5.6760000000000002"/>
  </r>
  <r>
    <n v="200"/>
    <x v="3"/>
    <x v="172"/>
    <x v="6"/>
    <s v="Percent change"/>
    <s v="Units"/>
    <x v="2"/>
    <n v="-0.21099999999999999"/>
  </r>
  <r>
    <n v="200"/>
    <x v="3"/>
    <x v="172"/>
    <x v="6"/>
    <s v="Percent change"/>
    <s v="Units"/>
    <x v="3"/>
    <n v="-6.21"/>
  </r>
  <r>
    <n v="200"/>
    <x v="3"/>
    <x v="172"/>
    <x v="6"/>
    <s v="Percent change"/>
    <s v="Units"/>
    <x v="4"/>
    <n v="30.486000000000001"/>
  </r>
  <r>
    <n v="200"/>
    <x v="3"/>
    <x v="172"/>
    <x v="6"/>
    <s v="Percent change"/>
    <s v="Units"/>
    <x v="5"/>
    <n v="6.8380000000000001"/>
  </r>
  <r>
    <n v="200"/>
    <x v="3"/>
    <x v="172"/>
    <x v="6"/>
    <s v="Percent change"/>
    <s v="Units"/>
    <x v="6"/>
    <n v="7.798"/>
  </r>
  <r>
    <n v="1"/>
    <x v="2"/>
    <x v="172"/>
    <x v="6"/>
    <s v="Percent change"/>
    <s v="Units"/>
    <x v="0"/>
    <n v="-4.2210000000000001"/>
  </r>
  <r>
    <n v="1"/>
    <x v="2"/>
    <x v="172"/>
    <x v="6"/>
    <s v="Percent change"/>
    <s v="Units"/>
    <x v="1"/>
    <n v="5.6760000000000002"/>
  </r>
  <r>
    <n v="1"/>
    <x v="2"/>
    <x v="172"/>
    <x v="6"/>
    <s v="Percent change"/>
    <s v="Units"/>
    <x v="2"/>
    <n v="-0.21099999999999999"/>
  </r>
  <r>
    <n v="1"/>
    <x v="2"/>
    <x v="172"/>
    <x v="6"/>
    <s v="Percent change"/>
    <s v="Units"/>
    <x v="3"/>
    <n v="-6.21"/>
  </r>
  <r>
    <n v="1"/>
    <x v="2"/>
    <x v="172"/>
    <x v="6"/>
    <s v="Percent change"/>
    <s v="Units"/>
    <x v="4"/>
    <n v="30.486000000000001"/>
  </r>
  <r>
    <n v="1"/>
    <x v="2"/>
    <x v="172"/>
    <x v="6"/>
    <s v="Percent change"/>
    <s v="Units"/>
    <x v="5"/>
    <n v="6.8380000000000001"/>
  </r>
  <r>
    <n v="1"/>
    <x v="2"/>
    <x v="172"/>
    <x v="6"/>
    <s v="Percent change"/>
    <s v="Units"/>
    <x v="6"/>
    <n v="7.798"/>
  </r>
  <r>
    <n v="603"/>
    <x v="12"/>
    <x v="172"/>
    <x v="6"/>
    <s v="Percent change"/>
    <s v="Units"/>
    <x v="0"/>
    <n v="-4.2210000000000001"/>
  </r>
  <r>
    <n v="603"/>
    <x v="12"/>
    <x v="172"/>
    <x v="6"/>
    <s v="Percent change"/>
    <s v="Units"/>
    <x v="1"/>
    <n v="5.6760000000000002"/>
  </r>
  <r>
    <n v="603"/>
    <x v="12"/>
    <x v="172"/>
    <x v="6"/>
    <s v="Percent change"/>
    <s v="Units"/>
    <x v="2"/>
    <n v="-0.21099999999999999"/>
  </r>
  <r>
    <n v="603"/>
    <x v="12"/>
    <x v="172"/>
    <x v="6"/>
    <s v="Percent change"/>
    <s v="Units"/>
    <x v="3"/>
    <n v="-6.21"/>
  </r>
  <r>
    <n v="603"/>
    <x v="12"/>
    <x v="172"/>
    <x v="6"/>
    <s v="Percent change"/>
    <s v="Units"/>
    <x v="4"/>
    <n v="30.486000000000001"/>
  </r>
  <r>
    <n v="603"/>
    <x v="12"/>
    <x v="172"/>
    <x v="6"/>
    <s v="Percent change"/>
    <s v="Units"/>
    <x v="5"/>
    <n v="6.8380000000000001"/>
  </r>
  <r>
    <n v="603"/>
    <x v="12"/>
    <x v="172"/>
    <x v="6"/>
    <s v="Percent change"/>
    <s v="Units"/>
    <x v="6"/>
    <n v="7.798"/>
  </r>
  <r>
    <n v="1"/>
    <x v="2"/>
    <x v="4"/>
    <x v="8"/>
    <s v="Percent change"/>
    <s v="Units"/>
    <x v="0"/>
    <n v="3.871"/>
  </r>
  <r>
    <n v="1"/>
    <x v="2"/>
    <x v="4"/>
    <x v="8"/>
    <s v="Percent change"/>
    <s v="Units"/>
    <x v="1"/>
    <n v="-5.7779999999999996"/>
  </r>
  <r>
    <n v="1"/>
    <x v="2"/>
    <x v="4"/>
    <x v="8"/>
    <s v="Percent change"/>
    <s v="Units"/>
    <x v="2"/>
    <n v="9.69"/>
  </r>
  <r>
    <n v="1"/>
    <x v="2"/>
    <x v="4"/>
    <x v="8"/>
    <s v="Percent change"/>
    <s v="Units"/>
    <x v="3"/>
    <n v="6.9870000000000001"/>
  </r>
  <r>
    <n v="1"/>
    <x v="2"/>
    <x v="4"/>
    <x v="8"/>
    <s v="Percent change"/>
    <s v="Units"/>
    <x v="4"/>
    <n v="7.827"/>
  </r>
  <r>
    <n v="1"/>
    <x v="2"/>
    <x v="4"/>
    <x v="8"/>
    <s v="Percent change"/>
    <s v="Units"/>
    <x v="5"/>
    <n v="6.8079999999999998"/>
  </r>
  <r>
    <n v="1"/>
    <x v="2"/>
    <x v="4"/>
    <x v="8"/>
    <s v="Percent change"/>
    <s v="Units"/>
    <x v="6"/>
    <n v="6.4580000000000002"/>
  </r>
  <r>
    <n v="200"/>
    <x v="3"/>
    <x v="4"/>
    <x v="8"/>
    <s v="Percent change"/>
    <s v="Units"/>
    <x v="0"/>
    <n v="3.871"/>
  </r>
  <r>
    <n v="200"/>
    <x v="3"/>
    <x v="4"/>
    <x v="8"/>
    <s v="Percent change"/>
    <s v="Units"/>
    <x v="1"/>
    <n v="-5.7779999999999996"/>
  </r>
  <r>
    <n v="200"/>
    <x v="3"/>
    <x v="4"/>
    <x v="8"/>
    <s v="Percent change"/>
    <s v="Units"/>
    <x v="2"/>
    <n v="9.69"/>
  </r>
  <r>
    <n v="200"/>
    <x v="3"/>
    <x v="4"/>
    <x v="8"/>
    <s v="Percent change"/>
    <s v="Units"/>
    <x v="3"/>
    <n v="6.9870000000000001"/>
  </r>
  <r>
    <n v="200"/>
    <x v="3"/>
    <x v="4"/>
    <x v="8"/>
    <s v="Percent change"/>
    <s v="Units"/>
    <x v="4"/>
    <n v="7.827"/>
  </r>
  <r>
    <n v="200"/>
    <x v="3"/>
    <x v="4"/>
    <x v="8"/>
    <s v="Percent change"/>
    <s v="Units"/>
    <x v="5"/>
    <n v="6.8079999999999998"/>
  </r>
  <r>
    <n v="200"/>
    <x v="3"/>
    <x v="4"/>
    <x v="8"/>
    <s v="Percent change"/>
    <s v="Units"/>
    <x v="6"/>
    <n v="6.4580000000000002"/>
  </r>
  <r>
    <n v="505"/>
    <x v="4"/>
    <x v="4"/>
    <x v="8"/>
    <s v="Percent change"/>
    <s v="Units"/>
    <x v="0"/>
    <n v="3.871"/>
  </r>
  <r>
    <n v="505"/>
    <x v="4"/>
    <x v="4"/>
    <x v="8"/>
    <s v="Percent change"/>
    <s v="Units"/>
    <x v="1"/>
    <n v="-5.7779999999999996"/>
  </r>
  <r>
    <n v="505"/>
    <x v="4"/>
    <x v="4"/>
    <x v="8"/>
    <s v="Percent change"/>
    <s v="Units"/>
    <x v="2"/>
    <n v="9.69"/>
  </r>
  <r>
    <n v="505"/>
    <x v="4"/>
    <x v="4"/>
    <x v="8"/>
    <s v="Percent change"/>
    <s v="Units"/>
    <x v="3"/>
    <n v="6.9870000000000001"/>
  </r>
  <r>
    <n v="505"/>
    <x v="4"/>
    <x v="4"/>
    <x v="8"/>
    <s v="Percent change"/>
    <s v="Units"/>
    <x v="4"/>
    <n v="7.827"/>
  </r>
  <r>
    <n v="505"/>
    <x v="4"/>
    <x v="4"/>
    <x v="8"/>
    <s v="Percent change"/>
    <s v="Units"/>
    <x v="5"/>
    <n v="6.8079999999999998"/>
  </r>
  <r>
    <n v="505"/>
    <x v="4"/>
    <x v="4"/>
    <x v="8"/>
    <s v="Percent change"/>
    <s v="Units"/>
    <x v="6"/>
    <n v="6.4580000000000002"/>
  </r>
  <r>
    <n v="200"/>
    <x v="3"/>
    <x v="16"/>
    <x v="4"/>
    <s v="Percent change"/>
    <s v="Units"/>
    <x v="0"/>
    <n v="9.25"/>
  </r>
  <r>
    <n v="200"/>
    <x v="3"/>
    <x v="16"/>
    <x v="4"/>
    <s v="Percent change"/>
    <s v="Units"/>
    <x v="1"/>
    <n v="-15.164"/>
  </r>
  <r>
    <n v="200"/>
    <x v="3"/>
    <x v="16"/>
    <x v="4"/>
    <s v="Percent change"/>
    <s v="Units"/>
    <x v="2"/>
    <n v="32.380000000000003"/>
  </r>
  <r>
    <n v="200"/>
    <x v="3"/>
    <x v="16"/>
    <x v="4"/>
    <s v="Percent change"/>
    <s v="Units"/>
    <x v="3"/>
    <n v="19.143999999999998"/>
  </r>
  <r>
    <n v="200"/>
    <x v="3"/>
    <x v="16"/>
    <x v="4"/>
    <s v="Percent change"/>
    <s v="Units"/>
    <x v="4"/>
    <n v="-4.7690000000000001"/>
  </r>
  <r>
    <n v="200"/>
    <x v="3"/>
    <x v="16"/>
    <x v="4"/>
    <s v="Percent change"/>
    <s v="Units"/>
    <x v="5"/>
    <n v="6.774"/>
  </r>
  <r>
    <n v="200"/>
    <x v="3"/>
    <x v="16"/>
    <x v="4"/>
    <s v="Percent change"/>
    <s v="Units"/>
    <x v="6"/>
    <n v="0.79900000000000004"/>
  </r>
  <r>
    <n v="1"/>
    <x v="2"/>
    <x v="16"/>
    <x v="4"/>
    <s v="Percent change"/>
    <s v="Units"/>
    <x v="0"/>
    <n v="9.25"/>
  </r>
  <r>
    <n v="1"/>
    <x v="2"/>
    <x v="16"/>
    <x v="4"/>
    <s v="Percent change"/>
    <s v="Units"/>
    <x v="1"/>
    <n v="-15.164"/>
  </r>
  <r>
    <n v="1"/>
    <x v="2"/>
    <x v="16"/>
    <x v="4"/>
    <s v="Percent change"/>
    <s v="Units"/>
    <x v="2"/>
    <n v="32.380000000000003"/>
  </r>
  <r>
    <n v="1"/>
    <x v="2"/>
    <x v="16"/>
    <x v="4"/>
    <s v="Percent change"/>
    <s v="Units"/>
    <x v="3"/>
    <n v="19.143999999999998"/>
  </r>
  <r>
    <n v="1"/>
    <x v="2"/>
    <x v="16"/>
    <x v="4"/>
    <s v="Percent change"/>
    <s v="Units"/>
    <x v="4"/>
    <n v="-4.7690000000000001"/>
  </r>
  <r>
    <n v="1"/>
    <x v="2"/>
    <x v="16"/>
    <x v="4"/>
    <s v="Percent change"/>
    <s v="Units"/>
    <x v="5"/>
    <n v="6.774"/>
  </r>
  <r>
    <n v="1"/>
    <x v="2"/>
    <x v="16"/>
    <x v="4"/>
    <s v="Percent change"/>
    <s v="Units"/>
    <x v="6"/>
    <n v="0.79900000000000004"/>
  </r>
  <r>
    <n v="903"/>
    <x v="8"/>
    <x v="16"/>
    <x v="4"/>
    <s v="Percent change"/>
    <s v="Units"/>
    <x v="0"/>
    <n v="9.25"/>
  </r>
  <r>
    <n v="903"/>
    <x v="8"/>
    <x v="16"/>
    <x v="4"/>
    <s v="Percent change"/>
    <s v="Units"/>
    <x v="1"/>
    <n v="-15.164"/>
  </r>
  <r>
    <n v="903"/>
    <x v="8"/>
    <x v="16"/>
    <x v="4"/>
    <s v="Percent change"/>
    <s v="Units"/>
    <x v="2"/>
    <n v="32.380000000000003"/>
  </r>
  <r>
    <n v="903"/>
    <x v="8"/>
    <x v="16"/>
    <x v="4"/>
    <s v="Percent change"/>
    <s v="Units"/>
    <x v="3"/>
    <n v="19.143999999999998"/>
  </r>
  <r>
    <n v="903"/>
    <x v="8"/>
    <x v="16"/>
    <x v="4"/>
    <s v="Percent change"/>
    <s v="Units"/>
    <x v="4"/>
    <n v="-4.7690000000000001"/>
  </r>
  <r>
    <n v="903"/>
    <x v="8"/>
    <x v="16"/>
    <x v="4"/>
    <s v="Percent change"/>
    <s v="Units"/>
    <x v="5"/>
    <n v="6.774"/>
  </r>
  <r>
    <n v="903"/>
    <x v="8"/>
    <x v="16"/>
    <x v="4"/>
    <s v="Percent change"/>
    <s v="Units"/>
    <x v="6"/>
    <n v="0.79900000000000004"/>
  </r>
  <r>
    <n v="603"/>
    <x v="12"/>
    <x v="89"/>
    <x v="5"/>
    <s v="Percent of GDP"/>
    <s v="Units"/>
    <x v="0"/>
    <n v="10.058"/>
  </r>
  <r>
    <n v="603"/>
    <x v="12"/>
    <x v="89"/>
    <x v="5"/>
    <s v="Percent of GDP"/>
    <s v="Units"/>
    <x v="1"/>
    <n v="9.4960000000000004"/>
  </r>
  <r>
    <n v="603"/>
    <x v="12"/>
    <x v="89"/>
    <x v="5"/>
    <s v="Percent of GDP"/>
    <s v="Units"/>
    <x v="2"/>
    <n v="12.885"/>
  </r>
  <r>
    <n v="603"/>
    <x v="12"/>
    <x v="89"/>
    <x v="5"/>
    <s v="Percent of GDP"/>
    <s v="Units"/>
    <x v="3"/>
    <n v="6.8380000000000001"/>
  </r>
  <r>
    <n v="603"/>
    <x v="12"/>
    <x v="89"/>
    <x v="5"/>
    <s v="Percent of GDP"/>
    <s v="Units"/>
    <x v="4"/>
    <n v="5.1689999999999996"/>
  </r>
  <r>
    <n v="603"/>
    <x v="12"/>
    <x v="89"/>
    <x v="5"/>
    <s v="Percent of GDP"/>
    <s v="Units"/>
    <x v="5"/>
    <n v="6.75"/>
  </r>
  <r>
    <n v="603"/>
    <x v="12"/>
    <x v="89"/>
    <x v="5"/>
    <s v="Percent of GDP"/>
    <s v="Units"/>
    <x v="6"/>
    <n v="9.3190000000000008"/>
  </r>
  <r>
    <n v="200"/>
    <x v="3"/>
    <x v="89"/>
    <x v="5"/>
    <s v="Percent of GDP"/>
    <s v="Units"/>
    <x v="0"/>
    <n v="10.058"/>
  </r>
  <r>
    <n v="200"/>
    <x v="3"/>
    <x v="89"/>
    <x v="5"/>
    <s v="Percent of GDP"/>
    <s v="Units"/>
    <x v="1"/>
    <n v="9.4960000000000004"/>
  </r>
  <r>
    <n v="200"/>
    <x v="3"/>
    <x v="89"/>
    <x v="5"/>
    <s v="Percent of GDP"/>
    <s v="Units"/>
    <x v="2"/>
    <n v="12.885"/>
  </r>
  <r>
    <n v="200"/>
    <x v="3"/>
    <x v="89"/>
    <x v="5"/>
    <s v="Percent of GDP"/>
    <s v="Units"/>
    <x v="3"/>
    <n v="6.8380000000000001"/>
  </r>
  <r>
    <n v="200"/>
    <x v="3"/>
    <x v="89"/>
    <x v="5"/>
    <s v="Percent of GDP"/>
    <s v="Units"/>
    <x v="4"/>
    <n v="5.1689999999999996"/>
  </r>
  <r>
    <n v="200"/>
    <x v="3"/>
    <x v="89"/>
    <x v="5"/>
    <s v="Percent of GDP"/>
    <s v="Units"/>
    <x v="5"/>
    <n v="6.75"/>
  </r>
  <r>
    <n v="200"/>
    <x v="3"/>
    <x v="89"/>
    <x v="5"/>
    <s v="Percent of GDP"/>
    <s v="Units"/>
    <x v="6"/>
    <n v="9.3190000000000008"/>
  </r>
  <r>
    <n v="1"/>
    <x v="2"/>
    <x v="89"/>
    <x v="5"/>
    <s v="Percent of GDP"/>
    <s v="Units"/>
    <x v="0"/>
    <n v="10.058"/>
  </r>
  <r>
    <n v="1"/>
    <x v="2"/>
    <x v="89"/>
    <x v="5"/>
    <s v="Percent of GDP"/>
    <s v="Units"/>
    <x v="1"/>
    <n v="9.4960000000000004"/>
  </r>
  <r>
    <n v="1"/>
    <x v="2"/>
    <x v="89"/>
    <x v="5"/>
    <s v="Percent of GDP"/>
    <s v="Units"/>
    <x v="2"/>
    <n v="12.885"/>
  </r>
  <r>
    <n v="1"/>
    <x v="2"/>
    <x v="89"/>
    <x v="5"/>
    <s v="Percent of GDP"/>
    <s v="Units"/>
    <x v="3"/>
    <n v="6.8380000000000001"/>
  </r>
  <r>
    <n v="1"/>
    <x v="2"/>
    <x v="89"/>
    <x v="5"/>
    <s v="Percent of GDP"/>
    <s v="Units"/>
    <x v="4"/>
    <n v="5.1689999999999996"/>
  </r>
  <r>
    <n v="1"/>
    <x v="2"/>
    <x v="89"/>
    <x v="5"/>
    <s v="Percent of GDP"/>
    <s v="Units"/>
    <x v="5"/>
    <n v="6.75"/>
  </r>
  <r>
    <n v="1"/>
    <x v="2"/>
    <x v="89"/>
    <x v="5"/>
    <s v="Percent of GDP"/>
    <s v="Units"/>
    <x v="6"/>
    <n v="9.3190000000000008"/>
  </r>
  <r>
    <n v="400"/>
    <x v="11"/>
    <x v="60"/>
    <x v="2"/>
    <s v="Percent of GDP"/>
    <s v="Units"/>
    <x v="0"/>
    <n v="7.84"/>
  </r>
  <r>
    <n v="400"/>
    <x v="11"/>
    <x v="60"/>
    <x v="2"/>
    <s v="Percent of GDP"/>
    <s v="Units"/>
    <x v="1"/>
    <n v="4.8099999999999996"/>
  </r>
  <r>
    <n v="400"/>
    <x v="11"/>
    <x v="60"/>
    <x v="2"/>
    <s v="Percent of GDP"/>
    <s v="Units"/>
    <x v="2"/>
    <n v="9.4570000000000007"/>
  </r>
  <r>
    <n v="400"/>
    <x v="11"/>
    <x v="60"/>
    <x v="2"/>
    <s v="Percent of GDP"/>
    <s v="Units"/>
    <x v="3"/>
    <n v="15.58"/>
  </r>
  <r>
    <n v="400"/>
    <x v="11"/>
    <x v="60"/>
    <x v="2"/>
    <s v="Percent of GDP"/>
    <s v="Units"/>
    <x v="4"/>
    <n v="5.28"/>
  </r>
  <r>
    <n v="400"/>
    <x v="11"/>
    <x v="60"/>
    <x v="2"/>
    <s v="Percent of GDP"/>
    <s v="Units"/>
    <x v="5"/>
    <n v="6.7110000000000003"/>
  </r>
  <r>
    <n v="400"/>
    <x v="11"/>
    <x v="60"/>
    <x v="2"/>
    <s v="Percent of GDP"/>
    <s v="Units"/>
    <x v="6"/>
    <n v="9.9730000000000008"/>
  </r>
  <r>
    <n v="200"/>
    <x v="3"/>
    <x v="60"/>
    <x v="2"/>
    <s v="Percent of GDP"/>
    <s v="Units"/>
    <x v="0"/>
    <n v="7.84"/>
  </r>
  <r>
    <n v="200"/>
    <x v="3"/>
    <x v="60"/>
    <x v="2"/>
    <s v="Percent of GDP"/>
    <s v="Units"/>
    <x v="1"/>
    <n v="4.8099999999999996"/>
  </r>
  <r>
    <n v="200"/>
    <x v="3"/>
    <x v="60"/>
    <x v="2"/>
    <s v="Percent of GDP"/>
    <s v="Units"/>
    <x v="2"/>
    <n v="9.4570000000000007"/>
  </r>
  <r>
    <n v="200"/>
    <x v="3"/>
    <x v="60"/>
    <x v="2"/>
    <s v="Percent of GDP"/>
    <s v="Units"/>
    <x v="3"/>
    <n v="15.58"/>
  </r>
  <r>
    <n v="200"/>
    <x v="3"/>
    <x v="60"/>
    <x v="2"/>
    <s v="Percent of GDP"/>
    <s v="Units"/>
    <x v="4"/>
    <n v="5.28"/>
  </r>
  <r>
    <n v="200"/>
    <x v="3"/>
    <x v="60"/>
    <x v="2"/>
    <s v="Percent of GDP"/>
    <s v="Units"/>
    <x v="5"/>
    <n v="6.7110000000000003"/>
  </r>
  <r>
    <n v="200"/>
    <x v="3"/>
    <x v="60"/>
    <x v="2"/>
    <s v="Percent of GDP"/>
    <s v="Units"/>
    <x v="6"/>
    <n v="9.9730000000000008"/>
  </r>
  <r>
    <n v="1"/>
    <x v="2"/>
    <x v="119"/>
    <x v="1"/>
    <s v="Percent change"/>
    <s v="Units"/>
    <x v="0"/>
    <n v="1.1359999999999999"/>
  </r>
  <r>
    <n v="1"/>
    <x v="2"/>
    <x v="119"/>
    <x v="1"/>
    <s v="Percent change"/>
    <s v="Units"/>
    <x v="1"/>
    <n v="6.3230000000000004"/>
  </r>
  <r>
    <n v="1"/>
    <x v="2"/>
    <x v="119"/>
    <x v="1"/>
    <s v="Percent change"/>
    <s v="Units"/>
    <x v="2"/>
    <n v="11.907999999999999"/>
  </r>
  <r>
    <n v="1"/>
    <x v="2"/>
    <x v="119"/>
    <x v="1"/>
    <s v="Percent change"/>
    <s v="Units"/>
    <x v="3"/>
    <n v="13.91"/>
  </r>
  <r>
    <n v="1"/>
    <x v="2"/>
    <x v="119"/>
    <x v="1"/>
    <s v="Percent change"/>
    <s v="Units"/>
    <x v="4"/>
    <n v="10.797000000000001"/>
  </r>
  <r>
    <n v="1"/>
    <x v="2"/>
    <x v="119"/>
    <x v="1"/>
    <s v="Percent change"/>
    <s v="Units"/>
    <x v="5"/>
    <n v="6.6870000000000003"/>
  </r>
  <r>
    <n v="1"/>
    <x v="2"/>
    <x v="119"/>
    <x v="1"/>
    <s v="Percent change"/>
    <s v="Units"/>
    <x v="6"/>
    <n v="6.625"/>
  </r>
  <r>
    <n v="200"/>
    <x v="3"/>
    <x v="119"/>
    <x v="1"/>
    <s v="Percent change"/>
    <s v="Units"/>
    <x v="0"/>
    <n v="1.1359999999999999"/>
  </r>
  <r>
    <n v="200"/>
    <x v="3"/>
    <x v="119"/>
    <x v="1"/>
    <s v="Percent change"/>
    <s v="Units"/>
    <x v="1"/>
    <n v="6.3230000000000004"/>
  </r>
  <r>
    <n v="200"/>
    <x v="3"/>
    <x v="119"/>
    <x v="1"/>
    <s v="Percent change"/>
    <s v="Units"/>
    <x v="2"/>
    <n v="11.907999999999999"/>
  </r>
  <r>
    <n v="200"/>
    <x v="3"/>
    <x v="119"/>
    <x v="1"/>
    <s v="Percent change"/>
    <s v="Units"/>
    <x v="3"/>
    <n v="13.91"/>
  </r>
  <r>
    <n v="200"/>
    <x v="3"/>
    <x v="119"/>
    <x v="1"/>
    <s v="Percent change"/>
    <s v="Units"/>
    <x v="4"/>
    <n v="10.797000000000001"/>
  </r>
  <r>
    <n v="200"/>
    <x v="3"/>
    <x v="119"/>
    <x v="1"/>
    <s v="Percent change"/>
    <s v="Units"/>
    <x v="5"/>
    <n v="6.6870000000000003"/>
  </r>
  <r>
    <n v="200"/>
    <x v="3"/>
    <x v="119"/>
    <x v="1"/>
    <s v="Percent change"/>
    <s v="Units"/>
    <x v="6"/>
    <n v="6.625"/>
  </r>
  <r>
    <n v="400"/>
    <x v="11"/>
    <x v="119"/>
    <x v="1"/>
    <s v="Percent change"/>
    <s v="Units"/>
    <x v="0"/>
    <n v="1.1359999999999999"/>
  </r>
  <r>
    <n v="400"/>
    <x v="11"/>
    <x v="119"/>
    <x v="1"/>
    <s v="Percent change"/>
    <s v="Units"/>
    <x v="1"/>
    <n v="6.3230000000000004"/>
  </r>
  <r>
    <n v="400"/>
    <x v="11"/>
    <x v="119"/>
    <x v="1"/>
    <s v="Percent change"/>
    <s v="Units"/>
    <x v="2"/>
    <n v="11.907999999999999"/>
  </r>
  <r>
    <n v="400"/>
    <x v="11"/>
    <x v="119"/>
    <x v="1"/>
    <s v="Percent change"/>
    <s v="Units"/>
    <x v="3"/>
    <n v="13.91"/>
  </r>
  <r>
    <n v="400"/>
    <x v="11"/>
    <x v="119"/>
    <x v="1"/>
    <s v="Percent change"/>
    <s v="Units"/>
    <x v="4"/>
    <n v="10.797000000000001"/>
  </r>
  <r>
    <n v="400"/>
    <x v="11"/>
    <x v="119"/>
    <x v="1"/>
    <s v="Percent change"/>
    <s v="Units"/>
    <x v="5"/>
    <n v="6.6870000000000003"/>
  </r>
  <r>
    <n v="400"/>
    <x v="11"/>
    <x v="119"/>
    <x v="1"/>
    <s v="Percent change"/>
    <s v="Units"/>
    <x v="6"/>
    <n v="6.625"/>
  </r>
  <r>
    <n v="123"/>
    <x v="9"/>
    <x v="67"/>
    <x v="11"/>
    <s v="Percent of total labor force"/>
    <s v="Units"/>
    <x v="0"/>
    <n v="8.3000000000000007"/>
  </r>
  <r>
    <n v="123"/>
    <x v="9"/>
    <x v="67"/>
    <x v="11"/>
    <s v="Percent of total labor force"/>
    <s v="Units"/>
    <x v="1"/>
    <n v="8.8000000000000007"/>
  </r>
  <r>
    <n v="123"/>
    <x v="9"/>
    <x v="67"/>
    <x v="11"/>
    <s v="Percent of total labor force"/>
    <s v="Units"/>
    <x v="2"/>
    <n v="8"/>
  </r>
  <r>
    <n v="123"/>
    <x v="9"/>
    <x v="67"/>
    <x v="11"/>
    <s v="Percent of total labor force"/>
    <s v="Units"/>
    <x v="3"/>
    <n v="6"/>
  </r>
  <r>
    <n v="123"/>
    <x v="9"/>
    <x v="67"/>
    <x v="11"/>
    <s v="Percent of total labor force"/>
    <s v="Units"/>
    <x v="4"/>
    <n v="6.8520000000000003"/>
  </r>
  <r>
    <n v="123"/>
    <x v="9"/>
    <x v="67"/>
    <x v="11"/>
    <s v="Percent of total labor force"/>
    <s v="Units"/>
    <x v="5"/>
    <n v="6.6769999999999996"/>
  </r>
  <r>
    <n v="123"/>
    <x v="9"/>
    <x v="67"/>
    <x v="11"/>
    <s v="Percent of total labor force"/>
    <s v="Units"/>
    <x v="6"/>
    <n v="6.5519999999999996"/>
  </r>
  <r>
    <n v="110"/>
    <x v="0"/>
    <x v="67"/>
    <x v="11"/>
    <s v="Percent of total labor force"/>
    <s v="Units"/>
    <x v="0"/>
    <n v="8.3000000000000007"/>
  </r>
  <r>
    <n v="110"/>
    <x v="0"/>
    <x v="67"/>
    <x v="11"/>
    <s v="Percent of total labor force"/>
    <s v="Units"/>
    <x v="1"/>
    <n v="8.8000000000000007"/>
  </r>
  <r>
    <n v="110"/>
    <x v="0"/>
    <x v="67"/>
    <x v="11"/>
    <s v="Percent of total labor force"/>
    <s v="Units"/>
    <x v="2"/>
    <n v="8"/>
  </r>
  <r>
    <n v="110"/>
    <x v="0"/>
    <x v="67"/>
    <x v="11"/>
    <s v="Percent of total labor force"/>
    <s v="Units"/>
    <x v="3"/>
    <n v="6"/>
  </r>
  <r>
    <n v="110"/>
    <x v="0"/>
    <x v="67"/>
    <x v="11"/>
    <s v="Percent of total labor force"/>
    <s v="Units"/>
    <x v="4"/>
    <n v="6.8520000000000003"/>
  </r>
  <r>
    <n v="110"/>
    <x v="0"/>
    <x v="67"/>
    <x v="11"/>
    <s v="Percent of total labor force"/>
    <s v="Units"/>
    <x v="5"/>
    <n v="6.6769999999999996"/>
  </r>
  <r>
    <n v="110"/>
    <x v="0"/>
    <x v="67"/>
    <x v="11"/>
    <s v="Percent of total labor force"/>
    <s v="Units"/>
    <x v="6"/>
    <n v="6.5519999999999996"/>
  </r>
  <r>
    <n v="200"/>
    <x v="3"/>
    <x v="176"/>
    <x v="9"/>
    <s v="Percent of GDP"/>
    <s v="Units"/>
    <x v="0"/>
    <n v="-1.994"/>
  </r>
  <r>
    <n v="200"/>
    <x v="3"/>
    <x v="176"/>
    <x v="9"/>
    <s v="Percent of GDP"/>
    <s v="Units"/>
    <x v="1"/>
    <n v="-2.1110000000000002"/>
  </r>
  <r>
    <n v="200"/>
    <x v="3"/>
    <x v="176"/>
    <x v="9"/>
    <s v="Percent of GDP"/>
    <s v="Units"/>
    <x v="2"/>
    <n v="-2.347"/>
  </r>
  <r>
    <n v="200"/>
    <x v="3"/>
    <x v="176"/>
    <x v="9"/>
    <s v="Percent of GDP"/>
    <s v="Units"/>
    <x v="3"/>
    <n v="-1.754"/>
  </r>
  <r>
    <n v="200"/>
    <x v="3"/>
    <x v="176"/>
    <x v="9"/>
    <s v="Percent of GDP"/>
    <s v="Units"/>
    <x v="4"/>
    <n v="0.82099999999999995"/>
  </r>
  <r>
    <n v="200"/>
    <x v="3"/>
    <x v="176"/>
    <x v="9"/>
    <s v="Percent of GDP"/>
    <s v="Units"/>
    <x v="5"/>
    <n v="6.6740000000000004"/>
  </r>
  <r>
    <n v="200"/>
    <x v="3"/>
    <x v="176"/>
    <x v="9"/>
    <s v="Percent of GDP"/>
    <s v="Units"/>
    <x v="6"/>
    <n v="-0.90500000000000003"/>
  </r>
  <r>
    <n v="205"/>
    <x v="7"/>
    <x v="176"/>
    <x v="9"/>
    <s v="Percent of GDP"/>
    <s v="Units"/>
    <x v="0"/>
    <n v="-1.994"/>
  </r>
  <r>
    <n v="205"/>
    <x v="7"/>
    <x v="176"/>
    <x v="9"/>
    <s v="Percent of GDP"/>
    <s v="Units"/>
    <x v="1"/>
    <n v="-2.1110000000000002"/>
  </r>
  <r>
    <n v="205"/>
    <x v="7"/>
    <x v="176"/>
    <x v="9"/>
    <s v="Percent of GDP"/>
    <s v="Units"/>
    <x v="2"/>
    <n v="-2.347"/>
  </r>
  <r>
    <n v="205"/>
    <x v="7"/>
    <x v="176"/>
    <x v="9"/>
    <s v="Percent of GDP"/>
    <s v="Units"/>
    <x v="3"/>
    <n v="-1.754"/>
  </r>
  <r>
    <n v="205"/>
    <x v="7"/>
    <x v="176"/>
    <x v="9"/>
    <s v="Percent of GDP"/>
    <s v="Units"/>
    <x v="4"/>
    <n v="0.82099999999999995"/>
  </r>
  <r>
    <n v="205"/>
    <x v="7"/>
    <x v="176"/>
    <x v="9"/>
    <s v="Percent of GDP"/>
    <s v="Units"/>
    <x v="5"/>
    <n v="6.6740000000000004"/>
  </r>
  <r>
    <n v="205"/>
    <x v="7"/>
    <x v="176"/>
    <x v="9"/>
    <s v="Percent of GDP"/>
    <s v="Units"/>
    <x v="6"/>
    <n v="-0.90500000000000003"/>
  </r>
  <r>
    <n v="1"/>
    <x v="2"/>
    <x v="81"/>
    <x v="6"/>
    <s v="Percent change"/>
    <s v="Units"/>
    <x v="0"/>
    <n v="-3.1150000000000002"/>
  </r>
  <r>
    <n v="1"/>
    <x v="2"/>
    <x v="81"/>
    <x v="6"/>
    <s v="Percent change"/>
    <s v="Units"/>
    <x v="1"/>
    <n v="-12.218"/>
  </r>
  <r>
    <n v="1"/>
    <x v="2"/>
    <x v="81"/>
    <x v="6"/>
    <s v="Percent change"/>
    <s v="Units"/>
    <x v="2"/>
    <n v="17.597000000000001"/>
  </r>
  <r>
    <n v="1"/>
    <x v="2"/>
    <x v="81"/>
    <x v="6"/>
    <s v="Percent change"/>
    <s v="Units"/>
    <x v="3"/>
    <n v="12.622"/>
  </r>
  <r>
    <n v="1"/>
    <x v="2"/>
    <x v="81"/>
    <x v="6"/>
    <s v="Percent change"/>
    <s v="Units"/>
    <x v="4"/>
    <n v="3.3479999999999999"/>
  </r>
  <r>
    <n v="1"/>
    <x v="2"/>
    <x v="81"/>
    <x v="6"/>
    <s v="Percent change"/>
    <s v="Units"/>
    <x v="5"/>
    <n v="6.6289999999999996"/>
  </r>
  <r>
    <n v="1"/>
    <x v="2"/>
    <x v="81"/>
    <x v="6"/>
    <s v="Percent change"/>
    <s v="Units"/>
    <x v="6"/>
    <n v="4.8520000000000003"/>
  </r>
  <r>
    <n v="205"/>
    <x v="7"/>
    <x v="81"/>
    <x v="6"/>
    <s v="Percent change"/>
    <s v="Units"/>
    <x v="0"/>
    <n v="-3.1150000000000002"/>
  </r>
  <r>
    <n v="205"/>
    <x v="7"/>
    <x v="81"/>
    <x v="6"/>
    <s v="Percent change"/>
    <s v="Units"/>
    <x v="1"/>
    <n v="-12.218"/>
  </r>
  <r>
    <n v="205"/>
    <x v="7"/>
    <x v="81"/>
    <x v="6"/>
    <s v="Percent change"/>
    <s v="Units"/>
    <x v="2"/>
    <n v="17.597000000000001"/>
  </r>
  <r>
    <n v="205"/>
    <x v="7"/>
    <x v="81"/>
    <x v="6"/>
    <s v="Percent change"/>
    <s v="Units"/>
    <x v="3"/>
    <n v="12.622"/>
  </r>
  <r>
    <n v="205"/>
    <x v="7"/>
    <x v="81"/>
    <x v="6"/>
    <s v="Percent change"/>
    <s v="Units"/>
    <x v="4"/>
    <n v="3.3479999999999999"/>
  </r>
  <r>
    <n v="205"/>
    <x v="7"/>
    <x v="81"/>
    <x v="6"/>
    <s v="Percent change"/>
    <s v="Units"/>
    <x v="5"/>
    <n v="6.6289999999999996"/>
  </r>
  <r>
    <n v="205"/>
    <x v="7"/>
    <x v="81"/>
    <x v="6"/>
    <s v="Percent change"/>
    <s v="Units"/>
    <x v="6"/>
    <n v="4.8520000000000003"/>
  </r>
  <r>
    <n v="200"/>
    <x v="3"/>
    <x v="81"/>
    <x v="6"/>
    <s v="Percent change"/>
    <s v="Units"/>
    <x v="0"/>
    <n v="-3.1150000000000002"/>
  </r>
  <r>
    <n v="200"/>
    <x v="3"/>
    <x v="81"/>
    <x v="6"/>
    <s v="Percent change"/>
    <s v="Units"/>
    <x v="1"/>
    <n v="-12.218"/>
  </r>
  <r>
    <n v="200"/>
    <x v="3"/>
    <x v="81"/>
    <x v="6"/>
    <s v="Percent change"/>
    <s v="Units"/>
    <x v="2"/>
    <n v="17.597000000000001"/>
  </r>
  <r>
    <n v="200"/>
    <x v="3"/>
    <x v="81"/>
    <x v="6"/>
    <s v="Percent change"/>
    <s v="Units"/>
    <x v="3"/>
    <n v="12.622"/>
  </r>
  <r>
    <n v="200"/>
    <x v="3"/>
    <x v="81"/>
    <x v="6"/>
    <s v="Percent change"/>
    <s v="Units"/>
    <x v="4"/>
    <n v="3.3479999999999999"/>
  </r>
  <r>
    <n v="200"/>
    <x v="3"/>
    <x v="81"/>
    <x v="6"/>
    <s v="Percent change"/>
    <s v="Units"/>
    <x v="5"/>
    <n v="6.6289999999999996"/>
  </r>
  <r>
    <n v="200"/>
    <x v="3"/>
    <x v="81"/>
    <x v="6"/>
    <s v="Percent change"/>
    <s v="Units"/>
    <x v="6"/>
    <n v="4.8520000000000003"/>
  </r>
  <r>
    <n v="200"/>
    <x v="3"/>
    <x v="71"/>
    <x v="1"/>
    <s v="Percent change"/>
    <s v="Units"/>
    <x v="0"/>
    <n v="5.24"/>
  </r>
  <r>
    <n v="200"/>
    <x v="3"/>
    <x v="71"/>
    <x v="1"/>
    <s v="Percent change"/>
    <s v="Units"/>
    <x v="1"/>
    <n v="5.29"/>
  </r>
  <r>
    <n v="200"/>
    <x v="3"/>
    <x v="71"/>
    <x v="1"/>
    <s v="Percent change"/>
    <s v="Units"/>
    <x v="2"/>
    <n v="6.109"/>
  </r>
  <r>
    <n v="200"/>
    <x v="3"/>
    <x v="71"/>
    <x v="1"/>
    <s v="Percent change"/>
    <s v="Units"/>
    <x v="3"/>
    <n v="7.6479999999999997"/>
  </r>
  <r>
    <n v="200"/>
    <x v="3"/>
    <x v="71"/>
    <x v="1"/>
    <s v="Percent change"/>
    <s v="Units"/>
    <x v="4"/>
    <n v="7.6749999999999998"/>
  </r>
  <r>
    <n v="200"/>
    <x v="3"/>
    <x v="71"/>
    <x v="1"/>
    <s v="Percent change"/>
    <s v="Units"/>
    <x v="5"/>
    <n v="6.601"/>
  </r>
  <r>
    <n v="200"/>
    <x v="3"/>
    <x v="71"/>
    <x v="1"/>
    <s v="Percent change"/>
    <s v="Units"/>
    <x v="6"/>
    <n v="5.4880000000000004"/>
  </r>
  <r>
    <n v="603"/>
    <x v="12"/>
    <x v="71"/>
    <x v="1"/>
    <s v="Percent change"/>
    <s v="Units"/>
    <x v="0"/>
    <n v="5.24"/>
  </r>
  <r>
    <n v="603"/>
    <x v="12"/>
    <x v="71"/>
    <x v="1"/>
    <s v="Percent change"/>
    <s v="Units"/>
    <x v="1"/>
    <n v="5.29"/>
  </r>
  <r>
    <n v="603"/>
    <x v="12"/>
    <x v="71"/>
    <x v="1"/>
    <s v="Percent change"/>
    <s v="Units"/>
    <x v="2"/>
    <n v="6.109"/>
  </r>
  <r>
    <n v="603"/>
    <x v="12"/>
    <x v="71"/>
    <x v="1"/>
    <s v="Percent change"/>
    <s v="Units"/>
    <x v="3"/>
    <n v="7.6479999999999997"/>
  </r>
  <r>
    <n v="603"/>
    <x v="12"/>
    <x v="71"/>
    <x v="1"/>
    <s v="Percent change"/>
    <s v="Units"/>
    <x v="4"/>
    <n v="7.6749999999999998"/>
  </r>
  <r>
    <n v="603"/>
    <x v="12"/>
    <x v="71"/>
    <x v="1"/>
    <s v="Percent change"/>
    <s v="Units"/>
    <x v="5"/>
    <n v="6.601"/>
  </r>
  <r>
    <n v="603"/>
    <x v="12"/>
    <x v="71"/>
    <x v="1"/>
    <s v="Percent change"/>
    <s v="Units"/>
    <x v="6"/>
    <n v="5.4880000000000004"/>
  </r>
  <r>
    <n v="1"/>
    <x v="2"/>
    <x v="71"/>
    <x v="1"/>
    <s v="Percent change"/>
    <s v="Units"/>
    <x v="0"/>
    <n v="5.24"/>
  </r>
  <r>
    <n v="1"/>
    <x v="2"/>
    <x v="71"/>
    <x v="1"/>
    <s v="Percent change"/>
    <s v="Units"/>
    <x v="1"/>
    <n v="5.29"/>
  </r>
  <r>
    <n v="1"/>
    <x v="2"/>
    <x v="71"/>
    <x v="1"/>
    <s v="Percent change"/>
    <s v="Units"/>
    <x v="2"/>
    <n v="6.109"/>
  </r>
  <r>
    <n v="1"/>
    <x v="2"/>
    <x v="71"/>
    <x v="1"/>
    <s v="Percent change"/>
    <s v="Units"/>
    <x v="3"/>
    <n v="7.6479999999999997"/>
  </r>
  <r>
    <n v="1"/>
    <x v="2"/>
    <x v="71"/>
    <x v="1"/>
    <s v="Percent change"/>
    <s v="Units"/>
    <x v="4"/>
    <n v="7.6749999999999998"/>
  </r>
  <r>
    <n v="1"/>
    <x v="2"/>
    <x v="71"/>
    <x v="1"/>
    <s v="Percent change"/>
    <s v="Units"/>
    <x v="5"/>
    <n v="6.601"/>
  </r>
  <r>
    <n v="1"/>
    <x v="2"/>
    <x v="71"/>
    <x v="1"/>
    <s v="Percent change"/>
    <s v="Units"/>
    <x v="6"/>
    <n v="5.4880000000000004"/>
  </r>
  <r>
    <n v="603"/>
    <x v="12"/>
    <x v="153"/>
    <x v="6"/>
    <s v="Percent change"/>
    <s v="Units"/>
    <x v="0"/>
    <n v="-7.5339999999999998"/>
  </r>
  <r>
    <n v="603"/>
    <x v="12"/>
    <x v="153"/>
    <x v="6"/>
    <s v="Percent change"/>
    <s v="Units"/>
    <x v="1"/>
    <n v="-20.417999999999999"/>
  </r>
  <r>
    <n v="603"/>
    <x v="12"/>
    <x v="153"/>
    <x v="6"/>
    <s v="Percent change"/>
    <s v="Units"/>
    <x v="2"/>
    <n v="-3.1259999999999999"/>
  </r>
  <r>
    <n v="603"/>
    <x v="12"/>
    <x v="153"/>
    <x v="6"/>
    <s v="Percent change"/>
    <s v="Units"/>
    <x v="3"/>
    <n v="36.654000000000003"/>
  </r>
  <r>
    <n v="603"/>
    <x v="12"/>
    <x v="153"/>
    <x v="6"/>
    <s v="Percent change"/>
    <s v="Units"/>
    <x v="4"/>
    <n v="14.025"/>
  </r>
  <r>
    <n v="603"/>
    <x v="12"/>
    <x v="153"/>
    <x v="6"/>
    <s v="Percent change"/>
    <s v="Units"/>
    <x v="5"/>
    <n v="6.5469999999999997"/>
  </r>
  <r>
    <n v="603"/>
    <x v="12"/>
    <x v="153"/>
    <x v="6"/>
    <s v="Percent change"/>
    <s v="Units"/>
    <x v="6"/>
    <n v="4.6379999999999999"/>
  </r>
  <r>
    <n v="200"/>
    <x v="3"/>
    <x v="153"/>
    <x v="6"/>
    <s v="Percent change"/>
    <s v="Units"/>
    <x v="0"/>
    <n v="-7.5339999999999998"/>
  </r>
  <r>
    <n v="200"/>
    <x v="3"/>
    <x v="153"/>
    <x v="6"/>
    <s v="Percent change"/>
    <s v="Units"/>
    <x v="1"/>
    <n v="-20.417999999999999"/>
  </r>
  <r>
    <n v="200"/>
    <x v="3"/>
    <x v="153"/>
    <x v="6"/>
    <s v="Percent change"/>
    <s v="Units"/>
    <x v="2"/>
    <n v="-3.1259999999999999"/>
  </r>
  <r>
    <n v="200"/>
    <x v="3"/>
    <x v="153"/>
    <x v="6"/>
    <s v="Percent change"/>
    <s v="Units"/>
    <x v="3"/>
    <n v="36.654000000000003"/>
  </r>
  <r>
    <n v="200"/>
    <x v="3"/>
    <x v="153"/>
    <x v="6"/>
    <s v="Percent change"/>
    <s v="Units"/>
    <x v="4"/>
    <n v="14.025"/>
  </r>
  <r>
    <n v="200"/>
    <x v="3"/>
    <x v="153"/>
    <x v="6"/>
    <s v="Percent change"/>
    <s v="Units"/>
    <x v="5"/>
    <n v="6.5469999999999997"/>
  </r>
  <r>
    <n v="200"/>
    <x v="3"/>
    <x v="153"/>
    <x v="6"/>
    <s v="Percent change"/>
    <s v="Units"/>
    <x v="6"/>
    <n v="4.6379999999999999"/>
  </r>
  <r>
    <n v="1"/>
    <x v="2"/>
    <x v="153"/>
    <x v="6"/>
    <s v="Percent change"/>
    <s v="Units"/>
    <x v="0"/>
    <n v="-7.5339999999999998"/>
  </r>
  <r>
    <n v="1"/>
    <x v="2"/>
    <x v="153"/>
    <x v="6"/>
    <s v="Percent change"/>
    <s v="Units"/>
    <x v="1"/>
    <n v="-20.417999999999999"/>
  </r>
  <r>
    <n v="1"/>
    <x v="2"/>
    <x v="153"/>
    <x v="6"/>
    <s v="Percent change"/>
    <s v="Units"/>
    <x v="2"/>
    <n v="-3.1259999999999999"/>
  </r>
  <r>
    <n v="1"/>
    <x v="2"/>
    <x v="153"/>
    <x v="6"/>
    <s v="Percent change"/>
    <s v="Units"/>
    <x v="3"/>
    <n v="36.654000000000003"/>
  </r>
  <r>
    <n v="1"/>
    <x v="2"/>
    <x v="153"/>
    <x v="6"/>
    <s v="Percent change"/>
    <s v="Units"/>
    <x v="4"/>
    <n v="14.025"/>
  </r>
  <r>
    <n v="1"/>
    <x v="2"/>
    <x v="153"/>
    <x v="6"/>
    <s v="Percent change"/>
    <s v="Units"/>
    <x v="5"/>
    <n v="6.5469999999999997"/>
  </r>
  <r>
    <n v="1"/>
    <x v="2"/>
    <x v="153"/>
    <x v="6"/>
    <s v="Percent change"/>
    <s v="Units"/>
    <x v="6"/>
    <n v="4.6379999999999999"/>
  </r>
  <r>
    <n v="200"/>
    <x v="3"/>
    <x v="10"/>
    <x v="4"/>
    <s v="Percent change"/>
    <s v="Units"/>
    <x v="0"/>
    <n v="-3.35"/>
  </r>
  <r>
    <n v="200"/>
    <x v="3"/>
    <x v="10"/>
    <x v="4"/>
    <s v="Percent change"/>
    <s v="Units"/>
    <x v="1"/>
    <n v="-4.3940000000000001"/>
  </r>
  <r>
    <n v="200"/>
    <x v="3"/>
    <x v="10"/>
    <x v="4"/>
    <s v="Percent change"/>
    <s v="Units"/>
    <x v="2"/>
    <n v="0.55700000000000005"/>
  </r>
  <r>
    <n v="200"/>
    <x v="3"/>
    <x v="10"/>
    <x v="4"/>
    <s v="Percent change"/>
    <s v="Units"/>
    <x v="3"/>
    <n v="-8.407"/>
  </r>
  <r>
    <n v="200"/>
    <x v="3"/>
    <x v="10"/>
    <x v="4"/>
    <s v="Percent change"/>
    <s v="Units"/>
    <x v="4"/>
    <n v="-15.602"/>
  </r>
  <r>
    <n v="200"/>
    <x v="3"/>
    <x v="10"/>
    <x v="4"/>
    <s v="Percent change"/>
    <s v="Units"/>
    <x v="5"/>
    <n v="6.5439999999999996"/>
  </r>
  <r>
    <n v="200"/>
    <x v="3"/>
    <x v="10"/>
    <x v="4"/>
    <s v="Percent change"/>
    <s v="Units"/>
    <x v="6"/>
    <n v="5.8570000000000002"/>
  </r>
  <r>
    <n v="903"/>
    <x v="8"/>
    <x v="10"/>
    <x v="4"/>
    <s v="Percent change"/>
    <s v="Units"/>
    <x v="0"/>
    <n v="-3.35"/>
  </r>
  <r>
    <n v="903"/>
    <x v="8"/>
    <x v="10"/>
    <x v="4"/>
    <s v="Percent change"/>
    <s v="Units"/>
    <x v="1"/>
    <n v="-4.3940000000000001"/>
  </r>
  <r>
    <n v="903"/>
    <x v="8"/>
    <x v="10"/>
    <x v="4"/>
    <s v="Percent change"/>
    <s v="Units"/>
    <x v="2"/>
    <n v="0.55700000000000005"/>
  </r>
  <r>
    <n v="903"/>
    <x v="8"/>
    <x v="10"/>
    <x v="4"/>
    <s v="Percent change"/>
    <s v="Units"/>
    <x v="3"/>
    <n v="-8.407"/>
  </r>
  <r>
    <n v="903"/>
    <x v="8"/>
    <x v="10"/>
    <x v="4"/>
    <s v="Percent change"/>
    <s v="Units"/>
    <x v="4"/>
    <n v="-15.602"/>
  </r>
  <r>
    <n v="903"/>
    <x v="8"/>
    <x v="10"/>
    <x v="4"/>
    <s v="Percent change"/>
    <s v="Units"/>
    <x v="5"/>
    <n v="6.5439999999999996"/>
  </r>
  <r>
    <n v="903"/>
    <x v="8"/>
    <x v="10"/>
    <x v="4"/>
    <s v="Percent change"/>
    <s v="Units"/>
    <x v="6"/>
    <n v="5.8570000000000002"/>
  </r>
  <r>
    <n v="1"/>
    <x v="2"/>
    <x v="10"/>
    <x v="4"/>
    <s v="Percent change"/>
    <s v="Units"/>
    <x v="0"/>
    <n v="-3.35"/>
  </r>
  <r>
    <n v="1"/>
    <x v="2"/>
    <x v="10"/>
    <x v="4"/>
    <s v="Percent change"/>
    <s v="Units"/>
    <x v="1"/>
    <n v="-4.3940000000000001"/>
  </r>
  <r>
    <n v="1"/>
    <x v="2"/>
    <x v="10"/>
    <x v="4"/>
    <s v="Percent change"/>
    <s v="Units"/>
    <x v="2"/>
    <n v="0.55700000000000005"/>
  </r>
  <r>
    <n v="1"/>
    <x v="2"/>
    <x v="10"/>
    <x v="4"/>
    <s v="Percent change"/>
    <s v="Units"/>
    <x v="3"/>
    <n v="-8.407"/>
  </r>
  <r>
    <n v="1"/>
    <x v="2"/>
    <x v="10"/>
    <x v="4"/>
    <s v="Percent change"/>
    <s v="Units"/>
    <x v="4"/>
    <n v="-15.602"/>
  </r>
  <r>
    <n v="1"/>
    <x v="2"/>
    <x v="10"/>
    <x v="4"/>
    <s v="Percent change"/>
    <s v="Units"/>
    <x v="5"/>
    <n v="6.5439999999999996"/>
  </r>
  <r>
    <n v="1"/>
    <x v="2"/>
    <x v="10"/>
    <x v="4"/>
    <s v="Percent change"/>
    <s v="Units"/>
    <x v="6"/>
    <n v="5.8570000000000002"/>
  </r>
  <r>
    <n v="200"/>
    <x v="3"/>
    <x v="143"/>
    <x v="8"/>
    <s v="Percent change"/>
    <s v="Units"/>
    <x v="0"/>
    <n v="5.6020000000000003"/>
  </r>
  <r>
    <n v="200"/>
    <x v="3"/>
    <x v="143"/>
    <x v="8"/>
    <s v="Percent change"/>
    <s v="Units"/>
    <x v="1"/>
    <n v="-4.5579999999999998"/>
  </r>
  <r>
    <n v="200"/>
    <x v="3"/>
    <x v="143"/>
    <x v="8"/>
    <s v="Percent change"/>
    <s v="Units"/>
    <x v="2"/>
    <n v="1.637"/>
  </r>
  <r>
    <n v="200"/>
    <x v="3"/>
    <x v="143"/>
    <x v="8"/>
    <s v="Percent change"/>
    <s v="Units"/>
    <x v="3"/>
    <n v="5.0330000000000004"/>
  </r>
  <r>
    <n v="200"/>
    <x v="3"/>
    <x v="143"/>
    <x v="8"/>
    <s v="Percent change"/>
    <s v="Units"/>
    <x v="4"/>
    <n v="7.0229999999999997"/>
  </r>
  <r>
    <n v="200"/>
    <x v="3"/>
    <x v="143"/>
    <x v="8"/>
    <s v="Percent change"/>
    <s v="Units"/>
    <x v="5"/>
    <n v="6.5359999999999996"/>
  </r>
  <r>
    <n v="200"/>
    <x v="3"/>
    <x v="143"/>
    <x v="8"/>
    <s v="Percent change"/>
    <s v="Units"/>
    <x v="6"/>
    <n v="5.96"/>
  </r>
  <r>
    <n v="505"/>
    <x v="4"/>
    <x v="143"/>
    <x v="8"/>
    <s v="Percent change"/>
    <s v="Units"/>
    <x v="0"/>
    <n v="5.6020000000000003"/>
  </r>
  <r>
    <n v="505"/>
    <x v="4"/>
    <x v="143"/>
    <x v="8"/>
    <s v="Percent change"/>
    <s v="Units"/>
    <x v="1"/>
    <n v="-4.5579999999999998"/>
  </r>
  <r>
    <n v="505"/>
    <x v="4"/>
    <x v="143"/>
    <x v="8"/>
    <s v="Percent change"/>
    <s v="Units"/>
    <x v="2"/>
    <n v="1.637"/>
  </r>
  <r>
    <n v="505"/>
    <x v="4"/>
    <x v="143"/>
    <x v="8"/>
    <s v="Percent change"/>
    <s v="Units"/>
    <x v="3"/>
    <n v="5.0330000000000004"/>
  </r>
  <r>
    <n v="505"/>
    <x v="4"/>
    <x v="143"/>
    <x v="8"/>
    <s v="Percent change"/>
    <s v="Units"/>
    <x v="4"/>
    <n v="7.0229999999999997"/>
  </r>
  <r>
    <n v="505"/>
    <x v="4"/>
    <x v="143"/>
    <x v="8"/>
    <s v="Percent change"/>
    <s v="Units"/>
    <x v="5"/>
    <n v="6.5359999999999996"/>
  </r>
  <r>
    <n v="505"/>
    <x v="4"/>
    <x v="143"/>
    <x v="8"/>
    <s v="Percent change"/>
    <s v="Units"/>
    <x v="6"/>
    <n v="5.96"/>
  </r>
  <r>
    <n v="1"/>
    <x v="2"/>
    <x v="143"/>
    <x v="8"/>
    <s v="Percent change"/>
    <s v="Units"/>
    <x v="0"/>
    <n v="5.6020000000000003"/>
  </r>
  <r>
    <n v="1"/>
    <x v="2"/>
    <x v="143"/>
    <x v="8"/>
    <s v="Percent change"/>
    <s v="Units"/>
    <x v="1"/>
    <n v="-4.5579999999999998"/>
  </r>
  <r>
    <n v="1"/>
    <x v="2"/>
    <x v="143"/>
    <x v="8"/>
    <s v="Percent change"/>
    <s v="Units"/>
    <x v="2"/>
    <n v="1.637"/>
  </r>
  <r>
    <n v="1"/>
    <x v="2"/>
    <x v="143"/>
    <x v="8"/>
    <s v="Percent change"/>
    <s v="Units"/>
    <x v="3"/>
    <n v="5.0330000000000004"/>
  </r>
  <r>
    <n v="1"/>
    <x v="2"/>
    <x v="143"/>
    <x v="8"/>
    <s v="Percent change"/>
    <s v="Units"/>
    <x v="4"/>
    <n v="7.0229999999999997"/>
  </r>
  <r>
    <n v="1"/>
    <x v="2"/>
    <x v="143"/>
    <x v="8"/>
    <s v="Percent change"/>
    <s v="Units"/>
    <x v="5"/>
    <n v="6.5359999999999996"/>
  </r>
  <r>
    <n v="1"/>
    <x v="2"/>
    <x v="143"/>
    <x v="8"/>
    <s v="Percent change"/>
    <s v="Units"/>
    <x v="6"/>
    <n v="5.96"/>
  </r>
  <r>
    <n v="1"/>
    <x v="2"/>
    <x v="98"/>
    <x v="0"/>
    <s v="U.S. dollars"/>
    <s v="Billions"/>
    <x v="0"/>
    <n v="4.0439999999999996"/>
  </r>
  <r>
    <n v="1"/>
    <x v="2"/>
    <x v="98"/>
    <x v="0"/>
    <s v="U.S. dollars"/>
    <s v="Billions"/>
    <x v="1"/>
    <n v="5.423"/>
  </r>
  <r>
    <n v="1"/>
    <x v="2"/>
    <x v="98"/>
    <x v="0"/>
    <s v="U.S. dollars"/>
    <s v="Billions"/>
    <x v="2"/>
    <n v="5.94"/>
  </r>
  <r>
    <n v="1"/>
    <x v="2"/>
    <x v="98"/>
    <x v="0"/>
    <s v="U.S. dollars"/>
    <s v="Billions"/>
    <x v="3"/>
    <n v="8.0370000000000008"/>
  </r>
  <r>
    <n v="1"/>
    <x v="2"/>
    <x v="98"/>
    <x v="0"/>
    <s v="U.S. dollars"/>
    <s v="Billions"/>
    <x v="4"/>
    <n v="7.2949999999999999"/>
  </r>
  <r>
    <n v="1"/>
    <x v="2"/>
    <x v="98"/>
    <x v="0"/>
    <s v="U.S. dollars"/>
    <s v="Billions"/>
    <x v="5"/>
    <n v="6.5170000000000003"/>
  </r>
  <r>
    <n v="1"/>
    <x v="2"/>
    <x v="98"/>
    <x v="0"/>
    <s v="U.S. dollars"/>
    <s v="Billions"/>
    <x v="6"/>
    <n v="6.9870000000000001"/>
  </r>
  <r>
    <n v="603"/>
    <x v="12"/>
    <x v="98"/>
    <x v="0"/>
    <s v="U.S. dollars"/>
    <s v="Billions"/>
    <x v="0"/>
    <n v="4.0439999999999996"/>
  </r>
  <r>
    <n v="603"/>
    <x v="12"/>
    <x v="98"/>
    <x v="0"/>
    <s v="U.S. dollars"/>
    <s v="Billions"/>
    <x v="1"/>
    <n v="5.423"/>
  </r>
  <r>
    <n v="603"/>
    <x v="12"/>
    <x v="98"/>
    <x v="0"/>
    <s v="U.S. dollars"/>
    <s v="Billions"/>
    <x v="2"/>
    <n v="5.94"/>
  </r>
  <r>
    <n v="603"/>
    <x v="12"/>
    <x v="98"/>
    <x v="0"/>
    <s v="U.S. dollars"/>
    <s v="Billions"/>
    <x v="3"/>
    <n v="8.0370000000000008"/>
  </r>
  <r>
    <n v="603"/>
    <x v="12"/>
    <x v="98"/>
    <x v="0"/>
    <s v="U.S. dollars"/>
    <s v="Billions"/>
    <x v="4"/>
    <n v="7.2949999999999999"/>
  </r>
  <r>
    <n v="603"/>
    <x v="12"/>
    <x v="98"/>
    <x v="0"/>
    <s v="U.S. dollars"/>
    <s v="Billions"/>
    <x v="5"/>
    <n v="6.5170000000000003"/>
  </r>
  <r>
    <n v="603"/>
    <x v="12"/>
    <x v="98"/>
    <x v="0"/>
    <s v="U.S. dollars"/>
    <s v="Billions"/>
    <x v="6"/>
    <n v="6.9870000000000001"/>
  </r>
  <r>
    <n v="200"/>
    <x v="3"/>
    <x v="98"/>
    <x v="0"/>
    <s v="U.S. dollars"/>
    <s v="Billions"/>
    <x v="0"/>
    <n v="4.0439999999999996"/>
  </r>
  <r>
    <n v="200"/>
    <x v="3"/>
    <x v="98"/>
    <x v="0"/>
    <s v="U.S. dollars"/>
    <s v="Billions"/>
    <x v="1"/>
    <n v="5.423"/>
  </r>
  <r>
    <n v="200"/>
    <x v="3"/>
    <x v="98"/>
    <x v="0"/>
    <s v="U.S. dollars"/>
    <s v="Billions"/>
    <x v="2"/>
    <n v="5.94"/>
  </r>
  <r>
    <n v="200"/>
    <x v="3"/>
    <x v="98"/>
    <x v="0"/>
    <s v="U.S. dollars"/>
    <s v="Billions"/>
    <x v="3"/>
    <n v="8.0370000000000008"/>
  </r>
  <r>
    <n v="200"/>
    <x v="3"/>
    <x v="98"/>
    <x v="0"/>
    <s v="U.S. dollars"/>
    <s v="Billions"/>
    <x v="4"/>
    <n v="7.2949999999999999"/>
  </r>
  <r>
    <n v="200"/>
    <x v="3"/>
    <x v="98"/>
    <x v="0"/>
    <s v="U.S. dollars"/>
    <s v="Billions"/>
    <x v="5"/>
    <n v="6.5170000000000003"/>
  </r>
  <r>
    <n v="200"/>
    <x v="3"/>
    <x v="98"/>
    <x v="0"/>
    <s v="U.S. dollars"/>
    <s v="Billions"/>
    <x v="6"/>
    <n v="6.9870000000000001"/>
  </r>
  <r>
    <n v="200"/>
    <x v="3"/>
    <x v="183"/>
    <x v="8"/>
    <s v="Percent change"/>
    <s v="Units"/>
    <x v="0"/>
    <n v="5.5449999999999999"/>
  </r>
  <r>
    <n v="200"/>
    <x v="3"/>
    <x v="183"/>
    <x v="8"/>
    <s v="Percent change"/>
    <s v="Units"/>
    <x v="1"/>
    <n v="1.3160000000000001"/>
  </r>
  <r>
    <n v="200"/>
    <x v="3"/>
    <x v="183"/>
    <x v="8"/>
    <s v="Percent change"/>
    <s v="Units"/>
    <x v="2"/>
    <n v="4.5220000000000002"/>
  </r>
  <r>
    <n v="200"/>
    <x v="3"/>
    <x v="183"/>
    <x v="8"/>
    <s v="Percent change"/>
    <s v="Units"/>
    <x v="3"/>
    <n v="3.8759999999999999"/>
  </r>
  <r>
    <n v="200"/>
    <x v="3"/>
    <x v="183"/>
    <x v="8"/>
    <s v="Percent change"/>
    <s v="Units"/>
    <x v="4"/>
    <n v="6.9889999999999999"/>
  </r>
  <r>
    <n v="200"/>
    <x v="3"/>
    <x v="183"/>
    <x v="8"/>
    <s v="Percent change"/>
    <s v="Units"/>
    <x v="5"/>
    <n v="6.5129999999999999"/>
  </r>
  <r>
    <n v="200"/>
    <x v="3"/>
    <x v="183"/>
    <x v="8"/>
    <s v="Percent change"/>
    <s v="Units"/>
    <x v="6"/>
    <n v="6.008"/>
  </r>
  <r>
    <n v="1"/>
    <x v="2"/>
    <x v="183"/>
    <x v="8"/>
    <s v="Percent change"/>
    <s v="Units"/>
    <x v="0"/>
    <n v="5.5449999999999999"/>
  </r>
  <r>
    <n v="1"/>
    <x v="2"/>
    <x v="183"/>
    <x v="8"/>
    <s v="Percent change"/>
    <s v="Units"/>
    <x v="1"/>
    <n v="1.3160000000000001"/>
  </r>
  <r>
    <n v="1"/>
    <x v="2"/>
    <x v="183"/>
    <x v="8"/>
    <s v="Percent change"/>
    <s v="Units"/>
    <x v="2"/>
    <n v="4.5220000000000002"/>
  </r>
  <r>
    <n v="1"/>
    <x v="2"/>
    <x v="183"/>
    <x v="8"/>
    <s v="Percent change"/>
    <s v="Units"/>
    <x v="3"/>
    <n v="3.8759999999999999"/>
  </r>
  <r>
    <n v="1"/>
    <x v="2"/>
    <x v="183"/>
    <x v="8"/>
    <s v="Percent change"/>
    <s v="Units"/>
    <x v="4"/>
    <n v="6.9889999999999999"/>
  </r>
  <r>
    <n v="1"/>
    <x v="2"/>
    <x v="183"/>
    <x v="8"/>
    <s v="Percent change"/>
    <s v="Units"/>
    <x v="5"/>
    <n v="6.5129999999999999"/>
  </r>
  <r>
    <n v="1"/>
    <x v="2"/>
    <x v="183"/>
    <x v="8"/>
    <s v="Percent change"/>
    <s v="Units"/>
    <x v="6"/>
    <n v="6.008"/>
  </r>
  <r>
    <n v="400"/>
    <x v="11"/>
    <x v="183"/>
    <x v="8"/>
    <s v="Percent change"/>
    <s v="Units"/>
    <x v="0"/>
    <n v="5.5449999999999999"/>
  </r>
  <r>
    <n v="400"/>
    <x v="11"/>
    <x v="183"/>
    <x v="8"/>
    <s v="Percent change"/>
    <s v="Units"/>
    <x v="1"/>
    <n v="1.3160000000000001"/>
  </r>
  <r>
    <n v="400"/>
    <x v="11"/>
    <x v="183"/>
    <x v="8"/>
    <s v="Percent change"/>
    <s v="Units"/>
    <x v="2"/>
    <n v="4.5220000000000002"/>
  </r>
  <r>
    <n v="400"/>
    <x v="11"/>
    <x v="183"/>
    <x v="8"/>
    <s v="Percent change"/>
    <s v="Units"/>
    <x v="3"/>
    <n v="3.8759999999999999"/>
  </r>
  <r>
    <n v="400"/>
    <x v="11"/>
    <x v="183"/>
    <x v="8"/>
    <s v="Percent change"/>
    <s v="Units"/>
    <x v="4"/>
    <n v="6.9889999999999999"/>
  </r>
  <r>
    <n v="400"/>
    <x v="11"/>
    <x v="183"/>
    <x v="8"/>
    <s v="Percent change"/>
    <s v="Units"/>
    <x v="5"/>
    <n v="6.5129999999999999"/>
  </r>
  <r>
    <n v="400"/>
    <x v="11"/>
    <x v="183"/>
    <x v="8"/>
    <s v="Percent change"/>
    <s v="Units"/>
    <x v="6"/>
    <n v="6.008"/>
  </r>
  <r>
    <n v="603"/>
    <x v="12"/>
    <x v="80"/>
    <x v="8"/>
    <s v="Percent change"/>
    <s v="Units"/>
    <x v="0"/>
    <n v="6.7210000000000001"/>
  </r>
  <r>
    <n v="603"/>
    <x v="12"/>
    <x v="80"/>
    <x v="8"/>
    <s v="Percent change"/>
    <s v="Units"/>
    <x v="1"/>
    <n v="0.70099999999999996"/>
  </r>
  <r>
    <n v="603"/>
    <x v="12"/>
    <x v="80"/>
    <x v="8"/>
    <s v="Percent change"/>
    <s v="Units"/>
    <x v="2"/>
    <n v="7.0620000000000003"/>
  </r>
  <r>
    <n v="603"/>
    <x v="12"/>
    <x v="80"/>
    <x v="8"/>
    <s v="Percent change"/>
    <s v="Units"/>
    <x v="3"/>
    <n v="6.8620000000000001"/>
  </r>
  <r>
    <n v="603"/>
    <x v="12"/>
    <x v="80"/>
    <x v="8"/>
    <s v="Percent change"/>
    <s v="Units"/>
    <x v="4"/>
    <n v="6.2"/>
  </r>
  <r>
    <n v="603"/>
    <x v="12"/>
    <x v="80"/>
    <x v="8"/>
    <s v="Percent change"/>
    <s v="Units"/>
    <x v="5"/>
    <n v="6.5"/>
  </r>
  <r>
    <n v="603"/>
    <x v="12"/>
    <x v="80"/>
    <x v="8"/>
    <s v="Percent change"/>
    <s v="Units"/>
    <x v="6"/>
    <n v="6.4"/>
  </r>
  <r>
    <n v="200"/>
    <x v="3"/>
    <x v="80"/>
    <x v="8"/>
    <s v="Percent change"/>
    <s v="Units"/>
    <x v="0"/>
    <n v="6.7210000000000001"/>
  </r>
  <r>
    <n v="200"/>
    <x v="3"/>
    <x v="80"/>
    <x v="8"/>
    <s v="Percent change"/>
    <s v="Units"/>
    <x v="1"/>
    <n v="0.70099999999999996"/>
  </r>
  <r>
    <n v="200"/>
    <x v="3"/>
    <x v="80"/>
    <x v="8"/>
    <s v="Percent change"/>
    <s v="Units"/>
    <x v="2"/>
    <n v="7.0620000000000003"/>
  </r>
  <r>
    <n v="200"/>
    <x v="3"/>
    <x v="80"/>
    <x v="8"/>
    <s v="Percent change"/>
    <s v="Units"/>
    <x v="3"/>
    <n v="6.8620000000000001"/>
  </r>
  <r>
    <n v="200"/>
    <x v="3"/>
    <x v="80"/>
    <x v="8"/>
    <s v="Percent change"/>
    <s v="Units"/>
    <x v="4"/>
    <n v="6.2"/>
  </r>
  <r>
    <n v="200"/>
    <x v="3"/>
    <x v="80"/>
    <x v="8"/>
    <s v="Percent change"/>
    <s v="Units"/>
    <x v="5"/>
    <n v="6.5"/>
  </r>
  <r>
    <n v="200"/>
    <x v="3"/>
    <x v="80"/>
    <x v="8"/>
    <s v="Percent change"/>
    <s v="Units"/>
    <x v="6"/>
    <n v="6.4"/>
  </r>
  <r>
    <n v="1"/>
    <x v="2"/>
    <x v="80"/>
    <x v="8"/>
    <s v="Percent change"/>
    <s v="Units"/>
    <x v="0"/>
    <n v="6.7210000000000001"/>
  </r>
  <r>
    <n v="1"/>
    <x v="2"/>
    <x v="80"/>
    <x v="8"/>
    <s v="Percent change"/>
    <s v="Units"/>
    <x v="1"/>
    <n v="0.70099999999999996"/>
  </r>
  <r>
    <n v="1"/>
    <x v="2"/>
    <x v="80"/>
    <x v="8"/>
    <s v="Percent change"/>
    <s v="Units"/>
    <x v="2"/>
    <n v="7.0620000000000003"/>
  </r>
  <r>
    <n v="1"/>
    <x v="2"/>
    <x v="80"/>
    <x v="8"/>
    <s v="Percent change"/>
    <s v="Units"/>
    <x v="3"/>
    <n v="6.8620000000000001"/>
  </r>
  <r>
    <n v="1"/>
    <x v="2"/>
    <x v="80"/>
    <x v="8"/>
    <s v="Percent change"/>
    <s v="Units"/>
    <x v="4"/>
    <n v="6.2"/>
  </r>
  <r>
    <n v="1"/>
    <x v="2"/>
    <x v="80"/>
    <x v="8"/>
    <s v="Percent change"/>
    <s v="Units"/>
    <x v="5"/>
    <n v="6.5"/>
  </r>
  <r>
    <n v="1"/>
    <x v="2"/>
    <x v="80"/>
    <x v="8"/>
    <s v="Percent change"/>
    <s v="Units"/>
    <x v="6"/>
    <n v="6.4"/>
  </r>
  <r>
    <n v="110"/>
    <x v="0"/>
    <x v="46"/>
    <x v="11"/>
    <s v="Percent of total labor force"/>
    <s v="Units"/>
    <x v="0"/>
    <n v="6.6749999999999998"/>
  </r>
  <r>
    <n v="110"/>
    <x v="0"/>
    <x v="46"/>
    <x v="11"/>
    <s v="Percent of total labor force"/>
    <s v="Units"/>
    <x v="1"/>
    <n v="7.15"/>
  </r>
  <r>
    <n v="110"/>
    <x v="0"/>
    <x v="46"/>
    <x v="11"/>
    <s v="Percent of total labor force"/>
    <s v="Units"/>
    <x v="2"/>
    <n v="6.6920000000000002"/>
  </r>
  <r>
    <n v="110"/>
    <x v="0"/>
    <x v="46"/>
    <x v="11"/>
    <s v="Percent of total labor force"/>
    <s v="Units"/>
    <x v="3"/>
    <n v="6.1420000000000003"/>
  </r>
  <r>
    <n v="110"/>
    <x v="0"/>
    <x v="46"/>
    <x v="11"/>
    <s v="Percent of total labor force"/>
    <s v="Units"/>
    <x v="4"/>
    <n v="6.5830000000000002"/>
  </r>
  <r>
    <n v="110"/>
    <x v="0"/>
    <x v="46"/>
    <x v="11"/>
    <s v="Percent of total labor force"/>
    <s v="Units"/>
    <x v="5"/>
    <n v="6.484"/>
  </r>
  <r>
    <n v="110"/>
    <x v="0"/>
    <x v="46"/>
    <x v="11"/>
    <s v="Percent of total labor force"/>
    <s v="Units"/>
    <x v="6"/>
    <n v="6.3440000000000003"/>
  </r>
  <r>
    <n v="163"/>
    <x v="5"/>
    <x v="46"/>
    <x v="11"/>
    <s v="Percent of total labor force"/>
    <s v="Units"/>
    <x v="0"/>
    <n v="6.6749999999999998"/>
  </r>
  <r>
    <n v="163"/>
    <x v="5"/>
    <x v="46"/>
    <x v="11"/>
    <s v="Percent of total labor force"/>
    <s v="Units"/>
    <x v="1"/>
    <n v="7.15"/>
  </r>
  <r>
    <n v="163"/>
    <x v="5"/>
    <x v="46"/>
    <x v="11"/>
    <s v="Percent of total labor force"/>
    <s v="Units"/>
    <x v="2"/>
    <n v="6.6920000000000002"/>
  </r>
  <r>
    <n v="163"/>
    <x v="5"/>
    <x v="46"/>
    <x v="11"/>
    <s v="Percent of total labor force"/>
    <s v="Units"/>
    <x v="3"/>
    <n v="6.1420000000000003"/>
  </r>
  <r>
    <n v="163"/>
    <x v="5"/>
    <x v="46"/>
    <x v="11"/>
    <s v="Percent of total labor force"/>
    <s v="Units"/>
    <x v="4"/>
    <n v="6.5830000000000002"/>
  </r>
  <r>
    <n v="163"/>
    <x v="5"/>
    <x v="46"/>
    <x v="11"/>
    <s v="Percent of total labor force"/>
    <s v="Units"/>
    <x v="5"/>
    <n v="6.484"/>
  </r>
  <r>
    <n v="163"/>
    <x v="5"/>
    <x v="46"/>
    <x v="11"/>
    <s v="Percent of total labor force"/>
    <s v="Units"/>
    <x v="6"/>
    <n v="6.3440000000000003"/>
  </r>
  <r>
    <n v="200"/>
    <x v="3"/>
    <x v="19"/>
    <x v="4"/>
    <s v="Percent change"/>
    <s v="Units"/>
    <x v="0"/>
    <n v="5.3369999999999997"/>
  </r>
  <r>
    <n v="200"/>
    <x v="3"/>
    <x v="19"/>
    <x v="4"/>
    <s v="Percent change"/>
    <s v="Units"/>
    <x v="1"/>
    <n v="-1.0880000000000001"/>
  </r>
  <r>
    <n v="200"/>
    <x v="3"/>
    <x v="19"/>
    <x v="4"/>
    <s v="Percent change"/>
    <s v="Units"/>
    <x v="2"/>
    <n v="12.335000000000001"/>
  </r>
  <r>
    <n v="200"/>
    <x v="3"/>
    <x v="19"/>
    <x v="4"/>
    <s v="Percent change"/>
    <s v="Units"/>
    <x v="3"/>
    <n v="6.7430000000000003"/>
  </r>
  <r>
    <n v="200"/>
    <x v="3"/>
    <x v="19"/>
    <x v="4"/>
    <s v="Percent change"/>
    <s v="Units"/>
    <x v="4"/>
    <n v="-1.9410000000000001"/>
  </r>
  <r>
    <n v="200"/>
    <x v="3"/>
    <x v="19"/>
    <x v="4"/>
    <s v="Percent change"/>
    <s v="Units"/>
    <x v="5"/>
    <n v="6.4649999999999999"/>
  </r>
  <r>
    <n v="200"/>
    <x v="3"/>
    <x v="19"/>
    <x v="4"/>
    <s v="Percent change"/>
    <s v="Units"/>
    <x v="6"/>
    <n v="3.0350000000000001"/>
  </r>
  <r>
    <n v="1"/>
    <x v="2"/>
    <x v="19"/>
    <x v="4"/>
    <s v="Percent change"/>
    <s v="Units"/>
    <x v="0"/>
    <n v="5.3369999999999997"/>
  </r>
  <r>
    <n v="1"/>
    <x v="2"/>
    <x v="19"/>
    <x v="4"/>
    <s v="Percent change"/>
    <s v="Units"/>
    <x v="1"/>
    <n v="-1.0880000000000001"/>
  </r>
  <r>
    <n v="1"/>
    <x v="2"/>
    <x v="19"/>
    <x v="4"/>
    <s v="Percent change"/>
    <s v="Units"/>
    <x v="2"/>
    <n v="12.335000000000001"/>
  </r>
  <r>
    <n v="1"/>
    <x v="2"/>
    <x v="19"/>
    <x v="4"/>
    <s v="Percent change"/>
    <s v="Units"/>
    <x v="3"/>
    <n v="6.7430000000000003"/>
  </r>
  <r>
    <n v="1"/>
    <x v="2"/>
    <x v="19"/>
    <x v="4"/>
    <s v="Percent change"/>
    <s v="Units"/>
    <x v="4"/>
    <n v="-1.9410000000000001"/>
  </r>
  <r>
    <n v="1"/>
    <x v="2"/>
    <x v="19"/>
    <x v="4"/>
    <s v="Percent change"/>
    <s v="Units"/>
    <x v="5"/>
    <n v="6.4649999999999999"/>
  </r>
  <r>
    <n v="1"/>
    <x v="2"/>
    <x v="19"/>
    <x v="4"/>
    <s v="Percent change"/>
    <s v="Units"/>
    <x v="6"/>
    <n v="3.0350000000000001"/>
  </r>
  <r>
    <n v="903"/>
    <x v="8"/>
    <x v="19"/>
    <x v="4"/>
    <s v="Percent change"/>
    <s v="Units"/>
    <x v="0"/>
    <n v="5.3369999999999997"/>
  </r>
  <r>
    <n v="903"/>
    <x v="8"/>
    <x v="19"/>
    <x v="4"/>
    <s v="Percent change"/>
    <s v="Units"/>
    <x v="1"/>
    <n v="-1.0880000000000001"/>
  </r>
  <r>
    <n v="903"/>
    <x v="8"/>
    <x v="19"/>
    <x v="4"/>
    <s v="Percent change"/>
    <s v="Units"/>
    <x v="2"/>
    <n v="12.335000000000001"/>
  </r>
  <r>
    <n v="903"/>
    <x v="8"/>
    <x v="19"/>
    <x v="4"/>
    <s v="Percent change"/>
    <s v="Units"/>
    <x v="3"/>
    <n v="6.7430000000000003"/>
  </r>
  <r>
    <n v="903"/>
    <x v="8"/>
    <x v="19"/>
    <x v="4"/>
    <s v="Percent change"/>
    <s v="Units"/>
    <x v="4"/>
    <n v="-1.9410000000000001"/>
  </r>
  <r>
    <n v="903"/>
    <x v="8"/>
    <x v="19"/>
    <x v="4"/>
    <s v="Percent change"/>
    <s v="Units"/>
    <x v="5"/>
    <n v="6.4649999999999999"/>
  </r>
  <r>
    <n v="903"/>
    <x v="8"/>
    <x v="19"/>
    <x v="4"/>
    <s v="Percent change"/>
    <s v="Units"/>
    <x v="6"/>
    <n v="3.0350000000000001"/>
  </r>
  <r>
    <n v="1"/>
    <x v="2"/>
    <x v="155"/>
    <x v="8"/>
    <s v="Percent change"/>
    <s v="Units"/>
    <x v="0"/>
    <n v="7.4"/>
  </r>
  <r>
    <n v="1"/>
    <x v="2"/>
    <x v="155"/>
    <x v="8"/>
    <s v="Percent change"/>
    <s v="Units"/>
    <x v="1"/>
    <n v="4.3899999999999997"/>
  </r>
  <r>
    <n v="1"/>
    <x v="2"/>
    <x v="155"/>
    <x v="8"/>
    <s v="Percent change"/>
    <s v="Units"/>
    <x v="2"/>
    <n v="9.4"/>
  </r>
  <r>
    <n v="1"/>
    <x v="2"/>
    <x v="155"/>
    <x v="8"/>
    <s v="Percent change"/>
    <s v="Units"/>
    <x v="3"/>
    <n v="8"/>
  </r>
  <r>
    <n v="1"/>
    <x v="2"/>
    <x v="155"/>
    <x v="8"/>
    <s v="Percent change"/>
    <s v="Units"/>
    <x v="4"/>
    <n v="8.25"/>
  </r>
  <r>
    <n v="1"/>
    <x v="2"/>
    <x v="155"/>
    <x v="8"/>
    <s v="Percent change"/>
    <s v="Units"/>
    <x v="5"/>
    <n v="6.4560000000000004"/>
  </r>
  <r>
    <n v="1"/>
    <x v="2"/>
    <x v="155"/>
    <x v="8"/>
    <s v="Percent change"/>
    <s v="Units"/>
    <x v="6"/>
    <n v="4.5"/>
  </r>
  <r>
    <n v="200"/>
    <x v="3"/>
    <x v="155"/>
    <x v="8"/>
    <s v="Percent change"/>
    <s v="Units"/>
    <x v="0"/>
    <n v="7.4"/>
  </r>
  <r>
    <n v="200"/>
    <x v="3"/>
    <x v="155"/>
    <x v="8"/>
    <s v="Percent change"/>
    <s v="Units"/>
    <x v="1"/>
    <n v="4.3899999999999997"/>
  </r>
  <r>
    <n v="200"/>
    <x v="3"/>
    <x v="155"/>
    <x v="8"/>
    <s v="Percent change"/>
    <s v="Units"/>
    <x v="2"/>
    <n v="9.4"/>
  </r>
  <r>
    <n v="200"/>
    <x v="3"/>
    <x v="155"/>
    <x v="8"/>
    <s v="Percent change"/>
    <s v="Units"/>
    <x v="3"/>
    <n v="8"/>
  </r>
  <r>
    <n v="200"/>
    <x v="3"/>
    <x v="155"/>
    <x v="8"/>
    <s v="Percent change"/>
    <s v="Units"/>
    <x v="4"/>
    <n v="8.25"/>
  </r>
  <r>
    <n v="200"/>
    <x v="3"/>
    <x v="155"/>
    <x v="8"/>
    <s v="Percent change"/>
    <s v="Units"/>
    <x v="5"/>
    <n v="6.4560000000000004"/>
  </r>
  <r>
    <n v="200"/>
    <x v="3"/>
    <x v="155"/>
    <x v="8"/>
    <s v="Percent change"/>
    <s v="Units"/>
    <x v="6"/>
    <n v="4.5"/>
  </r>
  <r>
    <n v="400"/>
    <x v="11"/>
    <x v="155"/>
    <x v="8"/>
    <s v="Percent change"/>
    <s v="Units"/>
    <x v="0"/>
    <n v="7.4"/>
  </r>
  <r>
    <n v="400"/>
    <x v="11"/>
    <x v="155"/>
    <x v="8"/>
    <s v="Percent change"/>
    <s v="Units"/>
    <x v="1"/>
    <n v="4.3899999999999997"/>
  </r>
  <r>
    <n v="400"/>
    <x v="11"/>
    <x v="155"/>
    <x v="8"/>
    <s v="Percent change"/>
    <s v="Units"/>
    <x v="2"/>
    <n v="9.4"/>
  </r>
  <r>
    <n v="400"/>
    <x v="11"/>
    <x v="155"/>
    <x v="8"/>
    <s v="Percent change"/>
    <s v="Units"/>
    <x v="3"/>
    <n v="8"/>
  </r>
  <r>
    <n v="400"/>
    <x v="11"/>
    <x v="155"/>
    <x v="8"/>
    <s v="Percent change"/>
    <s v="Units"/>
    <x v="4"/>
    <n v="8.25"/>
  </r>
  <r>
    <n v="400"/>
    <x v="11"/>
    <x v="155"/>
    <x v="8"/>
    <s v="Percent change"/>
    <s v="Units"/>
    <x v="5"/>
    <n v="6.4560000000000004"/>
  </r>
  <r>
    <n v="400"/>
    <x v="11"/>
    <x v="155"/>
    <x v="8"/>
    <s v="Percent change"/>
    <s v="Units"/>
    <x v="6"/>
    <n v="4.5"/>
  </r>
  <r>
    <n v="163"/>
    <x v="5"/>
    <x v="110"/>
    <x v="11"/>
    <s v="Percent of total labor force"/>
    <s v="Units"/>
    <x v="0"/>
    <n v="6.3109999999999999"/>
  </r>
  <r>
    <n v="163"/>
    <x v="5"/>
    <x v="110"/>
    <x v="11"/>
    <s v="Percent of total labor force"/>
    <s v="Units"/>
    <x v="1"/>
    <n v="8.0990000000000002"/>
  </r>
  <r>
    <n v="163"/>
    <x v="5"/>
    <x v="110"/>
    <x v="11"/>
    <s v="Percent of total labor force"/>
    <s v="Units"/>
    <x v="2"/>
    <n v="7.5570000000000004"/>
  </r>
  <r>
    <n v="163"/>
    <x v="5"/>
    <x v="110"/>
    <x v="11"/>
    <s v="Percent of total labor force"/>
    <s v="Units"/>
    <x v="3"/>
    <n v="6.851"/>
  </r>
  <r>
    <n v="163"/>
    <x v="5"/>
    <x v="110"/>
    <x v="11"/>
    <s v="Percent of total labor force"/>
    <s v="Units"/>
    <x v="4"/>
    <n v="6.5030000000000001"/>
  </r>
  <r>
    <n v="163"/>
    <x v="5"/>
    <x v="110"/>
    <x v="11"/>
    <s v="Percent of total labor force"/>
    <s v="Units"/>
    <x v="5"/>
    <n v="6.452"/>
  </r>
  <r>
    <n v="163"/>
    <x v="5"/>
    <x v="110"/>
    <x v="11"/>
    <s v="Percent of total labor force"/>
    <s v="Units"/>
    <x v="6"/>
    <n v="6.4950000000000001"/>
  </r>
  <r>
    <n v="110"/>
    <x v="0"/>
    <x v="110"/>
    <x v="11"/>
    <s v="Percent of total labor force"/>
    <s v="Units"/>
    <x v="0"/>
    <n v="6.3109999999999999"/>
  </r>
  <r>
    <n v="110"/>
    <x v="0"/>
    <x v="110"/>
    <x v="11"/>
    <s v="Percent of total labor force"/>
    <s v="Units"/>
    <x v="1"/>
    <n v="8.0990000000000002"/>
  </r>
  <r>
    <n v="110"/>
    <x v="0"/>
    <x v="110"/>
    <x v="11"/>
    <s v="Percent of total labor force"/>
    <s v="Units"/>
    <x v="2"/>
    <n v="7.5570000000000004"/>
  </r>
  <r>
    <n v="110"/>
    <x v="0"/>
    <x v="110"/>
    <x v="11"/>
    <s v="Percent of total labor force"/>
    <s v="Units"/>
    <x v="3"/>
    <n v="6.851"/>
  </r>
  <r>
    <n v="110"/>
    <x v="0"/>
    <x v="110"/>
    <x v="11"/>
    <s v="Percent of total labor force"/>
    <s v="Units"/>
    <x v="4"/>
    <n v="6.5030000000000001"/>
  </r>
  <r>
    <n v="110"/>
    <x v="0"/>
    <x v="110"/>
    <x v="11"/>
    <s v="Percent of total labor force"/>
    <s v="Units"/>
    <x v="5"/>
    <n v="6.452"/>
  </r>
  <r>
    <n v="110"/>
    <x v="0"/>
    <x v="110"/>
    <x v="11"/>
    <s v="Percent of total labor force"/>
    <s v="Units"/>
    <x v="6"/>
    <n v="6.4950000000000001"/>
  </r>
  <r>
    <n v="200"/>
    <x v="3"/>
    <x v="57"/>
    <x v="1"/>
    <s v="Percent change"/>
    <s v="Units"/>
    <x v="0"/>
    <n v="7.8860000000000001"/>
  </r>
  <r>
    <n v="200"/>
    <x v="3"/>
    <x v="57"/>
    <x v="1"/>
    <s v="Percent change"/>
    <s v="Units"/>
    <x v="1"/>
    <n v="2.74"/>
  </r>
  <r>
    <n v="200"/>
    <x v="3"/>
    <x v="57"/>
    <x v="1"/>
    <s v="Percent change"/>
    <s v="Units"/>
    <x v="2"/>
    <n v="9.3610000000000007"/>
  </r>
  <r>
    <n v="200"/>
    <x v="3"/>
    <x v="57"/>
    <x v="1"/>
    <s v="Percent change"/>
    <s v="Units"/>
    <x v="3"/>
    <n v="20.183"/>
  </r>
  <r>
    <n v="200"/>
    <x v="3"/>
    <x v="57"/>
    <x v="1"/>
    <s v="Percent change"/>
    <s v="Units"/>
    <x v="4"/>
    <n v="12.851000000000001"/>
  </r>
  <r>
    <n v="200"/>
    <x v="3"/>
    <x v="57"/>
    <x v="1"/>
    <s v="Percent change"/>
    <s v="Units"/>
    <x v="5"/>
    <n v="6.4459999999999997"/>
  </r>
  <r>
    <n v="200"/>
    <x v="3"/>
    <x v="57"/>
    <x v="1"/>
    <s v="Percent change"/>
    <s v="Units"/>
    <x v="6"/>
    <n v="7.5780000000000003"/>
  </r>
  <r>
    <n v="903"/>
    <x v="8"/>
    <x v="57"/>
    <x v="1"/>
    <s v="Percent change"/>
    <s v="Units"/>
    <x v="0"/>
    <n v="7.8860000000000001"/>
  </r>
  <r>
    <n v="903"/>
    <x v="8"/>
    <x v="57"/>
    <x v="1"/>
    <s v="Percent change"/>
    <s v="Units"/>
    <x v="1"/>
    <n v="2.74"/>
  </r>
  <r>
    <n v="903"/>
    <x v="8"/>
    <x v="57"/>
    <x v="1"/>
    <s v="Percent change"/>
    <s v="Units"/>
    <x v="2"/>
    <n v="9.3610000000000007"/>
  </r>
  <r>
    <n v="903"/>
    <x v="8"/>
    <x v="57"/>
    <x v="1"/>
    <s v="Percent change"/>
    <s v="Units"/>
    <x v="3"/>
    <n v="20.183"/>
  </r>
  <r>
    <n v="903"/>
    <x v="8"/>
    <x v="57"/>
    <x v="1"/>
    <s v="Percent change"/>
    <s v="Units"/>
    <x v="4"/>
    <n v="12.851000000000001"/>
  </r>
  <r>
    <n v="903"/>
    <x v="8"/>
    <x v="57"/>
    <x v="1"/>
    <s v="Percent change"/>
    <s v="Units"/>
    <x v="5"/>
    <n v="6.4459999999999997"/>
  </r>
  <r>
    <n v="903"/>
    <x v="8"/>
    <x v="57"/>
    <x v="1"/>
    <s v="Percent change"/>
    <s v="Units"/>
    <x v="6"/>
    <n v="7.5780000000000003"/>
  </r>
  <r>
    <n v="1"/>
    <x v="2"/>
    <x v="57"/>
    <x v="1"/>
    <s v="Percent change"/>
    <s v="Units"/>
    <x v="0"/>
    <n v="7.8860000000000001"/>
  </r>
  <r>
    <n v="1"/>
    <x v="2"/>
    <x v="57"/>
    <x v="1"/>
    <s v="Percent change"/>
    <s v="Units"/>
    <x v="1"/>
    <n v="2.74"/>
  </r>
  <r>
    <n v="1"/>
    <x v="2"/>
    <x v="57"/>
    <x v="1"/>
    <s v="Percent change"/>
    <s v="Units"/>
    <x v="2"/>
    <n v="9.3610000000000007"/>
  </r>
  <r>
    <n v="1"/>
    <x v="2"/>
    <x v="57"/>
    <x v="1"/>
    <s v="Percent change"/>
    <s v="Units"/>
    <x v="3"/>
    <n v="20.183"/>
  </r>
  <r>
    <n v="1"/>
    <x v="2"/>
    <x v="57"/>
    <x v="1"/>
    <s v="Percent change"/>
    <s v="Units"/>
    <x v="4"/>
    <n v="12.851000000000001"/>
  </r>
  <r>
    <n v="1"/>
    <x v="2"/>
    <x v="57"/>
    <x v="1"/>
    <s v="Percent change"/>
    <s v="Units"/>
    <x v="5"/>
    <n v="6.4459999999999997"/>
  </r>
  <r>
    <n v="1"/>
    <x v="2"/>
    <x v="57"/>
    <x v="1"/>
    <s v="Percent change"/>
    <s v="Units"/>
    <x v="6"/>
    <n v="7.5780000000000003"/>
  </r>
  <r>
    <n v="110"/>
    <x v="0"/>
    <x v="51"/>
    <x v="4"/>
    <s v="Percent change"/>
    <s v="Units"/>
    <x v="0"/>
    <n v="2.556"/>
  </r>
  <r>
    <n v="110"/>
    <x v="0"/>
    <x v="51"/>
    <x v="4"/>
    <s v="Percent change"/>
    <s v="Units"/>
    <x v="1"/>
    <n v="-13.468999999999999"/>
  </r>
  <r>
    <n v="110"/>
    <x v="0"/>
    <x v="51"/>
    <x v="4"/>
    <s v="Percent change"/>
    <s v="Units"/>
    <x v="2"/>
    <n v="-2.4580000000000002"/>
  </r>
  <r>
    <n v="110"/>
    <x v="0"/>
    <x v="51"/>
    <x v="4"/>
    <s v="Percent change"/>
    <s v="Units"/>
    <x v="3"/>
    <n v="0.16400000000000001"/>
  </r>
  <r>
    <n v="110"/>
    <x v="0"/>
    <x v="51"/>
    <x v="4"/>
    <s v="Percent change"/>
    <s v="Units"/>
    <x v="4"/>
    <n v="9.5960000000000001"/>
  </r>
  <r>
    <n v="110"/>
    <x v="0"/>
    <x v="51"/>
    <x v="4"/>
    <s v="Percent change"/>
    <s v="Units"/>
    <x v="5"/>
    <n v="6.4260000000000002"/>
  </r>
  <r>
    <n v="110"/>
    <x v="0"/>
    <x v="51"/>
    <x v="4"/>
    <s v="Percent change"/>
    <s v="Units"/>
    <x v="6"/>
    <n v="5.157"/>
  </r>
  <r>
    <n v="1"/>
    <x v="2"/>
    <x v="51"/>
    <x v="4"/>
    <s v="Percent change"/>
    <s v="Units"/>
    <x v="0"/>
    <n v="2.556"/>
  </r>
  <r>
    <n v="1"/>
    <x v="2"/>
    <x v="51"/>
    <x v="4"/>
    <s v="Percent change"/>
    <s v="Units"/>
    <x v="1"/>
    <n v="-13.468999999999999"/>
  </r>
  <r>
    <n v="1"/>
    <x v="2"/>
    <x v="51"/>
    <x v="4"/>
    <s v="Percent change"/>
    <s v="Units"/>
    <x v="2"/>
    <n v="-2.4580000000000002"/>
  </r>
  <r>
    <n v="1"/>
    <x v="2"/>
    <x v="51"/>
    <x v="4"/>
    <s v="Percent change"/>
    <s v="Units"/>
    <x v="3"/>
    <n v="0.16400000000000001"/>
  </r>
  <r>
    <n v="1"/>
    <x v="2"/>
    <x v="51"/>
    <x v="4"/>
    <s v="Percent change"/>
    <s v="Units"/>
    <x v="4"/>
    <n v="9.5960000000000001"/>
  </r>
  <r>
    <n v="1"/>
    <x v="2"/>
    <x v="51"/>
    <x v="4"/>
    <s v="Percent change"/>
    <s v="Units"/>
    <x v="5"/>
    <n v="6.4260000000000002"/>
  </r>
  <r>
    <n v="1"/>
    <x v="2"/>
    <x v="51"/>
    <x v="4"/>
    <s v="Percent change"/>
    <s v="Units"/>
    <x v="6"/>
    <n v="5.157"/>
  </r>
  <r>
    <n v="123"/>
    <x v="9"/>
    <x v="51"/>
    <x v="4"/>
    <s v="Percent change"/>
    <s v="Units"/>
    <x v="0"/>
    <n v="2.556"/>
  </r>
  <r>
    <n v="123"/>
    <x v="9"/>
    <x v="51"/>
    <x v="4"/>
    <s v="Percent change"/>
    <s v="Units"/>
    <x v="1"/>
    <n v="-13.468999999999999"/>
  </r>
  <r>
    <n v="123"/>
    <x v="9"/>
    <x v="51"/>
    <x v="4"/>
    <s v="Percent change"/>
    <s v="Units"/>
    <x v="2"/>
    <n v="-2.4580000000000002"/>
  </r>
  <r>
    <n v="123"/>
    <x v="9"/>
    <x v="51"/>
    <x v="4"/>
    <s v="Percent change"/>
    <s v="Units"/>
    <x v="3"/>
    <n v="0.16400000000000001"/>
  </r>
  <r>
    <n v="123"/>
    <x v="9"/>
    <x v="51"/>
    <x v="4"/>
    <s v="Percent change"/>
    <s v="Units"/>
    <x v="4"/>
    <n v="9.5960000000000001"/>
  </r>
  <r>
    <n v="123"/>
    <x v="9"/>
    <x v="51"/>
    <x v="4"/>
    <s v="Percent change"/>
    <s v="Units"/>
    <x v="5"/>
    <n v="6.4260000000000002"/>
  </r>
  <r>
    <n v="123"/>
    <x v="9"/>
    <x v="51"/>
    <x v="4"/>
    <s v="Percent change"/>
    <s v="Units"/>
    <x v="6"/>
    <n v="5.157"/>
  </r>
  <r>
    <n v="205"/>
    <x v="7"/>
    <x v="39"/>
    <x v="1"/>
    <s v="Percent change"/>
    <s v="Units"/>
    <x v="0"/>
    <n v="3.524"/>
  </r>
  <r>
    <n v="205"/>
    <x v="7"/>
    <x v="39"/>
    <x v="1"/>
    <s v="Percent change"/>
    <s v="Units"/>
    <x v="1"/>
    <n v="2.5249999999999999"/>
  </r>
  <r>
    <n v="205"/>
    <x v="7"/>
    <x v="39"/>
    <x v="1"/>
    <s v="Percent change"/>
    <s v="Units"/>
    <x v="2"/>
    <n v="3.5049999999999999"/>
  </r>
  <r>
    <n v="205"/>
    <x v="7"/>
    <x v="39"/>
    <x v="1"/>
    <s v="Percent change"/>
    <s v="Units"/>
    <x v="3"/>
    <n v="10.183"/>
  </r>
  <r>
    <n v="205"/>
    <x v="7"/>
    <x v="39"/>
    <x v="1"/>
    <s v="Percent change"/>
    <s v="Units"/>
    <x v="4"/>
    <n v="11.728999999999999"/>
  </r>
  <r>
    <n v="205"/>
    <x v="7"/>
    <x v="39"/>
    <x v="1"/>
    <s v="Percent change"/>
    <s v="Units"/>
    <x v="5"/>
    <n v="6.39"/>
  </r>
  <r>
    <n v="205"/>
    <x v="7"/>
    <x v="39"/>
    <x v="1"/>
    <s v="Percent change"/>
    <s v="Units"/>
    <x v="6"/>
    <n v="3.597"/>
  </r>
  <r>
    <n v="1"/>
    <x v="2"/>
    <x v="39"/>
    <x v="1"/>
    <s v="Percent change"/>
    <s v="Units"/>
    <x v="0"/>
    <n v="3.524"/>
  </r>
  <r>
    <n v="1"/>
    <x v="2"/>
    <x v="39"/>
    <x v="1"/>
    <s v="Percent change"/>
    <s v="Units"/>
    <x v="1"/>
    <n v="2.5249999999999999"/>
  </r>
  <r>
    <n v="1"/>
    <x v="2"/>
    <x v="39"/>
    <x v="1"/>
    <s v="Percent change"/>
    <s v="Units"/>
    <x v="2"/>
    <n v="3.5049999999999999"/>
  </r>
  <r>
    <n v="1"/>
    <x v="2"/>
    <x v="39"/>
    <x v="1"/>
    <s v="Percent change"/>
    <s v="Units"/>
    <x v="3"/>
    <n v="10.183"/>
  </r>
  <r>
    <n v="1"/>
    <x v="2"/>
    <x v="39"/>
    <x v="1"/>
    <s v="Percent change"/>
    <s v="Units"/>
    <x v="4"/>
    <n v="11.728999999999999"/>
  </r>
  <r>
    <n v="1"/>
    <x v="2"/>
    <x v="39"/>
    <x v="1"/>
    <s v="Percent change"/>
    <s v="Units"/>
    <x v="5"/>
    <n v="6.39"/>
  </r>
  <r>
    <n v="1"/>
    <x v="2"/>
    <x v="39"/>
    <x v="1"/>
    <s v="Percent change"/>
    <s v="Units"/>
    <x v="6"/>
    <n v="3.597"/>
  </r>
  <r>
    <n v="200"/>
    <x v="3"/>
    <x v="39"/>
    <x v="1"/>
    <s v="Percent change"/>
    <s v="Units"/>
    <x v="0"/>
    <n v="3.524"/>
  </r>
  <r>
    <n v="200"/>
    <x v="3"/>
    <x v="39"/>
    <x v="1"/>
    <s v="Percent change"/>
    <s v="Units"/>
    <x v="1"/>
    <n v="2.5249999999999999"/>
  </r>
  <r>
    <n v="200"/>
    <x v="3"/>
    <x v="39"/>
    <x v="1"/>
    <s v="Percent change"/>
    <s v="Units"/>
    <x v="2"/>
    <n v="3.5049999999999999"/>
  </r>
  <r>
    <n v="200"/>
    <x v="3"/>
    <x v="39"/>
    <x v="1"/>
    <s v="Percent change"/>
    <s v="Units"/>
    <x v="3"/>
    <n v="10.183"/>
  </r>
  <r>
    <n v="200"/>
    <x v="3"/>
    <x v="39"/>
    <x v="1"/>
    <s v="Percent change"/>
    <s v="Units"/>
    <x v="4"/>
    <n v="11.728999999999999"/>
  </r>
  <r>
    <n v="200"/>
    <x v="3"/>
    <x v="39"/>
    <x v="1"/>
    <s v="Percent change"/>
    <s v="Units"/>
    <x v="5"/>
    <n v="6.39"/>
  </r>
  <r>
    <n v="200"/>
    <x v="3"/>
    <x v="39"/>
    <x v="1"/>
    <s v="Percent change"/>
    <s v="Units"/>
    <x v="6"/>
    <n v="3.597"/>
  </r>
  <r>
    <n v="603"/>
    <x v="12"/>
    <x v="103"/>
    <x v="1"/>
    <s v="Percent change"/>
    <s v="Units"/>
    <x v="0"/>
    <n v="5.1870000000000003"/>
  </r>
  <r>
    <n v="603"/>
    <x v="12"/>
    <x v="103"/>
    <x v="1"/>
    <s v="Percent change"/>
    <s v="Units"/>
    <x v="1"/>
    <n v="4.9779999999999998"/>
  </r>
  <r>
    <n v="603"/>
    <x v="12"/>
    <x v="103"/>
    <x v="1"/>
    <s v="Percent change"/>
    <s v="Units"/>
    <x v="2"/>
    <n v="6.048"/>
  </r>
  <r>
    <n v="603"/>
    <x v="12"/>
    <x v="103"/>
    <x v="1"/>
    <s v="Percent change"/>
    <s v="Units"/>
    <x v="3"/>
    <n v="8.2720000000000002"/>
  </r>
  <r>
    <n v="603"/>
    <x v="12"/>
    <x v="103"/>
    <x v="1"/>
    <s v="Percent change"/>
    <s v="Units"/>
    <x v="4"/>
    <n v="6.343"/>
  </r>
  <r>
    <n v="603"/>
    <x v="12"/>
    <x v="103"/>
    <x v="1"/>
    <s v="Percent change"/>
    <s v="Units"/>
    <x v="5"/>
    <n v="6.3840000000000003"/>
  </r>
  <r>
    <n v="603"/>
    <x v="12"/>
    <x v="103"/>
    <x v="1"/>
    <s v="Percent change"/>
    <s v="Units"/>
    <x v="6"/>
    <n v="5.3520000000000003"/>
  </r>
  <r>
    <n v="1"/>
    <x v="2"/>
    <x v="103"/>
    <x v="1"/>
    <s v="Percent change"/>
    <s v="Units"/>
    <x v="0"/>
    <n v="5.1870000000000003"/>
  </r>
  <r>
    <n v="1"/>
    <x v="2"/>
    <x v="103"/>
    <x v="1"/>
    <s v="Percent change"/>
    <s v="Units"/>
    <x v="1"/>
    <n v="4.9779999999999998"/>
  </r>
  <r>
    <n v="1"/>
    <x v="2"/>
    <x v="103"/>
    <x v="1"/>
    <s v="Percent change"/>
    <s v="Units"/>
    <x v="2"/>
    <n v="6.048"/>
  </r>
  <r>
    <n v="1"/>
    <x v="2"/>
    <x v="103"/>
    <x v="1"/>
    <s v="Percent change"/>
    <s v="Units"/>
    <x v="3"/>
    <n v="8.2720000000000002"/>
  </r>
  <r>
    <n v="1"/>
    <x v="2"/>
    <x v="103"/>
    <x v="1"/>
    <s v="Percent change"/>
    <s v="Units"/>
    <x v="4"/>
    <n v="6.343"/>
  </r>
  <r>
    <n v="1"/>
    <x v="2"/>
    <x v="103"/>
    <x v="1"/>
    <s v="Percent change"/>
    <s v="Units"/>
    <x v="5"/>
    <n v="6.3840000000000003"/>
  </r>
  <r>
    <n v="1"/>
    <x v="2"/>
    <x v="103"/>
    <x v="1"/>
    <s v="Percent change"/>
    <s v="Units"/>
    <x v="6"/>
    <n v="5.3520000000000003"/>
  </r>
  <r>
    <n v="200"/>
    <x v="3"/>
    <x v="103"/>
    <x v="1"/>
    <s v="Percent change"/>
    <s v="Units"/>
    <x v="0"/>
    <n v="5.1870000000000003"/>
  </r>
  <r>
    <n v="200"/>
    <x v="3"/>
    <x v="103"/>
    <x v="1"/>
    <s v="Percent change"/>
    <s v="Units"/>
    <x v="1"/>
    <n v="4.9779999999999998"/>
  </r>
  <r>
    <n v="200"/>
    <x v="3"/>
    <x v="103"/>
    <x v="1"/>
    <s v="Percent change"/>
    <s v="Units"/>
    <x v="2"/>
    <n v="6.048"/>
  </r>
  <r>
    <n v="200"/>
    <x v="3"/>
    <x v="103"/>
    <x v="1"/>
    <s v="Percent change"/>
    <s v="Units"/>
    <x v="3"/>
    <n v="8.2720000000000002"/>
  </r>
  <r>
    <n v="200"/>
    <x v="3"/>
    <x v="103"/>
    <x v="1"/>
    <s v="Percent change"/>
    <s v="Units"/>
    <x v="4"/>
    <n v="6.343"/>
  </r>
  <r>
    <n v="200"/>
    <x v="3"/>
    <x v="103"/>
    <x v="1"/>
    <s v="Percent change"/>
    <s v="Units"/>
    <x v="5"/>
    <n v="6.3840000000000003"/>
  </r>
  <r>
    <n v="200"/>
    <x v="3"/>
    <x v="103"/>
    <x v="1"/>
    <s v="Percent change"/>
    <s v="Units"/>
    <x v="6"/>
    <n v="5.3520000000000003"/>
  </r>
  <r>
    <n v="1"/>
    <x v="2"/>
    <x v="175"/>
    <x v="6"/>
    <s v="Percent change"/>
    <s v="Units"/>
    <x v="0"/>
    <n v="-2.577"/>
  </r>
  <r>
    <n v="1"/>
    <x v="2"/>
    <x v="175"/>
    <x v="6"/>
    <s v="Percent change"/>
    <s v="Units"/>
    <x v="1"/>
    <n v="-21.7"/>
  </r>
  <r>
    <n v="1"/>
    <x v="2"/>
    <x v="175"/>
    <x v="6"/>
    <s v="Percent change"/>
    <s v="Units"/>
    <x v="2"/>
    <n v="13.975"/>
  </r>
  <r>
    <n v="1"/>
    <x v="2"/>
    <x v="175"/>
    <x v="6"/>
    <s v="Percent change"/>
    <s v="Units"/>
    <x v="3"/>
    <n v="-3.0230000000000001"/>
  </r>
  <r>
    <n v="1"/>
    <x v="2"/>
    <x v="175"/>
    <x v="6"/>
    <s v="Percent change"/>
    <s v="Units"/>
    <x v="4"/>
    <n v="16.959"/>
  </r>
  <r>
    <n v="1"/>
    <x v="2"/>
    <x v="175"/>
    <x v="6"/>
    <s v="Percent change"/>
    <s v="Units"/>
    <x v="5"/>
    <n v="6.3810000000000002"/>
  </r>
  <r>
    <n v="1"/>
    <x v="2"/>
    <x v="175"/>
    <x v="6"/>
    <s v="Percent change"/>
    <s v="Units"/>
    <x v="6"/>
    <n v="4.8250000000000002"/>
  </r>
  <r>
    <n v="1"/>
    <x v="2"/>
    <x v="175"/>
    <x v="4"/>
    <s v="Percent change"/>
    <s v="Units"/>
    <x v="0"/>
    <n v="6.4210000000000003"/>
  </r>
  <r>
    <n v="1"/>
    <x v="2"/>
    <x v="175"/>
    <x v="4"/>
    <s v="Percent change"/>
    <s v="Units"/>
    <x v="1"/>
    <n v="-67.022000000000006"/>
  </r>
  <r>
    <n v="1"/>
    <x v="2"/>
    <x v="175"/>
    <x v="4"/>
    <s v="Percent change"/>
    <s v="Units"/>
    <x v="2"/>
    <n v="90.361000000000004"/>
  </r>
  <r>
    <n v="1"/>
    <x v="2"/>
    <x v="175"/>
    <x v="4"/>
    <s v="Percent change"/>
    <s v="Units"/>
    <x v="3"/>
    <n v="54.154000000000003"/>
  </r>
  <r>
    <n v="1"/>
    <x v="2"/>
    <x v="175"/>
    <x v="4"/>
    <s v="Percent change"/>
    <s v="Units"/>
    <x v="4"/>
    <n v="7.1109999999999998"/>
  </r>
  <r>
    <n v="1"/>
    <x v="2"/>
    <x v="175"/>
    <x v="4"/>
    <s v="Percent change"/>
    <s v="Units"/>
    <x v="5"/>
    <n v="6.3810000000000002"/>
  </r>
  <r>
    <n v="1"/>
    <x v="2"/>
    <x v="175"/>
    <x v="4"/>
    <s v="Percent change"/>
    <s v="Units"/>
    <x v="6"/>
    <n v="2.9369999999999998"/>
  </r>
  <r>
    <n v="200"/>
    <x v="3"/>
    <x v="175"/>
    <x v="4"/>
    <s v="Percent change"/>
    <s v="Units"/>
    <x v="0"/>
    <n v="6.4210000000000003"/>
  </r>
  <r>
    <n v="200"/>
    <x v="3"/>
    <x v="175"/>
    <x v="4"/>
    <s v="Percent change"/>
    <s v="Units"/>
    <x v="1"/>
    <n v="-67.022000000000006"/>
  </r>
  <r>
    <n v="200"/>
    <x v="3"/>
    <x v="175"/>
    <x v="4"/>
    <s v="Percent change"/>
    <s v="Units"/>
    <x v="2"/>
    <n v="90.361000000000004"/>
  </r>
  <r>
    <n v="200"/>
    <x v="3"/>
    <x v="175"/>
    <x v="4"/>
    <s v="Percent change"/>
    <s v="Units"/>
    <x v="3"/>
    <n v="54.154000000000003"/>
  </r>
  <r>
    <n v="200"/>
    <x v="3"/>
    <x v="175"/>
    <x v="4"/>
    <s v="Percent change"/>
    <s v="Units"/>
    <x v="4"/>
    <n v="7.1109999999999998"/>
  </r>
  <r>
    <n v="200"/>
    <x v="3"/>
    <x v="175"/>
    <x v="4"/>
    <s v="Percent change"/>
    <s v="Units"/>
    <x v="5"/>
    <n v="6.3810000000000002"/>
  </r>
  <r>
    <n v="200"/>
    <x v="3"/>
    <x v="175"/>
    <x v="4"/>
    <s v="Percent change"/>
    <s v="Units"/>
    <x v="6"/>
    <n v="2.9369999999999998"/>
  </r>
  <r>
    <n v="205"/>
    <x v="7"/>
    <x v="175"/>
    <x v="4"/>
    <s v="Percent change"/>
    <s v="Units"/>
    <x v="0"/>
    <n v="6.4210000000000003"/>
  </r>
  <r>
    <n v="205"/>
    <x v="7"/>
    <x v="175"/>
    <x v="4"/>
    <s v="Percent change"/>
    <s v="Units"/>
    <x v="1"/>
    <n v="-67.022000000000006"/>
  </r>
  <r>
    <n v="205"/>
    <x v="7"/>
    <x v="175"/>
    <x v="4"/>
    <s v="Percent change"/>
    <s v="Units"/>
    <x v="2"/>
    <n v="90.361000000000004"/>
  </r>
  <r>
    <n v="205"/>
    <x v="7"/>
    <x v="175"/>
    <x v="4"/>
    <s v="Percent change"/>
    <s v="Units"/>
    <x v="3"/>
    <n v="54.154000000000003"/>
  </r>
  <r>
    <n v="205"/>
    <x v="7"/>
    <x v="175"/>
    <x v="4"/>
    <s v="Percent change"/>
    <s v="Units"/>
    <x v="4"/>
    <n v="7.1109999999999998"/>
  </r>
  <r>
    <n v="205"/>
    <x v="7"/>
    <x v="175"/>
    <x v="4"/>
    <s v="Percent change"/>
    <s v="Units"/>
    <x v="5"/>
    <n v="6.3810000000000002"/>
  </r>
  <r>
    <n v="205"/>
    <x v="7"/>
    <x v="175"/>
    <x v="4"/>
    <s v="Percent change"/>
    <s v="Units"/>
    <x v="6"/>
    <n v="2.9369999999999998"/>
  </r>
  <r>
    <n v="205"/>
    <x v="7"/>
    <x v="175"/>
    <x v="6"/>
    <s v="Percent change"/>
    <s v="Units"/>
    <x v="0"/>
    <n v="-2.577"/>
  </r>
  <r>
    <n v="205"/>
    <x v="7"/>
    <x v="175"/>
    <x v="6"/>
    <s v="Percent change"/>
    <s v="Units"/>
    <x v="1"/>
    <n v="-21.7"/>
  </r>
  <r>
    <n v="205"/>
    <x v="7"/>
    <x v="175"/>
    <x v="6"/>
    <s v="Percent change"/>
    <s v="Units"/>
    <x v="2"/>
    <n v="13.975"/>
  </r>
  <r>
    <n v="205"/>
    <x v="7"/>
    <x v="175"/>
    <x v="6"/>
    <s v="Percent change"/>
    <s v="Units"/>
    <x v="3"/>
    <n v="-3.0230000000000001"/>
  </r>
  <r>
    <n v="205"/>
    <x v="7"/>
    <x v="175"/>
    <x v="6"/>
    <s v="Percent change"/>
    <s v="Units"/>
    <x v="4"/>
    <n v="16.959"/>
  </r>
  <r>
    <n v="205"/>
    <x v="7"/>
    <x v="175"/>
    <x v="6"/>
    <s v="Percent change"/>
    <s v="Units"/>
    <x v="5"/>
    <n v="6.3810000000000002"/>
  </r>
  <r>
    <n v="205"/>
    <x v="7"/>
    <x v="175"/>
    <x v="6"/>
    <s v="Percent change"/>
    <s v="Units"/>
    <x v="6"/>
    <n v="4.8250000000000002"/>
  </r>
  <r>
    <n v="200"/>
    <x v="3"/>
    <x v="175"/>
    <x v="6"/>
    <s v="Percent change"/>
    <s v="Units"/>
    <x v="0"/>
    <n v="-2.577"/>
  </r>
  <r>
    <n v="200"/>
    <x v="3"/>
    <x v="175"/>
    <x v="6"/>
    <s v="Percent change"/>
    <s v="Units"/>
    <x v="1"/>
    <n v="-21.7"/>
  </r>
  <r>
    <n v="200"/>
    <x v="3"/>
    <x v="175"/>
    <x v="6"/>
    <s v="Percent change"/>
    <s v="Units"/>
    <x v="2"/>
    <n v="13.975"/>
  </r>
  <r>
    <n v="200"/>
    <x v="3"/>
    <x v="175"/>
    <x v="6"/>
    <s v="Percent change"/>
    <s v="Units"/>
    <x v="3"/>
    <n v="-3.0230000000000001"/>
  </r>
  <r>
    <n v="200"/>
    <x v="3"/>
    <x v="175"/>
    <x v="6"/>
    <s v="Percent change"/>
    <s v="Units"/>
    <x v="4"/>
    <n v="16.959"/>
  </r>
  <r>
    <n v="200"/>
    <x v="3"/>
    <x v="175"/>
    <x v="6"/>
    <s v="Percent change"/>
    <s v="Units"/>
    <x v="5"/>
    <n v="6.3810000000000002"/>
  </r>
  <r>
    <n v="200"/>
    <x v="3"/>
    <x v="175"/>
    <x v="6"/>
    <s v="Percent change"/>
    <s v="Units"/>
    <x v="6"/>
    <n v="4.8250000000000002"/>
  </r>
  <r>
    <n v="200"/>
    <x v="3"/>
    <x v="94"/>
    <x v="1"/>
    <s v="Percent change"/>
    <s v="Units"/>
    <x v="0"/>
    <n v="-2.52"/>
  </r>
  <r>
    <n v="200"/>
    <x v="3"/>
    <x v="94"/>
    <x v="1"/>
    <s v="Percent change"/>
    <s v="Units"/>
    <x v="1"/>
    <n v="2.8980000000000001"/>
  </r>
  <r>
    <n v="200"/>
    <x v="3"/>
    <x v="94"/>
    <x v="1"/>
    <s v="Percent change"/>
    <s v="Units"/>
    <x v="2"/>
    <n v="3.8380000000000001"/>
  </r>
  <r>
    <n v="200"/>
    <x v="3"/>
    <x v="94"/>
    <x v="1"/>
    <s v="Percent change"/>
    <s v="Units"/>
    <x v="3"/>
    <n v="4.226"/>
  </r>
  <r>
    <n v="200"/>
    <x v="3"/>
    <x v="94"/>
    <x v="1"/>
    <s v="Percent change"/>
    <s v="Units"/>
    <x v="4"/>
    <n v="3.7010000000000001"/>
  </r>
  <r>
    <n v="200"/>
    <x v="3"/>
    <x v="94"/>
    <x v="1"/>
    <s v="Percent change"/>
    <s v="Units"/>
    <x v="5"/>
    <n v="6.3650000000000002"/>
  </r>
  <r>
    <n v="200"/>
    <x v="3"/>
    <x v="94"/>
    <x v="1"/>
    <s v="Percent change"/>
    <s v="Units"/>
    <x v="6"/>
    <n v="4.58"/>
  </r>
  <r>
    <n v="603"/>
    <x v="12"/>
    <x v="94"/>
    <x v="1"/>
    <s v="Percent change"/>
    <s v="Units"/>
    <x v="0"/>
    <n v="-2.52"/>
  </r>
  <r>
    <n v="603"/>
    <x v="12"/>
    <x v="94"/>
    <x v="1"/>
    <s v="Percent change"/>
    <s v="Units"/>
    <x v="1"/>
    <n v="2.8980000000000001"/>
  </r>
  <r>
    <n v="603"/>
    <x v="12"/>
    <x v="94"/>
    <x v="1"/>
    <s v="Percent change"/>
    <s v="Units"/>
    <x v="2"/>
    <n v="3.8380000000000001"/>
  </r>
  <r>
    <n v="603"/>
    <x v="12"/>
    <x v="94"/>
    <x v="1"/>
    <s v="Percent change"/>
    <s v="Units"/>
    <x v="3"/>
    <n v="4.226"/>
  </r>
  <r>
    <n v="603"/>
    <x v="12"/>
    <x v="94"/>
    <x v="1"/>
    <s v="Percent change"/>
    <s v="Units"/>
    <x v="4"/>
    <n v="3.7010000000000001"/>
  </r>
  <r>
    <n v="603"/>
    <x v="12"/>
    <x v="94"/>
    <x v="1"/>
    <s v="Percent change"/>
    <s v="Units"/>
    <x v="5"/>
    <n v="6.3650000000000002"/>
  </r>
  <r>
    <n v="603"/>
    <x v="12"/>
    <x v="94"/>
    <x v="1"/>
    <s v="Percent change"/>
    <s v="Units"/>
    <x v="6"/>
    <n v="4.58"/>
  </r>
  <r>
    <n v="1"/>
    <x v="2"/>
    <x v="94"/>
    <x v="1"/>
    <s v="Percent change"/>
    <s v="Units"/>
    <x v="0"/>
    <n v="-2.52"/>
  </r>
  <r>
    <n v="1"/>
    <x v="2"/>
    <x v="94"/>
    <x v="1"/>
    <s v="Percent change"/>
    <s v="Units"/>
    <x v="1"/>
    <n v="2.8980000000000001"/>
  </r>
  <r>
    <n v="1"/>
    <x v="2"/>
    <x v="94"/>
    <x v="1"/>
    <s v="Percent change"/>
    <s v="Units"/>
    <x v="2"/>
    <n v="3.8380000000000001"/>
  </r>
  <r>
    <n v="1"/>
    <x v="2"/>
    <x v="94"/>
    <x v="1"/>
    <s v="Percent change"/>
    <s v="Units"/>
    <x v="3"/>
    <n v="4.226"/>
  </r>
  <r>
    <n v="1"/>
    <x v="2"/>
    <x v="94"/>
    <x v="1"/>
    <s v="Percent change"/>
    <s v="Units"/>
    <x v="4"/>
    <n v="3.7010000000000001"/>
  </r>
  <r>
    <n v="1"/>
    <x v="2"/>
    <x v="94"/>
    <x v="1"/>
    <s v="Percent change"/>
    <s v="Units"/>
    <x v="5"/>
    <n v="6.3650000000000002"/>
  </r>
  <r>
    <n v="1"/>
    <x v="2"/>
    <x v="94"/>
    <x v="1"/>
    <s v="Percent change"/>
    <s v="Units"/>
    <x v="6"/>
    <n v="4.58"/>
  </r>
  <r>
    <n v="1"/>
    <x v="2"/>
    <x v="163"/>
    <x v="4"/>
    <s v="Percent change"/>
    <s v="Units"/>
    <x v="0"/>
    <n v="1.6870000000000001"/>
  </r>
  <r>
    <n v="1"/>
    <x v="2"/>
    <x v="163"/>
    <x v="4"/>
    <s v="Percent change"/>
    <s v="Units"/>
    <x v="1"/>
    <n v="7.6269999999999998"/>
  </r>
  <r>
    <n v="1"/>
    <x v="2"/>
    <x v="163"/>
    <x v="4"/>
    <s v="Percent change"/>
    <s v="Units"/>
    <x v="2"/>
    <n v="-1.819"/>
  </r>
  <r>
    <n v="1"/>
    <x v="2"/>
    <x v="163"/>
    <x v="4"/>
    <s v="Percent change"/>
    <s v="Units"/>
    <x v="3"/>
    <n v="6.6180000000000003"/>
  </r>
  <r>
    <n v="1"/>
    <x v="2"/>
    <x v="163"/>
    <x v="4"/>
    <s v="Percent change"/>
    <s v="Units"/>
    <x v="4"/>
    <n v="2.375"/>
  </r>
  <r>
    <n v="1"/>
    <x v="2"/>
    <x v="163"/>
    <x v="4"/>
    <s v="Percent change"/>
    <s v="Units"/>
    <x v="5"/>
    <n v="6.3570000000000002"/>
  </r>
  <r>
    <n v="1"/>
    <x v="2"/>
    <x v="163"/>
    <x v="4"/>
    <s v="Percent change"/>
    <s v="Units"/>
    <x v="6"/>
    <n v="6.8650000000000002"/>
  </r>
  <r>
    <n v="603"/>
    <x v="12"/>
    <x v="163"/>
    <x v="4"/>
    <s v="Percent change"/>
    <s v="Units"/>
    <x v="0"/>
    <n v="1.6870000000000001"/>
  </r>
  <r>
    <n v="603"/>
    <x v="12"/>
    <x v="163"/>
    <x v="4"/>
    <s v="Percent change"/>
    <s v="Units"/>
    <x v="1"/>
    <n v="7.6269999999999998"/>
  </r>
  <r>
    <n v="603"/>
    <x v="12"/>
    <x v="163"/>
    <x v="4"/>
    <s v="Percent change"/>
    <s v="Units"/>
    <x v="2"/>
    <n v="-1.819"/>
  </r>
  <r>
    <n v="603"/>
    <x v="12"/>
    <x v="163"/>
    <x v="4"/>
    <s v="Percent change"/>
    <s v="Units"/>
    <x v="3"/>
    <n v="6.6180000000000003"/>
  </r>
  <r>
    <n v="603"/>
    <x v="12"/>
    <x v="163"/>
    <x v="4"/>
    <s v="Percent change"/>
    <s v="Units"/>
    <x v="4"/>
    <n v="2.375"/>
  </r>
  <r>
    <n v="603"/>
    <x v="12"/>
    <x v="163"/>
    <x v="4"/>
    <s v="Percent change"/>
    <s v="Units"/>
    <x v="5"/>
    <n v="6.3570000000000002"/>
  </r>
  <r>
    <n v="603"/>
    <x v="12"/>
    <x v="163"/>
    <x v="4"/>
    <s v="Percent change"/>
    <s v="Units"/>
    <x v="6"/>
    <n v="6.8650000000000002"/>
  </r>
  <r>
    <n v="200"/>
    <x v="3"/>
    <x v="163"/>
    <x v="4"/>
    <s v="Percent change"/>
    <s v="Units"/>
    <x v="0"/>
    <n v="1.6870000000000001"/>
  </r>
  <r>
    <n v="200"/>
    <x v="3"/>
    <x v="163"/>
    <x v="4"/>
    <s v="Percent change"/>
    <s v="Units"/>
    <x v="1"/>
    <n v="7.6269999999999998"/>
  </r>
  <r>
    <n v="200"/>
    <x v="3"/>
    <x v="163"/>
    <x v="4"/>
    <s v="Percent change"/>
    <s v="Units"/>
    <x v="2"/>
    <n v="-1.819"/>
  </r>
  <r>
    <n v="200"/>
    <x v="3"/>
    <x v="163"/>
    <x v="4"/>
    <s v="Percent change"/>
    <s v="Units"/>
    <x v="3"/>
    <n v="6.6180000000000003"/>
  </r>
  <r>
    <n v="200"/>
    <x v="3"/>
    <x v="163"/>
    <x v="4"/>
    <s v="Percent change"/>
    <s v="Units"/>
    <x v="4"/>
    <n v="2.375"/>
  </r>
  <r>
    <n v="200"/>
    <x v="3"/>
    <x v="163"/>
    <x v="4"/>
    <s v="Percent change"/>
    <s v="Units"/>
    <x v="5"/>
    <n v="6.3570000000000002"/>
  </r>
  <r>
    <n v="200"/>
    <x v="3"/>
    <x v="163"/>
    <x v="4"/>
    <s v="Percent change"/>
    <s v="Units"/>
    <x v="6"/>
    <n v="6.8650000000000002"/>
  </r>
  <r>
    <n v="1"/>
    <x v="2"/>
    <x v="182"/>
    <x v="7"/>
    <s v="Percent of GDP"/>
    <s v="Units"/>
    <x v="0"/>
    <n v="16.472999999999999"/>
  </r>
  <r>
    <n v="1"/>
    <x v="2"/>
    <x v="182"/>
    <x v="7"/>
    <s v="Percent of GDP"/>
    <s v="Units"/>
    <x v="1"/>
    <n v="17.916"/>
  </r>
  <r>
    <n v="1"/>
    <x v="2"/>
    <x v="182"/>
    <x v="7"/>
    <s v="Percent of GDP"/>
    <s v="Units"/>
    <x v="2"/>
    <n v="16.312000000000001"/>
  </r>
  <r>
    <n v="1"/>
    <x v="2"/>
    <x v="182"/>
    <x v="7"/>
    <s v="Percent of GDP"/>
    <s v="Units"/>
    <x v="3"/>
    <n v="12.628"/>
  </r>
  <r>
    <n v="1"/>
    <x v="2"/>
    <x v="182"/>
    <x v="7"/>
    <s v="Percent of GDP"/>
    <s v="Units"/>
    <x v="4"/>
    <n v="7.71"/>
  </r>
  <r>
    <n v="1"/>
    <x v="2"/>
    <x v="182"/>
    <x v="7"/>
    <s v="Percent of GDP"/>
    <s v="Units"/>
    <x v="5"/>
    <n v="6.3490000000000002"/>
  </r>
  <r>
    <n v="1"/>
    <x v="2"/>
    <x v="182"/>
    <x v="7"/>
    <s v="Percent of GDP"/>
    <s v="Units"/>
    <x v="6"/>
    <n v="3.915"/>
  </r>
  <r>
    <n v="200"/>
    <x v="3"/>
    <x v="182"/>
    <x v="7"/>
    <s v="Percent of GDP"/>
    <s v="Units"/>
    <x v="0"/>
    <n v="16.472999999999999"/>
  </r>
  <r>
    <n v="200"/>
    <x v="3"/>
    <x v="182"/>
    <x v="7"/>
    <s v="Percent of GDP"/>
    <s v="Units"/>
    <x v="1"/>
    <n v="17.916"/>
  </r>
  <r>
    <n v="200"/>
    <x v="3"/>
    <x v="182"/>
    <x v="7"/>
    <s v="Percent of GDP"/>
    <s v="Units"/>
    <x v="2"/>
    <n v="16.312000000000001"/>
  </r>
  <r>
    <n v="200"/>
    <x v="3"/>
    <x v="182"/>
    <x v="7"/>
    <s v="Percent of GDP"/>
    <s v="Units"/>
    <x v="3"/>
    <n v="12.628"/>
  </r>
  <r>
    <n v="200"/>
    <x v="3"/>
    <x v="182"/>
    <x v="7"/>
    <s v="Percent of GDP"/>
    <s v="Units"/>
    <x v="4"/>
    <n v="7.71"/>
  </r>
  <r>
    <n v="200"/>
    <x v="3"/>
    <x v="182"/>
    <x v="7"/>
    <s v="Percent of GDP"/>
    <s v="Units"/>
    <x v="5"/>
    <n v="6.3490000000000002"/>
  </r>
  <r>
    <n v="200"/>
    <x v="3"/>
    <x v="182"/>
    <x v="7"/>
    <s v="Percent of GDP"/>
    <s v="Units"/>
    <x v="6"/>
    <n v="3.915"/>
  </r>
  <r>
    <n v="603"/>
    <x v="12"/>
    <x v="182"/>
    <x v="7"/>
    <s v="Percent of GDP"/>
    <s v="Units"/>
    <x v="0"/>
    <n v="16.472999999999999"/>
  </r>
  <r>
    <n v="603"/>
    <x v="12"/>
    <x v="182"/>
    <x v="7"/>
    <s v="Percent of GDP"/>
    <s v="Units"/>
    <x v="1"/>
    <n v="17.916"/>
  </r>
  <r>
    <n v="603"/>
    <x v="12"/>
    <x v="182"/>
    <x v="7"/>
    <s v="Percent of GDP"/>
    <s v="Units"/>
    <x v="2"/>
    <n v="16.312000000000001"/>
  </r>
  <r>
    <n v="603"/>
    <x v="12"/>
    <x v="182"/>
    <x v="7"/>
    <s v="Percent of GDP"/>
    <s v="Units"/>
    <x v="3"/>
    <n v="12.628"/>
  </r>
  <r>
    <n v="603"/>
    <x v="12"/>
    <x v="182"/>
    <x v="7"/>
    <s v="Percent of GDP"/>
    <s v="Units"/>
    <x v="4"/>
    <n v="7.71"/>
  </r>
  <r>
    <n v="603"/>
    <x v="12"/>
    <x v="182"/>
    <x v="7"/>
    <s v="Percent of GDP"/>
    <s v="Units"/>
    <x v="5"/>
    <n v="6.3490000000000002"/>
  </r>
  <r>
    <n v="603"/>
    <x v="12"/>
    <x v="182"/>
    <x v="7"/>
    <s v="Percent of GDP"/>
    <s v="Units"/>
    <x v="6"/>
    <n v="3.915"/>
  </r>
  <r>
    <n v="1"/>
    <x v="2"/>
    <x v="172"/>
    <x v="1"/>
    <s v="Percent change"/>
    <s v="Units"/>
    <x v="0"/>
    <n v="26.969000000000001"/>
  </r>
  <r>
    <n v="1"/>
    <x v="2"/>
    <x v="172"/>
    <x v="1"/>
    <s v="Percent change"/>
    <s v="Units"/>
    <x v="1"/>
    <n v="16.952999999999999"/>
  </r>
  <r>
    <n v="1"/>
    <x v="2"/>
    <x v="172"/>
    <x v="1"/>
    <s v="Percent change"/>
    <s v="Units"/>
    <x v="2"/>
    <n v="7.8159999999999998"/>
  </r>
  <r>
    <n v="1"/>
    <x v="2"/>
    <x v="172"/>
    <x v="1"/>
    <s v="Percent change"/>
    <s v="Units"/>
    <x v="3"/>
    <n v="7.593"/>
  </r>
  <r>
    <n v="1"/>
    <x v="2"/>
    <x v="172"/>
    <x v="1"/>
    <s v="Percent change"/>
    <s v="Units"/>
    <x v="4"/>
    <n v="10.093999999999999"/>
  </r>
  <r>
    <n v="1"/>
    <x v="2"/>
    <x v="172"/>
    <x v="1"/>
    <s v="Percent change"/>
    <s v="Units"/>
    <x v="5"/>
    <n v="6.3440000000000003"/>
  </r>
  <r>
    <n v="1"/>
    <x v="2"/>
    <x v="172"/>
    <x v="1"/>
    <s v="Percent change"/>
    <s v="Units"/>
    <x v="6"/>
    <n v="5.1109999999999998"/>
  </r>
  <r>
    <n v="200"/>
    <x v="3"/>
    <x v="172"/>
    <x v="1"/>
    <s v="Percent change"/>
    <s v="Units"/>
    <x v="0"/>
    <n v="26.969000000000001"/>
  </r>
  <r>
    <n v="200"/>
    <x v="3"/>
    <x v="172"/>
    <x v="1"/>
    <s v="Percent change"/>
    <s v="Units"/>
    <x v="1"/>
    <n v="16.952999999999999"/>
  </r>
  <r>
    <n v="200"/>
    <x v="3"/>
    <x v="172"/>
    <x v="1"/>
    <s v="Percent change"/>
    <s v="Units"/>
    <x v="2"/>
    <n v="7.8159999999999998"/>
  </r>
  <r>
    <n v="200"/>
    <x v="3"/>
    <x v="172"/>
    <x v="1"/>
    <s v="Percent change"/>
    <s v="Units"/>
    <x v="3"/>
    <n v="7.593"/>
  </r>
  <r>
    <n v="200"/>
    <x v="3"/>
    <x v="172"/>
    <x v="1"/>
    <s v="Percent change"/>
    <s v="Units"/>
    <x v="4"/>
    <n v="10.093999999999999"/>
  </r>
  <r>
    <n v="200"/>
    <x v="3"/>
    <x v="172"/>
    <x v="1"/>
    <s v="Percent change"/>
    <s v="Units"/>
    <x v="5"/>
    <n v="6.3440000000000003"/>
  </r>
  <r>
    <n v="200"/>
    <x v="3"/>
    <x v="172"/>
    <x v="1"/>
    <s v="Percent change"/>
    <s v="Units"/>
    <x v="6"/>
    <n v="5.1109999999999998"/>
  </r>
  <r>
    <n v="603"/>
    <x v="12"/>
    <x v="172"/>
    <x v="1"/>
    <s v="Percent change"/>
    <s v="Units"/>
    <x v="0"/>
    <n v="26.969000000000001"/>
  </r>
  <r>
    <n v="603"/>
    <x v="12"/>
    <x v="172"/>
    <x v="1"/>
    <s v="Percent change"/>
    <s v="Units"/>
    <x v="1"/>
    <n v="16.952999999999999"/>
  </r>
  <r>
    <n v="603"/>
    <x v="12"/>
    <x v="172"/>
    <x v="1"/>
    <s v="Percent change"/>
    <s v="Units"/>
    <x v="2"/>
    <n v="7.8159999999999998"/>
  </r>
  <r>
    <n v="603"/>
    <x v="12"/>
    <x v="172"/>
    <x v="1"/>
    <s v="Percent change"/>
    <s v="Units"/>
    <x v="3"/>
    <n v="7.593"/>
  </r>
  <r>
    <n v="603"/>
    <x v="12"/>
    <x v="172"/>
    <x v="1"/>
    <s v="Percent change"/>
    <s v="Units"/>
    <x v="4"/>
    <n v="10.093999999999999"/>
  </r>
  <r>
    <n v="603"/>
    <x v="12"/>
    <x v="172"/>
    <x v="1"/>
    <s v="Percent change"/>
    <s v="Units"/>
    <x v="5"/>
    <n v="6.3440000000000003"/>
  </r>
  <r>
    <n v="603"/>
    <x v="12"/>
    <x v="172"/>
    <x v="1"/>
    <s v="Percent change"/>
    <s v="Units"/>
    <x v="6"/>
    <n v="5.1109999999999998"/>
  </r>
  <r>
    <n v="119"/>
    <x v="1"/>
    <x v="9"/>
    <x v="11"/>
    <s v="Percent of total labor force"/>
    <s v="Units"/>
    <x v="0"/>
    <n v="5.7"/>
  </r>
  <r>
    <n v="119"/>
    <x v="1"/>
    <x v="9"/>
    <x v="11"/>
    <s v="Percent of total labor force"/>
    <s v="Units"/>
    <x v="1"/>
    <n v="9.7249999999999996"/>
  </r>
  <r>
    <n v="119"/>
    <x v="1"/>
    <x v="9"/>
    <x v="11"/>
    <s v="Percent of total labor force"/>
    <s v="Units"/>
    <x v="2"/>
    <n v="7.4829999999999997"/>
  </r>
  <r>
    <n v="119"/>
    <x v="1"/>
    <x v="9"/>
    <x v="11"/>
    <s v="Percent of total labor force"/>
    <s v="Units"/>
    <x v="3"/>
    <n v="5.2670000000000003"/>
  </r>
  <r>
    <n v="119"/>
    <x v="1"/>
    <x v="9"/>
    <x v="11"/>
    <s v="Percent of total labor force"/>
    <s v="Units"/>
    <x v="4"/>
    <n v="5.4080000000000004"/>
  </r>
  <r>
    <n v="119"/>
    <x v="1"/>
    <x v="9"/>
    <x v="11"/>
    <s v="Percent of total labor force"/>
    <s v="Units"/>
    <x v="5"/>
    <n v="6.3230000000000004"/>
  </r>
  <r>
    <n v="119"/>
    <x v="1"/>
    <x v="9"/>
    <x v="11"/>
    <s v="Percent of total labor force"/>
    <s v="Units"/>
    <x v="6"/>
    <n v="6.2549999999999999"/>
  </r>
  <r>
    <n v="110"/>
    <x v="0"/>
    <x v="9"/>
    <x v="11"/>
    <s v="Percent of total labor force"/>
    <s v="Units"/>
    <x v="0"/>
    <n v="5.7"/>
  </r>
  <r>
    <n v="110"/>
    <x v="0"/>
    <x v="9"/>
    <x v="11"/>
    <s v="Percent of total labor force"/>
    <s v="Units"/>
    <x v="1"/>
    <n v="9.7249999999999996"/>
  </r>
  <r>
    <n v="110"/>
    <x v="0"/>
    <x v="9"/>
    <x v="11"/>
    <s v="Percent of total labor force"/>
    <s v="Units"/>
    <x v="2"/>
    <n v="7.4829999999999997"/>
  </r>
  <r>
    <n v="110"/>
    <x v="0"/>
    <x v="9"/>
    <x v="11"/>
    <s v="Percent of total labor force"/>
    <s v="Units"/>
    <x v="3"/>
    <n v="5.2670000000000003"/>
  </r>
  <r>
    <n v="110"/>
    <x v="0"/>
    <x v="9"/>
    <x v="11"/>
    <s v="Percent of total labor force"/>
    <s v="Units"/>
    <x v="4"/>
    <n v="5.4080000000000004"/>
  </r>
  <r>
    <n v="110"/>
    <x v="0"/>
    <x v="9"/>
    <x v="11"/>
    <s v="Percent of total labor force"/>
    <s v="Units"/>
    <x v="5"/>
    <n v="6.3230000000000004"/>
  </r>
  <r>
    <n v="110"/>
    <x v="0"/>
    <x v="9"/>
    <x v="11"/>
    <s v="Percent of total labor force"/>
    <s v="Units"/>
    <x v="6"/>
    <n v="6.2549999999999999"/>
  </r>
  <r>
    <n v="200"/>
    <x v="3"/>
    <x v="117"/>
    <x v="1"/>
    <s v="Percent change"/>
    <s v="Units"/>
    <x v="0"/>
    <n v="4.6390000000000002"/>
  </r>
  <r>
    <n v="200"/>
    <x v="3"/>
    <x v="117"/>
    <x v="1"/>
    <s v="Percent change"/>
    <s v="Units"/>
    <x v="1"/>
    <n v="6.15"/>
  </r>
  <r>
    <n v="200"/>
    <x v="3"/>
    <x v="117"/>
    <x v="1"/>
    <s v="Percent change"/>
    <s v="Units"/>
    <x v="2"/>
    <n v="3.5990000000000002"/>
  </r>
  <r>
    <n v="200"/>
    <x v="3"/>
    <x v="117"/>
    <x v="1"/>
    <s v="Percent change"/>
    <s v="Units"/>
    <x v="3"/>
    <n v="6.2610000000000001"/>
  </r>
  <r>
    <n v="200"/>
    <x v="3"/>
    <x v="117"/>
    <x v="1"/>
    <s v="Percent change"/>
    <s v="Units"/>
    <x v="4"/>
    <n v="7.8150000000000004"/>
  </r>
  <r>
    <n v="200"/>
    <x v="3"/>
    <x v="117"/>
    <x v="1"/>
    <s v="Percent change"/>
    <s v="Units"/>
    <x v="5"/>
    <n v="6.3120000000000003"/>
  </r>
  <r>
    <n v="200"/>
    <x v="3"/>
    <x v="117"/>
    <x v="1"/>
    <s v="Percent change"/>
    <s v="Units"/>
    <x v="6"/>
    <n v="5.6130000000000004"/>
  </r>
  <r>
    <n v="1"/>
    <x v="2"/>
    <x v="117"/>
    <x v="1"/>
    <s v="Percent change"/>
    <s v="Units"/>
    <x v="0"/>
    <n v="4.6390000000000002"/>
  </r>
  <r>
    <n v="1"/>
    <x v="2"/>
    <x v="117"/>
    <x v="1"/>
    <s v="Percent change"/>
    <s v="Units"/>
    <x v="1"/>
    <n v="6.15"/>
  </r>
  <r>
    <n v="1"/>
    <x v="2"/>
    <x v="117"/>
    <x v="1"/>
    <s v="Percent change"/>
    <s v="Units"/>
    <x v="2"/>
    <n v="3.5990000000000002"/>
  </r>
  <r>
    <n v="1"/>
    <x v="2"/>
    <x v="117"/>
    <x v="1"/>
    <s v="Percent change"/>
    <s v="Units"/>
    <x v="3"/>
    <n v="6.2610000000000001"/>
  </r>
  <r>
    <n v="1"/>
    <x v="2"/>
    <x v="117"/>
    <x v="1"/>
    <s v="Percent change"/>
    <s v="Units"/>
    <x v="4"/>
    <n v="7.8150000000000004"/>
  </r>
  <r>
    <n v="1"/>
    <x v="2"/>
    <x v="117"/>
    <x v="1"/>
    <s v="Percent change"/>
    <s v="Units"/>
    <x v="5"/>
    <n v="6.3120000000000003"/>
  </r>
  <r>
    <n v="1"/>
    <x v="2"/>
    <x v="117"/>
    <x v="1"/>
    <s v="Percent change"/>
    <s v="Units"/>
    <x v="6"/>
    <n v="5.6130000000000004"/>
  </r>
  <r>
    <n v="505"/>
    <x v="4"/>
    <x v="117"/>
    <x v="1"/>
    <s v="Percent change"/>
    <s v="Units"/>
    <x v="0"/>
    <n v="4.6390000000000002"/>
  </r>
  <r>
    <n v="505"/>
    <x v="4"/>
    <x v="117"/>
    <x v="1"/>
    <s v="Percent change"/>
    <s v="Units"/>
    <x v="1"/>
    <n v="6.15"/>
  </r>
  <r>
    <n v="505"/>
    <x v="4"/>
    <x v="117"/>
    <x v="1"/>
    <s v="Percent change"/>
    <s v="Units"/>
    <x v="2"/>
    <n v="3.5990000000000002"/>
  </r>
  <r>
    <n v="505"/>
    <x v="4"/>
    <x v="117"/>
    <x v="1"/>
    <s v="Percent change"/>
    <s v="Units"/>
    <x v="3"/>
    <n v="6.2610000000000001"/>
  </r>
  <r>
    <n v="505"/>
    <x v="4"/>
    <x v="117"/>
    <x v="1"/>
    <s v="Percent change"/>
    <s v="Units"/>
    <x v="4"/>
    <n v="7.8150000000000004"/>
  </r>
  <r>
    <n v="505"/>
    <x v="4"/>
    <x v="117"/>
    <x v="1"/>
    <s v="Percent change"/>
    <s v="Units"/>
    <x v="5"/>
    <n v="6.3120000000000003"/>
  </r>
  <r>
    <n v="505"/>
    <x v="4"/>
    <x v="117"/>
    <x v="1"/>
    <s v="Percent change"/>
    <s v="Units"/>
    <x v="6"/>
    <n v="5.6130000000000004"/>
  </r>
  <r>
    <n v="1"/>
    <x v="2"/>
    <x v="91"/>
    <x v="1"/>
    <s v="Percent change"/>
    <s v="Units"/>
    <x v="0"/>
    <n v="5.6"/>
  </r>
  <r>
    <n v="1"/>
    <x v="2"/>
    <x v="91"/>
    <x v="1"/>
    <s v="Percent change"/>
    <s v="Units"/>
    <x v="1"/>
    <n v="5.5359999999999996"/>
  </r>
  <r>
    <n v="1"/>
    <x v="2"/>
    <x v="91"/>
    <x v="1"/>
    <s v="Percent change"/>
    <s v="Units"/>
    <x v="2"/>
    <n v="9.4529999999999994"/>
  </r>
  <r>
    <n v="1"/>
    <x v="2"/>
    <x v="91"/>
    <x v="1"/>
    <s v="Percent change"/>
    <s v="Units"/>
    <x v="3"/>
    <n v="15.239000000000001"/>
  </r>
  <r>
    <n v="1"/>
    <x v="2"/>
    <x v="91"/>
    <x v="1"/>
    <s v="Percent change"/>
    <s v="Units"/>
    <x v="4"/>
    <n v="5.0170000000000003"/>
  </r>
  <r>
    <n v="1"/>
    <x v="2"/>
    <x v="91"/>
    <x v="1"/>
    <s v="Percent change"/>
    <s v="Units"/>
    <x v="5"/>
    <n v="6.3070000000000004"/>
  </r>
  <r>
    <n v="1"/>
    <x v="2"/>
    <x v="91"/>
    <x v="1"/>
    <s v="Percent change"/>
    <s v="Units"/>
    <x v="6"/>
    <n v="6.5359999999999996"/>
  </r>
  <r>
    <n v="903"/>
    <x v="8"/>
    <x v="91"/>
    <x v="1"/>
    <s v="Percent change"/>
    <s v="Units"/>
    <x v="0"/>
    <n v="5.6"/>
  </r>
  <r>
    <n v="903"/>
    <x v="8"/>
    <x v="91"/>
    <x v="1"/>
    <s v="Percent change"/>
    <s v="Units"/>
    <x v="1"/>
    <n v="5.5359999999999996"/>
  </r>
  <r>
    <n v="903"/>
    <x v="8"/>
    <x v="91"/>
    <x v="1"/>
    <s v="Percent change"/>
    <s v="Units"/>
    <x v="2"/>
    <n v="9.4529999999999994"/>
  </r>
  <r>
    <n v="903"/>
    <x v="8"/>
    <x v="91"/>
    <x v="1"/>
    <s v="Percent change"/>
    <s v="Units"/>
    <x v="3"/>
    <n v="15.239000000000001"/>
  </r>
  <r>
    <n v="903"/>
    <x v="8"/>
    <x v="91"/>
    <x v="1"/>
    <s v="Percent change"/>
    <s v="Units"/>
    <x v="4"/>
    <n v="5.0170000000000003"/>
  </r>
  <r>
    <n v="903"/>
    <x v="8"/>
    <x v="91"/>
    <x v="1"/>
    <s v="Percent change"/>
    <s v="Units"/>
    <x v="5"/>
    <n v="6.3070000000000004"/>
  </r>
  <r>
    <n v="903"/>
    <x v="8"/>
    <x v="91"/>
    <x v="1"/>
    <s v="Percent change"/>
    <s v="Units"/>
    <x v="6"/>
    <n v="6.5359999999999996"/>
  </r>
  <r>
    <n v="200"/>
    <x v="3"/>
    <x v="91"/>
    <x v="1"/>
    <s v="Percent change"/>
    <s v="Units"/>
    <x v="0"/>
    <n v="5.6"/>
  </r>
  <r>
    <n v="200"/>
    <x v="3"/>
    <x v="91"/>
    <x v="1"/>
    <s v="Percent change"/>
    <s v="Units"/>
    <x v="1"/>
    <n v="5.5359999999999996"/>
  </r>
  <r>
    <n v="200"/>
    <x v="3"/>
    <x v="91"/>
    <x v="1"/>
    <s v="Percent change"/>
    <s v="Units"/>
    <x v="2"/>
    <n v="9.4529999999999994"/>
  </r>
  <r>
    <n v="200"/>
    <x v="3"/>
    <x v="91"/>
    <x v="1"/>
    <s v="Percent change"/>
    <s v="Units"/>
    <x v="3"/>
    <n v="15.239000000000001"/>
  </r>
  <r>
    <n v="200"/>
    <x v="3"/>
    <x v="91"/>
    <x v="1"/>
    <s v="Percent change"/>
    <s v="Units"/>
    <x v="4"/>
    <n v="5.0170000000000003"/>
  </r>
  <r>
    <n v="200"/>
    <x v="3"/>
    <x v="91"/>
    <x v="1"/>
    <s v="Percent change"/>
    <s v="Units"/>
    <x v="5"/>
    <n v="6.3070000000000004"/>
  </r>
  <r>
    <n v="200"/>
    <x v="3"/>
    <x v="91"/>
    <x v="1"/>
    <s v="Percent change"/>
    <s v="Units"/>
    <x v="6"/>
    <n v="6.5359999999999996"/>
  </r>
  <r>
    <n v="110"/>
    <x v="0"/>
    <x v="84"/>
    <x v="11"/>
    <s v="Percent of total labor force"/>
    <s v="Units"/>
    <x v="0"/>
    <n v="6.2539999999999996"/>
  </r>
  <r>
    <n v="110"/>
    <x v="0"/>
    <x v="84"/>
    <x v="11"/>
    <s v="Percent of total labor force"/>
    <s v="Units"/>
    <x v="1"/>
    <n v="8.4879999999999995"/>
  </r>
  <r>
    <n v="110"/>
    <x v="0"/>
    <x v="84"/>
    <x v="11"/>
    <s v="Percent of total labor force"/>
    <s v="Units"/>
    <x v="2"/>
    <n v="7.1130000000000004"/>
  </r>
  <r>
    <n v="110"/>
    <x v="0"/>
    <x v="84"/>
    <x v="11"/>
    <s v="Percent of total labor force"/>
    <s v="Units"/>
    <x v="3"/>
    <n v="5.9249999999999998"/>
  </r>
  <r>
    <n v="110"/>
    <x v="0"/>
    <x v="84"/>
    <x v="11"/>
    <s v="Percent of total labor force"/>
    <s v="Units"/>
    <x v="4"/>
    <n v="6.5579999999999998"/>
  </r>
  <r>
    <n v="110"/>
    <x v="0"/>
    <x v="84"/>
    <x v="11"/>
    <s v="Percent of total labor force"/>
    <s v="Units"/>
    <x v="5"/>
    <n v="6.3"/>
  </r>
  <r>
    <n v="110"/>
    <x v="0"/>
    <x v="84"/>
    <x v="11"/>
    <s v="Percent of total labor force"/>
    <s v="Units"/>
    <x v="6"/>
    <n v="6.1"/>
  </r>
  <r>
    <n v="163"/>
    <x v="5"/>
    <x v="84"/>
    <x v="11"/>
    <s v="Percent of total labor force"/>
    <s v="Units"/>
    <x v="0"/>
    <n v="6.2539999999999996"/>
  </r>
  <r>
    <n v="163"/>
    <x v="5"/>
    <x v="84"/>
    <x v="11"/>
    <s v="Percent of total labor force"/>
    <s v="Units"/>
    <x v="1"/>
    <n v="8.4879999999999995"/>
  </r>
  <r>
    <n v="163"/>
    <x v="5"/>
    <x v="84"/>
    <x v="11"/>
    <s v="Percent of total labor force"/>
    <s v="Units"/>
    <x v="2"/>
    <n v="7.1130000000000004"/>
  </r>
  <r>
    <n v="163"/>
    <x v="5"/>
    <x v="84"/>
    <x v="11"/>
    <s v="Percent of total labor force"/>
    <s v="Units"/>
    <x v="3"/>
    <n v="5.9249999999999998"/>
  </r>
  <r>
    <n v="163"/>
    <x v="5"/>
    <x v="84"/>
    <x v="11"/>
    <s v="Percent of total labor force"/>
    <s v="Units"/>
    <x v="4"/>
    <n v="6.5579999999999998"/>
  </r>
  <r>
    <n v="163"/>
    <x v="5"/>
    <x v="84"/>
    <x v="11"/>
    <s v="Percent of total labor force"/>
    <s v="Units"/>
    <x v="5"/>
    <n v="6.3"/>
  </r>
  <r>
    <n v="163"/>
    <x v="5"/>
    <x v="84"/>
    <x v="11"/>
    <s v="Percent of total labor force"/>
    <s v="Units"/>
    <x v="6"/>
    <n v="6.1"/>
  </r>
  <r>
    <n v="110"/>
    <x v="0"/>
    <x v="37"/>
    <x v="6"/>
    <s v="Percent change"/>
    <s v="Units"/>
    <x v="0"/>
    <n v="3.0110000000000001"/>
  </r>
  <r>
    <n v="110"/>
    <x v="0"/>
    <x v="37"/>
    <x v="6"/>
    <s v="Percent change"/>
    <s v="Units"/>
    <x v="1"/>
    <n v="-2.7869999999999999"/>
  </r>
  <r>
    <n v="110"/>
    <x v="0"/>
    <x v="37"/>
    <x v="6"/>
    <s v="Percent change"/>
    <s v="Units"/>
    <x v="2"/>
    <n v="8.9120000000000008"/>
  </r>
  <r>
    <n v="110"/>
    <x v="0"/>
    <x v="37"/>
    <x v="6"/>
    <s v="Percent change"/>
    <s v="Units"/>
    <x v="3"/>
    <n v="6.3"/>
  </r>
  <r>
    <n v="110"/>
    <x v="0"/>
    <x v="37"/>
    <x v="6"/>
    <s v="Percent change"/>
    <s v="Units"/>
    <x v="4"/>
    <n v="7.6440000000000001"/>
  </r>
  <r>
    <n v="110"/>
    <x v="0"/>
    <x v="37"/>
    <x v="6"/>
    <s v="Percent change"/>
    <s v="Units"/>
    <x v="5"/>
    <n v="6.2889999999999997"/>
  </r>
  <r>
    <n v="110"/>
    <x v="0"/>
    <x v="37"/>
    <x v="6"/>
    <s v="Percent change"/>
    <s v="Units"/>
    <x v="6"/>
    <n v="1.94"/>
  </r>
  <r>
    <n v="123"/>
    <x v="9"/>
    <x v="37"/>
    <x v="6"/>
    <s v="Percent change"/>
    <s v="Units"/>
    <x v="0"/>
    <n v="3.0110000000000001"/>
  </r>
  <r>
    <n v="123"/>
    <x v="9"/>
    <x v="37"/>
    <x v="6"/>
    <s v="Percent change"/>
    <s v="Units"/>
    <x v="1"/>
    <n v="-2.7869999999999999"/>
  </r>
  <r>
    <n v="123"/>
    <x v="9"/>
    <x v="37"/>
    <x v="6"/>
    <s v="Percent change"/>
    <s v="Units"/>
    <x v="2"/>
    <n v="8.9120000000000008"/>
  </r>
  <r>
    <n v="123"/>
    <x v="9"/>
    <x v="37"/>
    <x v="6"/>
    <s v="Percent change"/>
    <s v="Units"/>
    <x v="3"/>
    <n v="6.3"/>
  </r>
  <r>
    <n v="123"/>
    <x v="9"/>
    <x v="37"/>
    <x v="6"/>
    <s v="Percent change"/>
    <s v="Units"/>
    <x v="4"/>
    <n v="7.6440000000000001"/>
  </r>
  <r>
    <n v="123"/>
    <x v="9"/>
    <x v="37"/>
    <x v="6"/>
    <s v="Percent change"/>
    <s v="Units"/>
    <x v="5"/>
    <n v="6.2889999999999997"/>
  </r>
  <r>
    <n v="123"/>
    <x v="9"/>
    <x v="37"/>
    <x v="6"/>
    <s v="Percent change"/>
    <s v="Units"/>
    <x v="6"/>
    <n v="1.94"/>
  </r>
  <r>
    <n v="1"/>
    <x v="2"/>
    <x v="37"/>
    <x v="6"/>
    <s v="Percent change"/>
    <s v="Units"/>
    <x v="0"/>
    <n v="3.0110000000000001"/>
  </r>
  <r>
    <n v="1"/>
    <x v="2"/>
    <x v="37"/>
    <x v="6"/>
    <s v="Percent change"/>
    <s v="Units"/>
    <x v="1"/>
    <n v="-2.7869999999999999"/>
  </r>
  <r>
    <n v="1"/>
    <x v="2"/>
    <x v="37"/>
    <x v="6"/>
    <s v="Percent change"/>
    <s v="Units"/>
    <x v="2"/>
    <n v="8.9120000000000008"/>
  </r>
  <r>
    <n v="1"/>
    <x v="2"/>
    <x v="37"/>
    <x v="6"/>
    <s v="Percent change"/>
    <s v="Units"/>
    <x v="3"/>
    <n v="6.3"/>
  </r>
  <r>
    <n v="1"/>
    <x v="2"/>
    <x v="37"/>
    <x v="6"/>
    <s v="Percent change"/>
    <s v="Units"/>
    <x v="4"/>
    <n v="7.6440000000000001"/>
  </r>
  <r>
    <n v="1"/>
    <x v="2"/>
    <x v="37"/>
    <x v="6"/>
    <s v="Percent change"/>
    <s v="Units"/>
    <x v="5"/>
    <n v="6.2889999999999997"/>
  </r>
  <r>
    <n v="1"/>
    <x v="2"/>
    <x v="37"/>
    <x v="6"/>
    <s v="Percent change"/>
    <s v="Units"/>
    <x v="6"/>
    <n v="1.94"/>
  </r>
  <r>
    <n v="200"/>
    <x v="3"/>
    <x v="176"/>
    <x v="3"/>
    <s v="Percent of GDP"/>
    <s v="Units"/>
    <x v="0"/>
    <n v="9.5879999999999992"/>
  </r>
  <r>
    <n v="200"/>
    <x v="3"/>
    <x v="176"/>
    <x v="3"/>
    <s v="Percent of GDP"/>
    <s v="Units"/>
    <x v="1"/>
    <n v="10.02"/>
  </r>
  <r>
    <n v="200"/>
    <x v="3"/>
    <x v="176"/>
    <x v="3"/>
    <s v="Percent of GDP"/>
    <s v="Units"/>
    <x v="2"/>
    <n v="9.3109999999999999"/>
  </r>
  <r>
    <n v="200"/>
    <x v="3"/>
    <x v="176"/>
    <x v="3"/>
    <s v="Percent of GDP"/>
    <s v="Units"/>
    <x v="3"/>
    <n v="8.3249999999999993"/>
  </r>
  <r>
    <n v="200"/>
    <x v="3"/>
    <x v="176"/>
    <x v="3"/>
    <s v="Percent of GDP"/>
    <s v="Units"/>
    <x v="4"/>
    <n v="5.8440000000000003"/>
  </r>
  <r>
    <n v="200"/>
    <x v="3"/>
    <x v="176"/>
    <x v="3"/>
    <s v="Percent of GDP"/>
    <s v="Units"/>
    <x v="5"/>
    <n v="6.2809999999999997"/>
  </r>
  <r>
    <n v="200"/>
    <x v="3"/>
    <x v="176"/>
    <x v="3"/>
    <s v="Percent of GDP"/>
    <s v="Units"/>
    <x v="6"/>
    <n v="7.8689999999999998"/>
  </r>
  <r>
    <n v="205"/>
    <x v="7"/>
    <x v="176"/>
    <x v="3"/>
    <s v="Percent of GDP"/>
    <s v="Units"/>
    <x v="0"/>
    <n v="9.5879999999999992"/>
  </r>
  <r>
    <n v="205"/>
    <x v="7"/>
    <x v="176"/>
    <x v="3"/>
    <s v="Percent of GDP"/>
    <s v="Units"/>
    <x v="1"/>
    <n v="10.02"/>
  </r>
  <r>
    <n v="205"/>
    <x v="7"/>
    <x v="176"/>
    <x v="3"/>
    <s v="Percent of GDP"/>
    <s v="Units"/>
    <x v="2"/>
    <n v="9.3109999999999999"/>
  </r>
  <r>
    <n v="205"/>
    <x v="7"/>
    <x v="176"/>
    <x v="3"/>
    <s v="Percent of GDP"/>
    <s v="Units"/>
    <x v="3"/>
    <n v="8.3249999999999993"/>
  </r>
  <r>
    <n v="205"/>
    <x v="7"/>
    <x v="176"/>
    <x v="3"/>
    <s v="Percent of GDP"/>
    <s v="Units"/>
    <x v="4"/>
    <n v="5.8440000000000003"/>
  </r>
  <r>
    <n v="205"/>
    <x v="7"/>
    <x v="176"/>
    <x v="3"/>
    <s v="Percent of GDP"/>
    <s v="Units"/>
    <x v="5"/>
    <n v="6.2809999999999997"/>
  </r>
  <r>
    <n v="205"/>
    <x v="7"/>
    <x v="176"/>
    <x v="3"/>
    <s v="Percent of GDP"/>
    <s v="Units"/>
    <x v="6"/>
    <n v="7.8689999999999998"/>
  </r>
  <r>
    <n v="200"/>
    <x v="3"/>
    <x v="56"/>
    <x v="8"/>
    <s v="Percent change"/>
    <s v="Units"/>
    <x v="0"/>
    <n v="9.0370000000000008"/>
  </r>
  <r>
    <n v="200"/>
    <x v="3"/>
    <x v="56"/>
    <x v="8"/>
    <s v="Percent change"/>
    <s v="Units"/>
    <x v="1"/>
    <n v="6.0570000000000004"/>
  </r>
  <r>
    <n v="200"/>
    <x v="3"/>
    <x v="56"/>
    <x v="8"/>
    <s v="Percent change"/>
    <s v="Units"/>
    <x v="2"/>
    <n v="6.2649999999999997"/>
  </r>
  <r>
    <n v="200"/>
    <x v="3"/>
    <x v="56"/>
    <x v="8"/>
    <s v="Percent change"/>
    <s v="Units"/>
    <x v="3"/>
    <n v="6.3579999999999997"/>
  </r>
  <r>
    <n v="200"/>
    <x v="3"/>
    <x v="56"/>
    <x v="8"/>
    <s v="Percent change"/>
    <s v="Units"/>
    <x v="4"/>
    <n v="7.1760000000000002"/>
  </r>
  <r>
    <n v="200"/>
    <x v="3"/>
    <x v="56"/>
    <x v="8"/>
    <s v="Percent change"/>
    <s v="Units"/>
    <x v="5"/>
    <n v="6.234"/>
  </r>
  <r>
    <n v="200"/>
    <x v="3"/>
    <x v="56"/>
    <x v="8"/>
    <s v="Percent change"/>
    <s v="Units"/>
    <x v="6"/>
    <n v="6.4909999999999997"/>
  </r>
  <r>
    <n v="603"/>
    <x v="12"/>
    <x v="56"/>
    <x v="8"/>
    <s v="Percent change"/>
    <s v="Units"/>
    <x v="0"/>
    <n v="9.0370000000000008"/>
  </r>
  <r>
    <n v="603"/>
    <x v="12"/>
    <x v="56"/>
    <x v="8"/>
    <s v="Percent change"/>
    <s v="Units"/>
    <x v="1"/>
    <n v="6.0570000000000004"/>
  </r>
  <r>
    <n v="603"/>
    <x v="12"/>
    <x v="56"/>
    <x v="8"/>
    <s v="Percent change"/>
    <s v="Units"/>
    <x v="2"/>
    <n v="6.2649999999999997"/>
  </r>
  <r>
    <n v="603"/>
    <x v="12"/>
    <x v="56"/>
    <x v="8"/>
    <s v="Percent change"/>
    <s v="Units"/>
    <x v="3"/>
    <n v="6.3579999999999997"/>
  </r>
  <r>
    <n v="603"/>
    <x v="12"/>
    <x v="56"/>
    <x v="8"/>
    <s v="Percent change"/>
    <s v="Units"/>
    <x v="4"/>
    <n v="7.1760000000000002"/>
  </r>
  <r>
    <n v="603"/>
    <x v="12"/>
    <x v="56"/>
    <x v="8"/>
    <s v="Percent change"/>
    <s v="Units"/>
    <x v="5"/>
    <n v="6.234"/>
  </r>
  <r>
    <n v="603"/>
    <x v="12"/>
    <x v="56"/>
    <x v="8"/>
    <s v="Percent change"/>
    <s v="Units"/>
    <x v="6"/>
    <n v="6.4909999999999997"/>
  </r>
  <r>
    <n v="1"/>
    <x v="2"/>
    <x v="56"/>
    <x v="8"/>
    <s v="Percent change"/>
    <s v="Units"/>
    <x v="0"/>
    <n v="9.0370000000000008"/>
  </r>
  <r>
    <n v="1"/>
    <x v="2"/>
    <x v="56"/>
    <x v="8"/>
    <s v="Percent change"/>
    <s v="Units"/>
    <x v="1"/>
    <n v="6.0570000000000004"/>
  </r>
  <r>
    <n v="1"/>
    <x v="2"/>
    <x v="56"/>
    <x v="8"/>
    <s v="Percent change"/>
    <s v="Units"/>
    <x v="2"/>
    <n v="6.2649999999999997"/>
  </r>
  <r>
    <n v="1"/>
    <x v="2"/>
    <x v="56"/>
    <x v="8"/>
    <s v="Percent change"/>
    <s v="Units"/>
    <x v="3"/>
    <n v="6.3579999999999997"/>
  </r>
  <r>
    <n v="1"/>
    <x v="2"/>
    <x v="56"/>
    <x v="8"/>
    <s v="Percent change"/>
    <s v="Units"/>
    <x v="4"/>
    <n v="7.1760000000000002"/>
  </r>
  <r>
    <n v="1"/>
    <x v="2"/>
    <x v="56"/>
    <x v="8"/>
    <s v="Percent change"/>
    <s v="Units"/>
    <x v="5"/>
    <n v="6.234"/>
  </r>
  <r>
    <n v="1"/>
    <x v="2"/>
    <x v="56"/>
    <x v="8"/>
    <s v="Percent change"/>
    <s v="Units"/>
    <x v="6"/>
    <n v="6.4909999999999997"/>
  </r>
  <r>
    <n v="200"/>
    <x v="3"/>
    <x v="168"/>
    <x v="8"/>
    <s v="Percent change"/>
    <s v="Units"/>
    <x v="0"/>
    <n v="6.2220000000000004"/>
  </r>
  <r>
    <n v="200"/>
    <x v="3"/>
    <x v="168"/>
    <x v="8"/>
    <s v="Percent change"/>
    <s v="Units"/>
    <x v="1"/>
    <n v="0.59099999999999997"/>
  </r>
  <r>
    <n v="200"/>
    <x v="3"/>
    <x v="168"/>
    <x v="8"/>
    <s v="Percent change"/>
    <s v="Units"/>
    <x v="2"/>
    <n v="5.2560000000000002"/>
  </r>
  <r>
    <n v="200"/>
    <x v="3"/>
    <x v="168"/>
    <x v="8"/>
    <s v="Percent change"/>
    <s v="Units"/>
    <x v="3"/>
    <n v="4.9050000000000002"/>
  </r>
  <r>
    <n v="200"/>
    <x v="3"/>
    <x v="168"/>
    <x v="8"/>
    <s v="Percent change"/>
    <s v="Units"/>
    <x v="4"/>
    <n v="5.5549999999999997"/>
  </r>
  <r>
    <n v="200"/>
    <x v="3"/>
    <x v="168"/>
    <x v="8"/>
    <s v="Percent change"/>
    <s v="Units"/>
    <x v="5"/>
    <n v="6.2229999999999999"/>
  </r>
  <r>
    <n v="200"/>
    <x v="3"/>
    <x v="168"/>
    <x v="8"/>
    <s v="Percent change"/>
    <s v="Units"/>
    <x v="6"/>
    <n v="5.7880000000000003"/>
  </r>
  <r>
    <n v="603"/>
    <x v="12"/>
    <x v="168"/>
    <x v="8"/>
    <s v="Percent change"/>
    <s v="Units"/>
    <x v="0"/>
    <n v="6.2220000000000004"/>
  </r>
  <r>
    <n v="603"/>
    <x v="12"/>
    <x v="168"/>
    <x v="8"/>
    <s v="Percent change"/>
    <s v="Units"/>
    <x v="1"/>
    <n v="0.59099999999999997"/>
  </r>
  <r>
    <n v="603"/>
    <x v="12"/>
    <x v="168"/>
    <x v="8"/>
    <s v="Percent change"/>
    <s v="Units"/>
    <x v="2"/>
    <n v="5.2560000000000002"/>
  </r>
  <r>
    <n v="603"/>
    <x v="12"/>
    <x v="168"/>
    <x v="8"/>
    <s v="Percent change"/>
    <s v="Units"/>
    <x v="3"/>
    <n v="4.9050000000000002"/>
  </r>
  <r>
    <n v="603"/>
    <x v="12"/>
    <x v="168"/>
    <x v="8"/>
    <s v="Percent change"/>
    <s v="Units"/>
    <x v="4"/>
    <n v="5.5549999999999997"/>
  </r>
  <r>
    <n v="603"/>
    <x v="12"/>
    <x v="168"/>
    <x v="8"/>
    <s v="Percent change"/>
    <s v="Units"/>
    <x v="5"/>
    <n v="6.2229999999999999"/>
  </r>
  <r>
    <n v="603"/>
    <x v="12"/>
    <x v="168"/>
    <x v="8"/>
    <s v="Percent change"/>
    <s v="Units"/>
    <x v="6"/>
    <n v="5.7880000000000003"/>
  </r>
  <r>
    <n v="1"/>
    <x v="2"/>
    <x v="168"/>
    <x v="8"/>
    <s v="Percent change"/>
    <s v="Units"/>
    <x v="0"/>
    <n v="6.2220000000000004"/>
  </r>
  <r>
    <n v="1"/>
    <x v="2"/>
    <x v="168"/>
    <x v="8"/>
    <s v="Percent change"/>
    <s v="Units"/>
    <x v="1"/>
    <n v="0.59099999999999997"/>
  </r>
  <r>
    <n v="1"/>
    <x v="2"/>
    <x v="168"/>
    <x v="8"/>
    <s v="Percent change"/>
    <s v="Units"/>
    <x v="2"/>
    <n v="5.2560000000000002"/>
  </r>
  <r>
    <n v="1"/>
    <x v="2"/>
    <x v="168"/>
    <x v="8"/>
    <s v="Percent change"/>
    <s v="Units"/>
    <x v="3"/>
    <n v="4.9050000000000002"/>
  </r>
  <r>
    <n v="1"/>
    <x v="2"/>
    <x v="168"/>
    <x v="8"/>
    <s v="Percent change"/>
    <s v="Units"/>
    <x v="4"/>
    <n v="5.5549999999999997"/>
  </r>
  <r>
    <n v="1"/>
    <x v="2"/>
    <x v="168"/>
    <x v="8"/>
    <s v="Percent change"/>
    <s v="Units"/>
    <x v="5"/>
    <n v="6.2229999999999999"/>
  </r>
  <r>
    <n v="1"/>
    <x v="2"/>
    <x v="168"/>
    <x v="8"/>
    <s v="Percent change"/>
    <s v="Units"/>
    <x v="6"/>
    <n v="5.7880000000000003"/>
  </r>
  <r>
    <n v="1"/>
    <x v="2"/>
    <x v="87"/>
    <x v="4"/>
    <s v="Percent change"/>
    <s v="Units"/>
    <x v="0"/>
    <n v="5.1210000000000004"/>
  </r>
  <r>
    <n v="1"/>
    <x v="2"/>
    <x v="87"/>
    <x v="4"/>
    <s v="Percent change"/>
    <s v="Units"/>
    <x v="1"/>
    <n v="-6.3680000000000003"/>
  </r>
  <r>
    <n v="1"/>
    <x v="2"/>
    <x v="87"/>
    <x v="4"/>
    <s v="Percent change"/>
    <s v="Units"/>
    <x v="2"/>
    <n v="-10.301"/>
  </r>
  <r>
    <n v="1"/>
    <x v="2"/>
    <x v="87"/>
    <x v="4"/>
    <s v="Percent change"/>
    <s v="Units"/>
    <x v="3"/>
    <n v="4.6639999999999997"/>
  </r>
  <r>
    <n v="1"/>
    <x v="2"/>
    <x v="87"/>
    <x v="4"/>
    <s v="Percent change"/>
    <s v="Units"/>
    <x v="4"/>
    <n v="-5.7839999999999998"/>
  </r>
  <r>
    <n v="1"/>
    <x v="2"/>
    <x v="87"/>
    <x v="4"/>
    <s v="Percent change"/>
    <s v="Units"/>
    <x v="5"/>
    <n v="6.1989999999999998"/>
  </r>
  <r>
    <n v="1"/>
    <x v="2"/>
    <x v="87"/>
    <x v="4"/>
    <s v="Percent change"/>
    <s v="Units"/>
    <x v="6"/>
    <n v="5.4969999999999999"/>
  </r>
  <r>
    <n v="603"/>
    <x v="12"/>
    <x v="87"/>
    <x v="4"/>
    <s v="Percent change"/>
    <s v="Units"/>
    <x v="0"/>
    <n v="5.1210000000000004"/>
  </r>
  <r>
    <n v="603"/>
    <x v="12"/>
    <x v="87"/>
    <x v="4"/>
    <s v="Percent change"/>
    <s v="Units"/>
    <x v="1"/>
    <n v="-6.3680000000000003"/>
  </r>
  <r>
    <n v="603"/>
    <x v="12"/>
    <x v="87"/>
    <x v="4"/>
    <s v="Percent change"/>
    <s v="Units"/>
    <x v="2"/>
    <n v="-10.301"/>
  </r>
  <r>
    <n v="603"/>
    <x v="12"/>
    <x v="87"/>
    <x v="4"/>
    <s v="Percent change"/>
    <s v="Units"/>
    <x v="3"/>
    <n v="4.6639999999999997"/>
  </r>
  <r>
    <n v="603"/>
    <x v="12"/>
    <x v="87"/>
    <x v="4"/>
    <s v="Percent change"/>
    <s v="Units"/>
    <x v="4"/>
    <n v="-5.7839999999999998"/>
  </r>
  <r>
    <n v="603"/>
    <x v="12"/>
    <x v="87"/>
    <x v="4"/>
    <s v="Percent change"/>
    <s v="Units"/>
    <x v="5"/>
    <n v="6.1989999999999998"/>
  </r>
  <r>
    <n v="603"/>
    <x v="12"/>
    <x v="87"/>
    <x v="4"/>
    <s v="Percent change"/>
    <s v="Units"/>
    <x v="6"/>
    <n v="5.4969999999999999"/>
  </r>
  <r>
    <n v="200"/>
    <x v="3"/>
    <x v="87"/>
    <x v="4"/>
    <s v="Percent change"/>
    <s v="Units"/>
    <x v="0"/>
    <n v="5.1210000000000004"/>
  </r>
  <r>
    <n v="200"/>
    <x v="3"/>
    <x v="87"/>
    <x v="4"/>
    <s v="Percent change"/>
    <s v="Units"/>
    <x v="1"/>
    <n v="-6.3680000000000003"/>
  </r>
  <r>
    <n v="200"/>
    <x v="3"/>
    <x v="87"/>
    <x v="4"/>
    <s v="Percent change"/>
    <s v="Units"/>
    <x v="2"/>
    <n v="-10.301"/>
  </r>
  <r>
    <n v="200"/>
    <x v="3"/>
    <x v="87"/>
    <x v="4"/>
    <s v="Percent change"/>
    <s v="Units"/>
    <x v="3"/>
    <n v="4.6639999999999997"/>
  </r>
  <r>
    <n v="200"/>
    <x v="3"/>
    <x v="87"/>
    <x v="4"/>
    <s v="Percent change"/>
    <s v="Units"/>
    <x v="4"/>
    <n v="-5.7839999999999998"/>
  </r>
  <r>
    <n v="200"/>
    <x v="3"/>
    <x v="87"/>
    <x v="4"/>
    <s v="Percent change"/>
    <s v="Units"/>
    <x v="5"/>
    <n v="6.1989999999999998"/>
  </r>
  <r>
    <n v="200"/>
    <x v="3"/>
    <x v="87"/>
    <x v="4"/>
    <s v="Percent change"/>
    <s v="Units"/>
    <x v="6"/>
    <n v="5.4969999999999999"/>
  </r>
  <r>
    <n v="205"/>
    <x v="7"/>
    <x v="43"/>
    <x v="4"/>
    <s v="Percent change"/>
    <s v="Units"/>
    <x v="0"/>
    <n v="-2.6960000000000002"/>
  </r>
  <r>
    <n v="205"/>
    <x v="7"/>
    <x v="43"/>
    <x v="4"/>
    <s v="Percent change"/>
    <s v="Units"/>
    <x v="1"/>
    <n v="-1.139"/>
  </r>
  <r>
    <n v="205"/>
    <x v="7"/>
    <x v="43"/>
    <x v="4"/>
    <s v="Percent change"/>
    <s v="Units"/>
    <x v="2"/>
    <n v="-1.5469999999999999"/>
  </r>
  <r>
    <n v="205"/>
    <x v="7"/>
    <x v="43"/>
    <x v="4"/>
    <s v="Percent change"/>
    <s v="Units"/>
    <x v="3"/>
    <n v="0.97099999999999997"/>
  </r>
  <r>
    <n v="205"/>
    <x v="7"/>
    <x v="43"/>
    <x v="4"/>
    <s v="Percent change"/>
    <s v="Units"/>
    <x v="4"/>
    <n v="8.2000000000000003E-2"/>
  </r>
  <r>
    <n v="205"/>
    <x v="7"/>
    <x v="43"/>
    <x v="4"/>
    <s v="Percent change"/>
    <s v="Units"/>
    <x v="5"/>
    <n v="6.1680000000000001"/>
  </r>
  <r>
    <n v="205"/>
    <x v="7"/>
    <x v="43"/>
    <x v="4"/>
    <s v="Percent change"/>
    <s v="Units"/>
    <x v="6"/>
    <n v="5.0170000000000003"/>
  </r>
  <r>
    <n v="200"/>
    <x v="3"/>
    <x v="43"/>
    <x v="4"/>
    <s v="Percent change"/>
    <s v="Units"/>
    <x v="0"/>
    <n v="-2.6960000000000002"/>
  </r>
  <r>
    <n v="200"/>
    <x v="3"/>
    <x v="43"/>
    <x v="4"/>
    <s v="Percent change"/>
    <s v="Units"/>
    <x v="1"/>
    <n v="-1.139"/>
  </r>
  <r>
    <n v="200"/>
    <x v="3"/>
    <x v="43"/>
    <x v="4"/>
    <s v="Percent change"/>
    <s v="Units"/>
    <x v="2"/>
    <n v="-1.5469999999999999"/>
  </r>
  <r>
    <n v="200"/>
    <x v="3"/>
    <x v="43"/>
    <x v="4"/>
    <s v="Percent change"/>
    <s v="Units"/>
    <x v="3"/>
    <n v="0.97099999999999997"/>
  </r>
  <r>
    <n v="200"/>
    <x v="3"/>
    <x v="43"/>
    <x v="4"/>
    <s v="Percent change"/>
    <s v="Units"/>
    <x v="4"/>
    <n v="8.2000000000000003E-2"/>
  </r>
  <r>
    <n v="200"/>
    <x v="3"/>
    <x v="43"/>
    <x v="4"/>
    <s v="Percent change"/>
    <s v="Units"/>
    <x v="5"/>
    <n v="6.1680000000000001"/>
  </r>
  <r>
    <n v="200"/>
    <x v="3"/>
    <x v="43"/>
    <x v="4"/>
    <s v="Percent change"/>
    <s v="Units"/>
    <x v="6"/>
    <n v="5.0170000000000003"/>
  </r>
  <r>
    <n v="1"/>
    <x v="2"/>
    <x v="43"/>
    <x v="4"/>
    <s v="Percent change"/>
    <s v="Units"/>
    <x v="0"/>
    <n v="-2.6960000000000002"/>
  </r>
  <r>
    <n v="1"/>
    <x v="2"/>
    <x v="43"/>
    <x v="4"/>
    <s v="Percent change"/>
    <s v="Units"/>
    <x v="1"/>
    <n v="-1.139"/>
  </r>
  <r>
    <n v="1"/>
    <x v="2"/>
    <x v="43"/>
    <x v="4"/>
    <s v="Percent change"/>
    <s v="Units"/>
    <x v="2"/>
    <n v="-1.5469999999999999"/>
  </r>
  <r>
    <n v="1"/>
    <x v="2"/>
    <x v="43"/>
    <x v="4"/>
    <s v="Percent change"/>
    <s v="Units"/>
    <x v="3"/>
    <n v="0.97099999999999997"/>
  </r>
  <r>
    <n v="1"/>
    <x v="2"/>
    <x v="43"/>
    <x v="4"/>
    <s v="Percent change"/>
    <s v="Units"/>
    <x v="4"/>
    <n v="8.2000000000000003E-2"/>
  </r>
  <r>
    <n v="1"/>
    <x v="2"/>
    <x v="43"/>
    <x v="4"/>
    <s v="Percent change"/>
    <s v="Units"/>
    <x v="5"/>
    <n v="6.1680000000000001"/>
  </r>
  <r>
    <n v="1"/>
    <x v="2"/>
    <x v="43"/>
    <x v="4"/>
    <s v="Percent change"/>
    <s v="Units"/>
    <x v="6"/>
    <n v="5.0170000000000003"/>
  </r>
  <r>
    <n v="510"/>
    <x v="10"/>
    <x v="32"/>
    <x v="8"/>
    <s v="Percent change"/>
    <s v="Units"/>
    <x v="0"/>
    <n v="6.1189999999999998"/>
  </r>
  <r>
    <n v="510"/>
    <x v="10"/>
    <x v="32"/>
    <x v="8"/>
    <s v="Percent change"/>
    <s v="Units"/>
    <x v="1"/>
    <n v="-9.5180000000000007"/>
  </r>
  <r>
    <n v="510"/>
    <x v="10"/>
    <x v="32"/>
    <x v="8"/>
    <s v="Percent change"/>
    <s v="Units"/>
    <x v="2"/>
    <n v="5.7149999999999999"/>
  </r>
  <r>
    <n v="510"/>
    <x v="10"/>
    <x v="32"/>
    <x v="8"/>
    <s v="Percent change"/>
    <s v="Units"/>
    <x v="3"/>
    <n v="7.57"/>
  </r>
  <r>
    <n v="510"/>
    <x v="10"/>
    <x v="32"/>
    <x v="8"/>
    <s v="Percent change"/>
    <s v="Units"/>
    <x v="4"/>
    <n v="5.5679999999999996"/>
  </r>
  <r>
    <n v="510"/>
    <x v="10"/>
    <x v="32"/>
    <x v="8"/>
    <s v="Percent change"/>
    <s v="Units"/>
    <x v="5"/>
    <n v="6.1630000000000003"/>
  </r>
  <r>
    <n v="510"/>
    <x v="10"/>
    <x v="32"/>
    <x v="8"/>
    <s v="Percent change"/>
    <s v="Units"/>
    <x v="6"/>
    <n v="6.1769999999999996"/>
  </r>
  <r>
    <n v="200"/>
    <x v="3"/>
    <x v="121"/>
    <x v="6"/>
    <s v="Percent change"/>
    <s v="Units"/>
    <x v="0"/>
    <n v="1.355"/>
  </r>
  <r>
    <n v="200"/>
    <x v="3"/>
    <x v="121"/>
    <x v="6"/>
    <s v="Percent change"/>
    <s v="Units"/>
    <x v="1"/>
    <n v="-13.125999999999999"/>
  </r>
  <r>
    <n v="200"/>
    <x v="3"/>
    <x v="121"/>
    <x v="6"/>
    <s v="Percent change"/>
    <s v="Units"/>
    <x v="2"/>
    <n v="19.966000000000001"/>
  </r>
  <r>
    <n v="200"/>
    <x v="3"/>
    <x v="121"/>
    <x v="6"/>
    <s v="Percent change"/>
    <s v="Units"/>
    <x v="3"/>
    <n v="6.2690000000000001"/>
  </r>
  <r>
    <n v="200"/>
    <x v="3"/>
    <x v="121"/>
    <x v="6"/>
    <s v="Percent change"/>
    <s v="Units"/>
    <x v="4"/>
    <n v="5.508"/>
  </r>
  <r>
    <n v="200"/>
    <x v="3"/>
    <x v="121"/>
    <x v="6"/>
    <s v="Percent change"/>
    <s v="Units"/>
    <x v="5"/>
    <n v="6.1630000000000003"/>
  </r>
  <r>
    <n v="200"/>
    <x v="3"/>
    <x v="121"/>
    <x v="6"/>
    <s v="Percent change"/>
    <s v="Units"/>
    <x v="6"/>
    <n v="6.6459999999999999"/>
  </r>
  <r>
    <n v="1"/>
    <x v="2"/>
    <x v="121"/>
    <x v="6"/>
    <s v="Percent change"/>
    <s v="Units"/>
    <x v="0"/>
    <n v="1.355"/>
  </r>
  <r>
    <n v="1"/>
    <x v="2"/>
    <x v="121"/>
    <x v="6"/>
    <s v="Percent change"/>
    <s v="Units"/>
    <x v="1"/>
    <n v="-13.125999999999999"/>
  </r>
  <r>
    <n v="1"/>
    <x v="2"/>
    <x v="121"/>
    <x v="6"/>
    <s v="Percent change"/>
    <s v="Units"/>
    <x v="2"/>
    <n v="19.966000000000001"/>
  </r>
  <r>
    <n v="1"/>
    <x v="2"/>
    <x v="121"/>
    <x v="6"/>
    <s v="Percent change"/>
    <s v="Units"/>
    <x v="3"/>
    <n v="6.2690000000000001"/>
  </r>
  <r>
    <n v="1"/>
    <x v="2"/>
    <x v="121"/>
    <x v="6"/>
    <s v="Percent change"/>
    <s v="Units"/>
    <x v="4"/>
    <n v="5.508"/>
  </r>
  <r>
    <n v="1"/>
    <x v="2"/>
    <x v="121"/>
    <x v="6"/>
    <s v="Percent change"/>
    <s v="Units"/>
    <x v="5"/>
    <n v="6.1630000000000003"/>
  </r>
  <r>
    <n v="1"/>
    <x v="2"/>
    <x v="121"/>
    <x v="6"/>
    <s v="Percent change"/>
    <s v="Units"/>
    <x v="6"/>
    <n v="6.6459999999999999"/>
  </r>
  <r>
    <n v="200"/>
    <x v="3"/>
    <x v="32"/>
    <x v="8"/>
    <s v="Percent change"/>
    <s v="Units"/>
    <x v="0"/>
    <n v="6.1189999999999998"/>
  </r>
  <r>
    <n v="200"/>
    <x v="3"/>
    <x v="32"/>
    <x v="8"/>
    <s v="Percent change"/>
    <s v="Units"/>
    <x v="1"/>
    <n v="-9.5180000000000007"/>
  </r>
  <r>
    <n v="200"/>
    <x v="3"/>
    <x v="32"/>
    <x v="8"/>
    <s v="Percent change"/>
    <s v="Units"/>
    <x v="2"/>
    <n v="5.7149999999999999"/>
  </r>
  <r>
    <n v="200"/>
    <x v="3"/>
    <x v="32"/>
    <x v="8"/>
    <s v="Percent change"/>
    <s v="Units"/>
    <x v="3"/>
    <n v="7.57"/>
  </r>
  <r>
    <n v="200"/>
    <x v="3"/>
    <x v="32"/>
    <x v="8"/>
    <s v="Percent change"/>
    <s v="Units"/>
    <x v="4"/>
    <n v="5.5679999999999996"/>
  </r>
  <r>
    <n v="200"/>
    <x v="3"/>
    <x v="32"/>
    <x v="8"/>
    <s v="Percent change"/>
    <s v="Units"/>
    <x v="5"/>
    <n v="6.1630000000000003"/>
  </r>
  <r>
    <n v="200"/>
    <x v="3"/>
    <x v="32"/>
    <x v="8"/>
    <s v="Percent change"/>
    <s v="Units"/>
    <x v="6"/>
    <n v="6.1769999999999996"/>
  </r>
  <r>
    <n v="903"/>
    <x v="8"/>
    <x v="121"/>
    <x v="6"/>
    <s v="Percent change"/>
    <s v="Units"/>
    <x v="0"/>
    <n v="1.355"/>
  </r>
  <r>
    <n v="903"/>
    <x v="8"/>
    <x v="121"/>
    <x v="6"/>
    <s v="Percent change"/>
    <s v="Units"/>
    <x v="1"/>
    <n v="-13.125999999999999"/>
  </r>
  <r>
    <n v="903"/>
    <x v="8"/>
    <x v="121"/>
    <x v="6"/>
    <s v="Percent change"/>
    <s v="Units"/>
    <x v="2"/>
    <n v="19.966000000000001"/>
  </r>
  <r>
    <n v="903"/>
    <x v="8"/>
    <x v="121"/>
    <x v="6"/>
    <s v="Percent change"/>
    <s v="Units"/>
    <x v="3"/>
    <n v="6.2690000000000001"/>
  </r>
  <r>
    <n v="903"/>
    <x v="8"/>
    <x v="121"/>
    <x v="6"/>
    <s v="Percent change"/>
    <s v="Units"/>
    <x v="4"/>
    <n v="5.508"/>
  </r>
  <r>
    <n v="903"/>
    <x v="8"/>
    <x v="121"/>
    <x v="6"/>
    <s v="Percent change"/>
    <s v="Units"/>
    <x v="5"/>
    <n v="6.1630000000000003"/>
  </r>
  <r>
    <n v="903"/>
    <x v="8"/>
    <x v="121"/>
    <x v="6"/>
    <s v="Percent change"/>
    <s v="Units"/>
    <x v="6"/>
    <n v="6.6459999999999999"/>
  </r>
  <r>
    <n v="505"/>
    <x v="4"/>
    <x v="32"/>
    <x v="8"/>
    <s v="Percent change"/>
    <s v="Units"/>
    <x v="0"/>
    <n v="6.1189999999999998"/>
  </r>
  <r>
    <n v="505"/>
    <x v="4"/>
    <x v="32"/>
    <x v="8"/>
    <s v="Percent change"/>
    <s v="Units"/>
    <x v="1"/>
    <n v="-9.5180000000000007"/>
  </r>
  <r>
    <n v="505"/>
    <x v="4"/>
    <x v="32"/>
    <x v="8"/>
    <s v="Percent change"/>
    <s v="Units"/>
    <x v="2"/>
    <n v="5.7149999999999999"/>
  </r>
  <r>
    <n v="505"/>
    <x v="4"/>
    <x v="32"/>
    <x v="8"/>
    <s v="Percent change"/>
    <s v="Units"/>
    <x v="3"/>
    <n v="7.57"/>
  </r>
  <r>
    <n v="505"/>
    <x v="4"/>
    <x v="32"/>
    <x v="8"/>
    <s v="Percent change"/>
    <s v="Units"/>
    <x v="4"/>
    <n v="5.5679999999999996"/>
  </r>
  <r>
    <n v="505"/>
    <x v="4"/>
    <x v="32"/>
    <x v="8"/>
    <s v="Percent change"/>
    <s v="Units"/>
    <x v="5"/>
    <n v="6.1630000000000003"/>
  </r>
  <r>
    <n v="505"/>
    <x v="4"/>
    <x v="32"/>
    <x v="8"/>
    <s v="Percent change"/>
    <s v="Units"/>
    <x v="6"/>
    <n v="6.1769999999999996"/>
  </r>
  <r>
    <n v="1"/>
    <x v="2"/>
    <x v="32"/>
    <x v="8"/>
    <s v="Percent change"/>
    <s v="Units"/>
    <x v="0"/>
    <n v="6.1189999999999998"/>
  </r>
  <r>
    <n v="1"/>
    <x v="2"/>
    <x v="32"/>
    <x v="8"/>
    <s v="Percent change"/>
    <s v="Units"/>
    <x v="1"/>
    <n v="-9.5180000000000007"/>
  </r>
  <r>
    <n v="1"/>
    <x v="2"/>
    <x v="32"/>
    <x v="8"/>
    <s v="Percent change"/>
    <s v="Units"/>
    <x v="2"/>
    <n v="5.7149999999999999"/>
  </r>
  <r>
    <n v="1"/>
    <x v="2"/>
    <x v="32"/>
    <x v="8"/>
    <s v="Percent change"/>
    <s v="Units"/>
    <x v="3"/>
    <n v="7.57"/>
  </r>
  <r>
    <n v="1"/>
    <x v="2"/>
    <x v="32"/>
    <x v="8"/>
    <s v="Percent change"/>
    <s v="Units"/>
    <x v="4"/>
    <n v="5.5679999999999996"/>
  </r>
  <r>
    <n v="1"/>
    <x v="2"/>
    <x v="32"/>
    <x v="8"/>
    <s v="Percent change"/>
    <s v="Units"/>
    <x v="5"/>
    <n v="6.1630000000000003"/>
  </r>
  <r>
    <n v="1"/>
    <x v="2"/>
    <x v="32"/>
    <x v="8"/>
    <s v="Percent change"/>
    <s v="Units"/>
    <x v="6"/>
    <n v="6.1769999999999996"/>
  </r>
  <r>
    <n v="205"/>
    <x v="7"/>
    <x v="132"/>
    <x v="8"/>
    <s v="Percent change"/>
    <s v="Units"/>
    <x v="0"/>
    <n v="4.3440000000000003"/>
  </r>
  <r>
    <n v="205"/>
    <x v="7"/>
    <x v="132"/>
    <x v="8"/>
    <s v="Percent change"/>
    <s v="Units"/>
    <x v="1"/>
    <n v="-17.503"/>
  </r>
  <r>
    <n v="205"/>
    <x v="7"/>
    <x v="132"/>
    <x v="8"/>
    <s v="Percent change"/>
    <s v="Units"/>
    <x v="2"/>
    <n v="6.556"/>
  </r>
  <r>
    <n v="205"/>
    <x v="7"/>
    <x v="132"/>
    <x v="8"/>
    <s v="Percent change"/>
    <s v="Units"/>
    <x v="3"/>
    <n v="8.4589999999999996"/>
  </r>
  <r>
    <n v="205"/>
    <x v="7"/>
    <x v="132"/>
    <x v="8"/>
    <s v="Percent change"/>
    <s v="Units"/>
    <x v="4"/>
    <n v="5.8630000000000004"/>
  </r>
  <r>
    <n v="205"/>
    <x v="7"/>
    <x v="132"/>
    <x v="8"/>
    <s v="Percent change"/>
    <s v="Units"/>
    <x v="5"/>
    <n v="6.077"/>
  </r>
  <r>
    <n v="205"/>
    <x v="7"/>
    <x v="132"/>
    <x v="8"/>
    <s v="Percent change"/>
    <s v="Units"/>
    <x v="6"/>
    <n v="4.0350000000000001"/>
  </r>
  <r>
    <n v="1"/>
    <x v="2"/>
    <x v="132"/>
    <x v="8"/>
    <s v="Percent change"/>
    <s v="Units"/>
    <x v="0"/>
    <n v="4.3440000000000003"/>
  </r>
  <r>
    <n v="1"/>
    <x v="2"/>
    <x v="132"/>
    <x v="8"/>
    <s v="Percent change"/>
    <s v="Units"/>
    <x v="1"/>
    <n v="-17.503"/>
  </r>
  <r>
    <n v="1"/>
    <x v="2"/>
    <x v="132"/>
    <x v="8"/>
    <s v="Percent change"/>
    <s v="Units"/>
    <x v="2"/>
    <n v="6.556"/>
  </r>
  <r>
    <n v="1"/>
    <x v="2"/>
    <x v="132"/>
    <x v="8"/>
    <s v="Percent change"/>
    <s v="Units"/>
    <x v="3"/>
    <n v="8.4589999999999996"/>
  </r>
  <r>
    <n v="1"/>
    <x v="2"/>
    <x v="132"/>
    <x v="8"/>
    <s v="Percent change"/>
    <s v="Units"/>
    <x v="4"/>
    <n v="5.8630000000000004"/>
  </r>
  <r>
    <n v="1"/>
    <x v="2"/>
    <x v="132"/>
    <x v="8"/>
    <s v="Percent change"/>
    <s v="Units"/>
    <x v="5"/>
    <n v="6.077"/>
  </r>
  <r>
    <n v="1"/>
    <x v="2"/>
    <x v="132"/>
    <x v="8"/>
    <s v="Percent change"/>
    <s v="Units"/>
    <x v="6"/>
    <n v="4.0350000000000001"/>
  </r>
  <r>
    <n v="200"/>
    <x v="3"/>
    <x v="132"/>
    <x v="8"/>
    <s v="Percent change"/>
    <s v="Units"/>
    <x v="0"/>
    <n v="4.3440000000000003"/>
  </r>
  <r>
    <n v="200"/>
    <x v="3"/>
    <x v="132"/>
    <x v="8"/>
    <s v="Percent change"/>
    <s v="Units"/>
    <x v="1"/>
    <n v="-17.503"/>
  </r>
  <r>
    <n v="200"/>
    <x v="3"/>
    <x v="132"/>
    <x v="8"/>
    <s v="Percent change"/>
    <s v="Units"/>
    <x v="2"/>
    <n v="6.556"/>
  </r>
  <r>
    <n v="200"/>
    <x v="3"/>
    <x v="132"/>
    <x v="8"/>
    <s v="Percent change"/>
    <s v="Units"/>
    <x v="3"/>
    <n v="8.4589999999999996"/>
  </r>
  <r>
    <n v="200"/>
    <x v="3"/>
    <x v="132"/>
    <x v="8"/>
    <s v="Percent change"/>
    <s v="Units"/>
    <x v="4"/>
    <n v="5.8630000000000004"/>
  </r>
  <r>
    <n v="200"/>
    <x v="3"/>
    <x v="132"/>
    <x v="8"/>
    <s v="Percent change"/>
    <s v="Units"/>
    <x v="5"/>
    <n v="6.077"/>
  </r>
  <r>
    <n v="200"/>
    <x v="3"/>
    <x v="132"/>
    <x v="8"/>
    <s v="Percent change"/>
    <s v="Units"/>
    <x v="6"/>
    <n v="4.0350000000000001"/>
  </r>
  <r>
    <n v="1"/>
    <x v="2"/>
    <x v="83"/>
    <x v="4"/>
    <s v="Percent change"/>
    <s v="Units"/>
    <x v="0"/>
    <n v="10.09"/>
  </r>
  <r>
    <n v="1"/>
    <x v="2"/>
    <x v="83"/>
    <x v="4"/>
    <s v="Percent change"/>
    <s v="Units"/>
    <x v="1"/>
    <n v="-5.008"/>
  </r>
  <r>
    <n v="1"/>
    <x v="2"/>
    <x v="83"/>
    <x v="4"/>
    <s v="Percent change"/>
    <s v="Units"/>
    <x v="2"/>
    <n v="13.881"/>
  </r>
  <r>
    <n v="1"/>
    <x v="2"/>
    <x v="83"/>
    <x v="4"/>
    <s v="Percent change"/>
    <s v="Units"/>
    <x v="3"/>
    <n v="12.379"/>
  </r>
  <r>
    <n v="1"/>
    <x v="2"/>
    <x v="83"/>
    <x v="4"/>
    <s v="Percent change"/>
    <s v="Units"/>
    <x v="4"/>
    <n v="8.9269999999999996"/>
  </r>
  <r>
    <n v="1"/>
    <x v="2"/>
    <x v="83"/>
    <x v="4"/>
    <s v="Percent change"/>
    <s v="Units"/>
    <x v="5"/>
    <n v="6.0750000000000002"/>
  </r>
  <r>
    <n v="1"/>
    <x v="2"/>
    <x v="83"/>
    <x v="4"/>
    <s v="Percent change"/>
    <s v="Units"/>
    <x v="6"/>
    <n v="6.7380000000000004"/>
  </r>
  <r>
    <n v="200"/>
    <x v="3"/>
    <x v="83"/>
    <x v="4"/>
    <s v="Percent change"/>
    <s v="Units"/>
    <x v="0"/>
    <n v="10.09"/>
  </r>
  <r>
    <n v="200"/>
    <x v="3"/>
    <x v="83"/>
    <x v="4"/>
    <s v="Percent change"/>
    <s v="Units"/>
    <x v="1"/>
    <n v="-5.008"/>
  </r>
  <r>
    <n v="200"/>
    <x v="3"/>
    <x v="83"/>
    <x v="4"/>
    <s v="Percent change"/>
    <s v="Units"/>
    <x v="2"/>
    <n v="13.881"/>
  </r>
  <r>
    <n v="200"/>
    <x v="3"/>
    <x v="83"/>
    <x v="4"/>
    <s v="Percent change"/>
    <s v="Units"/>
    <x v="3"/>
    <n v="12.379"/>
  </r>
  <r>
    <n v="200"/>
    <x v="3"/>
    <x v="83"/>
    <x v="4"/>
    <s v="Percent change"/>
    <s v="Units"/>
    <x v="4"/>
    <n v="8.9269999999999996"/>
  </r>
  <r>
    <n v="200"/>
    <x v="3"/>
    <x v="83"/>
    <x v="4"/>
    <s v="Percent change"/>
    <s v="Units"/>
    <x v="5"/>
    <n v="6.0750000000000002"/>
  </r>
  <r>
    <n v="200"/>
    <x v="3"/>
    <x v="83"/>
    <x v="4"/>
    <s v="Percent change"/>
    <s v="Units"/>
    <x v="6"/>
    <n v="6.7380000000000004"/>
  </r>
  <r>
    <n v="903"/>
    <x v="8"/>
    <x v="83"/>
    <x v="4"/>
    <s v="Percent change"/>
    <s v="Units"/>
    <x v="0"/>
    <n v="10.09"/>
  </r>
  <r>
    <n v="903"/>
    <x v="8"/>
    <x v="83"/>
    <x v="4"/>
    <s v="Percent change"/>
    <s v="Units"/>
    <x v="1"/>
    <n v="-5.008"/>
  </r>
  <r>
    <n v="903"/>
    <x v="8"/>
    <x v="83"/>
    <x v="4"/>
    <s v="Percent change"/>
    <s v="Units"/>
    <x v="2"/>
    <n v="13.881"/>
  </r>
  <r>
    <n v="903"/>
    <x v="8"/>
    <x v="83"/>
    <x v="4"/>
    <s v="Percent change"/>
    <s v="Units"/>
    <x v="3"/>
    <n v="12.379"/>
  </r>
  <r>
    <n v="903"/>
    <x v="8"/>
    <x v="83"/>
    <x v="4"/>
    <s v="Percent change"/>
    <s v="Units"/>
    <x v="4"/>
    <n v="8.9269999999999996"/>
  </r>
  <r>
    <n v="903"/>
    <x v="8"/>
    <x v="83"/>
    <x v="4"/>
    <s v="Percent change"/>
    <s v="Units"/>
    <x v="5"/>
    <n v="6.0750000000000002"/>
  </r>
  <r>
    <n v="903"/>
    <x v="8"/>
    <x v="83"/>
    <x v="4"/>
    <s v="Percent change"/>
    <s v="Units"/>
    <x v="6"/>
    <n v="6.7380000000000004"/>
  </r>
  <r>
    <n v="205"/>
    <x v="7"/>
    <x v="111"/>
    <x v="9"/>
    <s v="Percent of GDP"/>
    <s v="Units"/>
    <x v="0"/>
    <n v="4.97"/>
  </r>
  <r>
    <n v="205"/>
    <x v="7"/>
    <x v="111"/>
    <x v="9"/>
    <s v="Percent of GDP"/>
    <s v="Units"/>
    <x v="1"/>
    <n v="-4.5449999999999999"/>
  </r>
  <r>
    <n v="205"/>
    <x v="7"/>
    <x v="111"/>
    <x v="9"/>
    <s v="Percent of GDP"/>
    <s v="Units"/>
    <x v="2"/>
    <n v="0.32600000000000001"/>
  </r>
  <r>
    <n v="205"/>
    <x v="7"/>
    <x v="111"/>
    <x v="9"/>
    <s v="Percent of GDP"/>
    <s v="Units"/>
    <x v="3"/>
    <n v="0.92400000000000004"/>
  </r>
  <r>
    <n v="205"/>
    <x v="7"/>
    <x v="111"/>
    <x v="9"/>
    <s v="Percent of GDP"/>
    <s v="Units"/>
    <x v="4"/>
    <n v="6.43"/>
  </r>
  <r>
    <n v="205"/>
    <x v="7"/>
    <x v="111"/>
    <x v="9"/>
    <s v="Percent of GDP"/>
    <s v="Units"/>
    <x v="5"/>
    <n v="6.0650000000000004"/>
  </r>
  <r>
    <n v="205"/>
    <x v="7"/>
    <x v="111"/>
    <x v="9"/>
    <s v="Percent of GDP"/>
    <s v="Units"/>
    <x v="6"/>
    <n v="0.26800000000000002"/>
  </r>
  <r>
    <n v="200"/>
    <x v="3"/>
    <x v="111"/>
    <x v="9"/>
    <s v="Percent of GDP"/>
    <s v="Units"/>
    <x v="0"/>
    <n v="4.97"/>
  </r>
  <r>
    <n v="200"/>
    <x v="3"/>
    <x v="111"/>
    <x v="9"/>
    <s v="Percent of GDP"/>
    <s v="Units"/>
    <x v="1"/>
    <n v="-4.5449999999999999"/>
  </r>
  <r>
    <n v="200"/>
    <x v="3"/>
    <x v="111"/>
    <x v="9"/>
    <s v="Percent of GDP"/>
    <s v="Units"/>
    <x v="2"/>
    <n v="0.32600000000000001"/>
  </r>
  <r>
    <n v="200"/>
    <x v="3"/>
    <x v="111"/>
    <x v="9"/>
    <s v="Percent of GDP"/>
    <s v="Units"/>
    <x v="3"/>
    <n v="0.92400000000000004"/>
  </r>
  <r>
    <n v="200"/>
    <x v="3"/>
    <x v="111"/>
    <x v="9"/>
    <s v="Percent of GDP"/>
    <s v="Units"/>
    <x v="4"/>
    <n v="6.43"/>
  </r>
  <r>
    <n v="200"/>
    <x v="3"/>
    <x v="111"/>
    <x v="9"/>
    <s v="Percent of GDP"/>
    <s v="Units"/>
    <x v="5"/>
    <n v="6.0650000000000004"/>
  </r>
  <r>
    <n v="200"/>
    <x v="3"/>
    <x v="111"/>
    <x v="9"/>
    <s v="Percent of GDP"/>
    <s v="Units"/>
    <x v="6"/>
    <n v="0.26800000000000002"/>
  </r>
  <r>
    <n v="1"/>
    <x v="2"/>
    <x v="41"/>
    <x v="1"/>
    <s v="Percent change"/>
    <s v="Units"/>
    <x v="0"/>
    <n v="3.8250000000000002"/>
  </r>
  <r>
    <n v="1"/>
    <x v="2"/>
    <x v="41"/>
    <x v="1"/>
    <s v="Percent change"/>
    <s v="Units"/>
    <x v="1"/>
    <n v="2.6459999999999999"/>
  </r>
  <r>
    <n v="1"/>
    <x v="2"/>
    <x v="41"/>
    <x v="1"/>
    <s v="Percent change"/>
    <s v="Units"/>
    <x v="2"/>
    <n v="5.0460000000000003"/>
  </r>
  <r>
    <n v="1"/>
    <x v="2"/>
    <x v="41"/>
    <x v="1"/>
    <s v="Percent change"/>
    <s v="Units"/>
    <x v="3"/>
    <n v="13.8"/>
  </r>
  <r>
    <n v="1"/>
    <x v="2"/>
    <x v="41"/>
    <x v="1"/>
    <s v="Percent change"/>
    <s v="Units"/>
    <x v="4"/>
    <n v="10.397"/>
  </r>
  <r>
    <n v="1"/>
    <x v="2"/>
    <x v="41"/>
    <x v="1"/>
    <s v="Percent change"/>
    <s v="Units"/>
    <x v="5"/>
    <n v="6.0490000000000004"/>
  </r>
  <r>
    <n v="1"/>
    <x v="2"/>
    <x v="41"/>
    <x v="1"/>
    <s v="Percent change"/>
    <s v="Units"/>
    <x v="6"/>
    <n v="4.048"/>
  </r>
  <r>
    <n v="903"/>
    <x v="8"/>
    <x v="41"/>
    <x v="1"/>
    <s v="Percent change"/>
    <s v="Units"/>
    <x v="0"/>
    <n v="3.8250000000000002"/>
  </r>
  <r>
    <n v="903"/>
    <x v="8"/>
    <x v="41"/>
    <x v="1"/>
    <s v="Percent change"/>
    <s v="Units"/>
    <x v="1"/>
    <n v="2.6459999999999999"/>
  </r>
  <r>
    <n v="903"/>
    <x v="8"/>
    <x v="41"/>
    <x v="1"/>
    <s v="Percent change"/>
    <s v="Units"/>
    <x v="2"/>
    <n v="5.0460000000000003"/>
  </r>
  <r>
    <n v="903"/>
    <x v="8"/>
    <x v="41"/>
    <x v="1"/>
    <s v="Percent change"/>
    <s v="Units"/>
    <x v="3"/>
    <n v="13.8"/>
  </r>
  <r>
    <n v="903"/>
    <x v="8"/>
    <x v="41"/>
    <x v="1"/>
    <s v="Percent change"/>
    <s v="Units"/>
    <x v="4"/>
    <n v="10.397"/>
  </r>
  <r>
    <n v="903"/>
    <x v="8"/>
    <x v="41"/>
    <x v="1"/>
    <s v="Percent change"/>
    <s v="Units"/>
    <x v="5"/>
    <n v="6.0490000000000004"/>
  </r>
  <r>
    <n v="903"/>
    <x v="8"/>
    <x v="41"/>
    <x v="1"/>
    <s v="Percent change"/>
    <s v="Units"/>
    <x v="6"/>
    <n v="4.048"/>
  </r>
  <r>
    <n v="200"/>
    <x v="3"/>
    <x v="41"/>
    <x v="1"/>
    <s v="Percent change"/>
    <s v="Units"/>
    <x v="0"/>
    <n v="3.8250000000000002"/>
  </r>
  <r>
    <n v="200"/>
    <x v="3"/>
    <x v="41"/>
    <x v="1"/>
    <s v="Percent change"/>
    <s v="Units"/>
    <x v="1"/>
    <n v="2.6459999999999999"/>
  </r>
  <r>
    <n v="200"/>
    <x v="3"/>
    <x v="41"/>
    <x v="1"/>
    <s v="Percent change"/>
    <s v="Units"/>
    <x v="2"/>
    <n v="5.0460000000000003"/>
  </r>
  <r>
    <n v="200"/>
    <x v="3"/>
    <x v="41"/>
    <x v="1"/>
    <s v="Percent change"/>
    <s v="Units"/>
    <x v="3"/>
    <n v="13.8"/>
  </r>
  <r>
    <n v="200"/>
    <x v="3"/>
    <x v="41"/>
    <x v="1"/>
    <s v="Percent change"/>
    <s v="Units"/>
    <x v="4"/>
    <n v="10.397"/>
  </r>
  <r>
    <n v="200"/>
    <x v="3"/>
    <x v="41"/>
    <x v="1"/>
    <s v="Percent change"/>
    <s v="Units"/>
    <x v="5"/>
    <n v="6.0490000000000004"/>
  </r>
  <r>
    <n v="200"/>
    <x v="3"/>
    <x v="41"/>
    <x v="1"/>
    <s v="Percent change"/>
    <s v="Units"/>
    <x v="6"/>
    <n v="4.048"/>
  </r>
  <r>
    <n v="998"/>
    <x v="6"/>
    <x v="41"/>
    <x v="1"/>
    <s v="Percent change"/>
    <s v="Units"/>
    <x v="0"/>
    <n v="3.8250000000000002"/>
  </r>
  <r>
    <n v="998"/>
    <x v="6"/>
    <x v="41"/>
    <x v="1"/>
    <s v="Percent change"/>
    <s v="Units"/>
    <x v="1"/>
    <n v="2.6459999999999999"/>
  </r>
  <r>
    <n v="998"/>
    <x v="6"/>
    <x v="41"/>
    <x v="1"/>
    <s v="Percent change"/>
    <s v="Units"/>
    <x v="2"/>
    <n v="5.0460000000000003"/>
  </r>
  <r>
    <n v="998"/>
    <x v="6"/>
    <x v="41"/>
    <x v="1"/>
    <s v="Percent change"/>
    <s v="Units"/>
    <x v="3"/>
    <n v="13.8"/>
  </r>
  <r>
    <n v="998"/>
    <x v="6"/>
    <x v="41"/>
    <x v="1"/>
    <s v="Percent change"/>
    <s v="Units"/>
    <x v="4"/>
    <n v="10.397"/>
  </r>
  <r>
    <n v="998"/>
    <x v="6"/>
    <x v="41"/>
    <x v="1"/>
    <s v="Percent change"/>
    <s v="Units"/>
    <x v="5"/>
    <n v="6.0490000000000004"/>
  </r>
  <r>
    <n v="998"/>
    <x v="6"/>
    <x v="41"/>
    <x v="1"/>
    <s v="Percent change"/>
    <s v="Units"/>
    <x v="6"/>
    <n v="4.048"/>
  </r>
  <r>
    <n v="1"/>
    <x v="2"/>
    <x v="144"/>
    <x v="8"/>
    <s v="Percent change"/>
    <s v="Units"/>
    <x v="0"/>
    <n v="6.8659999999999997"/>
  </r>
  <r>
    <n v="1"/>
    <x v="2"/>
    <x v="144"/>
    <x v="8"/>
    <s v="Percent change"/>
    <s v="Units"/>
    <x v="1"/>
    <n v="3.8490000000000002"/>
  </r>
  <r>
    <n v="1"/>
    <x v="2"/>
    <x v="144"/>
    <x v="8"/>
    <s v="Percent change"/>
    <s v="Units"/>
    <x v="2"/>
    <n v="7.1550000000000002"/>
  </r>
  <r>
    <n v="1"/>
    <x v="2"/>
    <x v="144"/>
    <x v="8"/>
    <s v="Percent change"/>
    <s v="Units"/>
    <x v="3"/>
    <n v="6.2530000000000001"/>
  </r>
  <r>
    <n v="1"/>
    <x v="2"/>
    <x v="144"/>
    <x v="8"/>
    <s v="Percent change"/>
    <s v="Units"/>
    <x v="4"/>
    <n v="5.7560000000000002"/>
  </r>
  <r>
    <n v="1"/>
    <x v="2"/>
    <x v="144"/>
    <x v="8"/>
    <s v="Percent change"/>
    <s v="Units"/>
    <x v="5"/>
    <n v="6.0389999999999997"/>
  </r>
  <r>
    <n v="1"/>
    <x v="2"/>
    <x v="144"/>
    <x v="8"/>
    <s v="Percent change"/>
    <s v="Units"/>
    <x v="6"/>
    <n v="6.02"/>
  </r>
  <r>
    <n v="1"/>
    <x v="2"/>
    <x v="32"/>
    <x v="6"/>
    <s v="Percent change"/>
    <s v="Units"/>
    <x v="0"/>
    <n v="-1.379"/>
  </r>
  <r>
    <n v="1"/>
    <x v="2"/>
    <x v="32"/>
    <x v="6"/>
    <s v="Percent change"/>
    <s v="Units"/>
    <x v="1"/>
    <n v="-23.498000000000001"/>
  </r>
  <r>
    <n v="1"/>
    <x v="2"/>
    <x v="32"/>
    <x v="6"/>
    <s v="Percent change"/>
    <s v="Units"/>
    <x v="2"/>
    <n v="14.581"/>
  </r>
  <r>
    <n v="1"/>
    <x v="2"/>
    <x v="32"/>
    <x v="6"/>
    <s v="Percent change"/>
    <s v="Units"/>
    <x v="3"/>
    <n v="14.78"/>
  </r>
  <r>
    <n v="1"/>
    <x v="2"/>
    <x v="32"/>
    <x v="6"/>
    <s v="Percent change"/>
    <s v="Units"/>
    <x v="4"/>
    <n v="0.127"/>
  </r>
  <r>
    <n v="1"/>
    <x v="2"/>
    <x v="32"/>
    <x v="6"/>
    <s v="Percent change"/>
    <s v="Units"/>
    <x v="5"/>
    <n v="6.0389999999999997"/>
  </r>
  <r>
    <n v="1"/>
    <x v="2"/>
    <x v="32"/>
    <x v="6"/>
    <s v="Percent change"/>
    <s v="Units"/>
    <x v="6"/>
    <n v="10.618"/>
  </r>
  <r>
    <n v="200"/>
    <x v="3"/>
    <x v="32"/>
    <x v="6"/>
    <s v="Percent change"/>
    <s v="Units"/>
    <x v="0"/>
    <n v="-1.379"/>
  </r>
  <r>
    <n v="200"/>
    <x v="3"/>
    <x v="32"/>
    <x v="6"/>
    <s v="Percent change"/>
    <s v="Units"/>
    <x v="1"/>
    <n v="-23.498000000000001"/>
  </r>
  <r>
    <n v="200"/>
    <x v="3"/>
    <x v="32"/>
    <x v="6"/>
    <s v="Percent change"/>
    <s v="Units"/>
    <x v="2"/>
    <n v="14.581"/>
  </r>
  <r>
    <n v="200"/>
    <x v="3"/>
    <x v="32"/>
    <x v="6"/>
    <s v="Percent change"/>
    <s v="Units"/>
    <x v="3"/>
    <n v="14.78"/>
  </r>
  <r>
    <n v="200"/>
    <x v="3"/>
    <x v="32"/>
    <x v="6"/>
    <s v="Percent change"/>
    <s v="Units"/>
    <x v="4"/>
    <n v="0.127"/>
  </r>
  <r>
    <n v="200"/>
    <x v="3"/>
    <x v="32"/>
    <x v="6"/>
    <s v="Percent change"/>
    <s v="Units"/>
    <x v="5"/>
    <n v="6.0389999999999997"/>
  </r>
  <r>
    <n v="200"/>
    <x v="3"/>
    <x v="32"/>
    <x v="6"/>
    <s v="Percent change"/>
    <s v="Units"/>
    <x v="6"/>
    <n v="10.618"/>
  </r>
  <r>
    <n v="510"/>
    <x v="10"/>
    <x v="32"/>
    <x v="6"/>
    <s v="Percent change"/>
    <s v="Units"/>
    <x v="0"/>
    <n v="-1.379"/>
  </r>
  <r>
    <n v="510"/>
    <x v="10"/>
    <x v="32"/>
    <x v="6"/>
    <s v="Percent change"/>
    <s v="Units"/>
    <x v="1"/>
    <n v="-23.498000000000001"/>
  </r>
  <r>
    <n v="510"/>
    <x v="10"/>
    <x v="32"/>
    <x v="6"/>
    <s v="Percent change"/>
    <s v="Units"/>
    <x v="2"/>
    <n v="14.581"/>
  </r>
  <r>
    <n v="510"/>
    <x v="10"/>
    <x v="32"/>
    <x v="6"/>
    <s v="Percent change"/>
    <s v="Units"/>
    <x v="3"/>
    <n v="14.78"/>
  </r>
  <r>
    <n v="510"/>
    <x v="10"/>
    <x v="32"/>
    <x v="6"/>
    <s v="Percent change"/>
    <s v="Units"/>
    <x v="4"/>
    <n v="0.127"/>
  </r>
  <r>
    <n v="510"/>
    <x v="10"/>
    <x v="32"/>
    <x v="6"/>
    <s v="Percent change"/>
    <s v="Units"/>
    <x v="5"/>
    <n v="6.0389999999999997"/>
  </r>
  <r>
    <n v="510"/>
    <x v="10"/>
    <x v="32"/>
    <x v="6"/>
    <s v="Percent change"/>
    <s v="Units"/>
    <x v="6"/>
    <n v="10.618"/>
  </r>
  <r>
    <n v="505"/>
    <x v="4"/>
    <x v="32"/>
    <x v="6"/>
    <s v="Percent change"/>
    <s v="Units"/>
    <x v="0"/>
    <n v="-1.379"/>
  </r>
  <r>
    <n v="505"/>
    <x v="4"/>
    <x v="32"/>
    <x v="6"/>
    <s v="Percent change"/>
    <s v="Units"/>
    <x v="1"/>
    <n v="-23.498000000000001"/>
  </r>
  <r>
    <n v="505"/>
    <x v="4"/>
    <x v="32"/>
    <x v="6"/>
    <s v="Percent change"/>
    <s v="Units"/>
    <x v="2"/>
    <n v="14.581"/>
  </r>
  <r>
    <n v="505"/>
    <x v="4"/>
    <x v="32"/>
    <x v="6"/>
    <s v="Percent change"/>
    <s v="Units"/>
    <x v="3"/>
    <n v="14.78"/>
  </r>
  <r>
    <n v="505"/>
    <x v="4"/>
    <x v="32"/>
    <x v="6"/>
    <s v="Percent change"/>
    <s v="Units"/>
    <x v="4"/>
    <n v="0.127"/>
  </r>
  <r>
    <n v="505"/>
    <x v="4"/>
    <x v="32"/>
    <x v="6"/>
    <s v="Percent change"/>
    <s v="Units"/>
    <x v="5"/>
    <n v="6.0389999999999997"/>
  </r>
  <r>
    <n v="505"/>
    <x v="4"/>
    <x v="32"/>
    <x v="6"/>
    <s v="Percent change"/>
    <s v="Units"/>
    <x v="6"/>
    <n v="10.618"/>
  </r>
  <r>
    <n v="200"/>
    <x v="3"/>
    <x v="144"/>
    <x v="8"/>
    <s v="Percent change"/>
    <s v="Units"/>
    <x v="0"/>
    <n v="6.8659999999999997"/>
  </r>
  <r>
    <n v="200"/>
    <x v="3"/>
    <x v="144"/>
    <x v="8"/>
    <s v="Percent change"/>
    <s v="Units"/>
    <x v="1"/>
    <n v="3.8490000000000002"/>
  </r>
  <r>
    <n v="200"/>
    <x v="3"/>
    <x v="144"/>
    <x v="8"/>
    <s v="Percent change"/>
    <s v="Units"/>
    <x v="2"/>
    <n v="7.1550000000000002"/>
  </r>
  <r>
    <n v="200"/>
    <x v="3"/>
    <x v="144"/>
    <x v="8"/>
    <s v="Percent change"/>
    <s v="Units"/>
    <x v="3"/>
    <n v="6.2530000000000001"/>
  </r>
  <r>
    <n v="200"/>
    <x v="3"/>
    <x v="144"/>
    <x v="8"/>
    <s v="Percent change"/>
    <s v="Units"/>
    <x v="4"/>
    <n v="5.7560000000000002"/>
  </r>
  <r>
    <n v="200"/>
    <x v="3"/>
    <x v="144"/>
    <x v="8"/>
    <s v="Percent change"/>
    <s v="Units"/>
    <x v="5"/>
    <n v="6.0389999999999997"/>
  </r>
  <r>
    <n v="200"/>
    <x v="3"/>
    <x v="144"/>
    <x v="8"/>
    <s v="Percent change"/>
    <s v="Units"/>
    <x v="6"/>
    <n v="6.02"/>
  </r>
  <r>
    <n v="603"/>
    <x v="12"/>
    <x v="144"/>
    <x v="8"/>
    <s v="Percent change"/>
    <s v="Units"/>
    <x v="0"/>
    <n v="6.8659999999999997"/>
  </r>
  <r>
    <n v="603"/>
    <x v="12"/>
    <x v="144"/>
    <x v="8"/>
    <s v="Percent change"/>
    <s v="Units"/>
    <x v="1"/>
    <n v="3.8490000000000002"/>
  </r>
  <r>
    <n v="603"/>
    <x v="12"/>
    <x v="144"/>
    <x v="8"/>
    <s v="Percent change"/>
    <s v="Units"/>
    <x v="2"/>
    <n v="7.1550000000000002"/>
  </r>
  <r>
    <n v="603"/>
    <x v="12"/>
    <x v="144"/>
    <x v="8"/>
    <s v="Percent change"/>
    <s v="Units"/>
    <x v="3"/>
    <n v="6.2530000000000001"/>
  </r>
  <r>
    <n v="603"/>
    <x v="12"/>
    <x v="144"/>
    <x v="8"/>
    <s v="Percent change"/>
    <s v="Units"/>
    <x v="4"/>
    <n v="5.7560000000000002"/>
  </r>
  <r>
    <n v="603"/>
    <x v="12"/>
    <x v="144"/>
    <x v="8"/>
    <s v="Percent change"/>
    <s v="Units"/>
    <x v="5"/>
    <n v="6.0389999999999997"/>
  </r>
  <r>
    <n v="603"/>
    <x v="12"/>
    <x v="144"/>
    <x v="8"/>
    <s v="Percent change"/>
    <s v="Units"/>
    <x v="6"/>
    <n v="6.02"/>
  </r>
  <r>
    <n v="1"/>
    <x v="2"/>
    <x v="112"/>
    <x v="8"/>
    <s v="Percent change"/>
    <s v="Units"/>
    <x v="0"/>
    <n v="7.9370000000000003"/>
  </r>
  <r>
    <n v="1"/>
    <x v="2"/>
    <x v="112"/>
    <x v="8"/>
    <s v="Percent change"/>
    <s v="Units"/>
    <x v="1"/>
    <n v="-3.556"/>
  </r>
  <r>
    <n v="1"/>
    <x v="2"/>
    <x v="112"/>
    <x v="8"/>
    <s v="Percent change"/>
    <s v="Units"/>
    <x v="2"/>
    <n v="3.09"/>
  </r>
  <r>
    <n v="1"/>
    <x v="2"/>
    <x v="112"/>
    <x v="8"/>
    <s v="Percent change"/>
    <s v="Units"/>
    <x v="3"/>
    <n v="5.1029999999999998"/>
  </r>
  <r>
    <n v="1"/>
    <x v="2"/>
    <x v="112"/>
    <x v="8"/>
    <s v="Percent change"/>
    <s v="Units"/>
    <x v="4"/>
    <n v="4.9980000000000002"/>
  </r>
  <r>
    <n v="1"/>
    <x v="2"/>
    <x v="112"/>
    <x v="8"/>
    <s v="Percent change"/>
    <s v="Units"/>
    <x v="5"/>
    <n v="6.032"/>
  </r>
  <r>
    <n v="1"/>
    <x v="2"/>
    <x v="112"/>
    <x v="8"/>
    <s v="Percent change"/>
    <s v="Units"/>
    <x v="6"/>
    <n v="6.1189999999999998"/>
  </r>
  <r>
    <n v="505"/>
    <x v="4"/>
    <x v="112"/>
    <x v="8"/>
    <s v="Percent change"/>
    <s v="Units"/>
    <x v="0"/>
    <n v="7.9370000000000003"/>
  </r>
  <r>
    <n v="505"/>
    <x v="4"/>
    <x v="112"/>
    <x v="8"/>
    <s v="Percent change"/>
    <s v="Units"/>
    <x v="1"/>
    <n v="-3.556"/>
  </r>
  <r>
    <n v="505"/>
    <x v="4"/>
    <x v="112"/>
    <x v="8"/>
    <s v="Percent change"/>
    <s v="Units"/>
    <x v="2"/>
    <n v="3.09"/>
  </r>
  <r>
    <n v="505"/>
    <x v="4"/>
    <x v="112"/>
    <x v="8"/>
    <s v="Percent change"/>
    <s v="Units"/>
    <x v="3"/>
    <n v="5.1029999999999998"/>
  </r>
  <r>
    <n v="505"/>
    <x v="4"/>
    <x v="112"/>
    <x v="8"/>
    <s v="Percent change"/>
    <s v="Units"/>
    <x v="4"/>
    <n v="4.9980000000000002"/>
  </r>
  <r>
    <n v="505"/>
    <x v="4"/>
    <x v="112"/>
    <x v="8"/>
    <s v="Percent change"/>
    <s v="Units"/>
    <x v="5"/>
    <n v="6.032"/>
  </r>
  <r>
    <n v="505"/>
    <x v="4"/>
    <x v="112"/>
    <x v="8"/>
    <s v="Percent change"/>
    <s v="Units"/>
    <x v="6"/>
    <n v="6.1189999999999998"/>
  </r>
  <r>
    <n v="200"/>
    <x v="3"/>
    <x v="112"/>
    <x v="8"/>
    <s v="Percent change"/>
    <s v="Units"/>
    <x v="0"/>
    <n v="7.9370000000000003"/>
  </r>
  <r>
    <n v="200"/>
    <x v="3"/>
    <x v="112"/>
    <x v="8"/>
    <s v="Percent change"/>
    <s v="Units"/>
    <x v="1"/>
    <n v="-3.556"/>
  </r>
  <r>
    <n v="200"/>
    <x v="3"/>
    <x v="112"/>
    <x v="8"/>
    <s v="Percent change"/>
    <s v="Units"/>
    <x v="2"/>
    <n v="3.09"/>
  </r>
  <r>
    <n v="200"/>
    <x v="3"/>
    <x v="112"/>
    <x v="8"/>
    <s v="Percent change"/>
    <s v="Units"/>
    <x v="3"/>
    <n v="5.1029999999999998"/>
  </r>
  <r>
    <n v="200"/>
    <x v="3"/>
    <x v="112"/>
    <x v="8"/>
    <s v="Percent change"/>
    <s v="Units"/>
    <x v="4"/>
    <n v="4.9980000000000002"/>
  </r>
  <r>
    <n v="200"/>
    <x v="3"/>
    <x v="112"/>
    <x v="8"/>
    <s v="Percent change"/>
    <s v="Units"/>
    <x v="5"/>
    <n v="6.032"/>
  </r>
  <r>
    <n v="200"/>
    <x v="3"/>
    <x v="112"/>
    <x v="8"/>
    <s v="Percent change"/>
    <s v="Units"/>
    <x v="6"/>
    <n v="6.1189999999999998"/>
  </r>
  <r>
    <n v="1"/>
    <x v="2"/>
    <x v="157"/>
    <x v="8"/>
    <s v="Percent change"/>
    <s v="Units"/>
    <x v="0"/>
    <n v="7.6310000000000002"/>
  </r>
  <r>
    <n v="1"/>
    <x v="2"/>
    <x v="157"/>
    <x v="8"/>
    <s v="Percent change"/>
    <s v="Units"/>
    <x v="1"/>
    <n v="-7.1509999999999998"/>
  </r>
  <r>
    <n v="1"/>
    <x v="2"/>
    <x v="157"/>
    <x v="8"/>
    <s v="Percent change"/>
    <s v="Units"/>
    <x v="2"/>
    <n v="5.6840000000000002"/>
  </r>
  <r>
    <n v="1"/>
    <x v="2"/>
    <x v="157"/>
    <x v="8"/>
    <s v="Percent change"/>
    <s v="Units"/>
    <x v="3"/>
    <n v="12.603999999999999"/>
  </r>
  <r>
    <n v="1"/>
    <x v="2"/>
    <x v="157"/>
    <x v="8"/>
    <s v="Percent change"/>
    <s v="Units"/>
    <x v="4"/>
    <n v="8.7140000000000004"/>
  </r>
  <r>
    <n v="1"/>
    <x v="2"/>
    <x v="157"/>
    <x v="8"/>
    <s v="Percent change"/>
    <s v="Units"/>
    <x v="5"/>
    <n v="6.0110000000000001"/>
  </r>
  <r>
    <n v="1"/>
    <x v="2"/>
    <x v="157"/>
    <x v="8"/>
    <s v="Percent change"/>
    <s v="Units"/>
    <x v="6"/>
    <n v="5.25"/>
  </r>
  <r>
    <n v="200"/>
    <x v="3"/>
    <x v="157"/>
    <x v="8"/>
    <s v="Percent change"/>
    <s v="Units"/>
    <x v="0"/>
    <n v="7.6310000000000002"/>
  </r>
  <r>
    <n v="200"/>
    <x v="3"/>
    <x v="157"/>
    <x v="8"/>
    <s v="Percent change"/>
    <s v="Units"/>
    <x v="1"/>
    <n v="-7.1509999999999998"/>
  </r>
  <r>
    <n v="200"/>
    <x v="3"/>
    <x v="157"/>
    <x v="8"/>
    <s v="Percent change"/>
    <s v="Units"/>
    <x v="2"/>
    <n v="5.6840000000000002"/>
  </r>
  <r>
    <n v="200"/>
    <x v="3"/>
    <x v="157"/>
    <x v="8"/>
    <s v="Percent change"/>
    <s v="Units"/>
    <x v="3"/>
    <n v="12.603999999999999"/>
  </r>
  <r>
    <n v="200"/>
    <x v="3"/>
    <x v="157"/>
    <x v="8"/>
    <s v="Percent change"/>
    <s v="Units"/>
    <x v="4"/>
    <n v="8.7140000000000004"/>
  </r>
  <r>
    <n v="200"/>
    <x v="3"/>
    <x v="157"/>
    <x v="8"/>
    <s v="Percent change"/>
    <s v="Units"/>
    <x v="5"/>
    <n v="6.0110000000000001"/>
  </r>
  <r>
    <n v="200"/>
    <x v="3"/>
    <x v="157"/>
    <x v="8"/>
    <s v="Percent change"/>
    <s v="Units"/>
    <x v="6"/>
    <n v="5.25"/>
  </r>
  <r>
    <n v="400"/>
    <x v="11"/>
    <x v="157"/>
    <x v="8"/>
    <s v="Percent change"/>
    <s v="Units"/>
    <x v="0"/>
    <n v="7.6310000000000002"/>
  </r>
  <r>
    <n v="400"/>
    <x v="11"/>
    <x v="157"/>
    <x v="8"/>
    <s v="Percent change"/>
    <s v="Units"/>
    <x v="1"/>
    <n v="-7.1509999999999998"/>
  </r>
  <r>
    <n v="400"/>
    <x v="11"/>
    <x v="157"/>
    <x v="8"/>
    <s v="Percent change"/>
    <s v="Units"/>
    <x v="2"/>
    <n v="5.6840000000000002"/>
  </r>
  <r>
    <n v="400"/>
    <x v="11"/>
    <x v="157"/>
    <x v="8"/>
    <s v="Percent change"/>
    <s v="Units"/>
    <x v="3"/>
    <n v="12.603999999999999"/>
  </r>
  <r>
    <n v="400"/>
    <x v="11"/>
    <x v="157"/>
    <x v="8"/>
    <s v="Percent change"/>
    <s v="Units"/>
    <x v="4"/>
    <n v="8.7140000000000004"/>
  </r>
  <r>
    <n v="400"/>
    <x v="11"/>
    <x v="157"/>
    <x v="8"/>
    <s v="Percent change"/>
    <s v="Units"/>
    <x v="5"/>
    <n v="6.0110000000000001"/>
  </r>
  <r>
    <n v="400"/>
    <x v="11"/>
    <x v="157"/>
    <x v="8"/>
    <s v="Percent change"/>
    <s v="Units"/>
    <x v="6"/>
    <n v="5.25"/>
  </r>
  <r>
    <n v="1"/>
    <x v="2"/>
    <x v="99"/>
    <x v="6"/>
    <s v="Percent change"/>
    <s v="Units"/>
    <x v="0"/>
    <n v="-8.5660000000000007"/>
  </r>
  <r>
    <n v="1"/>
    <x v="2"/>
    <x v="99"/>
    <x v="6"/>
    <s v="Percent change"/>
    <s v="Units"/>
    <x v="1"/>
    <n v="-15.005000000000001"/>
  </r>
  <r>
    <n v="1"/>
    <x v="2"/>
    <x v="99"/>
    <x v="6"/>
    <s v="Percent change"/>
    <s v="Units"/>
    <x v="2"/>
    <n v="8.4480000000000004"/>
  </r>
  <r>
    <n v="1"/>
    <x v="2"/>
    <x v="99"/>
    <x v="6"/>
    <s v="Percent change"/>
    <s v="Units"/>
    <x v="3"/>
    <n v="11.673999999999999"/>
  </r>
  <r>
    <n v="1"/>
    <x v="2"/>
    <x v="99"/>
    <x v="6"/>
    <s v="Percent change"/>
    <s v="Units"/>
    <x v="4"/>
    <n v="4.2110000000000003"/>
  </r>
  <r>
    <n v="1"/>
    <x v="2"/>
    <x v="99"/>
    <x v="6"/>
    <s v="Percent change"/>
    <s v="Units"/>
    <x v="5"/>
    <n v="6"/>
  </r>
  <r>
    <n v="1"/>
    <x v="2"/>
    <x v="99"/>
    <x v="6"/>
    <s v="Percent change"/>
    <s v="Units"/>
    <x v="6"/>
    <n v="5.6"/>
  </r>
  <r>
    <n v="200"/>
    <x v="3"/>
    <x v="99"/>
    <x v="6"/>
    <s v="Percent change"/>
    <s v="Units"/>
    <x v="0"/>
    <n v="-8.5660000000000007"/>
  </r>
  <r>
    <n v="200"/>
    <x v="3"/>
    <x v="99"/>
    <x v="6"/>
    <s v="Percent change"/>
    <s v="Units"/>
    <x v="1"/>
    <n v="-15.005000000000001"/>
  </r>
  <r>
    <n v="200"/>
    <x v="3"/>
    <x v="99"/>
    <x v="6"/>
    <s v="Percent change"/>
    <s v="Units"/>
    <x v="2"/>
    <n v="8.4480000000000004"/>
  </r>
  <r>
    <n v="200"/>
    <x v="3"/>
    <x v="99"/>
    <x v="6"/>
    <s v="Percent change"/>
    <s v="Units"/>
    <x v="3"/>
    <n v="11.673999999999999"/>
  </r>
  <r>
    <n v="200"/>
    <x v="3"/>
    <x v="99"/>
    <x v="6"/>
    <s v="Percent change"/>
    <s v="Units"/>
    <x v="4"/>
    <n v="4.2110000000000003"/>
  </r>
  <r>
    <n v="200"/>
    <x v="3"/>
    <x v="99"/>
    <x v="6"/>
    <s v="Percent change"/>
    <s v="Units"/>
    <x v="5"/>
    <n v="6"/>
  </r>
  <r>
    <n v="200"/>
    <x v="3"/>
    <x v="99"/>
    <x v="6"/>
    <s v="Percent change"/>
    <s v="Units"/>
    <x v="6"/>
    <n v="5.6"/>
  </r>
  <r>
    <n v="400"/>
    <x v="11"/>
    <x v="99"/>
    <x v="6"/>
    <s v="Percent change"/>
    <s v="Units"/>
    <x v="0"/>
    <n v="-8.5660000000000007"/>
  </r>
  <r>
    <n v="400"/>
    <x v="11"/>
    <x v="99"/>
    <x v="6"/>
    <s v="Percent change"/>
    <s v="Units"/>
    <x v="1"/>
    <n v="-15.005000000000001"/>
  </r>
  <r>
    <n v="400"/>
    <x v="11"/>
    <x v="99"/>
    <x v="6"/>
    <s v="Percent change"/>
    <s v="Units"/>
    <x v="2"/>
    <n v="8.4480000000000004"/>
  </r>
  <r>
    <n v="400"/>
    <x v="11"/>
    <x v="99"/>
    <x v="6"/>
    <s v="Percent change"/>
    <s v="Units"/>
    <x v="3"/>
    <n v="11.673999999999999"/>
  </r>
  <r>
    <n v="400"/>
    <x v="11"/>
    <x v="99"/>
    <x v="6"/>
    <s v="Percent change"/>
    <s v="Units"/>
    <x v="4"/>
    <n v="4.2110000000000003"/>
  </r>
  <r>
    <n v="400"/>
    <x v="11"/>
    <x v="99"/>
    <x v="6"/>
    <s v="Percent change"/>
    <s v="Units"/>
    <x v="5"/>
    <n v="6"/>
  </r>
  <r>
    <n v="400"/>
    <x v="11"/>
    <x v="99"/>
    <x v="6"/>
    <s v="Percent change"/>
    <s v="Units"/>
    <x v="6"/>
    <n v="5.6"/>
  </r>
  <r>
    <n v="163"/>
    <x v="5"/>
    <x v="76"/>
    <x v="11"/>
    <s v="Percent of total labor force"/>
    <s v="Units"/>
    <x v="0"/>
    <n v="5.4059999999999997"/>
  </r>
  <r>
    <n v="163"/>
    <x v="5"/>
    <x v="76"/>
    <x v="11"/>
    <s v="Percent of total labor force"/>
    <s v="Units"/>
    <x v="1"/>
    <n v="6.3630000000000004"/>
  </r>
  <r>
    <n v="163"/>
    <x v="5"/>
    <x v="76"/>
    <x v="11"/>
    <s v="Percent of total labor force"/>
    <s v="Units"/>
    <x v="2"/>
    <n v="5.7460000000000004"/>
  </r>
  <r>
    <n v="163"/>
    <x v="5"/>
    <x v="76"/>
    <x v="11"/>
    <s v="Percent of total labor force"/>
    <s v="Units"/>
    <x v="3"/>
    <n v="4.8170000000000002"/>
  </r>
  <r>
    <n v="163"/>
    <x v="5"/>
    <x v="76"/>
    <x v="11"/>
    <s v="Percent of total labor force"/>
    <s v="Units"/>
    <x v="4"/>
    <n v="5.23"/>
  </r>
  <r>
    <n v="163"/>
    <x v="5"/>
    <x v="76"/>
    <x v="11"/>
    <s v="Percent of total labor force"/>
    <s v="Units"/>
    <x v="5"/>
    <n v="5.9930000000000003"/>
  </r>
  <r>
    <n v="163"/>
    <x v="5"/>
    <x v="76"/>
    <x v="11"/>
    <s v="Percent of total labor force"/>
    <s v="Units"/>
    <x v="6"/>
    <n v="6.0350000000000001"/>
  </r>
  <r>
    <n v="110"/>
    <x v="0"/>
    <x v="76"/>
    <x v="11"/>
    <s v="Percent of total labor force"/>
    <s v="Units"/>
    <x v="0"/>
    <n v="5.4059999999999997"/>
  </r>
  <r>
    <n v="110"/>
    <x v="0"/>
    <x v="76"/>
    <x v="11"/>
    <s v="Percent of total labor force"/>
    <s v="Units"/>
    <x v="1"/>
    <n v="6.3630000000000004"/>
  </r>
  <r>
    <n v="110"/>
    <x v="0"/>
    <x v="76"/>
    <x v="11"/>
    <s v="Percent of total labor force"/>
    <s v="Units"/>
    <x v="2"/>
    <n v="5.7460000000000004"/>
  </r>
  <r>
    <n v="110"/>
    <x v="0"/>
    <x v="76"/>
    <x v="11"/>
    <s v="Percent of total labor force"/>
    <s v="Units"/>
    <x v="3"/>
    <n v="4.8170000000000002"/>
  </r>
  <r>
    <n v="110"/>
    <x v="0"/>
    <x v="76"/>
    <x v="11"/>
    <s v="Percent of total labor force"/>
    <s v="Units"/>
    <x v="4"/>
    <n v="5.23"/>
  </r>
  <r>
    <n v="110"/>
    <x v="0"/>
    <x v="76"/>
    <x v="11"/>
    <s v="Percent of total labor force"/>
    <s v="Units"/>
    <x v="5"/>
    <n v="5.9930000000000003"/>
  </r>
  <r>
    <n v="110"/>
    <x v="0"/>
    <x v="76"/>
    <x v="11"/>
    <s v="Percent of total labor force"/>
    <s v="Units"/>
    <x v="6"/>
    <n v="6.0350000000000001"/>
  </r>
  <r>
    <n v="200"/>
    <x v="3"/>
    <x v="47"/>
    <x v="6"/>
    <s v="Percent change"/>
    <s v="Units"/>
    <x v="0"/>
    <n v="12.528"/>
  </r>
  <r>
    <n v="200"/>
    <x v="3"/>
    <x v="47"/>
    <x v="6"/>
    <s v="Percent change"/>
    <s v="Units"/>
    <x v="1"/>
    <n v="-27.353999999999999"/>
  </r>
  <r>
    <n v="200"/>
    <x v="3"/>
    <x v="47"/>
    <x v="6"/>
    <s v="Percent change"/>
    <s v="Units"/>
    <x v="2"/>
    <n v="-10.731"/>
  </r>
  <r>
    <n v="200"/>
    <x v="3"/>
    <x v="47"/>
    <x v="6"/>
    <s v="Percent change"/>
    <s v="Units"/>
    <x v="3"/>
    <n v="14.058"/>
  </r>
  <r>
    <n v="200"/>
    <x v="3"/>
    <x v="47"/>
    <x v="6"/>
    <s v="Percent change"/>
    <s v="Units"/>
    <x v="4"/>
    <n v="26.253"/>
  </r>
  <r>
    <n v="200"/>
    <x v="3"/>
    <x v="47"/>
    <x v="6"/>
    <s v="Percent change"/>
    <s v="Units"/>
    <x v="5"/>
    <n v="5.976"/>
  </r>
  <r>
    <n v="200"/>
    <x v="3"/>
    <x v="47"/>
    <x v="6"/>
    <s v="Percent change"/>
    <s v="Units"/>
    <x v="6"/>
    <n v="4.1230000000000002"/>
  </r>
  <r>
    <n v="400"/>
    <x v="11"/>
    <x v="47"/>
    <x v="6"/>
    <s v="Percent change"/>
    <s v="Units"/>
    <x v="0"/>
    <n v="12.528"/>
  </r>
  <r>
    <n v="400"/>
    <x v="11"/>
    <x v="47"/>
    <x v="6"/>
    <s v="Percent change"/>
    <s v="Units"/>
    <x v="1"/>
    <n v="-27.353999999999999"/>
  </r>
  <r>
    <n v="400"/>
    <x v="11"/>
    <x v="47"/>
    <x v="6"/>
    <s v="Percent change"/>
    <s v="Units"/>
    <x v="2"/>
    <n v="-10.731"/>
  </r>
  <r>
    <n v="400"/>
    <x v="11"/>
    <x v="47"/>
    <x v="6"/>
    <s v="Percent change"/>
    <s v="Units"/>
    <x v="3"/>
    <n v="14.058"/>
  </r>
  <r>
    <n v="400"/>
    <x v="11"/>
    <x v="47"/>
    <x v="6"/>
    <s v="Percent change"/>
    <s v="Units"/>
    <x v="4"/>
    <n v="26.253"/>
  </r>
  <r>
    <n v="400"/>
    <x v="11"/>
    <x v="47"/>
    <x v="6"/>
    <s v="Percent change"/>
    <s v="Units"/>
    <x v="5"/>
    <n v="5.976"/>
  </r>
  <r>
    <n v="400"/>
    <x v="11"/>
    <x v="47"/>
    <x v="6"/>
    <s v="Percent change"/>
    <s v="Units"/>
    <x v="6"/>
    <n v="4.1230000000000002"/>
  </r>
  <r>
    <n v="1"/>
    <x v="2"/>
    <x v="47"/>
    <x v="6"/>
    <s v="Percent change"/>
    <s v="Units"/>
    <x v="0"/>
    <n v="12.528"/>
  </r>
  <r>
    <n v="1"/>
    <x v="2"/>
    <x v="47"/>
    <x v="6"/>
    <s v="Percent change"/>
    <s v="Units"/>
    <x v="1"/>
    <n v="-27.353999999999999"/>
  </r>
  <r>
    <n v="1"/>
    <x v="2"/>
    <x v="47"/>
    <x v="6"/>
    <s v="Percent change"/>
    <s v="Units"/>
    <x v="2"/>
    <n v="-10.731"/>
  </r>
  <r>
    <n v="1"/>
    <x v="2"/>
    <x v="47"/>
    <x v="6"/>
    <s v="Percent change"/>
    <s v="Units"/>
    <x v="3"/>
    <n v="14.058"/>
  </r>
  <r>
    <n v="1"/>
    <x v="2"/>
    <x v="47"/>
    <x v="6"/>
    <s v="Percent change"/>
    <s v="Units"/>
    <x v="4"/>
    <n v="26.253"/>
  </r>
  <r>
    <n v="1"/>
    <x v="2"/>
    <x v="47"/>
    <x v="6"/>
    <s v="Percent change"/>
    <s v="Units"/>
    <x v="5"/>
    <n v="5.976"/>
  </r>
  <r>
    <n v="1"/>
    <x v="2"/>
    <x v="47"/>
    <x v="6"/>
    <s v="Percent change"/>
    <s v="Units"/>
    <x v="6"/>
    <n v="4.1230000000000002"/>
  </r>
  <r>
    <n v="1"/>
    <x v="2"/>
    <x v="150"/>
    <x v="4"/>
    <s v="Percent change"/>
    <s v="Units"/>
    <x v="0"/>
    <n v="7.5119999999999996"/>
  </r>
  <r>
    <n v="1"/>
    <x v="2"/>
    <x v="150"/>
    <x v="4"/>
    <s v="Percent change"/>
    <s v="Units"/>
    <x v="1"/>
    <n v="-29.146999999999998"/>
  </r>
  <r>
    <n v="1"/>
    <x v="2"/>
    <x v="150"/>
    <x v="4"/>
    <s v="Percent change"/>
    <s v="Units"/>
    <x v="2"/>
    <n v="76.656000000000006"/>
  </r>
  <r>
    <n v="1"/>
    <x v="2"/>
    <x v="150"/>
    <x v="4"/>
    <s v="Percent change"/>
    <s v="Units"/>
    <x v="3"/>
    <n v="18.841999999999999"/>
  </r>
  <r>
    <n v="1"/>
    <x v="2"/>
    <x v="150"/>
    <x v="4"/>
    <s v="Percent change"/>
    <s v="Units"/>
    <x v="4"/>
    <n v="6.3369999999999997"/>
  </r>
  <r>
    <n v="1"/>
    <x v="2"/>
    <x v="150"/>
    <x v="4"/>
    <s v="Percent change"/>
    <s v="Units"/>
    <x v="5"/>
    <n v="5.9470000000000001"/>
  </r>
  <r>
    <n v="1"/>
    <x v="2"/>
    <x v="150"/>
    <x v="4"/>
    <s v="Percent change"/>
    <s v="Units"/>
    <x v="6"/>
    <n v="5.1470000000000002"/>
  </r>
  <r>
    <n v="200"/>
    <x v="3"/>
    <x v="150"/>
    <x v="4"/>
    <s v="Percent change"/>
    <s v="Units"/>
    <x v="0"/>
    <n v="7.5119999999999996"/>
  </r>
  <r>
    <n v="200"/>
    <x v="3"/>
    <x v="150"/>
    <x v="4"/>
    <s v="Percent change"/>
    <s v="Units"/>
    <x v="1"/>
    <n v="-29.146999999999998"/>
  </r>
  <r>
    <n v="200"/>
    <x v="3"/>
    <x v="150"/>
    <x v="4"/>
    <s v="Percent change"/>
    <s v="Units"/>
    <x v="2"/>
    <n v="76.656000000000006"/>
  </r>
  <r>
    <n v="200"/>
    <x v="3"/>
    <x v="150"/>
    <x v="4"/>
    <s v="Percent change"/>
    <s v="Units"/>
    <x v="3"/>
    <n v="18.841999999999999"/>
  </r>
  <r>
    <n v="200"/>
    <x v="3"/>
    <x v="150"/>
    <x v="4"/>
    <s v="Percent change"/>
    <s v="Units"/>
    <x v="4"/>
    <n v="6.3369999999999997"/>
  </r>
  <r>
    <n v="200"/>
    <x v="3"/>
    <x v="150"/>
    <x v="4"/>
    <s v="Percent change"/>
    <s v="Units"/>
    <x v="5"/>
    <n v="5.9470000000000001"/>
  </r>
  <r>
    <n v="200"/>
    <x v="3"/>
    <x v="150"/>
    <x v="4"/>
    <s v="Percent change"/>
    <s v="Units"/>
    <x v="6"/>
    <n v="5.1470000000000002"/>
  </r>
  <r>
    <n v="903"/>
    <x v="8"/>
    <x v="150"/>
    <x v="4"/>
    <s v="Percent change"/>
    <s v="Units"/>
    <x v="0"/>
    <n v="7.5119999999999996"/>
  </r>
  <r>
    <n v="903"/>
    <x v="8"/>
    <x v="150"/>
    <x v="4"/>
    <s v="Percent change"/>
    <s v="Units"/>
    <x v="1"/>
    <n v="-29.146999999999998"/>
  </r>
  <r>
    <n v="903"/>
    <x v="8"/>
    <x v="150"/>
    <x v="4"/>
    <s v="Percent change"/>
    <s v="Units"/>
    <x v="2"/>
    <n v="76.656000000000006"/>
  </r>
  <r>
    <n v="903"/>
    <x v="8"/>
    <x v="150"/>
    <x v="4"/>
    <s v="Percent change"/>
    <s v="Units"/>
    <x v="3"/>
    <n v="18.841999999999999"/>
  </r>
  <r>
    <n v="903"/>
    <x v="8"/>
    <x v="150"/>
    <x v="4"/>
    <s v="Percent change"/>
    <s v="Units"/>
    <x v="4"/>
    <n v="6.3369999999999997"/>
  </r>
  <r>
    <n v="903"/>
    <x v="8"/>
    <x v="150"/>
    <x v="4"/>
    <s v="Percent change"/>
    <s v="Units"/>
    <x v="5"/>
    <n v="5.9470000000000001"/>
  </r>
  <r>
    <n v="903"/>
    <x v="8"/>
    <x v="150"/>
    <x v="4"/>
    <s v="Percent change"/>
    <s v="Units"/>
    <x v="6"/>
    <n v="5.1470000000000002"/>
  </r>
  <r>
    <n v="1"/>
    <x v="2"/>
    <x v="186"/>
    <x v="6"/>
    <s v="Percent change"/>
    <s v="Units"/>
    <x v="0"/>
    <n v="7.8449999999999998"/>
  </r>
  <r>
    <n v="1"/>
    <x v="2"/>
    <x v="186"/>
    <x v="6"/>
    <s v="Percent change"/>
    <s v="Units"/>
    <x v="1"/>
    <n v="4.492"/>
  </r>
  <r>
    <n v="1"/>
    <x v="2"/>
    <x v="186"/>
    <x v="6"/>
    <s v="Percent change"/>
    <s v="Units"/>
    <x v="2"/>
    <n v="-10.452"/>
  </r>
  <r>
    <n v="1"/>
    <x v="2"/>
    <x v="186"/>
    <x v="6"/>
    <s v="Percent change"/>
    <s v="Units"/>
    <x v="3"/>
    <n v="-4.2069999999999999"/>
  </r>
  <r>
    <n v="1"/>
    <x v="2"/>
    <x v="186"/>
    <x v="6"/>
    <s v="Percent change"/>
    <s v="Units"/>
    <x v="4"/>
    <n v="5.0330000000000004"/>
  </r>
  <r>
    <n v="1"/>
    <x v="2"/>
    <x v="186"/>
    <x v="6"/>
    <s v="Percent change"/>
    <s v="Units"/>
    <x v="5"/>
    <n v="5.9329999999999998"/>
  </r>
  <r>
    <n v="1"/>
    <x v="2"/>
    <x v="186"/>
    <x v="6"/>
    <s v="Percent change"/>
    <s v="Units"/>
    <x v="6"/>
    <n v="9.5890000000000004"/>
  </r>
  <r>
    <n v="200"/>
    <x v="3"/>
    <x v="186"/>
    <x v="6"/>
    <s v="Percent change"/>
    <s v="Units"/>
    <x v="0"/>
    <n v="7.8449999999999998"/>
  </r>
  <r>
    <n v="200"/>
    <x v="3"/>
    <x v="186"/>
    <x v="6"/>
    <s v="Percent change"/>
    <s v="Units"/>
    <x v="1"/>
    <n v="4.492"/>
  </r>
  <r>
    <n v="200"/>
    <x v="3"/>
    <x v="186"/>
    <x v="6"/>
    <s v="Percent change"/>
    <s v="Units"/>
    <x v="2"/>
    <n v="-10.452"/>
  </r>
  <r>
    <n v="200"/>
    <x v="3"/>
    <x v="186"/>
    <x v="6"/>
    <s v="Percent change"/>
    <s v="Units"/>
    <x v="3"/>
    <n v="-4.2069999999999999"/>
  </r>
  <r>
    <n v="200"/>
    <x v="3"/>
    <x v="186"/>
    <x v="6"/>
    <s v="Percent change"/>
    <s v="Units"/>
    <x v="4"/>
    <n v="5.0330000000000004"/>
  </r>
  <r>
    <n v="200"/>
    <x v="3"/>
    <x v="186"/>
    <x v="6"/>
    <s v="Percent change"/>
    <s v="Units"/>
    <x v="5"/>
    <n v="5.9329999999999998"/>
  </r>
  <r>
    <n v="200"/>
    <x v="3"/>
    <x v="186"/>
    <x v="6"/>
    <s v="Percent change"/>
    <s v="Units"/>
    <x v="6"/>
    <n v="9.5890000000000004"/>
  </r>
  <r>
    <n v="603"/>
    <x v="12"/>
    <x v="186"/>
    <x v="6"/>
    <s v="Percent change"/>
    <s v="Units"/>
    <x v="0"/>
    <n v="7.8449999999999998"/>
  </r>
  <r>
    <n v="603"/>
    <x v="12"/>
    <x v="186"/>
    <x v="6"/>
    <s v="Percent change"/>
    <s v="Units"/>
    <x v="1"/>
    <n v="4.492"/>
  </r>
  <r>
    <n v="603"/>
    <x v="12"/>
    <x v="186"/>
    <x v="6"/>
    <s v="Percent change"/>
    <s v="Units"/>
    <x v="2"/>
    <n v="-10.452"/>
  </r>
  <r>
    <n v="603"/>
    <x v="12"/>
    <x v="186"/>
    <x v="6"/>
    <s v="Percent change"/>
    <s v="Units"/>
    <x v="3"/>
    <n v="-4.2069999999999999"/>
  </r>
  <r>
    <n v="603"/>
    <x v="12"/>
    <x v="186"/>
    <x v="6"/>
    <s v="Percent change"/>
    <s v="Units"/>
    <x v="4"/>
    <n v="5.0330000000000004"/>
  </r>
  <r>
    <n v="603"/>
    <x v="12"/>
    <x v="186"/>
    <x v="6"/>
    <s v="Percent change"/>
    <s v="Units"/>
    <x v="5"/>
    <n v="5.9329999999999998"/>
  </r>
  <r>
    <n v="603"/>
    <x v="12"/>
    <x v="186"/>
    <x v="6"/>
    <s v="Percent change"/>
    <s v="Units"/>
    <x v="6"/>
    <n v="9.5890000000000004"/>
  </r>
  <r>
    <n v="163"/>
    <x v="5"/>
    <x v="61"/>
    <x v="11"/>
    <s v="Percent of total labor force"/>
    <s v="Units"/>
    <x v="0"/>
    <n v="5.7169999999999996"/>
  </r>
  <r>
    <n v="163"/>
    <x v="5"/>
    <x v="61"/>
    <x v="11"/>
    <s v="Percent of total labor force"/>
    <s v="Units"/>
    <x v="1"/>
    <n v="6.633"/>
  </r>
  <r>
    <n v="163"/>
    <x v="5"/>
    <x v="61"/>
    <x v="11"/>
    <s v="Percent of total labor force"/>
    <s v="Units"/>
    <x v="2"/>
    <n v="6.8079999999999998"/>
  </r>
  <r>
    <n v="163"/>
    <x v="5"/>
    <x v="61"/>
    <x v="11"/>
    <s v="Percent of total labor force"/>
    <s v="Units"/>
    <x v="3"/>
    <n v="6.1749999999999998"/>
  </r>
  <r>
    <n v="163"/>
    <x v="5"/>
    <x v="61"/>
    <x v="11"/>
    <s v="Percent of total labor force"/>
    <s v="Units"/>
    <x v="4"/>
    <n v="5.8419999999999996"/>
  </r>
  <r>
    <n v="163"/>
    <x v="5"/>
    <x v="61"/>
    <x v="11"/>
    <s v="Percent of total labor force"/>
    <s v="Units"/>
    <x v="5"/>
    <n v="5.9"/>
  </r>
  <r>
    <n v="163"/>
    <x v="5"/>
    <x v="61"/>
    <x v="11"/>
    <s v="Percent of total labor force"/>
    <s v="Units"/>
    <x v="6"/>
    <n v="5.9"/>
  </r>
  <r>
    <n v="200"/>
    <x v="3"/>
    <x v="102"/>
    <x v="1"/>
    <s v="Percent change"/>
    <s v="Units"/>
    <x v="0"/>
    <n v="2.456"/>
  </r>
  <r>
    <n v="200"/>
    <x v="3"/>
    <x v="102"/>
    <x v="1"/>
    <s v="Percent change"/>
    <s v="Units"/>
    <x v="1"/>
    <n v="2.4510000000000001"/>
  </r>
  <r>
    <n v="200"/>
    <x v="3"/>
    <x v="102"/>
    <x v="1"/>
    <s v="Percent change"/>
    <s v="Units"/>
    <x v="2"/>
    <n v="2.262"/>
  </r>
  <r>
    <n v="200"/>
    <x v="3"/>
    <x v="102"/>
    <x v="1"/>
    <s v="Percent change"/>
    <s v="Units"/>
    <x v="3"/>
    <n v="6.2519999999999998"/>
  </r>
  <r>
    <n v="200"/>
    <x v="3"/>
    <x v="102"/>
    <x v="1"/>
    <s v="Percent change"/>
    <s v="Units"/>
    <x v="4"/>
    <n v="7.1909999999999998"/>
  </r>
  <r>
    <n v="200"/>
    <x v="3"/>
    <x v="102"/>
    <x v="1"/>
    <s v="Percent change"/>
    <s v="Units"/>
    <x v="5"/>
    <n v="5.9"/>
  </r>
  <r>
    <n v="200"/>
    <x v="3"/>
    <x v="102"/>
    <x v="1"/>
    <s v="Percent change"/>
    <s v="Units"/>
    <x v="6"/>
    <n v="5.5"/>
  </r>
  <r>
    <n v="1"/>
    <x v="2"/>
    <x v="102"/>
    <x v="1"/>
    <s v="Percent change"/>
    <s v="Units"/>
    <x v="0"/>
    <n v="2.456"/>
  </r>
  <r>
    <n v="1"/>
    <x v="2"/>
    <x v="102"/>
    <x v="1"/>
    <s v="Percent change"/>
    <s v="Units"/>
    <x v="1"/>
    <n v="2.4510000000000001"/>
  </r>
  <r>
    <n v="1"/>
    <x v="2"/>
    <x v="102"/>
    <x v="1"/>
    <s v="Percent change"/>
    <s v="Units"/>
    <x v="2"/>
    <n v="2.262"/>
  </r>
  <r>
    <n v="1"/>
    <x v="2"/>
    <x v="102"/>
    <x v="1"/>
    <s v="Percent change"/>
    <s v="Units"/>
    <x v="3"/>
    <n v="6.2519999999999998"/>
  </r>
  <r>
    <n v="1"/>
    <x v="2"/>
    <x v="102"/>
    <x v="1"/>
    <s v="Percent change"/>
    <s v="Units"/>
    <x v="4"/>
    <n v="7.1909999999999998"/>
  </r>
  <r>
    <n v="1"/>
    <x v="2"/>
    <x v="102"/>
    <x v="1"/>
    <s v="Percent change"/>
    <s v="Units"/>
    <x v="5"/>
    <n v="5.9"/>
  </r>
  <r>
    <n v="1"/>
    <x v="2"/>
    <x v="102"/>
    <x v="1"/>
    <s v="Percent change"/>
    <s v="Units"/>
    <x v="6"/>
    <n v="5.5"/>
  </r>
  <r>
    <n v="603"/>
    <x v="12"/>
    <x v="102"/>
    <x v="1"/>
    <s v="Percent change"/>
    <s v="Units"/>
    <x v="0"/>
    <n v="2.456"/>
  </r>
  <r>
    <n v="603"/>
    <x v="12"/>
    <x v="102"/>
    <x v="1"/>
    <s v="Percent change"/>
    <s v="Units"/>
    <x v="1"/>
    <n v="2.4510000000000001"/>
  </r>
  <r>
    <n v="603"/>
    <x v="12"/>
    <x v="102"/>
    <x v="1"/>
    <s v="Percent change"/>
    <s v="Units"/>
    <x v="2"/>
    <n v="2.262"/>
  </r>
  <r>
    <n v="603"/>
    <x v="12"/>
    <x v="102"/>
    <x v="1"/>
    <s v="Percent change"/>
    <s v="Units"/>
    <x v="3"/>
    <n v="6.2519999999999998"/>
  </r>
  <r>
    <n v="603"/>
    <x v="12"/>
    <x v="102"/>
    <x v="1"/>
    <s v="Percent change"/>
    <s v="Units"/>
    <x v="4"/>
    <n v="7.1909999999999998"/>
  </r>
  <r>
    <n v="603"/>
    <x v="12"/>
    <x v="102"/>
    <x v="1"/>
    <s v="Percent change"/>
    <s v="Units"/>
    <x v="5"/>
    <n v="5.9"/>
  </r>
  <r>
    <n v="603"/>
    <x v="12"/>
    <x v="102"/>
    <x v="1"/>
    <s v="Percent change"/>
    <s v="Units"/>
    <x v="6"/>
    <n v="5.5"/>
  </r>
  <r>
    <n v="110"/>
    <x v="0"/>
    <x v="61"/>
    <x v="11"/>
    <s v="Percent of total labor force"/>
    <s v="Units"/>
    <x v="0"/>
    <n v="5.7169999999999996"/>
  </r>
  <r>
    <n v="110"/>
    <x v="0"/>
    <x v="61"/>
    <x v="11"/>
    <s v="Percent of total labor force"/>
    <s v="Units"/>
    <x v="1"/>
    <n v="6.633"/>
  </r>
  <r>
    <n v="110"/>
    <x v="0"/>
    <x v="61"/>
    <x v="11"/>
    <s v="Percent of total labor force"/>
    <s v="Units"/>
    <x v="2"/>
    <n v="6.8079999999999998"/>
  </r>
  <r>
    <n v="110"/>
    <x v="0"/>
    <x v="61"/>
    <x v="11"/>
    <s v="Percent of total labor force"/>
    <s v="Units"/>
    <x v="3"/>
    <n v="6.1749999999999998"/>
  </r>
  <r>
    <n v="110"/>
    <x v="0"/>
    <x v="61"/>
    <x v="11"/>
    <s v="Percent of total labor force"/>
    <s v="Units"/>
    <x v="4"/>
    <n v="5.8419999999999996"/>
  </r>
  <r>
    <n v="110"/>
    <x v="0"/>
    <x v="61"/>
    <x v="11"/>
    <s v="Percent of total labor force"/>
    <s v="Units"/>
    <x v="5"/>
    <n v="5.9"/>
  </r>
  <r>
    <n v="110"/>
    <x v="0"/>
    <x v="61"/>
    <x v="11"/>
    <s v="Percent of total labor force"/>
    <s v="Units"/>
    <x v="6"/>
    <n v="5.9"/>
  </r>
  <r>
    <n v="163"/>
    <x v="5"/>
    <x v="118"/>
    <x v="11"/>
    <s v="Percent of total labor force"/>
    <s v="Units"/>
    <x v="0"/>
    <n v="7.0750000000000002"/>
  </r>
  <r>
    <n v="163"/>
    <x v="5"/>
    <x v="118"/>
    <x v="11"/>
    <s v="Percent of total labor force"/>
    <s v="Units"/>
    <x v="1"/>
    <n v="7.5750000000000002"/>
  </r>
  <r>
    <n v="163"/>
    <x v="5"/>
    <x v="118"/>
    <x v="11"/>
    <s v="Percent of total labor force"/>
    <s v="Units"/>
    <x v="2"/>
    <n v="7.4749999999999996"/>
  </r>
  <r>
    <n v="163"/>
    <x v="5"/>
    <x v="118"/>
    <x v="11"/>
    <s v="Percent of total labor force"/>
    <s v="Units"/>
    <x v="3"/>
    <n v="6.7750000000000004"/>
  </r>
  <r>
    <n v="163"/>
    <x v="5"/>
    <x v="118"/>
    <x v="11"/>
    <s v="Percent of total labor force"/>
    <s v="Units"/>
    <x v="4"/>
    <n v="6.1349999999999998"/>
  </r>
  <r>
    <n v="163"/>
    <x v="5"/>
    <x v="118"/>
    <x v="11"/>
    <s v="Percent of total labor force"/>
    <s v="Units"/>
    <x v="5"/>
    <n v="5.8559999999999999"/>
  </r>
  <r>
    <n v="163"/>
    <x v="5"/>
    <x v="118"/>
    <x v="11"/>
    <s v="Percent of total labor force"/>
    <s v="Units"/>
    <x v="6"/>
    <n v="5.6689999999999996"/>
  </r>
  <r>
    <n v="110"/>
    <x v="0"/>
    <x v="118"/>
    <x v="11"/>
    <s v="Percent of total labor force"/>
    <s v="Units"/>
    <x v="0"/>
    <n v="7.0750000000000002"/>
  </r>
  <r>
    <n v="110"/>
    <x v="0"/>
    <x v="118"/>
    <x v="11"/>
    <s v="Percent of total labor force"/>
    <s v="Units"/>
    <x v="1"/>
    <n v="7.5750000000000002"/>
  </r>
  <r>
    <n v="110"/>
    <x v="0"/>
    <x v="118"/>
    <x v="11"/>
    <s v="Percent of total labor force"/>
    <s v="Units"/>
    <x v="2"/>
    <n v="7.4749999999999996"/>
  </r>
  <r>
    <n v="110"/>
    <x v="0"/>
    <x v="118"/>
    <x v="11"/>
    <s v="Percent of total labor force"/>
    <s v="Units"/>
    <x v="3"/>
    <n v="6.7750000000000004"/>
  </r>
  <r>
    <n v="110"/>
    <x v="0"/>
    <x v="118"/>
    <x v="11"/>
    <s v="Percent of total labor force"/>
    <s v="Units"/>
    <x v="4"/>
    <n v="6.1349999999999998"/>
  </r>
  <r>
    <n v="110"/>
    <x v="0"/>
    <x v="118"/>
    <x v="11"/>
    <s v="Percent of total labor force"/>
    <s v="Units"/>
    <x v="5"/>
    <n v="5.8559999999999999"/>
  </r>
  <r>
    <n v="110"/>
    <x v="0"/>
    <x v="118"/>
    <x v="11"/>
    <s v="Percent of total labor force"/>
    <s v="Units"/>
    <x v="6"/>
    <n v="5.6689999999999996"/>
  </r>
  <r>
    <n v="505"/>
    <x v="4"/>
    <x v="33"/>
    <x v="8"/>
    <s v="Percent change"/>
    <s v="Units"/>
    <x v="0"/>
    <n v="7.359"/>
  </r>
  <r>
    <n v="505"/>
    <x v="4"/>
    <x v="33"/>
    <x v="8"/>
    <s v="Percent change"/>
    <s v="Units"/>
    <x v="1"/>
    <n v="2.867"/>
  </r>
  <r>
    <n v="505"/>
    <x v="4"/>
    <x v="33"/>
    <x v="8"/>
    <s v="Percent change"/>
    <s v="Units"/>
    <x v="2"/>
    <n v="2.552"/>
  </r>
  <r>
    <n v="505"/>
    <x v="4"/>
    <x v="33"/>
    <x v="8"/>
    <s v="Percent change"/>
    <s v="Units"/>
    <x v="3"/>
    <n v="8.1240000000000006"/>
  </r>
  <r>
    <n v="505"/>
    <x v="4"/>
    <x v="33"/>
    <x v="8"/>
    <s v="Percent change"/>
    <s v="Units"/>
    <x v="4"/>
    <n v="5.0460000000000003"/>
  </r>
  <r>
    <n v="505"/>
    <x v="4"/>
    <x v="33"/>
    <x v="8"/>
    <s v="Percent change"/>
    <s v="Units"/>
    <x v="5"/>
    <n v="5.8150000000000004"/>
  </r>
  <r>
    <n v="505"/>
    <x v="4"/>
    <x v="33"/>
    <x v="8"/>
    <s v="Percent change"/>
    <s v="Units"/>
    <x v="6"/>
    <n v="6.5"/>
  </r>
  <r>
    <n v="1"/>
    <x v="2"/>
    <x v="33"/>
    <x v="8"/>
    <s v="Percent change"/>
    <s v="Units"/>
    <x v="0"/>
    <n v="7.359"/>
  </r>
  <r>
    <n v="1"/>
    <x v="2"/>
    <x v="33"/>
    <x v="8"/>
    <s v="Percent change"/>
    <s v="Units"/>
    <x v="1"/>
    <n v="2.867"/>
  </r>
  <r>
    <n v="1"/>
    <x v="2"/>
    <x v="33"/>
    <x v="8"/>
    <s v="Percent change"/>
    <s v="Units"/>
    <x v="2"/>
    <n v="2.552"/>
  </r>
  <r>
    <n v="1"/>
    <x v="2"/>
    <x v="33"/>
    <x v="8"/>
    <s v="Percent change"/>
    <s v="Units"/>
    <x v="3"/>
    <n v="8.1240000000000006"/>
  </r>
  <r>
    <n v="1"/>
    <x v="2"/>
    <x v="33"/>
    <x v="8"/>
    <s v="Percent change"/>
    <s v="Units"/>
    <x v="4"/>
    <n v="5.0460000000000003"/>
  </r>
  <r>
    <n v="1"/>
    <x v="2"/>
    <x v="33"/>
    <x v="8"/>
    <s v="Percent change"/>
    <s v="Units"/>
    <x v="5"/>
    <n v="5.8150000000000004"/>
  </r>
  <r>
    <n v="1"/>
    <x v="2"/>
    <x v="33"/>
    <x v="8"/>
    <s v="Percent change"/>
    <s v="Units"/>
    <x v="6"/>
    <n v="6.5"/>
  </r>
  <r>
    <n v="200"/>
    <x v="3"/>
    <x v="33"/>
    <x v="8"/>
    <s v="Percent change"/>
    <s v="Units"/>
    <x v="0"/>
    <n v="7.359"/>
  </r>
  <r>
    <n v="200"/>
    <x v="3"/>
    <x v="33"/>
    <x v="8"/>
    <s v="Percent change"/>
    <s v="Units"/>
    <x v="1"/>
    <n v="2.867"/>
  </r>
  <r>
    <n v="200"/>
    <x v="3"/>
    <x v="33"/>
    <x v="8"/>
    <s v="Percent change"/>
    <s v="Units"/>
    <x v="2"/>
    <n v="2.552"/>
  </r>
  <r>
    <n v="200"/>
    <x v="3"/>
    <x v="33"/>
    <x v="8"/>
    <s v="Percent change"/>
    <s v="Units"/>
    <x v="3"/>
    <n v="8.1240000000000006"/>
  </r>
  <r>
    <n v="200"/>
    <x v="3"/>
    <x v="33"/>
    <x v="8"/>
    <s v="Percent change"/>
    <s v="Units"/>
    <x v="4"/>
    <n v="5.0460000000000003"/>
  </r>
  <r>
    <n v="200"/>
    <x v="3"/>
    <x v="33"/>
    <x v="8"/>
    <s v="Percent change"/>
    <s v="Units"/>
    <x v="5"/>
    <n v="5.8150000000000004"/>
  </r>
  <r>
    <n v="200"/>
    <x v="3"/>
    <x v="33"/>
    <x v="8"/>
    <s v="Percent change"/>
    <s v="Units"/>
    <x v="6"/>
    <n v="6.5"/>
  </r>
  <r>
    <n v="400"/>
    <x v="11"/>
    <x v="73"/>
    <x v="4"/>
    <s v="Percent change"/>
    <s v="Units"/>
    <x v="0"/>
    <n v="16.187999999999999"/>
  </r>
  <r>
    <n v="400"/>
    <x v="11"/>
    <x v="73"/>
    <x v="4"/>
    <s v="Percent change"/>
    <s v="Units"/>
    <x v="1"/>
    <n v="-20.029"/>
  </r>
  <r>
    <n v="400"/>
    <x v="11"/>
    <x v="73"/>
    <x v="4"/>
    <s v="Percent change"/>
    <s v="Units"/>
    <x v="2"/>
    <n v="-4.5"/>
  </r>
  <r>
    <n v="400"/>
    <x v="11"/>
    <x v="73"/>
    <x v="4"/>
    <s v="Percent change"/>
    <s v="Units"/>
    <x v="3"/>
    <n v="16.446000000000002"/>
  </r>
  <r>
    <n v="400"/>
    <x v="11"/>
    <x v="73"/>
    <x v="4"/>
    <s v="Percent change"/>
    <s v="Units"/>
    <x v="4"/>
    <n v="28.414999999999999"/>
  </r>
  <r>
    <n v="400"/>
    <x v="11"/>
    <x v="73"/>
    <x v="4"/>
    <s v="Percent change"/>
    <s v="Units"/>
    <x v="5"/>
    <n v="5.8049999999999997"/>
  </r>
  <r>
    <n v="400"/>
    <x v="11"/>
    <x v="73"/>
    <x v="4"/>
    <s v="Percent change"/>
    <s v="Units"/>
    <x v="6"/>
    <n v="11.961"/>
  </r>
  <r>
    <n v="200"/>
    <x v="3"/>
    <x v="73"/>
    <x v="4"/>
    <s v="Percent change"/>
    <s v="Units"/>
    <x v="0"/>
    <n v="16.187999999999999"/>
  </r>
  <r>
    <n v="200"/>
    <x v="3"/>
    <x v="73"/>
    <x v="4"/>
    <s v="Percent change"/>
    <s v="Units"/>
    <x v="1"/>
    <n v="-20.029"/>
  </r>
  <r>
    <n v="200"/>
    <x v="3"/>
    <x v="73"/>
    <x v="4"/>
    <s v="Percent change"/>
    <s v="Units"/>
    <x v="2"/>
    <n v="-4.5"/>
  </r>
  <r>
    <n v="200"/>
    <x v="3"/>
    <x v="73"/>
    <x v="4"/>
    <s v="Percent change"/>
    <s v="Units"/>
    <x v="3"/>
    <n v="16.446000000000002"/>
  </r>
  <r>
    <n v="200"/>
    <x v="3"/>
    <x v="73"/>
    <x v="4"/>
    <s v="Percent change"/>
    <s v="Units"/>
    <x v="4"/>
    <n v="28.414999999999999"/>
  </r>
  <r>
    <n v="200"/>
    <x v="3"/>
    <x v="73"/>
    <x v="4"/>
    <s v="Percent change"/>
    <s v="Units"/>
    <x v="5"/>
    <n v="5.8049999999999997"/>
  </r>
  <r>
    <n v="200"/>
    <x v="3"/>
    <x v="73"/>
    <x v="4"/>
    <s v="Percent change"/>
    <s v="Units"/>
    <x v="6"/>
    <n v="11.961"/>
  </r>
  <r>
    <n v="1"/>
    <x v="2"/>
    <x v="73"/>
    <x v="4"/>
    <s v="Percent change"/>
    <s v="Units"/>
    <x v="0"/>
    <n v="16.187999999999999"/>
  </r>
  <r>
    <n v="1"/>
    <x v="2"/>
    <x v="73"/>
    <x v="4"/>
    <s v="Percent change"/>
    <s v="Units"/>
    <x v="1"/>
    <n v="-20.029"/>
  </r>
  <r>
    <n v="1"/>
    <x v="2"/>
    <x v="73"/>
    <x v="4"/>
    <s v="Percent change"/>
    <s v="Units"/>
    <x v="2"/>
    <n v="-4.5"/>
  </r>
  <r>
    <n v="1"/>
    <x v="2"/>
    <x v="73"/>
    <x v="4"/>
    <s v="Percent change"/>
    <s v="Units"/>
    <x v="3"/>
    <n v="16.446000000000002"/>
  </r>
  <r>
    <n v="1"/>
    <x v="2"/>
    <x v="73"/>
    <x v="4"/>
    <s v="Percent change"/>
    <s v="Units"/>
    <x v="4"/>
    <n v="28.414999999999999"/>
  </r>
  <r>
    <n v="1"/>
    <x v="2"/>
    <x v="73"/>
    <x v="4"/>
    <s v="Percent change"/>
    <s v="Units"/>
    <x v="5"/>
    <n v="5.8049999999999997"/>
  </r>
  <r>
    <n v="1"/>
    <x v="2"/>
    <x v="73"/>
    <x v="4"/>
    <s v="Percent change"/>
    <s v="Units"/>
    <x v="6"/>
    <n v="11.961"/>
  </r>
  <r>
    <n v="505"/>
    <x v="4"/>
    <x v="147"/>
    <x v="0"/>
    <s v="U.S. dollars"/>
    <s v="Billions"/>
    <x v="0"/>
    <n v="5.444"/>
  </r>
  <r>
    <n v="505"/>
    <x v="4"/>
    <x v="147"/>
    <x v="0"/>
    <s v="U.S. dollars"/>
    <s v="Billions"/>
    <x v="1"/>
    <n v="4.4320000000000004"/>
  </r>
  <r>
    <n v="505"/>
    <x v="4"/>
    <x v="147"/>
    <x v="0"/>
    <s v="U.S. dollars"/>
    <s v="Billions"/>
    <x v="2"/>
    <n v="4.3049999999999997"/>
  </r>
  <r>
    <n v="505"/>
    <x v="4"/>
    <x v="147"/>
    <x v="0"/>
    <s v="U.S. dollars"/>
    <s v="Billions"/>
    <x v="3"/>
    <n v="4.9800000000000004"/>
  </r>
  <r>
    <n v="505"/>
    <x v="4"/>
    <x v="147"/>
    <x v="0"/>
    <s v="U.S. dollars"/>
    <s v="Billions"/>
    <x v="4"/>
    <n v="5.4969999999999999"/>
  </r>
  <r>
    <n v="505"/>
    <x v="4"/>
    <x v="147"/>
    <x v="0"/>
    <s v="U.S. dollars"/>
    <s v="Billions"/>
    <x v="5"/>
    <n v="5.8010000000000002"/>
  </r>
  <r>
    <n v="505"/>
    <x v="4"/>
    <x v="147"/>
    <x v="0"/>
    <s v="U.S. dollars"/>
    <s v="Billions"/>
    <x v="6"/>
    <n v="6.1029999999999998"/>
  </r>
  <r>
    <n v="200"/>
    <x v="3"/>
    <x v="147"/>
    <x v="0"/>
    <s v="U.S. dollars"/>
    <s v="Billions"/>
    <x v="0"/>
    <n v="5.444"/>
  </r>
  <r>
    <n v="200"/>
    <x v="3"/>
    <x v="147"/>
    <x v="0"/>
    <s v="U.S. dollars"/>
    <s v="Billions"/>
    <x v="1"/>
    <n v="4.4320000000000004"/>
  </r>
  <r>
    <n v="200"/>
    <x v="3"/>
    <x v="147"/>
    <x v="0"/>
    <s v="U.S. dollars"/>
    <s v="Billions"/>
    <x v="2"/>
    <n v="4.3049999999999997"/>
  </r>
  <r>
    <n v="200"/>
    <x v="3"/>
    <x v="147"/>
    <x v="0"/>
    <s v="U.S. dollars"/>
    <s v="Billions"/>
    <x v="3"/>
    <n v="4.9800000000000004"/>
  </r>
  <r>
    <n v="200"/>
    <x v="3"/>
    <x v="147"/>
    <x v="0"/>
    <s v="U.S. dollars"/>
    <s v="Billions"/>
    <x v="4"/>
    <n v="5.4969999999999999"/>
  </r>
  <r>
    <n v="200"/>
    <x v="3"/>
    <x v="147"/>
    <x v="0"/>
    <s v="U.S. dollars"/>
    <s v="Billions"/>
    <x v="5"/>
    <n v="5.8010000000000002"/>
  </r>
  <r>
    <n v="200"/>
    <x v="3"/>
    <x v="147"/>
    <x v="0"/>
    <s v="U.S. dollars"/>
    <s v="Billions"/>
    <x v="6"/>
    <n v="6.1029999999999998"/>
  </r>
  <r>
    <n v="1"/>
    <x v="2"/>
    <x v="147"/>
    <x v="0"/>
    <s v="U.S. dollars"/>
    <s v="Billions"/>
    <x v="0"/>
    <n v="5.444"/>
  </r>
  <r>
    <n v="1"/>
    <x v="2"/>
    <x v="147"/>
    <x v="0"/>
    <s v="U.S. dollars"/>
    <s v="Billions"/>
    <x v="1"/>
    <n v="4.4320000000000004"/>
  </r>
  <r>
    <n v="1"/>
    <x v="2"/>
    <x v="147"/>
    <x v="0"/>
    <s v="U.S. dollars"/>
    <s v="Billions"/>
    <x v="2"/>
    <n v="4.3049999999999997"/>
  </r>
  <r>
    <n v="1"/>
    <x v="2"/>
    <x v="147"/>
    <x v="0"/>
    <s v="U.S. dollars"/>
    <s v="Billions"/>
    <x v="3"/>
    <n v="4.9800000000000004"/>
  </r>
  <r>
    <n v="1"/>
    <x v="2"/>
    <x v="147"/>
    <x v="0"/>
    <s v="U.S. dollars"/>
    <s v="Billions"/>
    <x v="4"/>
    <n v="5.4969999999999999"/>
  </r>
  <r>
    <n v="1"/>
    <x v="2"/>
    <x v="147"/>
    <x v="0"/>
    <s v="U.S. dollars"/>
    <s v="Billions"/>
    <x v="5"/>
    <n v="5.8010000000000002"/>
  </r>
  <r>
    <n v="1"/>
    <x v="2"/>
    <x v="147"/>
    <x v="0"/>
    <s v="U.S. dollars"/>
    <s v="Billions"/>
    <x v="6"/>
    <n v="6.1029999999999998"/>
  </r>
  <r>
    <n v="200"/>
    <x v="3"/>
    <x v="158"/>
    <x v="1"/>
    <s v="Percent change"/>
    <s v="Units"/>
    <x v="0"/>
    <n v="2.4169999999999998"/>
  </r>
  <r>
    <n v="200"/>
    <x v="3"/>
    <x v="158"/>
    <x v="1"/>
    <s v="Percent change"/>
    <s v="Units"/>
    <x v="1"/>
    <n v="7.7329999999999997"/>
  </r>
  <r>
    <n v="200"/>
    <x v="3"/>
    <x v="158"/>
    <x v="1"/>
    <s v="Percent change"/>
    <s v="Units"/>
    <x v="2"/>
    <n v="0.82799999999999996"/>
  </r>
  <r>
    <n v="200"/>
    <x v="3"/>
    <x v="158"/>
    <x v="1"/>
    <s v="Percent change"/>
    <s v="Units"/>
    <x v="3"/>
    <n v="13.882"/>
  </r>
  <r>
    <n v="200"/>
    <x v="3"/>
    <x v="158"/>
    <x v="1"/>
    <s v="Percent change"/>
    <s v="Units"/>
    <x v="4"/>
    <n v="14.029"/>
  </r>
  <r>
    <n v="200"/>
    <x v="3"/>
    <x v="158"/>
    <x v="1"/>
    <s v="Percent change"/>
    <s v="Units"/>
    <x v="5"/>
    <n v="5.8"/>
  </r>
  <r>
    <n v="200"/>
    <x v="3"/>
    <x v="158"/>
    <x v="1"/>
    <s v="Percent change"/>
    <s v="Units"/>
    <x v="6"/>
    <n v="5"/>
  </r>
  <r>
    <n v="1"/>
    <x v="2"/>
    <x v="158"/>
    <x v="1"/>
    <s v="Percent change"/>
    <s v="Units"/>
    <x v="0"/>
    <n v="2.4169999999999998"/>
  </r>
  <r>
    <n v="1"/>
    <x v="2"/>
    <x v="158"/>
    <x v="1"/>
    <s v="Percent change"/>
    <s v="Units"/>
    <x v="1"/>
    <n v="7.7329999999999997"/>
  </r>
  <r>
    <n v="1"/>
    <x v="2"/>
    <x v="158"/>
    <x v="1"/>
    <s v="Percent change"/>
    <s v="Units"/>
    <x v="2"/>
    <n v="0.82799999999999996"/>
  </r>
  <r>
    <n v="1"/>
    <x v="2"/>
    <x v="158"/>
    <x v="1"/>
    <s v="Percent change"/>
    <s v="Units"/>
    <x v="3"/>
    <n v="13.882"/>
  </r>
  <r>
    <n v="1"/>
    <x v="2"/>
    <x v="158"/>
    <x v="1"/>
    <s v="Percent change"/>
    <s v="Units"/>
    <x v="4"/>
    <n v="14.029"/>
  </r>
  <r>
    <n v="1"/>
    <x v="2"/>
    <x v="158"/>
    <x v="1"/>
    <s v="Percent change"/>
    <s v="Units"/>
    <x v="5"/>
    <n v="5.8"/>
  </r>
  <r>
    <n v="1"/>
    <x v="2"/>
    <x v="158"/>
    <x v="1"/>
    <s v="Percent change"/>
    <s v="Units"/>
    <x v="6"/>
    <n v="5"/>
  </r>
  <r>
    <n v="603"/>
    <x v="12"/>
    <x v="158"/>
    <x v="1"/>
    <s v="Percent change"/>
    <s v="Units"/>
    <x v="0"/>
    <n v="2.4169999999999998"/>
  </r>
  <r>
    <n v="603"/>
    <x v="12"/>
    <x v="158"/>
    <x v="1"/>
    <s v="Percent change"/>
    <s v="Units"/>
    <x v="1"/>
    <n v="7.7329999999999997"/>
  </r>
  <r>
    <n v="603"/>
    <x v="12"/>
    <x v="158"/>
    <x v="1"/>
    <s v="Percent change"/>
    <s v="Units"/>
    <x v="2"/>
    <n v="0.82799999999999996"/>
  </r>
  <r>
    <n v="603"/>
    <x v="12"/>
    <x v="158"/>
    <x v="1"/>
    <s v="Percent change"/>
    <s v="Units"/>
    <x v="3"/>
    <n v="13.882"/>
  </r>
  <r>
    <n v="603"/>
    <x v="12"/>
    <x v="158"/>
    <x v="1"/>
    <s v="Percent change"/>
    <s v="Units"/>
    <x v="4"/>
    <n v="14.029"/>
  </r>
  <r>
    <n v="603"/>
    <x v="12"/>
    <x v="158"/>
    <x v="1"/>
    <s v="Percent change"/>
    <s v="Units"/>
    <x v="5"/>
    <n v="5.8"/>
  </r>
  <r>
    <n v="603"/>
    <x v="12"/>
    <x v="158"/>
    <x v="1"/>
    <s v="Percent change"/>
    <s v="Units"/>
    <x v="6"/>
    <n v="5"/>
  </r>
  <r>
    <n v="110"/>
    <x v="0"/>
    <x v="78"/>
    <x v="11"/>
    <s v="Percent of total labor force"/>
    <s v="Units"/>
    <x v="0"/>
    <n v="7.758"/>
  </r>
  <r>
    <n v="110"/>
    <x v="0"/>
    <x v="78"/>
    <x v="11"/>
    <s v="Percent of total labor force"/>
    <s v="Units"/>
    <x v="1"/>
    <n v="9"/>
  </r>
  <r>
    <n v="110"/>
    <x v="0"/>
    <x v="78"/>
    <x v="11"/>
    <s v="Percent of total labor force"/>
    <s v="Units"/>
    <x v="2"/>
    <n v="8.0920000000000005"/>
  </r>
  <r>
    <n v="110"/>
    <x v="0"/>
    <x v="78"/>
    <x v="11"/>
    <s v="Percent of total labor force"/>
    <s v="Units"/>
    <x v="3"/>
    <n v="6.7830000000000004"/>
  </r>
  <r>
    <n v="110"/>
    <x v="0"/>
    <x v="78"/>
    <x v="11"/>
    <s v="Percent of total labor force"/>
    <s v="Units"/>
    <x v="4"/>
    <n v="6.2169999999999996"/>
  </r>
  <r>
    <n v="110"/>
    <x v="0"/>
    <x v="78"/>
    <x v="11"/>
    <s v="Percent of total labor force"/>
    <s v="Units"/>
    <x v="5"/>
    <n v="5.77"/>
  </r>
  <r>
    <n v="110"/>
    <x v="0"/>
    <x v="78"/>
    <x v="11"/>
    <s v="Percent of total labor force"/>
    <s v="Units"/>
    <x v="6"/>
    <n v="5.5"/>
  </r>
  <r>
    <n v="163"/>
    <x v="5"/>
    <x v="78"/>
    <x v="11"/>
    <s v="Percent of total labor force"/>
    <s v="Units"/>
    <x v="0"/>
    <n v="7.758"/>
  </r>
  <r>
    <n v="163"/>
    <x v="5"/>
    <x v="78"/>
    <x v="11"/>
    <s v="Percent of total labor force"/>
    <s v="Units"/>
    <x v="1"/>
    <n v="9"/>
  </r>
  <r>
    <n v="163"/>
    <x v="5"/>
    <x v="78"/>
    <x v="11"/>
    <s v="Percent of total labor force"/>
    <s v="Units"/>
    <x v="2"/>
    <n v="8.0920000000000005"/>
  </r>
  <r>
    <n v="163"/>
    <x v="5"/>
    <x v="78"/>
    <x v="11"/>
    <s v="Percent of total labor force"/>
    <s v="Units"/>
    <x v="3"/>
    <n v="6.7830000000000004"/>
  </r>
  <r>
    <n v="163"/>
    <x v="5"/>
    <x v="78"/>
    <x v="11"/>
    <s v="Percent of total labor force"/>
    <s v="Units"/>
    <x v="4"/>
    <n v="6.2169999999999996"/>
  </r>
  <r>
    <n v="163"/>
    <x v="5"/>
    <x v="78"/>
    <x v="11"/>
    <s v="Percent of total labor force"/>
    <s v="Units"/>
    <x v="5"/>
    <n v="5.77"/>
  </r>
  <r>
    <n v="163"/>
    <x v="5"/>
    <x v="78"/>
    <x v="11"/>
    <s v="Percent of total labor force"/>
    <s v="Units"/>
    <x v="6"/>
    <n v="5.5"/>
  </r>
  <r>
    <n v="1"/>
    <x v="2"/>
    <x v="81"/>
    <x v="1"/>
    <s v="Percent change"/>
    <s v="Units"/>
    <x v="0"/>
    <n v="7.883"/>
  </r>
  <r>
    <n v="1"/>
    <x v="2"/>
    <x v="81"/>
    <x v="1"/>
    <s v="Percent change"/>
    <s v="Units"/>
    <x v="1"/>
    <n v="9.7539999999999996"/>
  </r>
  <r>
    <n v="1"/>
    <x v="2"/>
    <x v="81"/>
    <x v="1"/>
    <s v="Percent change"/>
    <s v="Units"/>
    <x v="2"/>
    <n v="7.75"/>
  </r>
  <r>
    <n v="1"/>
    <x v="2"/>
    <x v="81"/>
    <x v="1"/>
    <s v="Percent change"/>
    <s v="Units"/>
    <x v="3"/>
    <n v="9.1059999999999999"/>
  </r>
  <r>
    <n v="1"/>
    <x v="2"/>
    <x v="81"/>
    <x v="1"/>
    <s v="Percent change"/>
    <s v="Units"/>
    <x v="4"/>
    <n v="5.8680000000000003"/>
  </r>
  <r>
    <n v="1"/>
    <x v="2"/>
    <x v="81"/>
    <x v="1"/>
    <s v="Percent change"/>
    <s v="Units"/>
    <x v="5"/>
    <n v="5.7649999999999997"/>
  </r>
  <r>
    <n v="1"/>
    <x v="2"/>
    <x v="81"/>
    <x v="1"/>
    <s v="Percent change"/>
    <s v="Units"/>
    <x v="6"/>
    <n v="5.5090000000000003"/>
  </r>
  <r>
    <n v="205"/>
    <x v="7"/>
    <x v="81"/>
    <x v="1"/>
    <s v="Percent change"/>
    <s v="Units"/>
    <x v="0"/>
    <n v="7.883"/>
  </r>
  <r>
    <n v="205"/>
    <x v="7"/>
    <x v="81"/>
    <x v="1"/>
    <s v="Percent change"/>
    <s v="Units"/>
    <x v="1"/>
    <n v="9.7539999999999996"/>
  </r>
  <r>
    <n v="205"/>
    <x v="7"/>
    <x v="81"/>
    <x v="1"/>
    <s v="Percent change"/>
    <s v="Units"/>
    <x v="2"/>
    <n v="7.75"/>
  </r>
  <r>
    <n v="205"/>
    <x v="7"/>
    <x v="81"/>
    <x v="1"/>
    <s v="Percent change"/>
    <s v="Units"/>
    <x v="3"/>
    <n v="9.1059999999999999"/>
  </r>
  <r>
    <n v="205"/>
    <x v="7"/>
    <x v="81"/>
    <x v="1"/>
    <s v="Percent change"/>
    <s v="Units"/>
    <x v="4"/>
    <n v="5.8680000000000003"/>
  </r>
  <r>
    <n v="205"/>
    <x v="7"/>
    <x v="81"/>
    <x v="1"/>
    <s v="Percent change"/>
    <s v="Units"/>
    <x v="5"/>
    <n v="5.7649999999999997"/>
  </r>
  <r>
    <n v="205"/>
    <x v="7"/>
    <x v="81"/>
    <x v="1"/>
    <s v="Percent change"/>
    <s v="Units"/>
    <x v="6"/>
    <n v="5.5090000000000003"/>
  </r>
  <r>
    <n v="200"/>
    <x v="3"/>
    <x v="81"/>
    <x v="1"/>
    <s v="Percent change"/>
    <s v="Units"/>
    <x v="0"/>
    <n v="7.883"/>
  </r>
  <r>
    <n v="200"/>
    <x v="3"/>
    <x v="81"/>
    <x v="1"/>
    <s v="Percent change"/>
    <s v="Units"/>
    <x v="1"/>
    <n v="9.7539999999999996"/>
  </r>
  <r>
    <n v="200"/>
    <x v="3"/>
    <x v="81"/>
    <x v="1"/>
    <s v="Percent change"/>
    <s v="Units"/>
    <x v="2"/>
    <n v="7.75"/>
  </r>
  <r>
    <n v="200"/>
    <x v="3"/>
    <x v="81"/>
    <x v="1"/>
    <s v="Percent change"/>
    <s v="Units"/>
    <x v="3"/>
    <n v="9.1059999999999999"/>
  </r>
  <r>
    <n v="200"/>
    <x v="3"/>
    <x v="81"/>
    <x v="1"/>
    <s v="Percent change"/>
    <s v="Units"/>
    <x v="4"/>
    <n v="5.8680000000000003"/>
  </r>
  <r>
    <n v="200"/>
    <x v="3"/>
    <x v="81"/>
    <x v="1"/>
    <s v="Percent change"/>
    <s v="Units"/>
    <x v="5"/>
    <n v="5.7649999999999997"/>
  </r>
  <r>
    <n v="200"/>
    <x v="3"/>
    <x v="81"/>
    <x v="1"/>
    <s v="Percent change"/>
    <s v="Units"/>
    <x v="6"/>
    <n v="5.5090000000000003"/>
  </r>
  <r>
    <n v="1"/>
    <x v="2"/>
    <x v="64"/>
    <x v="8"/>
    <s v="Percent change"/>
    <s v="Units"/>
    <x v="0"/>
    <n v="3.2639999999999998"/>
  </r>
  <r>
    <n v="1"/>
    <x v="2"/>
    <x v="64"/>
    <x v="8"/>
    <s v="Percent change"/>
    <s v="Units"/>
    <x v="1"/>
    <n v="-0.56200000000000006"/>
  </r>
  <r>
    <n v="1"/>
    <x v="2"/>
    <x v="64"/>
    <x v="8"/>
    <s v="Percent change"/>
    <s v="Units"/>
    <x v="2"/>
    <n v="8.5229999999999997"/>
  </r>
  <r>
    <n v="1"/>
    <x v="2"/>
    <x v="64"/>
    <x v="8"/>
    <s v="Percent change"/>
    <s v="Units"/>
    <x v="3"/>
    <n v="3.9049999999999998"/>
  </r>
  <r>
    <n v="1"/>
    <x v="2"/>
    <x v="64"/>
    <x v="8"/>
    <s v="Percent change"/>
    <s v="Units"/>
    <x v="4"/>
    <n v="4.1539999999999999"/>
  </r>
  <r>
    <n v="1"/>
    <x v="2"/>
    <x v="64"/>
    <x v="8"/>
    <s v="Percent change"/>
    <s v="Units"/>
    <x v="5"/>
    <n v="5.7610000000000001"/>
  </r>
  <r>
    <n v="1"/>
    <x v="2"/>
    <x v="64"/>
    <x v="8"/>
    <s v="Percent change"/>
    <s v="Units"/>
    <x v="6"/>
    <n v="4.1399999999999997"/>
  </r>
  <r>
    <n v="200"/>
    <x v="3"/>
    <x v="64"/>
    <x v="8"/>
    <s v="Percent change"/>
    <s v="Units"/>
    <x v="0"/>
    <n v="3.2639999999999998"/>
  </r>
  <r>
    <n v="200"/>
    <x v="3"/>
    <x v="64"/>
    <x v="8"/>
    <s v="Percent change"/>
    <s v="Units"/>
    <x v="1"/>
    <n v="-0.56200000000000006"/>
  </r>
  <r>
    <n v="200"/>
    <x v="3"/>
    <x v="64"/>
    <x v="8"/>
    <s v="Percent change"/>
    <s v="Units"/>
    <x v="2"/>
    <n v="8.5229999999999997"/>
  </r>
  <r>
    <n v="200"/>
    <x v="3"/>
    <x v="64"/>
    <x v="8"/>
    <s v="Percent change"/>
    <s v="Units"/>
    <x v="3"/>
    <n v="3.9049999999999998"/>
  </r>
  <r>
    <n v="200"/>
    <x v="3"/>
    <x v="64"/>
    <x v="8"/>
    <s v="Percent change"/>
    <s v="Units"/>
    <x v="4"/>
    <n v="4.1539999999999999"/>
  </r>
  <r>
    <n v="200"/>
    <x v="3"/>
    <x v="64"/>
    <x v="8"/>
    <s v="Percent change"/>
    <s v="Units"/>
    <x v="5"/>
    <n v="5.7610000000000001"/>
  </r>
  <r>
    <n v="200"/>
    <x v="3"/>
    <x v="64"/>
    <x v="8"/>
    <s v="Percent change"/>
    <s v="Units"/>
    <x v="6"/>
    <n v="4.1399999999999997"/>
  </r>
  <r>
    <n v="505"/>
    <x v="4"/>
    <x v="64"/>
    <x v="8"/>
    <s v="Percent change"/>
    <s v="Units"/>
    <x v="0"/>
    <n v="3.2639999999999998"/>
  </r>
  <r>
    <n v="505"/>
    <x v="4"/>
    <x v="64"/>
    <x v="8"/>
    <s v="Percent change"/>
    <s v="Units"/>
    <x v="1"/>
    <n v="-0.56200000000000006"/>
  </r>
  <r>
    <n v="505"/>
    <x v="4"/>
    <x v="64"/>
    <x v="8"/>
    <s v="Percent change"/>
    <s v="Units"/>
    <x v="2"/>
    <n v="8.5229999999999997"/>
  </r>
  <r>
    <n v="505"/>
    <x v="4"/>
    <x v="64"/>
    <x v="8"/>
    <s v="Percent change"/>
    <s v="Units"/>
    <x v="3"/>
    <n v="3.9049999999999998"/>
  </r>
  <r>
    <n v="505"/>
    <x v="4"/>
    <x v="64"/>
    <x v="8"/>
    <s v="Percent change"/>
    <s v="Units"/>
    <x v="4"/>
    <n v="4.1539999999999999"/>
  </r>
  <r>
    <n v="505"/>
    <x v="4"/>
    <x v="64"/>
    <x v="8"/>
    <s v="Percent change"/>
    <s v="Units"/>
    <x v="5"/>
    <n v="5.7610000000000001"/>
  </r>
  <r>
    <n v="505"/>
    <x v="4"/>
    <x v="64"/>
    <x v="8"/>
    <s v="Percent change"/>
    <s v="Units"/>
    <x v="6"/>
    <n v="4.1399999999999997"/>
  </r>
  <r>
    <n v="400"/>
    <x v="11"/>
    <x v="145"/>
    <x v="8"/>
    <s v="Percent change"/>
    <s v="Units"/>
    <x v="0"/>
    <n v="5.38"/>
  </r>
  <r>
    <n v="400"/>
    <x v="11"/>
    <x v="145"/>
    <x v="8"/>
    <s v="Percent change"/>
    <s v="Units"/>
    <x v="1"/>
    <n v="-6.2910000000000004"/>
  </r>
  <r>
    <n v="400"/>
    <x v="11"/>
    <x v="145"/>
    <x v="8"/>
    <s v="Percent change"/>
    <s v="Units"/>
    <x v="2"/>
    <n v="10.644"/>
  </r>
  <r>
    <n v="400"/>
    <x v="11"/>
    <x v="145"/>
    <x v="8"/>
    <s v="Percent change"/>
    <s v="Units"/>
    <x v="3"/>
    <n v="10.96"/>
  </r>
  <r>
    <n v="400"/>
    <x v="11"/>
    <x v="145"/>
    <x v="8"/>
    <s v="Percent change"/>
    <s v="Units"/>
    <x v="4"/>
    <n v="7.4740000000000002"/>
  </r>
  <r>
    <n v="400"/>
    <x v="11"/>
    <x v="145"/>
    <x v="8"/>
    <s v="Percent change"/>
    <s v="Units"/>
    <x v="5"/>
    <n v="5.74"/>
  </r>
  <r>
    <n v="400"/>
    <x v="11"/>
    <x v="145"/>
    <x v="8"/>
    <s v="Percent change"/>
    <s v="Units"/>
    <x v="6"/>
    <n v="5.2320000000000002"/>
  </r>
  <r>
    <n v="200"/>
    <x v="3"/>
    <x v="145"/>
    <x v="8"/>
    <s v="Percent change"/>
    <s v="Units"/>
    <x v="0"/>
    <n v="5.38"/>
  </r>
  <r>
    <n v="200"/>
    <x v="3"/>
    <x v="145"/>
    <x v="8"/>
    <s v="Percent change"/>
    <s v="Units"/>
    <x v="1"/>
    <n v="-6.2910000000000004"/>
  </r>
  <r>
    <n v="200"/>
    <x v="3"/>
    <x v="145"/>
    <x v="8"/>
    <s v="Percent change"/>
    <s v="Units"/>
    <x v="2"/>
    <n v="10.644"/>
  </r>
  <r>
    <n v="200"/>
    <x v="3"/>
    <x v="145"/>
    <x v="8"/>
    <s v="Percent change"/>
    <s v="Units"/>
    <x v="3"/>
    <n v="10.96"/>
  </r>
  <r>
    <n v="200"/>
    <x v="3"/>
    <x v="145"/>
    <x v="8"/>
    <s v="Percent change"/>
    <s v="Units"/>
    <x v="4"/>
    <n v="7.4740000000000002"/>
  </r>
  <r>
    <n v="200"/>
    <x v="3"/>
    <x v="145"/>
    <x v="8"/>
    <s v="Percent change"/>
    <s v="Units"/>
    <x v="5"/>
    <n v="5.74"/>
  </r>
  <r>
    <n v="200"/>
    <x v="3"/>
    <x v="145"/>
    <x v="8"/>
    <s v="Percent change"/>
    <s v="Units"/>
    <x v="6"/>
    <n v="5.2320000000000002"/>
  </r>
  <r>
    <n v="1"/>
    <x v="2"/>
    <x v="145"/>
    <x v="8"/>
    <s v="Percent change"/>
    <s v="Units"/>
    <x v="0"/>
    <n v="5.38"/>
  </r>
  <r>
    <n v="1"/>
    <x v="2"/>
    <x v="145"/>
    <x v="8"/>
    <s v="Percent change"/>
    <s v="Units"/>
    <x v="1"/>
    <n v="-6.2910000000000004"/>
  </r>
  <r>
    <n v="1"/>
    <x v="2"/>
    <x v="145"/>
    <x v="8"/>
    <s v="Percent change"/>
    <s v="Units"/>
    <x v="2"/>
    <n v="10.644"/>
  </r>
  <r>
    <n v="1"/>
    <x v="2"/>
    <x v="145"/>
    <x v="8"/>
    <s v="Percent change"/>
    <s v="Units"/>
    <x v="3"/>
    <n v="10.96"/>
  </r>
  <r>
    <n v="1"/>
    <x v="2"/>
    <x v="145"/>
    <x v="8"/>
    <s v="Percent change"/>
    <s v="Units"/>
    <x v="4"/>
    <n v="7.4740000000000002"/>
  </r>
  <r>
    <n v="1"/>
    <x v="2"/>
    <x v="145"/>
    <x v="8"/>
    <s v="Percent change"/>
    <s v="Units"/>
    <x v="5"/>
    <n v="5.74"/>
  </r>
  <r>
    <n v="1"/>
    <x v="2"/>
    <x v="145"/>
    <x v="8"/>
    <s v="Percent change"/>
    <s v="Units"/>
    <x v="6"/>
    <n v="5.2320000000000002"/>
  </r>
  <r>
    <n v="200"/>
    <x v="3"/>
    <x v="41"/>
    <x v="6"/>
    <s v="Percent change"/>
    <s v="Units"/>
    <x v="0"/>
    <n v="8.6140000000000008"/>
  </r>
  <r>
    <n v="200"/>
    <x v="3"/>
    <x v="41"/>
    <x v="6"/>
    <s v="Percent change"/>
    <s v="Units"/>
    <x v="1"/>
    <n v="-5.2130000000000001"/>
  </r>
  <r>
    <n v="200"/>
    <x v="3"/>
    <x v="41"/>
    <x v="6"/>
    <s v="Percent change"/>
    <s v="Units"/>
    <x v="2"/>
    <n v="14.736000000000001"/>
  </r>
  <r>
    <n v="200"/>
    <x v="3"/>
    <x v="41"/>
    <x v="6"/>
    <s v="Percent change"/>
    <s v="Units"/>
    <x v="3"/>
    <n v="9.9390000000000001"/>
  </r>
  <r>
    <n v="200"/>
    <x v="3"/>
    <x v="41"/>
    <x v="6"/>
    <s v="Percent change"/>
    <s v="Units"/>
    <x v="4"/>
    <n v="-1.425"/>
  </r>
  <r>
    <n v="200"/>
    <x v="3"/>
    <x v="41"/>
    <x v="6"/>
    <s v="Percent change"/>
    <s v="Units"/>
    <x v="5"/>
    <n v="5.726"/>
  </r>
  <r>
    <n v="200"/>
    <x v="3"/>
    <x v="41"/>
    <x v="6"/>
    <s v="Percent change"/>
    <s v="Units"/>
    <x v="6"/>
    <n v="6.6130000000000004"/>
  </r>
  <r>
    <n v="1"/>
    <x v="2"/>
    <x v="41"/>
    <x v="6"/>
    <s v="Percent change"/>
    <s v="Units"/>
    <x v="0"/>
    <n v="8.6140000000000008"/>
  </r>
  <r>
    <n v="1"/>
    <x v="2"/>
    <x v="41"/>
    <x v="6"/>
    <s v="Percent change"/>
    <s v="Units"/>
    <x v="1"/>
    <n v="-5.2130000000000001"/>
  </r>
  <r>
    <n v="1"/>
    <x v="2"/>
    <x v="41"/>
    <x v="6"/>
    <s v="Percent change"/>
    <s v="Units"/>
    <x v="2"/>
    <n v="14.736000000000001"/>
  </r>
  <r>
    <n v="1"/>
    <x v="2"/>
    <x v="41"/>
    <x v="6"/>
    <s v="Percent change"/>
    <s v="Units"/>
    <x v="3"/>
    <n v="9.9390000000000001"/>
  </r>
  <r>
    <n v="1"/>
    <x v="2"/>
    <x v="41"/>
    <x v="6"/>
    <s v="Percent change"/>
    <s v="Units"/>
    <x v="4"/>
    <n v="-1.425"/>
  </r>
  <r>
    <n v="1"/>
    <x v="2"/>
    <x v="41"/>
    <x v="6"/>
    <s v="Percent change"/>
    <s v="Units"/>
    <x v="5"/>
    <n v="5.726"/>
  </r>
  <r>
    <n v="1"/>
    <x v="2"/>
    <x v="41"/>
    <x v="6"/>
    <s v="Percent change"/>
    <s v="Units"/>
    <x v="6"/>
    <n v="6.6130000000000004"/>
  </r>
  <r>
    <n v="903"/>
    <x v="8"/>
    <x v="41"/>
    <x v="6"/>
    <s v="Percent change"/>
    <s v="Units"/>
    <x v="0"/>
    <n v="8.6140000000000008"/>
  </r>
  <r>
    <n v="903"/>
    <x v="8"/>
    <x v="41"/>
    <x v="6"/>
    <s v="Percent change"/>
    <s v="Units"/>
    <x v="1"/>
    <n v="-5.2130000000000001"/>
  </r>
  <r>
    <n v="903"/>
    <x v="8"/>
    <x v="41"/>
    <x v="6"/>
    <s v="Percent change"/>
    <s v="Units"/>
    <x v="2"/>
    <n v="14.736000000000001"/>
  </r>
  <r>
    <n v="903"/>
    <x v="8"/>
    <x v="41"/>
    <x v="6"/>
    <s v="Percent change"/>
    <s v="Units"/>
    <x v="3"/>
    <n v="9.9390000000000001"/>
  </r>
  <r>
    <n v="903"/>
    <x v="8"/>
    <x v="41"/>
    <x v="6"/>
    <s v="Percent change"/>
    <s v="Units"/>
    <x v="4"/>
    <n v="-1.425"/>
  </r>
  <r>
    <n v="903"/>
    <x v="8"/>
    <x v="41"/>
    <x v="6"/>
    <s v="Percent change"/>
    <s v="Units"/>
    <x v="5"/>
    <n v="5.726"/>
  </r>
  <r>
    <n v="903"/>
    <x v="8"/>
    <x v="41"/>
    <x v="6"/>
    <s v="Percent change"/>
    <s v="Units"/>
    <x v="6"/>
    <n v="6.6130000000000004"/>
  </r>
  <r>
    <n v="1"/>
    <x v="2"/>
    <x v="64"/>
    <x v="6"/>
    <s v="Percent change"/>
    <s v="Units"/>
    <x v="0"/>
    <n v="7.4169999999999998"/>
  </r>
  <r>
    <n v="1"/>
    <x v="2"/>
    <x v="64"/>
    <x v="6"/>
    <s v="Percent change"/>
    <s v="Units"/>
    <x v="1"/>
    <n v="-19.603999999999999"/>
  </r>
  <r>
    <n v="1"/>
    <x v="2"/>
    <x v="64"/>
    <x v="6"/>
    <s v="Percent change"/>
    <s v="Units"/>
    <x v="2"/>
    <n v="24.021999999999998"/>
  </r>
  <r>
    <n v="1"/>
    <x v="2"/>
    <x v="64"/>
    <x v="6"/>
    <s v="Percent change"/>
    <s v="Units"/>
    <x v="3"/>
    <n v="29.117000000000001"/>
  </r>
  <r>
    <n v="1"/>
    <x v="2"/>
    <x v="64"/>
    <x v="6"/>
    <s v="Percent change"/>
    <s v="Units"/>
    <x v="4"/>
    <n v="-1.8049999999999999"/>
  </r>
  <r>
    <n v="1"/>
    <x v="2"/>
    <x v="64"/>
    <x v="6"/>
    <s v="Percent change"/>
    <s v="Units"/>
    <x v="5"/>
    <n v="5.7119999999999997"/>
  </r>
  <r>
    <n v="1"/>
    <x v="2"/>
    <x v="64"/>
    <x v="6"/>
    <s v="Percent change"/>
    <s v="Units"/>
    <x v="6"/>
    <n v="0.92900000000000005"/>
  </r>
  <r>
    <n v="200"/>
    <x v="3"/>
    <x v="64"/>
    <x v="6"/>
    <s v="Percent change"/>
    <s v="Units"/>
    <x v="0"/>
    <n v="7.4169999999999998"/>
  </r>
  <r>
    <n v="200"/>
    <x v="3"/>
    <x v="64"/>
    <x v="6"/>
    <s v="Percent change"/>
    <s v="Units"/>
    <x v="1"/>
    <n v="-19.603999999999999"/>
  </r>
  <r>
    <n v="200"/>
    <x v="3"/>
    <x v="64"/>
    <x v="6"/>
    <s v="Percent change"/>
    <s v="Units"/>
    <x v="2"/>
    <n v="24.021999999999998"/>
  </r>
  <r>
    <n v="200"/>
    <x v="3"/>
    <x v="64"/>
    <x v="6"/>
    <s v="Percent change"/>
    <s v="Units"/>
    <x v="3"/>
    <n v="29.117000000000001"/>
  </r>
  <r>
    <n v="200"/>
    <x v="3"/>
    <x v="64"/>
    <x v="6"/>
    <s v="Percent change"/>
    <s v="Units"/>
    <x v="4"/>
    <n v="-1.8049999999999999"/>
  </r>
  <r>
    <n v="200"/>
    <x v="3"/>
    <x v="64"/>
    <x v="6"/>
    <s v="Percent change"/>
    <s v="Units"/>
    <x v="5"/>
    <n v="5.7119999999999997"/>
  </r>
  <r>
    <n v="200"/>
    <x v="3"/>
    <x v="64"/>
    <x v="6"/>
    <s v="Percent change"/>
    <s v="Units"/>
    <x v="6"/>
    <n v="0.92900000000000005"/>
  </r>
  <r>
    <n v="505"/>
    <x v="4"/>
    <x v="64"/>
    <x v="6"/>
    <s v="Percent change"/>
    <s v="Units"/>
    <x v="0"/>
    <n v="7.4169999999999998"/>
  </r>
  <r>
    <n v="505"/>
    <x v="4"/>
    <x v="64"/>
    <x v="6"/>
    <s v="Percent change"/>
    <s v="Units"/>
    <x v="1"/>
    <n v="-19.603999999999999"/>
  </r>
  <r>
    <n v="505"/>
    <x v="4"/>
    <x v="64"/>
    <x v="6"/>
    <s v="Percent change"/>
    <s v="Units"/>
    <x v="2"/>
    <n v="24.021999999999998"/>
  </r>
  <r>
    <n v="505"/>
    <x v="4"/>
    <x v="64"/>
    <x v="6"/>
    <s v="Percent change"/>
    <s v="Units"/>
    <x v="3"/>
    <n v="29.117000000000001"/>
  </r>
  <r>
    <n v="505"/>
    <x v="4"/>
    <x v="64"/>
    <x v="6"/>
    <s v="Percent change"/>
    <s v="Units"/>
    <x v="4"/>
    <n v="-1.8049999999999999"/>
  </r>
  <r>
    <n v="505"/>
    <x v="4"/>
    <x v="64"/>
    <x v="6"/>
    <s v="Percent change"/>
    <s v="Units"/>
    <x v="5"/>
    <n v="5.7119999999999997"/>
  </r>
  <r>
    <n v="505"/>
    <x v="4"/>
    <x v="64"/>
    <x v="6"/>
    <s v="Percent change"/>
    <s v="Units"/>
    <x v="6"/>
    <n v="0.92900000000000005"/>
  </r>
  <r>
    <n v="200"/>
    <x v="3"/>
    <x v="35"/>
    <x v="8"/>
    <s v="Percent change"/>
    <s v="Units"/>
    <x v="0"/>
    <n v="7.8819999999999997"/>
  </r>
  <r>
    <n v="200"/>
    <x v="3"/>
    <x v="35"/>
    <x v="8"/>
    <s v="Percent change"/>
    <s v="Units"/>
    <x v="1"/>
    <n v="3.448"/>
  </r>
  <r>
    <n v="200"/>
    <x v="3"/>
    <x v="35"/>
    <x v="8"/>
    <s v="Percent change"/>
    <s v="Units"/>
    <x v="2"/>
    <n v="6.9390000000000001"/>
  </r>
  <r>
    <n v="200"/>
    <x v="3"/>
    <x v="35"/>
    <x v="8"/>
    <s v="Percent change"/>
    <s v="Units"/>
    <x v="3"/>
    <n v="7.1"/>
  </r>
  <r>
    <n v="200"/>
    <x v="3"/>
    <x v="35"/>
    <x v="8"/>
    <s v="Percent change"/>
    <s v="Units"/>
    <x v="4"/>
    <n v="6.0250000000000004"/>
  </r>
  <r>
    <n v="200"/>
    <x v="3"/>
    <x v="35"/>
    <x v="8"/>
    <s v="Percent change"/>
    <s v="Units"/>
    <x v="5"/>
    <n v="5.7"/>
  </r>
  <r>
    <n v="200"/>
    <x v="3"/>
    <x v="35"/>
    <x v="8"/>
    <s v="Percent change"/>
    <s v="Units"/>
    <x v="6"/>
    <n v="6.6"/>
  </r>
  <r>
    <n v="1"/>
    <x v="2"/>
    <x v="35"/>
    <x v="8"/>
    <s v="Percent change"/>
    <s v="Units"/>
    <x v="0"/>
    <n v="7.8819999999999997"/>
  </r>
  <r>
    <n v="1"/>
    <x v="2"/>
    <x v="35"/>
    <x v="8"/>
    <s v="Percent change"/>
    <s v="Units"/>
    <x v="1"/>
    <n v="3.448"/>
  </r>
  <r>
    <n v="1"/>
    <x v="2"/>
    <x v="35"/>
    <x v="8"/>
    <s v="Percent change"/>
    <s v="Units"/>
    <x v="2"/>
    <n v="6.9390000000000001"/>
  </r>
  <r>
    <n v="1"/>
    <x v="2"/>
    <x v="35"/>
    <x v="8"/>
    <s v="Percent change"/>
    <s v="Units"/>
    <x v="3"/>
    <n v="7.1"/>
  </r>
  <r>
    <n v="1"/>
    <x v="2"/>
    <x v="35"/>
    <x v="8"/>
    <s v="Percent change"/>
    <s v="Units"/>
    <x v="4"/>
    <n v="6.0250000000000004"/>
  </r>
  <r>
    <n v="1"/>
    <x v="2"/>
    <x v="35"/>
    <x v="8"/>
    <s v="Percent change"/>
    <s v="Units"/>
    <x v="5"/>
    <n v="5.7"/>
  </r>
  <r>
    <n v="1"/>
    <x v="2"/>
    <x v="35"/>
    <x v="8"/>
    <s v="Percent change"/>
    <s v="Units"/>
    <x v="6"/>
    <n v="6.6"/>
  </r>
  <r>
    <n v="505"/>
    <x v="4"/>
    <x v="35"/>
    <x v="8"/>
    <s v="Percent change"/>
    <s v="Units"/>
    <x v="0"/>
    <n v="7.8819999999999997"/>
  </r>
  <r>
    <n v="505"/>
    <x v="4"/>
    <x v="35"/>
    <x v="8"/>
    <s v="Percent change"/>
    <s v="Units"/>
    <x v="1"/>
    <n v="3.448"/>
  </r>
  <r>
    <n v="505"/>
    <x v="4"/>
    <x v="35"/>
    <x v="8"/>
    <s v="Percent change"/>
    <s v="Units"/>
    <x v="2"/>
    <n v="6.9390000000000001"/>
  </r>
  <r>
    <n v="505"/>
    <x v="4"/>
    <x v="35"/>
    <x v="8"/>
    <s v="Percent change"/>
    <s v="Units"/>
    <x v="3"/>
    <n v="7.1"/>
  </r>
  <r>
    <n v="505"/>
    <x v="4"/>
    <x v="35"/>
    <x v="8"/>
    <s v="Percent change"/>
    <s v="Units"/>
    <x v="4"/>
    <n v="6.0250000000000004"/>
  </r>
  <r>
    <n v="505"/>
    <x v="4"/>
    <x v="35"/>
    <x v="8"/>
    <s v="Percent change"/>
    <s v="Units"/>
    <x v="5"/>
    <n v="5.7"/>
  </r>
  <r>
    <n v="505"/>
    <x v="4"/>
    <x v="35"/>
    <x v="8"/>
    <s v="Percent change"/>
    <s v="Units"/>
    <x v="6"/>
    <n v="6.6"/>
  </r>
  <r>
    <n v="1"/>
    <x v="2"/>
    <x v="102"/>
    <x v="6"/>
    <s v="Percent change"/>
    <s v="Units"/>
    <x v="0"/>
    <n v="22.782"/>
  </r>
  <r>
    <n v="1"/>
    <x v="2"/>
    <x v="102"/>
    <x v="6"/>
    <s v="Percent change"/>
    <s v="Units"/>
    <x v="1"/>
    <n v="-15.622999999999999"/>
  </r>
  <r>
    <n v="1"/>
    <x v="2"/>
    <x v="102"/>
    <x v="6"/>
    <s v="Percent change"/>
    <s v="Units"/>
    <x v="2"/>
    <n v="14.881"/>
  </r>
  <r>
    <n v="1"/>
    <x v="2"/>
    <x v="102"/>
    <x v="6"/>
    <s v="Percent change"/>
    <s v="Units"/>
    <x v="3"/>
    <n v="-11.784000000000001"/>
  </r>
  <r>
    <n v="1"/>
    <x v="2"/>
    <x v="102"/>
    <x v="6"/>
    <s v="Percent change"/>
    <s v="Units"/>
    <x v="4"/>
    <n v="13.326000000000001"/>
  </r>
  <r>
    <n v="1"/>
    <x v="2"/>
    <x v="102"/>
    <x v="6"/>
    <s v="Percent change"/>
    <s v="Units"/>
    <x v="5"/>
    <n v="5.6859999999999999"/>
  </r>
  <r>
    <n v="1"/>
    <x v="2"/>
    <x v="102"/>
    <x v="6"/>
    <s v="Percent change"/>
    <s v="Units"/>
    <x v="6"/>
    <n v="6.359"/>
  </r>
  <r>
    <n v="603"/>
    <x v="12"/>
    <x v="102"/>
    <x v="6"/>
    <s v="Percent change"/>
    <s v="Units"/>
    <x v="0"/>
    <n v="22.782"/>
  </r>
  <r>
    <n v="603"/>
    <x v="12"/>
    <x v="102"/>
    <x v="6"/>
    <s v="Percent change"/>
    <s v="Units"/>
    <x v="1"/>
    <n v="-15.622999999999999"/>
  </r>
  <r>
    <n v="603"/>
    <x v="12"/>
    <x v="102"/>
    <x v="6"/>
    <s v="Percent change"/>
    <s v="Units"/>
    <x v="2"/>
    <n v="14.881"/>
  </r>
  <r>
    <n v="603"/>
    <x v="12"/>
    <x v="102"/>
    <x v="6"/>
    <s v="Percent change"/>
    <s v="Units"/>
    <x v="3"/>
    <n v="-11.784000000000001"/>
  </r>
  <r>
    <n v="603"/>
    <x v="12"/>
    <x v="102"/>
    <x v="6"/>
    <s v="Percent change"/>
    <s v="Units"/>
    <x v="4"/>
    <n v="13.326000000000001"/>
  </r>
  <r>
    <n v="603"/>
    <x v="12"/>
    <x v="102"/>
    <x v="6"/>
    <s v="Percent change"/>
    <s v="Units"/>
    <x v="5"/>
    <n v="5.6859999999999999"/>
  </r>
  <r>
    <n v="603"/>
    <x v="12"/>
    <x v="102"/>
    <x v="6"/>
    <s v="Percent change"/>
    <s v="Units"/>
    <x v="6"/>
    <n v="6.359"/>
  </r>
  <r>
    <n v="200"/>
    <x v="3"/>
    <x v="102"/>
    <x v="6"/>
    <s v="Percent change"/>
    <s v="Units"/>
    <x v="0"/>
    <n v="22.782"/>
  </r>
  <r>
    <n v="200"/>
    <x v="3"/>
    <x v="102"/>
    <x v="6"/>
    <s v="Percent change"/>
    <s v="Units"/>
    <x v="1"/>
    <n v="-15.622999999999999"/>
  </r>
  <r>
    <n v="200"/>
    <x v="3"/>
    <x v="102"/>
    <x v="6"/>
    <s v="Percent change"/>
    <s v="Units"/>
    <x v="2"/>
    <n v="14.881"/>
  </r>
  <r>
    <n v="200"/>
    <x v="3"/>
    <x v="102"/>
    <x v="6"/>
    <s v="Percent change"/>
    <s v="Units"/>
    <x v="3"/>
    <n v="-11.784000000000001"/>
  </r>
  <r>
    <n v="200"/>
    <x v="3"/>
    <x v="102"/>
    <x v="6"/>
    <s v="Percent change"/>
    <s v="Units"/>
    <x v="4"/>
    <n v="13.326000000000001"/>
  </r>
  <r>
    <n v="200"/>
    <x v="3"/>
    <x v="102"/>
    <x v="6"/>
    <s v="Percent change"/>
    <s v="Units"/>
    <x v="5"/>
    <n v="5.6859999999999999"/>
  </r>
  <r>
    <n v="200"/>
    <x v="3"/>
    <x v="102"/>
    <x v="6"/>
    <s v="Percent change"/>
    <s v="Units"/>
    <x v="6"/>
    <n v="6.359"/>
  </r>
  <r>
    <n v="200"/>
    <x v="3"/>
    <x v="143"/>
    <x v="6"/>
    <s v="Percent change"/>
    <s v="Units"/>
    <x v="0"/>
    <n v="6.4359999999999999"/>
  </r>
  <r>
    <n v="200"/>
    <x v="3"/>
    <x v="143"/>
    <x v="6"/>
    <s v="Percent change"/>
    <s v="Units"/>
    <x v="1"/>
    <n v="-13.526"/>
  </r>
  <r>
    <n v="200"/>
    <x v="3"/>
    <x v="143"/>
    <x v="6"/>
    <s v="Percent change"/>
    <s v="Units"/>
    <x v="2"/>
    <n v="3.26"/>
  </r>
  <r>
    <n v="200"/>
    <x v="3"/>
    <x v="143"/>
    <x v="6"/>
    <s v="Percent change"/>
    <s v="Units"/>
    <x v="3"/>
    <n v="12.56"/>
  </r>
  <r>
    <n v="200"/>
    <x v="3"/>
    <x v="143"/>
    <x v="6"/>
    <s v="Percent change"/>
    <s v="Units"/>
    <x v="4"/>
    <n v="20.204000000000001"/>
  </r>
  <r>
    <n v="200"/>
    <x v="3"/>
    <x v="143"/>
    <x v="6"/>
    <s v="Percent change"/>
    <s v="Units"/>
    <x v="5"/>
    <n v="5.6710000000000003"/>
  </r>
  <r>
    <n v="200"/>
    <x v="3"/>
    <x v="143"/>
    <x v="6"/>
    <s v="Percent change"/>
    <s v="Units"/>
    <x v="6"/>
    <n v="9.2420000000000009"/>
  </r>
  <r>
    <n v="1"/>
    <x v="2"/>
    <x v="143"/>
    <x v="6"/>
    <s v="Percent change"/>
    <s v="Units"/>
    <x v="0"/>
    <n v="6.4359999999999999"/>
  </r>
  <r>
    <n v="1"/>
    <x v="2"/>
    <x v="143"/>
    <x v="6"/>
    <s v="Percent change"/>
    <s v="Units"/>
    <x v="1"/>
    <n v="-13.526"/>
  </r>
  <r>
    <n v="1"/>
    <x v="2"/>
    <x v="143"/>
    <x v="6"/>
    <s v="Percent change"/>
    <s v="Units"/>
    <x v="2"/>
    <n v="3.26"/>
  </r>
  <r>
    <n v="1"/>
    <x v="2"/>
    <x v="143"/>
    <x v="6"/>
    <s v="Percent change"/>
    <s v="Units"/>
    <x v="3"/>
    <n v="12.56"/>
  </r>
  <r>
    <n v="1"/>
    <x v="2"/>
    <x v="143"/>
    <x v="6"/>
    <s v="Percent change"/>
    <s v="Units"/>
    <x v="4"/>
    <n v="20.204000000000001"/>
  </r>
  <r>
    <n v="1"/>
    <x v="2"/>
    <x v="143"/>
    <x v="6"/>
    <s v="Percent change"/>
    <s v="Units"/>
    <x v="5"/>
    <n v="5.6710000000000003"/>
  </r>
  <r>
    <n v="1"/>
    <x v="2"/>
    <x v="143"/>
    <x v="6"/>
    <s v="Percent change"/>
    <s v="Units"/>
    <x v="6"/>
    <n v="9.2420000000000009"/>
  </r>
  <r>
    <n v="505"/>
    <x v="4"/>
    <x v="143"/>
    <x v="6"/>
    <s v="Percent change"/>
    <s v="Units"/>
    <x v="0"/>
    <n v="6.4359999999999999"/>
  </r>
  <r>
    <n v="505"/>
    <x v="4"/>
    <x v="143"/>
    <x v="6"/>
    <s v="Percent change"/>
    <s v="Units"/>
    <x v="1"/>
    <n v="-13.526"/>
  </r>
  <r>
    <n v="505"/>
    <x v="4"/>
    <x v="143"/>
    <x v="6"/>
    <s v="Percent change"/>
    <s v="Units"/>
    <x v="2"/>
    <n v="3.26"/>
  </r>
  <r>
    <n v="505"/>
    <x v="4"/>
    <x v="143"/>
    <x v="6"/>
    <s v="Percent change"/>
    <s v="Units"/>
    <x v="3"/>
    <n v="12.56"/>
  </r>
  <r>
    <n v="505"/>
    <x v="4"/>
    <x v="143"/>
    <x v="6"/>
    <s v="Percent change"/>
    <s v="Units"/>
    <x v="4"/>
    <n v="20.204000000000001"/>
  </r>
  <r>
    <n v="505"/>
    <x v="4"/>
    <x v="143"/>
    <x v="6"/>
    <s v="Percent change"/>
    <s v="Units"/>
    <x v="5"/>
    <n v="5.6710000000000003"/>
  </r>
  <r>
    <n v="505"/>
    <x v="4"/>
    <x v="143"/>
    <x v="6"/>
    <s v="Percent change"/>
    <s v="Units"/>
    <x v="6"/>
    <n v="9.2420000000000009"/>
  </r>
  <r>
    <n v="200"/>
    <x v="3"/>
    <x v="111"/>
    <x v="6"/>
    <s v="Percent change"/>
    <s v="Units"/>
    <x v="0"/>
    <n v="3.1549999999999998"/>
  </r>
  <r>
    <n v="200"/>
    <x v="3"/>
    <x v="111"/>
    <x v="6"/>
    <s v="Percent change"/>
    <s v="Units"/>
    <x v="1"/>
    <n v="-11.507999999999999"/>
  </r>
  <r>
    <n v="200"/>
    <x v="3"/>
    <x v="111"/>
    <x v="6"/>
    <s v="Percent change"/>
    <s v="Units"/>
    <x v="2"/>
    <n v="-8.4049999999999994"/>
  </r>
  <r>
    <n v="200"/>
    <x v="3"/>
    <x v="111"/>
    <x v="6"/>
    <s v="Percent change"/>
    <s v="Units"/>
    <x v="3"/>
    <n v="13.705"/>
  </r>
  <r>
    <n v="200"/>
    <x v="3"/>
    <x v="111"/>
    <x v="6"/>
    <s v="Percent change"/>
    <s v="Units"/>
    <x v="4"/>
    <n v="30.178999999999998"/>
  </r>
  <r>
    <n v="200"/>
    <x v="3"/>
    <x v="111"/>
    <x v="6"/>
    <s v="Percent change"/>
    <s v="Units"/>
    <x v="5"/>
    <n v="5.6459999999999999"/>
  </r>
  <r>
    <n v="200"/>
    <x v="3"/>
    <x v="111"/>
    <x v="6"/>
    <s v="Percent change"/>
    <s v="Units"/>
    <x v="6"/>
    <n v="-5.6059999999999999"/>
  </r>
  <r>
    <n v="1"/>
    <x v="2"/>
    <x v="111"/>
    <x v="6"/>
    <s v="Percent change"/>
    <s v="Units"/>
    <x v="0"/>
    <n v="3.1549999999999998"/>
  </r>
  <r>
    <n v="1"/>
    <x v="2"/>
    <x v="111"/>
    <x v="6"/>
    <s v="Percent change"/>
    <s v="Units"/>
    <x v="1"/>
    <n v="-11.507999999999999"/>
  </r>
  <r>
    <n v="1"/>
    <x v="2"/>
    <x v="111"/>
    <x v="6"/>
    <s v="Percent change"/>
    <s v="Units"/>
    <x v="2"/>
    <n v="-8.4049999999999994"/>
  </r>
  <r>
    <n v="1"/>
    <x v="2"/>
    <x v="111"/>
    <x v="6"/>
    <s v="Percent change"/>
    <s v="Units"/>
    <x v="3"/>
    <n v="13.705"/>
  </r>
  <r>
    <n v="1"/>
    <x v="2"/>
    <x v="111"/>
    <x v="6"/>
    <s v="Percent change"/>
    <s v="Units"/>
    <x v="4"/>
    <n v="30.178999999999998"/>
  </r>
  <r>
    <n v="1"/>
    <x v="2"/>
    <x v="111"/>
    <x v="6"/>
    <s v="Percent change"/>
    <s v="Units"/>
    <x v="5"/>
    <n v="5.6459999999999999"/>
  </r>
  <r>
    <n v="1"/>
    <x v="2"/>
    <x v="111"/>
    <x v="6"/>
    <s v="Percent change"/>
    <s v="Units"/>
    <x v="6"/>
    <n v="-5.6059999999999999"/>
  </r>
  <r>
    <n v="205"/>
    <x v="7"/>
    <x v="111"/>
    <x v="6"/>
    <s v="Percent change"/>
    <s v="Units"/>
    <x v="0"/>
    <n v="3.1549999999999998"/>
  </r>
  <r>
    <n v="205"/>
    <x v="7"/>
    <x v="111"/>
    <x v="6"/>
    <s v="Percent change"/>
    <s v="Units"/>
    <x v="1"/>
    <n v="-11.507999999999999"/>
  </r>
  <r>
    <n v="205"/>
    <x v="7"/>
    <x v="111"/>
    <x v="6"/>
    <s v="Percent change"/>
    <s v="Units"/>
    <x v="2"/>
    <n v="-8.4049999999999994"/>
  </r>
  <r>
    <n v="205"/>
    <x v="7"/>
    <x v="111"/>
    <x v="6"/>
    <s v="Percent change"/>
    <s v="Units"/>
    <x v="3"/>
    <n v="13.705"/>
  </r>
  <r>
    <n v="205"/>
    <x v="7"/>
    <x v="111"/>
    <x v="6"/>
    <s v="Percent change"/>
    <s v="Units"/>
    <x v="4"/>
    <n v="30.178999999999998"/>
  </r>
  <r>
    <n v="205"/>
    <x v="7"/>
    <x v="111"/>
    <x v="6"/>
    <s v="Percent change"/>
    <s v="Units"/>
    <x v="5"/>
    <n v="5.6459999999999999"/>
  </r>
  <r>
    <n v="205"/>
    <x v="7"/>
    <x v="111"/>
    <x v="6"/>
    <s v="Percent change"/>
    <s v="Units"/>
    <x v="6"/>
    <n v="-5.6059999999999999"/>
  </r>
  <r>
    <n v="200"/>
    <x v="3"/>
    <x v="97"/>
    <x v="8"/>
    <s v="Percent change"/>
    <s v="Units"/>
    <x v="0"/>
    <n v="7.6239999999999997"/>
  </r>
  <r>
    <n v="200"/>
    <x v="3"/>
    <x v="97"/>
    <x v="8"/>
    <s v="Percent change"/>
    <s v="Units"/>
    <x v="1"/>
    <n v="-1.1419999999999999"/>
  </r>
  <r>
    <n v="200"/>
    <x v="3"/>
    <x v="97"/>
    <x v="8"/>
    <s v="Percent change"/>
    <s v="Units"/>
    <x v="2"/>
    <n v="5.4859999999999998"/>
  </r>
  <r>
    <n v="200"/>
    <x v="3"/>
    <x v="97"/>
    <x v="8"/>
    <s v="Percent change"/>
    <s v="Units"/>
    <x v="3"/>
    <n v="6.3"/>
  </r>
  <r>
    <n v="200"/>
    <x v="3"/>
    <x v="97"/>
    <x v="8"/>
    <s v="Percent change"/>
    <s v="Units"/>
    <x v="4"/>
    <n v="4.766"/>
  </r>
  <r>
    <n v="200"/>
    <x v="3"/>
    <x v="97"/>
    <x v="8"/>
    <s v="Percent change"/>
    <s v="Units"/>
    <x v="5"/>
    <n v="5.6310000000000002"/>
  </r>
  <r>
    <n v="200"/>
    <x v="3"/>
    <x v="97"/>
    <x v="8"/>
    <s v="Percent change"/>
    <s v="Units"/>
    <x v="6"/>
    <n v="6.5419999999999998"/>
  </r>
  <r>
    <n v="603"/>
    <x v="12"/>
    <x v="97"/>
    <x v="8"/>
    <s v="Percent change"/>
    <s v="Units"/>
    <x v="0"/>
    <n v="7.6239999999999997"/>
  </r>
  <r>
    <n v="603"/>
    <x v="12"/>
    <x v="97"/>
    <x v="8"/>
    <s v="Percent change"/>
    <s v="Units"/>
    <x v="1"/>
    <n v="-1.1419999999999999"/>
  </r>
  <r>
    <n v="603"/>
    <x v="12"/>
    <x v="97"/>
    <x v="8"/>
    <s v="Percent change"/>
    <s v="Units"/>
    <x v="2"/>
    <n v="5.4859999999999998"/>
  </r>
  <r>
    <n v="603"/>
    <x v="12"/>
    <x v="97"/>
    <x v="8"/>
    <s v="Percent change"/>
    <s v="Units"/>
    <x v="3"/>
    <n v="6.3"/>
  </r>
  <r>
    <n v="603"/>
    <x v="12"/>
    <x v="97"/>
    <x v="8"/>
    <s v="Percent change"/>
    <s v="Units"/>
    <x v="4"/>
    <n v="4.766"/>
  </r>
  <r>
    <n v="603"/>
    <x v="12"/>
    <x v="97"/>
    <x v="8"/>
    <s v="Percent change"/>
    <s v="Units"/>
    <x v="5"/>
    <n v="5.6310000000000002"/>
  </r>
  <r>
    <n v="603"/>
    <x v="12"/>
    <x v="97"/>
    <x v="8"/>
    <s v="Percent change"/>
    <s v="Units"/>
    <x v="6"/>
    <n v="6.5419999999999998"/>
  </r>
  <r>
    <n v="1"/>
    <x v="2"/>
    <x v="97"/>
    <x v="8"/>
    <s v="Percent change"/>
    <s v="Units"/>
    <x v="0"/>
    <n v="7.6239999999999997"/>
  </r>
  <r>
    <n v="1"/>
    <x v="2"/>
    <x v="97"/>
    <x v="8"/>
    <s v="Percent change"/>
    <s v="Units"/>
    <x v="1"/>
    <n v="-1.1419999999999999"/>
  </r>
  <r>
    <n v="1"/>
    <x v="2"/>
    <x v="97"/>
    <x v="8"/>
    <s v="Percent change"/>
    <s v="Units"/>
    <x v="2"/>
    <n v="5.4859999999999998"/>
  </r>
  <r>
    <n v="1"/>
    <x v="2"/>
    <x v="97"/>
    <x v="8"/>
    <s v="Percent change"/>
    <s v="Units"/>
    <x v="3"/>
    <n v="6.3"/>
  </r>
  <r>
    <n v="1"/>
    <x v="2"/>
    <x v="97"/>
    <x v="8"/>
    <s v="Percent change"/>
    <s v="Units"/>
    <x v="4"/>
    <n v="4.766"/>
  </r>
  <r>
    <n v="1"/>
    <x v="2"/>
    <x v="97"/>
    <x v="8"/>
    <s v="Percent change"/>
    <s v="Units"/>
    <x v="5"/>
    <n v="5.6310000000000002"/>
  </r>
  <r>
    <n v="1"/>
    <x v="2"/>
    <x v="97"/>
    <x v="8"/>
    <s v="Percent change"/>
    <s v="Units"/>
    <x v="6"/>
    <n v="6.5419999999999998"/>
  </r>
  <r>
    <n v="200"/>
    <x v="3"/>
    <x v="87"/>
    <x v="6"/>
    <s v="Percent change"/>
    <s v="Units"/>
    <x v="0"/>
    <n v="10.526999999999999"/>
  </r>
  <r>
    <n v="200"/>
    <x v="3"/>
    <x v="87"/>
    <x v="6"/>
    <s v="Percent change"/>
    <s v="Units"/>
    <x v="1"/>
    <n v="-7.3250000000000002"/>
  </r>
  <r>
    <n v="200"/>
    <x v="3"/>
    <x v="87"/>
    <x v="6"/>
    <s v="Percent change"/>
    <s v="Units"/>
    <x v="2"/>
    <n v="13.477"/>
  </r>
  <r>
    <n v="200"/>
    <x v="3"/>
    <x v="87"/>
    <x v="6"/>
    <s v="Percent change"/>
    <s v="Units"/>
    <x v="3"/>
    <n v="8.8610000000000007"/>
  </r>
  <r>
    <n v="200"/>
    <x v="3"/>
    <x v="87"/>
    <x v="6"/>
    <s v="Percent change"/>
    <s v="Units"/>
    <x v="4"/>
    <n v="-3.665"/>
  </r>
  <r>
    <n v="200"/>
    <x v="3"/>
    <x v="87"/>
    <x v="6"/>
    <s v="Percent change"/>
    <s v="Units"/>
    <x v="5"/>
    <n v="5.6280000000000001"/>
  </r>
  <r>
    <n v="200"/>
    <x v="3"/>
    <x v="87"/>
    <x v="6"/>
    <s v="Percent change"/>
    <s v="Units"/>
    <x v="6"/>
    <n v="6.3339999999999996"/>
  </r>
  <r>
    <n v="603"/>
    <x v="12"/>
    <x v="87"/>
    <x v="6"/>
    <s v="Percent change"/>
    <s v="Units"/>
    <x v="0"/>
    <n v="10.526999999999999"/>
  </r>
  <r>
    <n v="603"/>
    <x v="12"/>
    <x v="87"/>
    <x v="6"/>
    <s v="Percent change"/>
    <s v="Units"/>
    <x v="1"/>
    <n v="-7.3250000000000002"/>
  </r>
  <r>
    <n v="603"/>
    <x v="12"/>
    <x v="87"/>
    <x v="6"/>
    <s v="Percent change"/>
    <s v="Units"/>
    <x v="2"/>
    <n v="13.477"/>
  </r>
  <r>
    <n v="603"/>
    <x v="12"/>
    <x v="87"/>
    <x v="6"/>
    <s v="Percent change"/>
    <s v="Units"/>
    <x v="3"/>
    <n v="8.8610000000000007"/>
  </r>
  <r>
    <n v="603"/>
    <x v="12"/>
    <x v="87"/>
    <x v="6"/>
    <s v="Percent change"/>
    <s v="Units"/>
    <x v="4"/>
    <n v="-3.665"/>
  </r>
  <r>
    <n v="603"/>
    <x v="12"/>
    <x v="87"/>
    <x v="6"/>
    <s v="Percent change"/>
    <s v="Units"/>
    <x v="5"/>
    <n v="5.6280000000000001"/>
  </r>
  <r>
    <n v="603"/>
    <x v="12"/>
    <x v="87"/>
    <x v="6"/>
    <s v="Percent change"/>
    <s v="Units"/>
    <x v="6"/>
    <n v="6.3339999999999996"/>
  </r>
  <r>
    <n v="1"/>
    <x v="2"/>
    <x v="87"/>
    <x v="6"/>
    <s v="Percent change"/>
    <s v="Units"/>
    <x v="0"/>
    <n v="10.526999999999999"/>
  </r>
  <r>
    <n v="1"/>
    <x v="2"/>
    <x v="87"/>
    <x v="6"/>
    <s v="Percent change"/>
    <s v="Units"/>
    <x v="1"/>
    <n v="-7.3250000000000002"/>
  </r>
  <r>
    <n v="1"/>
    <x v="2"/>
    <x v="87"/>
    <x v="6"/>
    <s v="Percent change"/>
    <s v="Units"/>
    <x v="2"/>
    <n v="13.477"/>
  </r>
  <r>
    <n v="1"/>
    <x v="2"/>
    <x v="87"/>
    <x v="6"/>
    <s v="Percent change"/>
    <s v="Units"/>
    <x v="3"/>
    <n v="8.8610000000000007"/>
  </r>
  <r>
    <n v="1"/>
    <x v="2"/>
    <x v="87"/>
    <x v="6"/>
    <s v="Percent change"/>
    <s v="Units"/>
    <x v="4"/>
    <n v="-3.665"/>
  </r>
  <r>
    <n v="1"/>
    <x v="2"/>
    <x v="87"/>
    <x v="6"/>
    <s v="Percent change"/>
    <s v="Units"/>
    <x v="5"/>
    <n v="5.6280000000000001"/>
  </r>
  <r>
    <n v="1"/>
    <x v="2"/>
    <x v="87"/>
    <x v="6"/>
    <s v="Percent change"/>
    <s v="Units"/>
    <x v="6"/>
    <n v="6.3339999999999996"/>
  </r>
  <r>
    <n v="123"/>
    <x v="9"/>
    <x v="113"/>
    <x v="1"/>
    <s v="Percent change"/>
    <s v="Units"/>
    <x v="0"/>
    <n v="3.0059999999999998"/>
  </r>
  <r>
    <n v="123"/>
    <x v="9"/>
    <x v="113"/>
    <x v="1"/>
    <s v="Percent change"/>
    <s v="Units"/>
    <x v="1"/>
    <n v="2.8479999999999999"/>
  </r>
  <r>
    <n v="123"/>
    <x v="9"/>
    <x v="113"/>
    <x v="1"/>
    <s v="Percent change"/>
    <s v="Units"/>
    <x v="2"/>
    <n v="4.4580000000000002"/>
  </r>
  <r>
    <n v="123"/>
    <x v="9"/>
    <x v="113"/>
    <x v="1"/>
    <s v="Percent change"/>
    <s v="Units"/>
    <x v="3"/>
    <n v="8.3070000000000004"/>
  </r>
  <r>
    <n v="123"/>
    <x v="9"/>
    <x v="113"/>
    <x v="1"/>
    <s v="Percent change"/>
    <s v="Units"/>
    <x v="4"/>
    <n v="8.74"/>
  </r>
  <r>
    <n v="123"/>
    <x v="9"/>
    <x v="113"/>
    <x v="1"/>
    <s v="Percent change"/>
    <s v="Units"/>
    <x v="5"/>
    <n v="5.609"/>
  </r>
  <r>
    <n v="123"/>
    <x v="9"/>
    <x v="113"/>
    <x v="1"/>
    <s v="Percent change"/>
    <s v="Units"/>
    <x v="6"/>
    <n v="3.43"/>
  </r>
  <r>
    <n v="1"/>
    <x v="2"/>
    <x v="113"/>
    <x v="1"/>
    <s v="Percent change"/>
    <s v="Units"/>
    <x v="0"/>
    <n v="3.0059999999999998"/>
  </r>
  <r>
    <n v="1"/>
    <x v="2"/>
    <x v="113"/>
    <x v="1"/>
    <s v="Percent change"/>
    <s v="Units"/>
    <x v="1"/>
    <n v="2.8479999999999999"/>
  </r>
  <r>
    <n v="1"/>
    <x v="2"/>
    <x v="113"/>
    <x v="1"/>
    <s v="Percent change"/>
    <s v="Units"/>
    <x v="2"/>
    <n v="4.4580000000000002"/>
  </r>
  <r>
    <n v="1"/>
    <x v="2"/>
    <x v="113"/>
    <x v="1"/>
    <s v="Percent change"/>
    <s v="Units"/>
    <x v="3"/>
    <n v="8.3070000000000004"/>
  </r>
  <r>
    <n v="1"/>
    <x v="2"/>
    <x v="113"/>
    <x v="1"/>
    <s v="Percent change"/>
    <s v="Units"/>
    <x v="4"/>
    <n v="8.74"/>
  </r>
  <r>
    <n v="1"/>
    <x v="2"/>
    <x v="113"/>
    <x v="1"/>
    <s v="Percent change"/>
    <s v="Units"/>
    <x v="5"/>
    <n v="5.609"/>
  </r>
  <r>
    <n v="1"/>
    <x v="2"/>
    <x v="113"/>
    <x v="1"/>
    <s v="Percent change"/>
    <s v="Units"/>
    <x v="6"/>
    <n v="3.43"/>
  </r>
  <r>
    <n v="110"/>
    <x v="0"/>
    <x v="113"/>
    <x v="1"/>
    <s v="Percent change"/>
    <s v="Units"/>
    <x v="0"/>
    <n v="3.0059999999999998"/>
  </r>
  <r>
    <n v="110"/>
    <x v="0"/>
    <x v="113"/>
    <x v="1"/>
    <s v="Percent change"/>
    <s v="Units"/>
    <x v="1"/>
    <n v="2.8479999999999999"/>
  </r>
  <r>
    <n v="110"/>
    <x v="0"/>
    <x v="113"/>
    <x v="1"/>
    <s v="Percent change"/>
    <s v="Units"/>
    <x v="2"/>
    <n v="4.4580000000000002"/>
  </r>
  <r>
    <n v="110"/>
    <x v="0"/>
    <x v="113"/>
    <x v="1"/>
    <s v="Percent change"/>
    <s v="Units"/>
    <x v="3"/>
    <n v="8.3070000000000004"/>
  </r>
  <r>
    <n v="110"/>
    <x v="0"/>
    <x v="113"/>
    <x v="1"/>
    <s v="Percent change"/>
    <s v="Units"/>
    <x v="4"/>
    <n v="8.74"/>
  </r>
  <r>
    <n v="110"/>
    <x v="0"/>
    <x v="113"/>
    <x v="1"/>
    <s v="Percent change"/>
    <s v="Units"/>
    <x v="5"/>
    <n v="5.609"/>
  </r>
  <r>
    <n v="110"/>
    <x v="0"/>
    <x v="113"/>
    <x v="1"/>
    <s v="Percent change"/>
    <s v="Units"/>
    <x v="6"/>
    <n v="3.43"/>
  </r>
  <r>
    <n v="603"/>
    <x v="12"/>
    <x v="98"/>
    <x v="8"/>
    <s v="Percent change"/>
    <s v="Units"/>
    <x v="0"/>
    <n v="0.85599999999999998"/>
  </r>
  <r>
    <n v="603"/>
    <x v="12"/>
    <x v="98"/>
    <x v="8"/>
    <s v="Percent change"/>
    <s v="Units"/>
    <x v="1"/>
    <n v="-6.4939999999999998"/>
  </r>
  <r>
    <n v="603"/>
    <x v="12"/>
    <x v="98"/>
    <x v="8"/>
    <s v="Percent change"/>
    <s v="Units"/>
    <x v="2"/>
    <n v="5.3289999999999997"/>
  </r>
  <r>
    <n v="603"/>
    <x v="12"/>
    <x v="98"/>
    <x v="8"/>
    <s v="Percent change"/>
    <s v="Units"/>
    <x v="3"/>
    <n v="-5.1859999999999999"/>
  </r>
  <r>
    <n v="603"/>
    <x v="12"/>
    <x v="98"/>
    <x v="8"/>
    <s v="Percent change"/>
    <s v="Units"/>
    <x v="4"/>
    <n v="-7.0000000000000007E-2"/>
  </r>
  <r>
    <n v="603"/>
    <x v="12"/>
    <x v="98"/>
    <x v="8"/>
    <s v="Percent change"/>
    <s v="Units"/>
    <x v="5"/>
    <n v="5.6029999999999998"/>
  </r>
  <r>
    <n v="603"/>
    <x v="12"/>
    <x v="98"/>
    <x v="8"/>
    <s v="Percent change"/>
    <s v="Units"/>
    <x v="6"/>
    <n v="6.7960000000000003"/>
  </r>
  <r>
    <n v="200"/>
    <x v="3"/>
    <x v="98"/>
    <x v="8"/>
    <s v="Percent change"/>
    <s v="Units"/>
    <x v="0"/>
    <n v="0.85599999999999998"/>
  </r>
  <r>
    <n v="200"/>
    <x v="3"/>
    <x v="98"/>
    <x v="8"/>
    <s v="Percent change"/>
    <s v="Units"/>
    <x v="1"/>
    <n v="-6.4939999999999998"/>
  </r>
  <r>
    <n v="200"/>
    <x v="3"/>
    <x v="98"/>
    <x v="8"/>
    <s v="Percent change"/>
    <s v="Units"/>
    <x v="2"/>
    <n v="5.3289999999999997"/>
  </r>
  <r>
    <n v="200"/>
    <x v="3"/>
    <x v="98"/>
    <x v="8"/>
    <s v="Percent change"/>
    <s v="Units"/>
    <x v="3"/>
    <n v="-5.1859999999999999"/>
  </r>
  <r>
    <n v="200"/>
    <x v="3"/>
    <x v="98"/>
    <x v="8"/>
    <s v="Percent change"/>
    <s v="Units"/>
    <x v="4"/>
    <n v="-7.0000000000000007E-2"/>
  </r>
  <r>
    <n v="200"/>
    <x v="3"/>
    <x v="98"/>
    <x v="8"/>
    <s v="Percent change"/>
    <s v="Units"/>
    <x v="5"/>
    <n v="5.6029999999999998"/>
  </r>
  <r>
    <n v="200"/>
    <x v="3"/>
    <x v="98"/>
    <x v="8"/>
    <s v="Percent change"/>
    <s v="Units"/>
    <x v="6"/>
    <n v="6.7960000000000003"/>
  </r>
  <r>
    <n v="1"/>
    <x v="2"/>
    <x v="98"/>
    <x v="8"/>
    <s v="Percent change"/>
    <s v="Units"/>
    <x v="0"/>
    <n v="0.85599999999999998"/>
  </r>
  <r>
    <n v="1"/>
    <x v="2"/>
    <x v="98"/>
    <x v="8"/>
    <s v="Percent change"/>
    <s v="Units"/>
    <x v="1"/>
    <n v="-6.4939999999999998"/>
  </r>
  <r>
    <n v="1"/>
    <x v="2"/>
    <x v="98"/>
    <x v="8"/>
    <s v="Percent change"/>
    <s v="Units"/>
    <x v="2"/>
    <n v="5.3289999999999997"/>
  </r>
  <r>
    <n v="1"/>
    <x v="2"/>
    <x v="98"/>
    <x v="8"/>
    <s v="Percent change"/>
    <s v="Units"/>
    <x v="3"/>
    <n v="-5.1859999999999999"/>
  </r>
  <r>
    <n v="1"/>
    <x v="2"/>
    <x v="98"/>
    <x v="8"/>
    <s v="Percent change"/>
    <s v="Units"/>
    <x v="4"/>
    <n v="-7.0000000000000007E-2"/>
  </r>
  <r>
    <n v="1"/>
    <x v="2"/>
    <x v="98"/>
    <x v="8"/>
    <s v="Percent change"/>
    <s v="Units"/>
    <x v="5"/>
    <n v="5.6029999999999998"/>
  </r>
  <r>
    <n v="1"/>
    <x v="2"/>
    <x v="98"/>
    <x v="8"/>
    <s v="Percent change"/>
    <s v="Units"/>
    <x v="6"/>
    <n v="6.7960000000000003"/>
  </r>
  <r>
    <n v="200"/>
    <x v="3"/>
    <x v="68"/>
    <x v="6"/>
    <s v="Percent change"/>
    <s v="Units"/>
    <x v="0"/>
    <n v="4.8570000000000002"/>
  </r>
  <r>
    <n v="200"/>
    <x v="3"/>
    <x v="68"/>
    <x v="6"/>
    <s v="Percent change"/>
    <s v="Units"/>
    <x v="1"/>
    <n v="-5.7569999999999997"/>
  </r>
  <r>
    <n v="200"/>
    <x v="3"/>
    <x v="68"/>
    <x v="6"/>
    <s v="Percent change"/>
    <s v="Units"/>
    <x v="2"/>
    <n v="19.486000000000001"/>
  </r>
  <r>
    <n v="200"/>
    <x v="3"/>
    <x v="68"/>
    <x v="6"/>
    <s v="Percent change"/>
    <s v="Units"/>
    <x v="3"/>
    <n v="4.3609999999999998"/>
  </r>
  <r>
    <n v="200"/>
    <x v="3"/>
    <x v="68"/>
    <x v="6"/>
    <s v="Percent change"/>
    <s v="Units"/>
    <x v="4"/>
    <n v="5.1619999999999999"/>
  </r>
  <r>
    <n v="200"/>
    <x v="3"/>
    <x v="68"/>
    <x v="6"/>
    <s v="Percent change"/>
    <s v="Units"/>
    <x v="5"/>
    <n v="5.6"/>
  </r>
  <r>
    <n v="200"/>
    <x v="3"/>
    <x v="68"/>
    <x v="6"/>
    <s v="Percent change"/>
    <s v="Units"/>
    <x v="6"/>
    <n v="5.92"/>
  </r>
  <r>
    <n v="1"/>
    <x v="2"/>
    <x v="68"/>
    <x v="6"/>
    <s v="Percent change"/>
    <s v="Units"/>
    <x v="0"/>
    <n v="4.8570000000000002"/>
  </r>
  <r>
    <n v="1"/>
    <x v="2"/>
    <x v="68"/>
    <x v="6"/>
    <s v="Percent change"/>
    <s v="Units"/>
    <x v="1"/>
    <n v="-5.7569999999999997"/>
  </r>
  <r>
    <n v="1"/>
    <x v="2"/>
    <x v="68"/>
    <x v="6"/>
    <s v="Percent change"/>
    <s v="Units"/>
    <x v="2"/>
    <n v="19.486000000000001"/>
  </r>
  <r>
    <n v="1"/>
    <x v="2"/>
    <x v="68"/>
    <x v="6"/>
    <s v="Percent change"/>
    <s v="Units"/>
    <x v="3"/>
    <n v="4.3609999999999998"/>
  </r>
  <r>
    <n v="1"/>
    <x v="2"/>
    <x v="68"/>
    <x v="6"/>
    <s v="Percent change"/>
    <s v="Units"/>
    <x v="4"/>
    <n v="5.1619999999999999"/>
  </r>
  <r>
    <n v="1"/>
    <x v="2"/>
    <x v="68"/>
    <x v="6"/>
    <s v="Percent change"/>
    <s v="Units"/>
    <x v="5"/>
    <n v="5.6"/>
  </r>
  <r>
    <n v="1"/>
    <x v="2"/>
    <x v="68"/>
    <x v="6"/>
    <s v="Percent change"/>
    <s v="Units"/>
    <x v="6"/>
    <n v="5.92"/>
  </r>
  <r>
    <n v="205"/>
    <x v="7"/>
    <x v="68"/>
    <x v="6"/>
    <s v="Percent change"/>
    <s v="Units"/>
    <x v="0"/>
    <n v="4.8570000000000002"/>
  </r>
  <r>
    <n v="205"/>
    <x v="7"/>
    <x v="68"/>
    <x v="6"/>
    <s v="Percent change"/>
    <s v="Units"/>
    <x v="1"/>
    <n v="-5.7569999999999997"/>
  </r>
  <r>
    <n v="205"/>
    <x v="7"/>
    <x v="68"/>
    <x v="6"/>
    <s v="Percent change"/>
    <s v="Units"/>
    <x v="2"/>
    <n v="19.486000000000001"/>
  </r>
  <r>
    <n v="205"/>
    <x v="7"/>
    <x v="68"/>
    <x v="6"/>
    <s v="Percent change"/>
    <s v="Units"/>
    <x v="3"/>
    <n v="4.3609999999999998"/>
  </r>
  <r>
    <n v="205"/>
    <x v="7"/>
    <x v="68"/>
    <x v="6"/>
    <s v="Percent change"/>
    <s v="Units"/>
    <x v="4"/>
    <n v="5.1619999999999999"/>
  </r>
  <r>
    <n v="205"/>
    <x v="7"/>
    <x v="68"/>
    <x v="6"/>
    <s v="Percent change"/>
    <s v="Units"/>
    <x v="5"/>
    <n v="5.6"/>
  </r>
  <r>
    <n v="205"/>
    <x v="7"/>
    <x v="68"/>
    <x v="6"/>
    <s v="Percent change"/>
    <s v="Units"/>
    <x v="6"/>
    <n v="5.92"/>
  </r>
  <r>
    <n v="110"/>
    <x v="0"/>
    <x v="21"/>
    <x v="11"/>
    <s v="Percent of total labor force"/>
    <s v="Units"/>
    <x v="0"/>
    <n v="5.375"/>
  </r>
  <r>
    <n v="110"/>
    <x v="0"/>
    <x v="21"/>
    <x v="11"/>
    <s v="Percent of total labor force"/>
    <s v="Units"/>
    <x v="1"/>
    <n v="5.5750000000000002"/>
  </r>
  <r>
    <n v="110"/>
    <x v="0"/>
    <x v="21"/>
    <x v="11"/>
    <s v="Percent of total labor force"/>
    <s v="Units"/>
    <x v="2"/>
    <n v="6.2670000000000003"/>
  </r>
  <r>
    <n v="110"/>
    <x v="0"/>
    <x v="21"/>
    <x v="11"/>
    <s v="Percent of total labor force"/>
    <s v="Units"/>
    <x v="3"/>
    <n v="5.5579999999999998"/>
  </r>
  <r>
    <n v="110"/>
    <x v="0"/>
    <x v="21"/>
    <x v="11"/>
    <s v="Percent of total labor force"/>
    <s v="Units"/>
    <x v="4"/>
    <n v="5.5330000000000004"/>
  </r>
  <r>
    <n v="110"/>
    <x v="0"/>
    <x v="21"/>
    <x v="11"/>
    <s v="Percent of total labor force"/>
    <s v="Units"/>
    <x v="5"/>
    <n v="5.5140000000000002"/>
  </r>
  <r>
    <n v="110"/>
    <x v="0"/>
    <x v="21"/>
    <x v="11"/>
    <s v="Percent of total labor force"/>
    <s v="Units"/>
    <x v="6"/>
    <n v="5.468"/>
  </r>
  <r>
    <n v="163"/>
    <x v="5"/>
    <x v="21"/>
    <x v="11"/>
    <s v="Percent of total labor force"/>
    <s v="Units"/>
    <x v="0"/>
    <n v="5.375"/>
  </r>
  <r>
    <n v="163"/>
    <x v="5"/>
    <x v="21"/>
    <x v="11"/>
    <s v="Percent of total labor force"/>
    <s v="Units"/>
    <x v="1"/>
    <n v="5.5750000000000002"/>
  </r>
  <r>
    <n v="163"/>
    <x v="5"/>
    <x v="21"/>
    <x v="11"/>
    <s v="Percent of total labor force"/>
    <s v="Units"/>
    <x v="2"/>
    <n v="6.2670000000000003"/>
  </r>
  <r>
    <n v="163"/>
    <x v="5"/>
    <x v="21"/>
    <x v="11"/>
    <s v="Percent of total labor force"/>
    <s v="Units"/>
    <x v="3"/>
    <n v="5.5579999999999998"/>
  </r>
  <r>
    <n v="163"/>
    <x v="5"/>
    <x v="21"/>
    <x v="11"/>
    <s v="Percent of total labor force"/>
    <s v="Units"/>
    <x v="4"/>
    <n v="5.5330000000000004"/>
  </r>
  <r>
    <n v="163"/>
    <x v="5"/>
    <x v="21"/>
    <x v="11"/>
    <s v="Percent of total labor force"/>
    <s v="Units"/>
    <x v="5"/>
    <n v="5.5140000000000002"/>
  </r>
  <r>
    <n v="163"/>
    <x v="5"/>
    <x v="21"/>
    <x v="11"/>
    <s v="Percent of total labor force"/>
    <s v="Units"/>
    <x v="6"/>
    <n v="5.468"/>
  </r>
  <r>
    <n v="1"/>
    <x v="2"/>
    <x v="85"/>
    <x v="8"/>
    <s v="Percent change"/>
    <s v="Units"/>
    <x v="0"/>
    <n v="6.915"/>
  </r>
  <r>
    <n v="1"/>
    <x v="2"/>
    <x v="85"/>
    <x v="8"/>
    <s v="Percent change"/>
    <s v="Units"/>
    <x v="1"/>
    <n v="4.5350000000000001"/>
  </r>
  <r>
    <n v="1"/>
    <x v="2"/>
    <x v="85"/>
    <x v="8"/>
    <s v="Percent change"/>
    <s v="Units"/>
    <x v="2"/>
    <n v="4.8380000000000001"/>
  </r>
  <r>
    <n v="1"/>
    <x v="2"/>
    <x v="85"/>
    <x v="8"/>
    <s v="Percent change"/>
    <s v="Units"/>
    <x v="3"/>
    <n v="4.68"/>
  </r>
  <r>
    <n v="1"/>
    <x v="2"/>
    <x v="85"/>
    <x v="8"/>
    <s v="Percent change"/>
    <s v="Units"/>
    <x v="4"/>
    <n v="5.0229999999999997"/>
  </r>
  <r>
    <n v="1"/>
    <x v="2"/>
    <x v="85"/>
    <x v="8"/>
    <s v="Percent change"/>
    <s v="Units"/>
    <x v="5"/>
    <n v="5.5030000000000001"/>
  </r>
  <r>
    <n v="1"/>
    <x v="2"/>
    <x v="85"/>
    <x v="8"/>
    <s v="Percent change"/>
    <s v="Units"/>
    <x v="6"/>
    <n v="5.9989999999999997"/>
  </r>
  <r>
    <n v="603"/>
    <x v="12"/>
    <x v="85"/>
    <x v="8"/>
    <s v="Percent change"/>
    <s v="Units"/>
    <x v="0"/>
    <n v="6.915"/>
  </r>
  <r>
    <n v="603"/>
    <x v="12"/>
    <x v="85"/>
    <x v="8"/>
    <s v="Percent change"/>
    <s v="Units"/>
    <x v="1"/>
    <n v="4.5350000000000001"/>
  </r>
  <r>
    <n v="603"/>
    <x v="12"/>
    <x v="85"/>
    <x v="8"/>
    <s v="Percent change"/>
    <s v="Units"/>
    <x v="2"/>
    <n v="4.8380000000000001"/>
  </r>
  <r>
    <n v="603"/>
    <x v="12"/>
    <x v="85"/>
    <x v="8"/>
    <s v="Percent change"/>
    <s v="Units"/>
    <x v="3"/>
    <n v="4.68"/>
  </r>
  <r>
    <n v="603"/>
    <x v="12"/>
    <x v="85"/>
    <x v="8"/>
    <s v="Percent change"/>
    <s v="Units"/>
    <x v="4"/>
    <n v="5.0229999999999997"/>
  </r>
  <r>
    <n v="603"/>
    <x v="12"/>
    <x v="85"/>
    <x v="8"/>
    <s v="Percent change"/>
    <s v="Units"/>
    <x v="5"/>
    <n v="5.5030000000000001"/>
  </r>
  <r>
    <n v="603"/>
    <x v="12"/>
    <x v="85"/>
    <x v="8"/>
    <s v="Percent change"/>
    <s v="Units"/>
    <x v="6"/>
    <n v="5.9989999999999997"/>
  </r>
  <r>
    <n v="200"/>
    <x v="3"/>
    <x v="85"/>
    <x v="8"/>
    <s v="Percent change"/>
    <s v="Units"/>
    <x v="0"/>
    <n v="6.915"/>
  </r>
  <r>
    <n v="200"/>
    <x v="3"/>
    <x v="85"/>
    <x v="8"/>
    <s v="Percent change"/>
    <s v="Units"/>
    <x v="1"/>
    <n v="4.5350000000000001"/>
  </r>
  <r>
    <n v="200"/>
    <x v="3"/>
    <x v="85"/>
    <x v="8"/>
    <s v="Percent change"/>
    <s v="Units"/>
    <x v="2"/>
    <n v="4.8380000000000001"/>
  </r>
  <r>
    <n v="200"/>
    <x v="3"/>
    <x v="85"/>
    <x v="8"/>
    <s v="Percent change"/>
    <s v="Units"/>
    <x v="3"/>
    <n v="4.68"/>
  </r>
  <r>
    <n v="200"/>
    <x v="3"/>
    <x v="85"/>
    <x v="8"/>
    <s v="Percent change"/>
    <s v="Units"/>
    <x v="4"/>
    <n v="5.0229999999999997"/>
  </r>
  <r>
    <n v="200"/>
    <x v="3"/>
    <x v="85"/>
    <x v="8"/>
    <s v="Percent change"/>
    <s v="Units"/>
    <x v="5"/>
    <n v="5.5030000000000001"/>
  </r>
  <r>
    <n v="200"/>
    <x v="3"/>
    <x v="85"/>
    <x v="8"/>
    <s v="Percent change"/>
    <s v="Units"/>
    <x v="6"/>
    <n v="5.9989999999999997"/>
  </r>
  <r>
    <n v="1"/>
    <x v="2"/>
    <x v="163"/>
    <x v="6"/>
    <s v="Percent change"/>
    <s v="Units"/>
    <x v="0"/>
    <n v="1.7669999999999999"/>
  </r>
  <r>
    <n v="1"/>
    <x v="2"/>
    <x v="163"/>
    <x v="6"/>
    <s v="Percent change"/>
    <s v="Units"/>
    <x v="1"/>
    <n v="8.4260000000000002"/>
  </r>
  <r>
    <n v="1"/>
    <x v="2"/>
    <x v="163"/>
    <x v="6"/>
    <s v="Percent change"/>
    <s v="Units"/>
    <x v="2"/>
    <n v="6.1310000000000002"/>
  </r>
  <r>
    <n v="1"/>
    <x v="2"/>
    <x v="163"/>
    <x v="6"/>
    <s v="Percent change"/>
    <s v="Units"/>
    <x v="3"/>
    <n v="9.0860000000000003"/>
  </r>
  <r>
    <n v="1"/>
    <x v="2"/>
    <x v="163"/>
    <x v="6"/>
    <s v="Percent change"/>
    <s v="Units"/>
    <x v="4"/>
    <n v="5.665"/>
  </r>
  <r>
    <n v="1"/>
    <x v="2"/>
    <x v="163"/>
    <x v="6"/>
    <s v="Percent change"/>
    <s v="Units"/>
    <x v="5"/>
    <n v="5.4989999999999997"/>
  </r>
  <r>
    <n v="1"/>
    <x v="2"/>
    <x v="163"/>
    <x v="6"/>
    <s v="Percent change"/>
    <s v="Units"/>
    <x v="6"/>
    <n v="4.9009999999999998"/>
  </r>
  <r>
    <n v="603"/>
    <x v="12"/>
    <x v="163"/>
    <x v="6"/>
    <s v="Percent change"/>
    <s v="Units"/>
    <x v="0"/>
    <n v="1.7669999999999999"/>
  </r>
  <r>
    <n v="603"/>
    <x v="12"/>
    <x v="163"/>
    <x v="6"/>
    <s v="Percent change"/>
    <s v="Units"/>
    <x v="1"/>
    <n v="8.4260000000000002"/>
  </r>
  <r>
    <n v="603"/>
    <x v="12"/>
    <x v="163"/>
    <x v="6"/>
    <s v="Percent change"/>
    <s v="Units"/>
    <x v="2"/>
    <n v="6.1310000000000002"/>
  </r>
  <r>
    <n v="603"/>
    <x v="12"/>
    <x v="163"/>
    <x v="6"/>
    <s v="Percent change"/>
    <s v="Units"/>
    <x v="3"/>
    <n v="9.0860000000000003"/>
  </r>
  <r>
    <n v="603"/>
    <x v="12"/>
    <x v="163"/>
    <x v="6"/>
    <s v="Percent change"/>
    <s v="Units"/>
    <x v="4"/>
    <n v="5.665"/>
  </r>
  <r>
    <n v="603"/>
    <x v="12"/>
    <x v="163"/>
    <x v="6"/>
    <s v="Percent change"/>
    <s v="Units"/>
    <x v="5"/>
    <n v="5.4989999999999997"/>
  </r>
  <r>
    <n v="603"/>
    <x v="12"/>
    <x v="163"/>
    <x v="6"/>
    <s v="Percent change"/>
    <s v="Units"/>
    <x v="6"/>
    <n v="4.9009999999999998"/>
  </r>
  <r>
    <n v="200"/>
    <x v="3"/>
    <x v="163"/>
    <x v="6"/>
    <s v="Percent change"/>
    <s v="Units"/>
    <x v="0"/>
    <n v="1.7669999999999999"/>
  </r>
  <r>
    <n v="200"/>
    <x v="3"/>
    <x v="163"/>
    <x v="6"/>
    <s v="Percent change"/>
    <s v="Units"/>
    <x v="1"/>
    <n v="8.4260000000000002"/>
  </r>
  <r>
    <n v="200"/>
    <x v="3"/>
    <x v="163"/>
    <x v="6"/>
    <s v="Percent change"/>
    <s v="Units"/>
    <x v="2"/>
    <n v="6.1310000000000002"/>
  </r>
  <r>
    <n v="200"/>
    <x v="3"/>
    <x v="163"/>
    <x v="6"/>
    <s v="Percent change"/>
    <s v="Units"/>
    <x v="3"/>
    <n v="9.0860000000000003"/>
  </r>
  <r>
    <n v="200"/>
    <x v="3"/>
    <x v="163"/>
    <x v="6"/>
    <s v="Percent change"/>
    <s v="Units"/>
    <x v="4"/>
    <n v="5.665"/>
  </r>
  <r>
    <n v="200"/>
    <x v="3"/>
    <x v="163"/>
    <x v="6"/>
    <s v="Percent change"/>
    <s v="Units"/>
    <x v="5"/>
    <n v="5.4989999999999997"/>
  </r>
  <r>
    <n v="200"/>
    <x v="3"/>
    <x v="163"/>
    <x v="6"/>
    <s v="Percent change"/>
    <s v="Units"/>
    <x v="6"/>
    <n v="4.9009999999999998"/>
  </r>
  <r>
    <n v="110"/>
    <x v="0"/>
    <x v="38"/>
    <x v="4"/>
    <s v="Percent change"/>
    <s v="Units"/>
    <x v="0"/>
    <n v="-6.1459999999999999"/>
  </r>
  <r>
    <n v="110"/>
    <x v="0"/>
    <x v="38"/>
    <x v="4"/>
    <s v="Percent change"/>
    <s v="Units"/>
    <x v="1"/>
    <n v="-6.681"/>
  </r>
  <r>
    <n v="110"/>
    <x v="0"/>
    <x v="38"/>
    <x v="4"/>
    <s v="Percent change"/>
    <s v="Units"/>
    <x v="2"/>
    <n v="17.036999999999999"/>
  </r>
  <r>
    <n v="110"/>
    <x v="0"/>
    <x v="38"/>
    <x v="4"/>
    <s v="Percent change"/>
    <s v="Units"/>
    <x v="3"/>
    <n v="-12.535"/>
  </r>
  <r>
    <n v="110"/>
    <x v="0"/>
    <x v="38"/>
    <x v="4"/>
    <s v="Percent change"/>
    <s v="Units"/>
    <x v="4"/>
    <n v="-6.5330000000000004"/>
  </r>
  <r>
    <n v="110"/>
    <x v="0"/>
    <x v="38"/>
    <x v="4"/>
    <s v="Percent change"/>
    <s v="Units"/>
    <x v="5"/>
    <n v="5.4909999999999997"/>
  </r>
  <r>
    <n v="110"/>
    <x v="0"/>
    <x v="38"/>
    <x v="4"/>
    <s v="Percent change"/>
    <s v="Units"/>
    <x v="6"/>
    <n v="4.1520000000000001"/>
  </r>
  <r>
    <n v="123"/>
    <x v="9"/>
    <x v="38"/>
    <x v="4"/>
    <s v="Percent change"/>
    <s v="Units"/>
    <x v="0"/>
    <n v="-6.1459999999999999"/>
  </r>
  <r>
    <n v="123"/>
    <x v="9"/>
    <x v="38"/>
    <x v="4"/>
    <s v="Percent change"/>
    <s v="Units"/>
    <x v="1"/>
    <n v="-6.681"/>
  </r>
  <r>
    <n v="123"/>
    <x v="9"/>
    <x v="38"/>
    <x v="4"/>
    <s v="Percent change"/>
    <s v="Units"/>
    <x v="2"/>
    <n v="17.036999999999999"/>
  </r>
  <r>
    <n v="123"/>
    <x v="9"/>
    <x v="38"/>
    <x v="4"/>
    <s v="Percent change"/>
    <s v="Units"/>
    <x v="3"/>
    <n v="-12.535"/>
  </r>
  <r>
    <n v="123"/>
    <x v="9"/>
    <x v="38"/>
    <x v="4"/>
    <s v="Percent change"/>
    <s v="Units"/>
    <x v="4"/>
    <n v="-6.5330000000000004"/>
  </r>
  <r>
    <n v="123"/>
    <x v="9"/>
    <x v="38"/>
    <x v="4"/>
    <s v="Percent change"/>
    <s v="Units"/>
    <x v="5"/>
    <n v="5.4909999999999997"/>
  </r>
  <r>
    <n v="123"/>
    <x v="9"/>
    <x v="38"/>
    <x v="4"/>
    <s v="Percent change"/>
    <s v="Units"/>
    <x v="6"/>
    <n v="4.1520000000000001"/>
  </r>
  <r>
    <n v="1"/>
    <x v="2"/>
    <x v="38"/>
    <x v="4"/>
    <s v="Percent change"/>
    <s v="Units"/>
    <x v="0"/>
    <n v="-6.1459999999999999"/>
  </r>
  <r>
    <n v="1"/>
    <x v="2"/>
    <x v="38"/>
    <x v="4"/>
    <s v="Percent change"/>
    <s v="Units"/>
    <x v="1"/>
    <n v="-6.681"/>
  </r>
  <r>
    <n v="1"/>
    <x v="2"/>
    <x v="38"/>
    <x v="4"/>
    <s v="Percent change"/>
    <s v="Units"/>
    <x v="2"/>
    <n v="17.036999999999999"/>
  </r>
  <r>
    <n v="1"/>
    <x v="2"/>
    <x v="38"/>
    <x v="4"/>
    <s v="Percent change"/>
    <s v="Units"/>
    <x v="3"/>
    <n v="-12.535"/>
  </r>
  <r>
    <n v="1"/>
    <x v="2"/>
    <x v="38"/>
    <x v="4"/>
    <s v="Percent change"/>
    <s v="Units"/>
    <x v="4"/>
    <n v="-6.5330000000000004"/>
  </r>
  <r>
    <n v="1"/>
    <x v="2"/>
    <x v="38"/>
    <x v="4"/>
    <s v="Percent change"/>
    <s v="Units"/>
    <x v="5"/>
    <n v="5.4909999999999997"/>
  </r>
  <r>
    <n v="1"/>
    <x v="2"/>
    <x v="38"/>
    <x v="4"/>
    <s v="Percent change"/>
    <s v="Units"/>
    <x v="6"/>
    <n v="4.1520000000000001"/>
  </r>
  <r>
    <n v="1"/>
    <x v="2"/>
    <x v="164"/>
    <x v="8"/>
    <s v="Percent change"/>
    <s v="Units"/>
    <x v="0"/>
    <n v="5.4859999999999998"/>
  </r>
  <r>
    <n v="1"/>
    <x v="2"/>
    <x v="164"/>
    <x v="8"/>
    <s v="Percent change"/>
    <s v="Units"/>
    <x v="1"/>
    <n v="1.9219999999999999"/>
  </r>
  <r>
    <n v="1"/>
    <x v="2"/>
    <x v="164"/>
    <x v="8"/>
    <s v="Percent change"/>
    <s v="Units"/>
    <x v="2"/>
    <n v="6.9379999999999997"/>
  </r>
  <r>
    <n v="1"/>
    <x v="2"/>
    <x v="164"/>
    <x v="8"/>
    <s v="Percent change"/>
    <s v="Units"/>
    <x v="3"/>
    <n v="1.78"/>
  </r>
  <r>
    <n v="1"/>
    <x v="2"/>
    <x v="164"/>
    <x v="8"/>
    <s v="Percent change"/>
    <s v="Units"/>
    <x v="4"/>
    <n v="3.5609999999999999"/>
  </r>
  <r>
    <n v="1"/>
    <x v="2"/>
    <x v="164"/>
    <x v="8"/>
    <s v="Percent change"/>
    <s v="Units"/>
    <x v="5"/>
    <n v="5.4640000000000004"/>
  </r>
  <r>
    <n v="1"/>
    <x v="2"/>
    <x v="164"/>
    <x v="8"/>
    <s v="Percent change"/>
    <s v="Units"/>
    <x v="6"/>
    <n v="5.7930000000000001"/>
  </r>
  <r>
    <n v="200"/>
    <x v="3"/>
    <x v="164"/>
    <x v="8"/>
    <s v="Percent change"/>
    <s v="Units"/>
    <x v="0"/>
    <n v="5.4859999999999998"/>
  </r>
  <r>
    <n v="200"/>
    <x v="3"/>
    <x v="164"/>
    <x v="8"/>
    <s v="Percent change"/>
    <s v="Units"/>
    <x v="1"/>
    <n v="1.9219999999999999"/>
  </r>
  <r>
    <n v="200"/>
    <x v="3"/>
    <x v="164"/>
    <x v="8"/>
    <s v="Percent change"/>
    <s v="Units"/>
    <x v="2"/>
    <n v="6.9379999999999997"/>
  </r>
  <r>
    <n v="200"/>
    <x v="3"/>
    <x v="164"/>
    <x v="8"/>
    <s v="Percent change"/>
    <s v="Units"/>
    <x v="3"/>
    <n v="1.78"/>
  </r>
  <r>
    <n v="200"/>
    <x v="3"/>
    <x v="164"/>
    <x v="8"/>
    <s v="Percent change"/>
    <s v="Units"/>
    <x v="4"/>
    <n v="3.5609999999999999"/>
  </r>
  <r>
    <n v="200"/>
    <x v="3"/>
    <x v="164"/>
    <x v="8"/>
    <s v="Percent change"/>
    <s v="Units"/>
    <x v="5"/>
    <n v="5.4640000000000004"/>
  </r>
  <r>
    <n v="200"/>
    <x v="3"/>
    <x v="164"/>
    <x v="8"/>
    <s v="Percent change"/>
    <s v="Units"/>
    <x v="6"/>
    <n v="5.7930000000000001"/>
  </r>
  <r>
    <n v="603"/>
    <x v="12"/>
    <x v="164"/>
    <x v="8"/>
    <s v="Percent change"/>
    <s v="Units"/>
    <x v="0"/>
    <n v="5.4859999999999998"/>
  </r>
  <r>
    <n v="603"/>
    <x v="12"/>
    <x v="164"/>
    <x v="8"/>
    <s v="Percent change"/>
    <s v="Units"/>
    <x v="1"/>
    <n v="1.9219999999999999"/>
  </r>
  <r>
    <n v="603"/>
    <x v="12"/>
    <x v="164"/>
    <x v="8"/>
    <s v="Percent change"/>
    <s v="Units"/>
    <x v="2"/>
    <n v="6.9379999999999997"/>
  </r>
  <r>
    <n v="603"/>
    <x v="12"/>
    <x v="164"/>
    <x v="8"/>
    <s v="Percent change"/>
    <s v="Units"/>
    <x v="3"/>
    <n v="1.78"/>
  </r>
  <r>
    <n v="603"/>
    <x v="12"/>
    <x v="164"/>
    <x v="8"/>
    <s v="Percent change"/>
    <s v="Units"/>
    <x v="4"/>
    <n v="3.5609999999999999"/>
  </r>
  <r>
    <n v="603"/>
    <x v="12"/>
    <x v="164"/>
    <x v="8"/>
    <s v="Percent change"/>
    <s v="Units"/>
    <x v="5"/>
    <n v="5.4640000000000004"/>
  </r>
  <r>
    <n v="603"/>
    <x v="12"/>
    <x v="164"/>
    <x v="8"/>
    <s v="Percent change"/>
    <s v="Units"/>
    <x v="6"/>
    <n v="5.7930000000000001"/>
  </r>
  <r>
    <n v="1"/>
    <x v="2"/>
    <x v="85"/>
    <x v="4"/>
    <s v="Percent change"/>
    <s v="Units"/>
    <x v="0"/>
    <n v="12.813000000000001"/>
  </r>
  <r>
    <n v="1"/>
    <x v="2"/>
    <x v="85"/>
    <x v="4"/>
    <s v="Percent change"/>
    <s v="Units"/>
    <x v="1"/>
    <n v="2.2200000000000002"/>
  </r>
  <r>
    <n v="1"/>
    <x v="2"/>
    <x v="85"/>
    <x v="4"/>
    <s v="Percent change"/>
    <s v="Units"/>
    <x v="2"/>
    <n v="1.8420000000000001"/>
  </r>
  <r>
    <n v="1"/>
    <x v="2"/>
    <x v="85"/>
    <x v="4"/>
    <s v="Percent change"/>
    <s v="Units"/>
    <x v="3"/>
    <n v="4.0469999999999997"/>
  </r>
  <r>
    <n v="1"/>
    <x v="2"/>
    <x v="85"/>
    <x v="4"/>
    <s v="Percent change"/>
    <s v="Units"/>
    <x v="4"/>
    <n v="5.5309999999999997"/>
  </r>
  <r>
    <n v="1"/>
    <x v="2"/>
    <x v="85"/>
    <x v="4"/>
    <s v="Percent change"/>
    <s v="Units"/>
    <x v="5"/>
    <n v="5.444"/>
  </r>
  <r>
    <n v="1"/>
    <x v="2"/>
    <x v="85"/>
    <x v="4"/>
    <s v="Percent change"/>
    <s v="Units"/>
    <x v="6"/>
    <n v="7.3129999999999997"/>
  </r>
  <r>
    <n v="200"/>
    <x v="3"/>
    <x v="85"/>
    <x v="4"/>
    <s v="Percent change"/>
    <s v="Units"/>
    <x v="0"/>
    <n v="12.813000000000001"/>
  </r>
  <r>
    <n v="200"/>
    <x v="3"/>
    <x v="85"/>
    <x v="4"/>
    <s v="Percent change"/>
    <s v="Units"/>
    <x v="1"/>
    <n v="2.2200000000000002"/>
  </r>
  <r>
    <n v="200"/>
    <x v="3"/>
    <x v="85"/>
    <x v="4"/>
    <s v="Percent change"/>
    <s v="Units"/>
    <x v="2"/>
    <n v="1.8420000000000001"/>
  </r>
  <r>
    <n v="200"/>
    <x v="3"/>
    <x v="85"/>
    <x v="4"/>
    <s v="Percent change"/>
    <s v="Units"/>
    <x v="3"/>
    <n v="4.0469999999999997"/>
  </r>
  <r>
    <n v="200"/>
    <x v="3"/>
    <x v="85"/>
    <x v="4"/>
    <s v="Percent change"/>
    <s v="Units"/>
    <x v="4"/>
    <n v="5.5309999999999997"/>
  </r>
  <r>
    <n v="200"/>
    <x v="3"/>
    <x v="85"/>
    <x v="4"/>
    <s v="Percent change"/>
    <s v="Units"/>
    <x v="5"/>
    <n v="5.444"/>
  </r>
  <r>
    <n v="200"/>
    <x v="3"/>
    <x v="85"/>
    <x v="4"/>
    <s v="Percent change"/>
    <s v="Units"/>
    <x v="6"/>
    <n v="7.3129999999999997"/>
  </r>
  <r>
    <n v="603"/>
    <x v="12"/>
    <x v="85"/>
    <x v="4"/>
    <s v="Percent change"/>
    <s v="Units"/>
    <x v="0"/>
    <n v="12.813000000000001"/>
  </r>
  <r>
    <n v="603"/>
    <x v="12"/>
    <x v="85"/>
    <x v="4"/>
    <s v="Percent change"/>
    <s v="Units"/>
    <x v="1"/>
    <n v="2.2200000000000002"/>
  </r>
  <r>
    <n v="603"/>
    <x v="12"/>
    <x v="85"/>
    <x v="4"/>
    <s v="Percent change"/>
    <s v="Units"/>
    <x v="2"/>
    <n v="1.8420000000000001"/>
  </r>
  <r>
    <n v="603"/>
    <x v="12"/>
    <x v="85"/>
    <x v="4"/>
    <s v="Percent change"/>
    <s v="Units"/>
    <x v="3"/>
    <n v="4.0469999999999997"/>
  </r>
  <r>
    <n v="603"/>
    <x v="12"/>
    <x v="85"/>
    <x v="4"/>
    <s v="Percent change"/>
    <s v="Units"/>
    <x v="4"/>
    <n v="5.5309999999999997"/>
  </r>
  <r>
    <n v="603"/>
    <x v="12"/>
    <x v="85"/>
    <x v="4"/>
    <s v="Percent change"/>
    <s v="Units"/>
    <x v="5"/>
    <n v="5.444"/>
  </r>
  <r>
    <n v="603"/>
    <x v="12"/>
    <x v="85"/>
    <x v="4"/>
    <s v="Percent change"/>
    <s v="Units"/>
    <x v="6"/>
    <n v="7.3129999999999997"/>
  </r>
  <r>
    <n v="505"/>
    <x v="4"/>
    <x v="107"/>
    <x v="1"/>
    <s v="Percent change"/>
    <s v="Units"/>
    <x v="0"/>
    <n v="3.286"/>
  </r>
  <r>
    <n v="505"/>
    <x v="4"/>
    <x v="107"/>
    <x v="1"/>
    <s v="Percent change"/>
    <s v="Units"/>
    <x v="1"/>
    <n v="0.42299999999999999"/>
  </r>
  <r>
    <n v="505"/>
    <x v="4"/>
    <x v="107"/>
    <x v="1"/>
    <s v="Percent change"/>
    <s v="Units"/>
    <x v="2"/>
    <n v="1.4139999999999999"/>
  </r>
  <r>
    <n v="505"/>
    <x v="4"/>
    <x v="107"/>
    <x v="1"/>
    <s v="Percent change"/>
    <s v="Units"/>
    <x v="3"/>
    <n v="8.52"/>
  </r>
  <r>
    <n v="505"/>
    <x v="4"/>
    <x v="107"/>
    <x v="1"/>
    <s v="Percent change"/>
    <s v="Units"/>
    <x v="4"/>
    <n v="10.170999999999999"/>
  </r>
  <r>
    <n v="505"/>
    <x v="4"/>
    <x v="107"/>
    <x v="1"/>
    <s v="Percent change"/>
    <s v="Units"/>
    <x v="5"/>
    <n v="5.42"/>
  </r>
  <r>
    <n v="505"/>
    <x v="4"/>
    <x v="107"/>
    <x v="1"/>
    <s v="Percent change"/>
    <s v="Units"/>
    <x v="6"/>
    <n v="4.1500000000000004"/>
  </r>
  <r>
    <n v="1"/>
    <x v="2"/>
    <x v="107"/>
    <x v="1"/>
    <s v="Percent change"/>
    <s v="Units"/>
    <x v="0"/>
    <n v="3.286"/>
  </r>
  <r>
    <n v="1"/>
    <x v="2"/>
    <x v="107"/>
    <x v="1"/>
    <s v="Percent change"/>
    <s v="Units"/>
    <x v="1"/>
    <n v="0.42299999999999999"/>
  </r>
  <r>
    <n v="1"/>
    <x v="2"/>
    <x v="107"/>
    <x v="1"/>
    <s v="Percent change"/>
    <s v="Units"/>
    <x v="2"/>
    <n v="1.4139999999999999"/>
  </r>
  <r>
    <n v="1"/>
    <x v="2"/>
    <x v="107"/>
    <x v="1"/>
    <s v="Percent change"/>
    <s v="Units"/>
    <x v="3"/>
    <n v="8.52"/>
  </r>
  <r>
    <n v="1"/>
    <x v="2"/>
    <x v="107"/>
    <x v="1"/>
    <s v="Percent change"/>
    <s v="Units"/>
    <x v="4"/>
    <n v="10.170999999999999"/>
  </r>
  <r>
    <n v="1"/>
    <x v="2"/>
    <x v="107"/>
    <x v="1"/>
    <s v="Percent change"/>
    <s v="Units"/>
    <x v="5"/>
    <n v="5.42"/>
  </r>
  <r>
    <n v="1"/>
    <x v="2"/>
    <x v="107"/>
    <x v="1"/>
    <s v="Percent change"/>
    <s v="Units"/>
    <x v="6"/>
    <n v="4.1500000000000004"/>
  </r>
  <r>
    <n v="200"/>
    <x v="3"/>
    <x v="107"/>
    <x v="1"/>
    <s v="Percent change"/>
    <s v="Units"/>
    <x v="0"/>
    <n v="3.286"/>
  </r>
  <r>
    <n v="200"/>
    <x v="3"/>
    <x v="107"/>
    <x v="1"/>
    <s v="Percent change"/>
    <s v="Units"/>
    <x v="1"/>
    <n v="0.42299999999999999"/>
  </r>
  <r>
    <n v="200"/>
    <x v="3"/>
    <x v="107"/>
    <x v="1"/>
    <s v="Percent change"/>
    <s v="Units"/>
    <x v="2"/>
    <n v="1.4139999999999999"/>
  </r>
  <r>
    <n v="200"/>
    <x v="3"/>
    <x v="107"/>
    <x v="1"/>
    <s v="Percent change"/>
    <s v="Units"/>
    <x v="3"/>
    <n v="8.52"/>
  </r>
  <r>
    <n v="200"/>
    <x v="3"/>
    <x v="107"/>
    <x v="1"/>
    <s v="Percent change"/>
    <s v="Units"/>
    <x v="4"/>
    <n v="10.170999999999999"/>
  </r>
  <r>
    <n v="200"/>
    <x v="3"/>
    <x v="107"/>
    <x v="1"/>
    <s v="Percent change"/>
    <s v="Units"/>
    <x v="5"/>
    <n v="5.42"/>
  </r>
  <r>
    <n v="200"/>
    <x v="3"/>
    <x v="107"/>
    <x v="1"/>
    <s v="Percent change"/>
    <s v="Units"/>
    <x v="6"/>
    <n v="4.1500000000000004"/>
  </r>
  <r>
    <n v="400"/>
    <x v="11"/>
    <x v="42"/>
    <x v="5"/>
    <s v="Percent of GDP"/>
    <s v="Units"/>
    <x v="0"/>
    <n v="16.626999999999999"/>
  </r>
  <r>
    <n v="400"/>
    <x v="11"/>
    <x v="42"/>
    <x v="5"/>
    <s v="Percent of GDP"/>
    <s v="Units"/>
    <x v="1"/>
    <n v="13.076000000000001"/>
  </r>
  <r>
    <n v="400"/>
    <x v="11"/>
    <x v="42"/>
    <x v="5"/>
    <s v="Percent of GDP"/>
    <s v="Units"/>
    <x v="2"/>
    <n v="10.816000000000001"/>
  </r>
  <r>
    <n v="400"/>
    <x v="11"/>
    <x v="42"/>
    <x v="5"/>
    <s v="Percent of GDP"/>
    <s v="Units"/>
    <x v="3"/>
    <n v="13.536"/>
  </r>
  <r>
    <n v="400"/>
    <x v="11"/>
    <x v="42"/>
    <x v="5"/>
    <s v="Percent of GDP"/>
    <s v="Units"/>
    <x v="4"/>
    <n v="11.679"/>
  </r>
  <r>
    <n v="400"/>
    <x v="11"/>
    <x v="42"/>
    <x v="5"/>
    <s v="Percent of GDP"/>
    <s v="Units"/>
    <x v="5"/>
    <n v="5.4080000000000004"/>
  </r>
  <r>
    <n v="400"/>
    <x v="11"/>
    <x v="42"/>
    <x v="5"/>
    <s v="Percent of GDP"/>
    <s v="Units"/>
    <x v="6"/>
    <n v="8.8680000000000003"/>
  </r>
  <r>
    <n v="200"/>
    <x v="3"/>
    <x v="42"/>
    <x v="5"/>
    <s v="Percent of GDP"/>
    <s v="Units"/>
    <x v="0"/>
    <n v="16.626999999999999"/>
  </r>
  <r>
    <n v="200"/>
    <x v="3"/>
    <x v="42"/>
    <x v="5"/>
    <s v="Percent of GDP"/>
    <s v="Units"/>
    <x v="1"/>
    <n v="13.076000000000001"/>
  </r>
  <r>
    <n v="200"/>
    <x v="3"/>
    <x v="42"/>
    <x v="5"/>
    <s v="Percent of GDP"/>
    <s v="Units"/>
    <x v="2"/>
    <n v="10.816000000000001"/>
  </r>
  <r>
    <n v="200"/>
    <x v="3"/>
    <x v="42"/>
    <x v="5"/>
    <s v="Percent of GDP"/>
    <s v="Units"/>
    <x v="3"/>
    <n v="13.536"/>
  </r>
  <r>
    <n v="200"/>
    <x v="3"/>
    <x v="42"/>
    <x v="5"/>
    <s v="Percent of GDP"/>
    <s v="Units"/>
    <x v="4"/>
    <n v="11.679"/>
  </r>
  <r>
    <n v="200"/>
    <x v="3"/>
    <x v="42"/>
    <x v="5"/>
    <s v="Percent of GDP"/>
    <s v="Units"/>
    <x v="5"/>
    <n v="5.4080000000000004"/>
  </r>
  <r>
    <n v="200"/>
    <x v="3"/>
    <x v="42"/>
    <x v="5"/>
    <s v="Percent of GDP"/>
    <s v="Units"/>
    <x v="6"/>
    <n v="8.8680000000000003"/>
  </r>
  <r>
    <n v="1"/>
    <x v="2"/>
    <x v="42"/>
    <x v="5"/>
    <s v="Percent of GDP"/>
    <s v="Units"/>
    <x v="0"/>
    <n v="16.626999999999999"/>
  </r>
  <r>
    <n v="1"/>
    <x v="2"/>
    <x v="42"/>
    <x v="5"/>
    <s v="Percent of GDP"/>
    <s v="Units"/>
    <x v="1"/>
    <n v="13.076000000000001"/>
  </r>
  <r>
    <n v="1"/>
    <x v="2"/>
    <x v="42"/>
    <x v="5"/>
    <s v="Percent of GDP"/>
    <s v="Units"/>
    <x v="2"/>
    <n v="10.816000000000001"/>
  </r>
  <r>
    <n v="1"/>
    <x v="2"/>
    <x v="42"/>
    <x v="5"/>
    <s v="Percent of GDP"/>
    <s v="Units"/>
    <x v="3"/>
    <n v="13.536"/>
  </r>
  <r>
    <n v="1"/>
    <x v="2"/>
    <x v="42"/>
    <x v="5"/>
    <s v="Percent of GDP"/>
    <s v="Units"/>
    <x v="4"/>
    <n v="11.679"/>
  </r>
  <r>
    <n v="1"/>
    <x v="2"/>
    <x v="42"/>
    <x v="5"/>
    <s v="Percent of GDP"/>
    <s v="Units"/>
    <x v="5"/>
    <n v="5.4080000000000004"/>
  </r>
  <r>
    <n v="1"/>
    <x v="2"/>
    <x v="42"/>
    <x v="5"/>
    <s v="Percent of GDP"/>
    <s v="Units"/>
    <x v="6"/>
    <n v="8.8680000000000003"/>
  </r>
  <r>
    <n v="200"/>
    <x v="3"/>
    <x v="121"/>
    <x v="4"/>
    <s v="Percent change"/>
    <s v="Units"/>
    <x v="0"/>
    <n v="0.56200000000000006"/>
  </r>
  <r>
    <n v="200"/>
    <x v="3"/>
    <x v="121"/>
    <x v="4"/>
    <s v="Percent change"/>
    <s v="Units"/>
    <x v="1"/>
    <n v="-14.486000000000001"/>
  </r>
  <r>
    <n v="200"/>
    <x v="3"/>
    <x v="121"/>
    <x v="4"/>
    <s v="Percent change"/>
    <s v="Units"/>
    <x v="2"/>
    <n v="23.846"/>
  </r>
  <r>
    <n v="200"/>
    <x v="3"/>
    <x v="121"/>
    <x v="4"/>
    <s v="Percent change"/>
    <s v="Units"/>
    <x v="3"/>
    <n v="12.473000000000001"/>
  </r>
  <r>
    <n v="200"/>
    <x v="3"/>
    <x v="121"/>
    <x v="4"/>
    <s v="Percent change"/>
    <s v="Units"/>
    <x v="4"/>
    <n v="5.2560000000000002"/>
  </r>
  <r>
    <n v="200"/>
    <x v="3"/>
    <x v="121"/>
    <x v="4"/>
    <s v="Percent change"/>
    <s v="Units"/>
    <x v="5"/>
    <n v="5.4020000000000001"/>
  </r>
  <r>
    <n v="200"/>
    <x v="3"/>
    <x v="121"/>
    <x v="4"/>
    <s v="Percent change"/>
    <s v="Units"/>
    <x v="6"/>
    <n v="7.2729999999999997"/>
  </r>
  <r>
    <n v="903"/>
    <x v="8"/>
    <x v="121"/>
    <x v="4"/>
    <s v="Percent change"/>
    <s v="Units"/>
    <x v="0"/>
    <n v="0.56200000000000006"/>
  </r>
  <r>
    <n v="903"/>
    <x v="8"/>
    <x v="121"/>
    <x v="4"/>
    <s v="Percent change"/>
    <s v="Units"/>
    <x v="1"/>
    <n v="-14.486000000000001"/>
  </r>
  <r>
    <n v="903"/>
    <x v="8"/>
    <x v="121"/>
    <x v="4"/>
    <s v="Percent change"/>
    <s v="Units"/>
    <x v="2"/>
    <n v="23.846"/>
  </r>
  <r>
    <n v="903"/>
    <x v="8"/>
    <x v="121"/>
    <x v="4"/>
    <s v="Percent change"/>
    <s v="Units"/>
    <x v="3"/>
    <n v="12.473000000000001"/>
  </r>
  <r>
    <n v="903"/>
    <x v="8"/>
    <x v="121"/>
    <x v="4"/>
    <s v="Percent change"/>
    <s v="Units"/>
    <x v="4"/>
    <n v="5.2560000000000002"/>
  </r>
  <r>
    <n v="903"/>
    <x v="8"/>
    <x v="121"/>
    <x v="4"/>
    <s v="Percent change"/>
    <s v="Units"/>
    <x v="5"/>
    <n v="5.4020000000000001"/>
  </r>
  <r>
    <n v="903"/>
    <x v="8"/>
    <x v="121"/>
    <x v="4"/>
    <s v="Percent change"/>
    <s v="Units"/>
    <x v="6"/>
    <n v="7.2729999999999997"/>
  </r>
  <r>
    <n v="1"/>
    <x v="2"/>
    <x v="121"/>
    <x v="4"/>
    <s v="Percent change"/>
    <s v="Units"/>
    <x v="0"/>
    <n v="0.56200000000000006"/>
  </r>
  <r>
    <n v="1"/>
    <x v="2"/>
    <x v="121"/>
    <x v="4"/>
    <s v="Percent change"/>
    <s v="Units"/>
    <x v="1"/>
    <n v="-14.486000000000001"/>
  </r>
  <r>
    <n v="1"/>
    <x v="2"/>
    <x v="121"/>
    <x v="4"/>
    <s v="Percent change"/>
    <s v="Units"/>
    <x v="2"/>
    <n v="23.846"/>
  </r>
  <r>
    <n v="1"/>
    <x v="2"/>
    <x v="121"/>
    <x v="4"/>
    <s v="Percent change"/>
    <s v="Units"/>
    <x v="3"/>
    <n v="12.473000000000001"/>
  </r>
  <r>
    <n v="1"/>
    <x v="2"/>
    <x v="121"/>
    <x v="4"/>
    <s v="Percent change"/>
    <s v="Units"/>
    <x v="4"/>
    <n v="5.2560000000000002"/>
  </r>
  <r>
    <n v="1"/>
    <x v="2"/>
    <x v="121"/>
    <x v="4"/>
    <s v="Percent change"/>
    <s v="Units"/>
    <x v="5"/>
    <n v="5.4020000000000001"/>
  </r>
  <r>
    <n v="1"/>
    <x v="2"/>
    <x v="121"/>
    <x v="4"/>
    <s v="Percent change"/>
    <s v="Units"/>
    <x v="6"/>
    <n v="7.2729999999999997"/>
  </r>
  <r>
    <n v="163"/>
    <x v="5"/>
    <x v="27"/>
    <x v="11"/>
    <s v="Percent of total labor force"/>
    <s v="Units"/>
    <x v="0"/>
    <n v="4.8079999999999998"/>
  </r>
  <r>
    <n v="163"/>
    <x v="5"/>
    <x v="27"/>
    <x v="11"/>
    <s v="Percent of total labor force"/>
    <s v="Units"/>
    <x v="1"/>
    <n v="5.4749999999999996"/>
  </r>
  <r>
    <n v="163"/>
    <x v="5"/>
    <x v="27"/>
    <x v="11"/>
    <s v="Percent of total labor force"/>
    <s v="Units"/>
    <x v="2"/>
    <n v="6.1749999999999998"/>
  </r>
  <r>
    <n v="163"/>
    <x v="5"/>
    <x v="27"/>
    <x v="11"/>
    <s v="Percent of total labor force"/>
    <s v="Units"/>
    <x v="3"/>
    <n v="4.7670000000000003"/>
  </r>
  <r>
    <n v="163"/>
    <x v="5"/>
    <x v="27"/>
    <x v="11"/>
    <s v="Percent of total labor force"/>
    <s v="Units"/>
    <x v="4"/>
    <n v="5.0999999999999996"/>
  </r>
  <r>
    <n v="163"/>
    <x v="5"/>
    <x v="27"/>
    <x v="11"/>
    <s v="Percent of total labor force"/>
    <s v="Units"/>
    <x v="5"/>
    <n v="5.3979999999999997"/>
  </r>
  <r>
    <n v="163"/>
    <x v="5"/>
    <x v="27"/>
    <x v="11"/>
    <s v="Percent of total labor force"/>
    <s v="Units"/>
    <x v="6"/>
    <n v="5.2030000000000003"/>
  </r>
  <r>
    <n v="110"/>
    <x v="0"/>
    <x v="27"/>
    <x v="11"/>
    <s v="Percent of total labor force"/>
    <s v="Units"/>
    <x v="0"/>
    <n v="4.8079999999999998"/>
  </r>
  <r>
    <n v="110"/>
    <x v="0"/>
    <x v="27"/>
    <x v="11"/>
    <s v="Percent of total labor force"/>
    <s v="Units"/>
    <x v="1"/>
    <n v="5.4749999999999996"/>
  </r>
  <r>
    <n v="110"/>
    <x v="0"/>
    <x v="27"/>
    <x v="11"/>
    <s v="Percent of total labor force"/>
    <s v="Units"/>
    <x v="2"/>
    <n v="6.1749999999999998"/>
  </r>
  <r>
    <n v="110"/>
    <x v="0"/>
    <x v="27"/>
    <x v="11"/>
    <s v="Percent of total labor force"/>
    <s v="Units"/>
    <x v="3"/>
    <n v="4.7670000000000003"/>
  </r>
  <r>
    <n v="110"/>
    <x v="0"/>
    <x v="27"/>
    <x v="11"/>
    <s v="Percent of total labor force"/>
    <s v="Units"/>
    <x v="4"/>
    <n v="5.0999999999999996"/>
  </r>
  <r>
    <n v="110"/>
    <x v="0"/>
    <x v="27"/>
    <x v="11"/>
    <s v="Percent of total labor force"/>
    <s v="Units"/>
    <x v="5"/>
    <n v="5.3979999999999997"/>
  </r>
  <r>
    <n v="110"/>
    <x v="0"/>
    <x v="27"/>
    <x v="11"/>
    <s v="Percent of total labor force"/>
    <s v="Units"/>
    <x v="6"/>
    <n v="5.2030000000000003"/>
  </r>
  <r>
    <n v="400"/>
    <x v="11"/>
    <x v="187"/>
    <x v="7"/>
    <s v="Percent of GDP"/>
    <s v="Units"/>
    <x v="0"/>
    <n v="6.468"/>
  </r>
  <r>
    <n v="400"/>
    <x v="11"/>
    <x v="187"/>
    <x v="7"/>
    <s v="Percent of GDP"/>
    <s v="Units"/>
    <x v="1"/>
    <n v="5.6109999999999998"/>
  </r>
  <r>
    <n v="400"/>
    <x v="11"/>
    <x v="187"/>
    <x v="7"/>
    <s v="Percent of GDP"/>
    <s v="Units"/>
    <x v="2"/>
    <n v="5.6139999999999999"/>
  </r>
  <r>
    <n v="400"/>
    <x v="11"/>
    <x v="187"/>
    <x v="7"/>
    <s v="Percent of GDP"/>
    <s v="Units"/>
    <x v="3"/>
    <n v="5.4180000000000001"/>
  </r>
  <r>
    <n v="400"/>
    <x v="11"/>
    <x v="187"/>
    <x v="7"/>
    <s v="Percent of GDP"/>
    <s v="Units"/>
    <x v="4"/>
    <n v="5.4470000000000001"/>
  </r>
  <r>
    <n v="400"/>
    <x v="11"/>
    <x v="187"/>
    <x v="7"/>
    <s v="Percent of GDP"/>
    <s v="Units"/>
    <x v="5"/>
    <n v="5.3869999999999996"/>
  </r>
  <r>
    <n v="400"/>
    <x v="11"/>
    <x v="187"/>
    <x v="7"/>
    <s v="Percent of GDP"/>
    <s v="Units"/>
    <x v="6"/>
    <n v="6.0949999999999998"/>
  </r>
  <r>
    <n v="1"/>
    <x v="2"/>
    <x v="187"/>
    <x v="7"/>
    <s v="Percent of GDP"/>
    <s v="Units"/>
    <x v="0"/>
    <n v="6.468"/>
  </r>
  <r>
    <n v="1"/>
    <x v="2"/>
    <x v="187"/>
    <x v="7"/>
    <s v="Percent of GDP"/>
    <s v="Units"/>
    <x v="1"/>
    <n v="5.6109999999999998"/>
  </r>
  <r>
    <n v="1"/>
    <x v="2"/>
    <x v="187"/>
    <x v="7"/>
    <s v="Percent of GDP"/>
    <s v="Units"/>
    <x v="2"/>
    <n v="5.6139999999999999"/>
  </r>
  <r>
    <n v="1"/>
    <x v="2"/>
    <x v="187"/>
    <x v="7"/>
    <s v="Percent of GDP"/>
    <s v="Units"/>
    <x v="3"/>
    <n v="5.4180000000000001"/>
  </r>
  <r>
    <n v="1"/>
    <x v="2"/>
    <x v="187"/>
    <x v="7"/>
    <s v="Percent of GDP"/>
    <s v="Units"/>
    <x v="4"/>
    <n v="5.4470000000000001"/>
  </r>
  <r>
    <n v="1"/>
    <x v="2"/>
    <x v="187"/>
    <x v="7"/>
    <s v="Percent of GDP"/>
    <s v="Units"/>
    <x v="5"/>
    <n v="5.3869999999999996"/>
  </r>
  <r>
    <n v="1"/>
    <x v="2"/>
    <x v="187"/>
    <x v="7"/>
    <s v="Percent of GDP"/>
    <s v="Units"/>
    <x v="6"/>
    <n v="6.0949999999999998"/>
  </r>
  <r>
    <n v="200"/>
    <x v="3"/>
    <x v="187"/>
    <x v="7"/>
    <s v="Percent of GDP"/>
    <s v="Units"/>
    <x v="0"/>
    <n v="6.468"/>
  </r>
  <r>
    <n v="200"/>
    <x v="3"/>
    <x v="187"/>
    <x v="7"/>
    <s v="Percent of GDP"/>
    <s v="Units"/>
    <x v="1"/>
    <n v="5.6109999999999998"/>
  </r>
  <r>
    <n v="200"/>
    <x v="3"/>
    <x v="187"/>
    <x v="7"/>
    <s v="Percent of GDP"/>
    <s v="Units"/>
    <x v="2"/>
    <n v="5.6139999999999999"/>
  </r>
  <r>
    <n v="200"/>
    <x v="3"/>
    <x v="187"/>
    <x v="7"/>
    <s v="Percent of GDP"/>
    <s v="Units"/>
    <x v="3"/>
    <n v="5.4180000000000001"/>
  </r>
  <r>
    <n v="200"/>
    <x v="3"/>
    <x v="187"/>
    <x v="7"/>
    <s v="Percent of GDP"/>
    <s v="Units"/>
    <x v="4"/>
    <n v="5.4470000000000001"/>
  </r>
  <r>
    <n v="200"/>
    <x v="3"/>
    <x v="187"/>
    <x v="7"/>
    <s v="Percent of GDP"/>
    <s v="Units"/>
    <x v="5"/>
    <n v="5.3869999999999996"/>
  </r>
  <r>
    <n v="200"/>
    <x v="3"/>
    <x v="187"/>
    <x v="7"/>
    <s v="Percent of GDP"/>
    <s v="Units"/>
    <x v="6"/>
    <n v="6.0949999999999998"/>
  </r>
  <r>
    <n v="1"/>
    <x v="2"/>
    <x v="123"/>
    <x v="4"/>
    <s v="Percent change"/>
    <s v="Units"/>
    <x v="0"/>
    <n v="5.9580000000000002"/>
  </r>
  <r>
    <n v="1"/>
    <x v="2"/>
    <x v="123"/>
    <x v="4"/>
    <s v="Percent change"/>
    <s v="Units"/>
    <x v="1"/>
    <n v="-47.555"/>
  </r>
  <r>
    <n v="1"/>
    <x v="2"/>
    <x v="123"/>
    <x v="4"/>
    <s v="Percent change"/>
    <s v="Units"/>
    <x v="2"/>
    <n v="74.218000000000004"/>
  </r>
  <r>
    <n v="1"/>
    <x v="2"/>
    <x v="123"/>
    <x v="4"/>
    <s v="Percent change"/>
    <s v="Units"/>
    <x v="3"/>
    <n v="10.223000000000001"/>
  </r>
  <r>
    <n v="1"/>
    <x v="2"/>
    <x v="123"/>
    <x v="4"/>
    <s v="Percent change"/>
    <s v="Units"/>
    <x v="4"/>
    <n v="-0.98599999999999999"/>
  </r>
  <r>
    <n v="1"/>
    <x v="2"/>
    <x v="123"/>
    <x v="4"/>
    <s v="Percent change"/>
    <s v="Units"/>
    <x v="5"/>
    <n v="5.3730000000000002"/>
  </r>
  <r>
    <n v="1"/>
    <x v="2"/>
    <x v="123"/>
    <x v="4"/>
    <s v="Percent change"/>
    <s v="Units"/>
    <x v="6"/>
    <n v="16.963000000000001"/>
  </r>
  <r>
    <n v="200"/>
    <x v="3"/>
    <x v="123"/>
    <x v="4"/>
    <s v="Percent change"/>
    <s v="Units"/>
    <x v="0"/>
    <n v="5.9580000000000002"/>
  </r>
  <r>
    <n v="200"/>
    <x v="3"/>
    <x v="123"/>
    <x v="4"/>
    <s v="Percent change"/>
    <s v="Units"/>
    <x v="1"/>
    <n v="-47.555"/>
  </r>
  <r>
    <n v="200"/>
    <x v="3"/>
    <x v="123"/>
    <x v="4"/>
    <s v="Percent change"/>
    <s v="Units"/>
    <x v="2"/>
    <n v="74.218000000000004"/>
  </r>
  <r>
    <n v="200"/>
    <x v="3"/>
    <x v="123"/>
    <x v="4"/>
    <s v="Percent change"/>
    <s v="Units"/>
    <x v="3"/>
    <n v="10.223000000000001"/>
  </r>
  <r>
    <n v="200"/>
    <x v="3"/>
    <x v="123"/>
    <x v="4"/>
    <s v="Percent change"/>
    <s v="Units"/>
    <x v="4"/>
    <n v="-0.98599999999999999"/>
  </r>
  <r>
    <n v="200"/>
    <x v="3"/>
    <x v="123"/>
    <x v="4"/>
    <s v="Percent change"/>
    <s v="Units"/>
    <x v="5"/>
    <n v="5.3730000000000002"/>
  </r>
  <r>
    <n v="200"/>
    <x v="3"/>
    <x v="123"/>
    <x v="4"/>
    <s v="Percent change"/>
    <s v="Units"/>
    <x v="6"/>
    <n v="16.963000000000001"/>
  </r>
  <r>
    <n v="505"/>
    <x v="4"/>
    <x v="123"/>
    <x v="4"/>
    <s v="Percent change"/>
    <s v="Units"/>
    <x v="0"/>
    <n v="5.9580000000000002"/>
  </r>
  <r>
    <n v="505"/>
    <x v="4"/>
    <x v="123"/>
    <x v="4"/>
    <s v="Percent change"/>
    <s v="Units"/>
    <x v="1"/>
    <n v="-47.555"/>
  </r>
  <r>
    <n v="505"/>
    <x v="4"/>
    <x v="123"/>
    <x v="4"/>
    <s v="Percent change"/>
    <s v="Units"/>
    <x v="2"/>
    <n v="74.218000000000004"/>
  </r>
  <r>
    <n v="505"/>
    <x v="4"/>
    <x v="123"/>
    <x v="4"/>
    <s v="Percent change"/>
    <s v="Units"/>
    <x v="3"/>
    <n v="10.223000000000001"/>
  </r>
  <r>
    <n v="505"/>
    <x v="4"/>
    <x v="123"/>
    <x v="4"/>
    <s v="Percent change"/>
    <s v="Units"/>
    <x v="4"/>
    <n v="-0.98599999999999999"/>
  </r>
  <r>
    <n v="505"/>
    <x v="4"/>
    <x v="123"/>
    <x v="4"/>
    <s v="Percent change"/>
    <s v="Units"/>
    <x v="5"/>
    <n v="5.3730000000000002"/>
  </r>
  <r>
    <n v="505"/>
    <x v="4"/>
    <x v="123"/>
    <x v="4"/>
    <s v="Percent change"/>
    <s v="Units"/>
    <x v="6"/>
    <n v="16.963000000000001"/>
  </r>
  <r>
    <n v="205"/>
    <x v="7"/>
    <x v="63"/>
    <x v="8"/>
    <s v="Percent change"/>
    <s v="Units"/>
    <x v="0"/>
    <n v="5.0519999999999996"/>
  </r>
  <r>
    <n v="205"/>
    <x v="7"/>
    <x v="63"/>
    <x v="8"/>
    <s v="Percent change"/>
    <s v="Units"/>
    <x v="1"/>
    <n v="-6.72"/>
  </r>
  <r>
    <n v="205"/>
    <x v="7"/>
    <x v="63"/>
    <x v="8"/>
    <s v="Percent change"/>
    <s v="Units"/>
    <x v="2"/>
    <n v="12.272"/>
  </r>
  <r>
    <n v="205"/>
    <x v="7"/>
    <x v="63"/>
    <x v="8"/>
    <s v="Percent change"/>
    <s v="Units"/>
    <x v="3"/>
    <n v="4.8579999999999997"/>
  </r>
  <r>
    <n v="205"/>
    <x v="7"/>
    <x v="63"/>
    <x v="8"/>
    <s v="Percent change"/>
    <s v="Units"/>
    <x v="4"/>
    <n v="2.4089999999999998"/>
  </r>
  <r>
    <n v="205"/>
    <x v="7"/>
    <x v="63"/>
    <x v="8"/>
    <s v="Percent change"/>
    <s v="Units"/>
    <x v="5"/>
    <n v="5.3520000000000003"/>
  </r>
  <r>
    <n v="205"/>
    <x v="7"/>
    <x v="63"/>
    <x v="8"/>
    <s v="Percent change"/>
    <s v="Units"/>
    <x v="6"/>
    <n v="4.952"/>
  </r>
  <r>
    <n v="1"/>
    <x v="2"/>
    <x v="63"/>
    <x v="8"/>
    <s v="Percent change"/>
    <s v="Units"/>
    <x v="0"/>
    <n v="5.0519999999999996"/>
  </r>
  <r>
    <n v="1"/>
    <x v="2"/>
    <x v="63"/>
    <x v="8"/>
    <s v="Percent change"/>
    <s v="Units"/>
    <x v="1"/>
    <n v="-6.72"/>
  </r>
  <r>
    <n v="1"/>
    <x v="2"/>
    <x v="63"/>
    <x v="8"/>
    <s v="Percent change"/>
    <s v="Units"/>
    <x v="2"/>
    <n v="12.272"/>
  </r>
  <r>
    <n v="1"/>
    <x v="2"/>
    <x v="63"/>
    <x v="8"/>
    <s v="Percent change"/>
    <s v="Units"/>
    <x v="3"/>
    <n v="4.8579999999999997"/>
  </r>
  <r>
    <n v="1"/>
    <x v="2"/>
    <x v="63"/>
    <x v="8"/>
    <s v="Percent change"/>
    <s v="Units"/>
    <x v="4"/>
    <n v="2.4089999999999998"/>
  </r>
  <r>
    <n v="1"/>
    <x v="2"/>
    <x v="63"/>
    <x v="8"/>
    <s v="Percent change"/>
    <s v="Units"/>
    <x v="5"/>
    <n v="5.3520000000000003"/>
  </r>
  <r>
    <n v="1"/>
    <x v="2"/>
    <x v="63"/>
    <x v="8"/>
    <s v="Percent change"/>
    <s v="Units"/>
    <x v="6"/>
    <n v="4.952"/>
  </r>
  <r>
    <n v="200"/>
    <x v="3"/>
    <x v="63"/>
    <x v="8"/>
    <s v="Percent change"/>
    <s v="Units"/>
    <x v="0"/>
    <n v="5.0519999999999996"/>
  </r>
  <r>
    <n v="200"/>
    <x v="3"/>
    <x v="63"/>
    <x v="8"/>
    <s v="Percent change"/>
    <s v="Units"/>
    <x v="1"/>
    <n v="-6.72"/>
  </r>
  <r>
    <n v="200"/>
    <x v="3"/>
    <x v="63"/>
    <x v="8"/>
    <s v="Percent change"/>
    <s v="Units"/>
    <x v="2"/>
    <n v="12.272"/>
  </r>
  <r>
    <n v="200"/>
    <x v="3"/>
    <x v="63"/>
    <x v="8"/>
    <s v="Percent change"/>
    <s v="Units"/>
    <x v="3"/>
    <n v="4.8579999999999997"/>
  </r>
  <r>
    <n v="200"/>
    <x v="3"/>
    <x v="63"/>
    <x v="8"/>
    <s v="Percent change"/>
    <s v="Units"/>
    <x v="4"/>
    <n v="2.4089999999999998"/>
  </r>
  <r>
    <n v="200"/>
    <x v="3"/>
    <x v="63"/>
    <x v="8"/>
    <s v="Percent change"/>
    <s v="Units"/>
    <x v="5"/>
    <n v="5.3520000000000003"/>
  </r>
  <r>
    <n v="200"/>
    <x v="3"/>
    <x v="63"/>
    <x v="8"/>
    <s v="Percent change"/>
    <s v="Units"/>
    <x v="6"/>
    <n v="4.952"/>
  </r>
  <r>
    <n v="1"/>
    <x v="2"/>
    <x v="142"/>
    <x v="8"/>
    <s v="Percent change"/>
    <s v="Units"/>
    <x v="0"/>
    <n v="4.4530000000000003"/>
  </r>
  <r>
    <n v="1"/>
    <x v="2"/>
    <x v="142"/>
    <x v="8"/>
    <s v="Percent change"/>
    <s v="Units"/>
    <x v="1"/>
    <n v="-3.1080000000000001"/>
  </r>
  <r>
    <n v="1"/>
    <x v="2"/>
    <x v="142"/>
    <x v="8"/>
    <s v="Percent change"/>
    <s v="Units"/>
    <x v="2"/>
    <n v="-7.077"/>
  </r>
  <r>
    <n v="1"/>
    <x v="2"/>
    <x v="142"/>
    <x v="8"/>
    <s v="Percent change"/>
    <s v="Units"/>
    <x v="3"/>
    <n v="-5.3079999999999998"/>
  </r>
  <r>
    <n v="1"/>
    <x v="2"/>
    <x v="142"/>
    <x v="8"/>
    <s v="Percent change"/>
    <s v="Units"/>
    <x v="4"/>
    <n v="7.99"/>
  </r>
  <r>
    <n v="1"/>
    <x v="2"/>
    <x v="142"/>
    <x v="8"/>
    <s v="Percent change"/>
    <s v="Units"/>
    <x v="5"/>
    <n v="5.35"/>
  </r>
  <r>
    <n v="1"/>
    <x v="2"/>
    <x v="142"/>
    <x v="8"/>
    <s v="Percent change"/>
    <s v="Units"/>
    <x v="6"/>
    <n v="3.4409999999999998"/>
  </r>
  <r>
    <n v="200"/>
    <x v="3"/>
    <x v="142"/>
    <x v="8"/>
    <s v="Percent change"/>
    <s v="Units"/>
    <x v="0"/>
    <n v="4.4530000000000003"/>
  </r>
  <r>
    <n v="200"/>
    <x v="3"/>
    <x v="142"/>
    <x v="8"/>
    <s v="Percent change"/>
    <s v="Units"/>
    <x v="1"/>
    <n v="-3.1080000000000001"/>
  </r>
  <r>
    <n v="200"/>
    <x v="3"/>
    <x v="142"/>
    <x v="8"/>
    <s v="Percent change"/>
    <s v="Units"/>
    <x v="2"/>
    <n v="-7.077"/>
  </r>
  <r>
    <n v="200"/>
    <x v="3"/>
    <x v="142"/>
    <x v="8"/>
    <s v="Percent change"/>
    <s v="Units"/>
    <x v="3"/>
    <n v="-5.3079999999999998"/>
  </r>
  <r>
    <n v="200"/>
    <x v="3"/>
    <x v="142"/>
    <x v="8"/>
    <s v="Percent change"/>
    <s v="Units"/>
    <x v="4"/>
    <n v="7.99"/>
  </r>
  <r>
    <n v="200"/>
    <x v="3"/>
    <x v="142"/>
    <x v="8"/>
    <s v="Percent change"/>
    <s v="Units"/>
    <x v="5"/>
    <n v="5.35"/>
  </r>
  <r>
    <n v="200"/>
    <x v="3"/>
    <x v="142"/>
    <x v="8"/>
    <s v="Percent change"/>
    <s v="Units"/>
    <x v="6"/>
    <n v="3.4409999999999998"/>
  </r>
  <r>
    <n v="505"/>
    <x v="4"/>
    <x v="142"/>
    <x v="8"/>
    <s v="Percent change"/>
    <s v="Units"/>
    <x v="0"/>
    <n v="4.4530000000000003"/>
  </r>
  <r>
    <n v="505"/>
    <x v="4"/>
    <x v="142"/>
    <x v="8"/>
    <s v="Percent change"/>
    <s v="Units"/>
    <x v="1"/>
    <n v="-3.1080000000000001"/>
  </r>
  <r>
    <n v="505"/>
    <x v="4"/>
    <x v="142"/>
    <x v="8"/>
    <s v="Percent change"/>
    <s v="Units"/>
    <x v="2"/>
    <n v="-7.077"/>
  </r>
  <r>
    <n v="505"/>
    <x v="4"/>
    <x v="142"/>
    <x v="8"/>
    <s v="Percent change"/>
    <s v="Units"/>
    <x v="3"/>
    <n v="-5.3079999999999998"/>
  </r>
  <r>
    <n v="505"/>
    <x v="4"/>
    <x v="142"/>
    <x v="8"/>
    <s v="Percent change"/>
    <s v="Units"/>
    <x v="4"/>
    <n v="7.99"/>
  </r>
  <r>
    <n v="505"/>
    <x v="4"/>
    <x v="142"/>
    <x v="8"/>
    <s v="Percent change"/>
    <s v="Units"/>
    <x v="5"/>
    <n v="5.35"/>
  </r>
  <r>
    <n v="505"/>
    <x v="4"/>
    <x v="142"/>
    <x v="8"/>
    <s v="Percent change"/>
    <s v="Units"/>
    <x v="6"/>
    <n v="3.4409999999999998"/>
  </r>
  <r>
    <n v="603"/>
    <x v="12"/>
    <x v="163"/>
    <x v="8"/>
    <s v="Percent change"/>
    <s v="Units"/>
    <x v="0"/>
    <n v="4.923"/>
  </r>
  <r>
    <n v="603"/>
    <x v="12"/>
    <x v="163"/>
    <x v="8"/>
    <s v="Percent change"/>
    <s v="Units"/>
    <x v="1"/>
    <n v="1.976"/>
  </r>
  <r>
    <n v="603"/>
    <x v="12"/>
    <x v="163"/>
    <x v="8"/>
    <s v="Percent change"/>
    <s v="Units"/>
    <x v="2"/>
    <n v="5.9909999999999997"/>
  </r>
  <r>
    <n v="603"/>
    <x v="12"/>
    <x v="163"/>
    <x v="8"/>
    <s v="Percent change"/>
    <s v="Units"/>
    <x v="3"/>
    <n v="5.8109999999999999"/>
  </r>
  <r>
    <n v="603"/>
    <x v="12"/>
    <x v="163"/>
    <x v="8"/>
    <s v="Percent change"/>
    <s v="Units"/>
    <x v="4"/>
    <n v="5.4"/>
  </r>
  <r>
    <n v="603"/>
    <x v="12"/>
    <x v="163"/>
    <x v="8"/>
    <s v="Percent change"/>
    <s v="Units"/>
    <x v="5"/>
    <n v="5.3"/>
  </r>
  <r>
    <n v="603"/>
    <x v="12"/>
    <x v="163"/>
    <x v="8"/>
    <s v="Percent change"/>
    <s v="Units"/>
    <x v="6"/>
    <n v="5.3"/>
  </r>
  <r>
    <n v="205"/>
    <x v="7"/>
    <x v="137"/>
    <x v="8"/>
    <s v="Percent change"/>
    <s v="Units"/>
    <x v="0"/>
    <n v="0.66200000000000003"/>
  </r>
  <r>
    <n v="205"/>
    <x v="7"/>
    <x v="137"/>
    <x v="8"/>
    <s v="Percent change"/>
    <s v="Units"/>
    <x v="1"/>
    <n v="-3.7389999999999999"/>
  </r>
  <r>
    <n v="205"/>
    <x v="7"/>
    <x v="137"/>
    <x v="8"/>
    <s v="Percent change"/>
    <s v="Units"/>
    <x v="2"/>
    <n v="0.754"/>
  </r>
  <r>
    <n v="205"/>
    <x v="7"/>
    <x v="137"/>
    <x v="8"/>
    <s v="Percent change"/>
    <s v="Units"/>
    <x v="3"/>
    <n v="5.5"/>
  </r>
  <r>
    <n v="205"/>
    <x v="7"/>
    <x v="137"/>
    <x v="8"/>
    <s v="Percent change"/>
    <s v="Units"/>
    <x v="4"/>
    <n v="6.23"/>
  </r>
  <r>
    <n v="205"/>
    <x v="7"/>
    <x v="137"/>
    <x v="8"/>
    <s v="Percent change"/>
    <s v="Units"/>
    <x v="5"/>
    <n v="5.3"/>
  </r>
  <r>
    <n v="205"/>
    <x v="7"/>
    <x v="137"/>
    <x v="8"/>
    <s v="Percent change"/>
    <s v="Units"/>
    <x v="6"/>
    <n v="3.9"/>
  </r>
  <r>
    <n v="200"/>
    <x v="3"/>
    <x v="137"/>
    <x v="8"/>
    <s v="Percent change"/>
    <s v="Units"/>
    <x v="0"/>
    <n v="0.66200000000000003"/>
  </r>
  <r>
    <n v="200"/>
    <x v="3"/>
    <x v="137"/>
    <x v="8"/>
    <s v="Percent change"/>
    <s v="Units"/>
    <x v="1"/>
    <n v="-3.7389999999999999"/>
  </r>
  <r>
    <n v="200"/>
    <x v="3"/>
    <x v="137"/>
    <x v="8"/>
    <s v="Percent change"/>
    <s v="Units"/>
    <x v="2"/>
    <n v="0.754"/>
  </r>
  <r>
    <n v="200"/>
    <x v="3"/>
    <x v="137"/>
    <x v="8"/>
    <s v="Percent change"/>
    <s v="Units"/>
    <x v="3"/>
    <n v="5.5"/>
  </r>
  <r>
    <n v="200"/>
    <x v="3"/>
    <x v="137"/>
    <x v="8"/>
    <s v="Percent change"/>
    <s v="Units"/>
    <x v="4"/>
    <n v="6.23"/>
  </r>
  <r>
    <n v="200"/>
    <x v="3"/>
    <x v="137"/>
    <x v="8"/>
    <s v="Percent change"/>
    <s v="Units"/>
    <x v="5"/>
    <n v="5.3"/>
  </r>
  <r>
    <n v="200"/>
    <x v="3"/>
    <x v="137"/>
    <x v="8"/>
    <s v="Percent change"/>
    <s v="Units"/>
    <x v="6"/>
    <n v="3.9"/>
  </r>
  <r>
    <n v="1"/>
    <x v="2"/>
    <x v="137"/>
    <x v="8"/>
    <s v="Percent change"/>
    <s v="Units"/>
    <x v="0"/>
    <n v="0.66200000000000003"/>
  </r>
  <r>
    <n v="1"/>
    <x v="2"/>
    <x v="137"/>
    <x v="8"/>
    <s v="Percent change"/>
    <s v="Units"/>
    <x v="1"/>
    <n v="-3.7389999999999999"/>
  </r>
  <r>
    <n v="1"/>
    <x v="2"/>
    <x v="137"/>
    <x v="8"/>
    <s v="Percent change"/>
    <s v="Units"/>
    <x v="2"/>
    <n v="0.754"/>
  </r>
  <r>
    <n v="1"/>
    <x v="2"/>
    <x v="137"/>
    <x v="8"/>
    <s v="Percent change"/>
    <s v="Units"/>
    <x v="3"/>
    <n v="5.5"/>
  </r>
  <r>
    <n v="1"/>
    <x v="2"/>
    <x v="137"/>
    <x v="8"/>
    <s v="Percent change"/>
    <s v="Units"/>
    <x v="4"/>
    <n v="6.23"/>
  </r>
  <r>
    <n v="1"/>
    <x v="2"/>
    <x v="137"/>
    <x v="8"/>
    <s v="Percent change"/>
    <s v="Units"/>
    <x v="5"/>
    <n v="5.3"/>
  </r>
  <r>
    <n v="1"/>
    <x v="2"/>
    <x v="137"/>
    <x v="8"/>
    <s v="Percent change"/>
    <s v="Units"/>
    <x v="6"/>
    <n v="3.9"/>
  </r>
  <r>
    <n v="1"/>
    <x v="2"/>
    <x v="163"/>
    <x v="8"/>
    <s v="Percent change"/>
    <s v="Units"/>
    <x v="0"/>
    <n v="4.923"/>
  </r>
  <r>
    <n v="1"/>
    <x v="2"/>
    <x v="163"/>
    <x v="8"/>
    <s v="Percent change"/>
    <s v="Units"/>
    <x v="1"/>
    <n v="1.976"/>
  </r>
  <r>
    <n v="1"/>
    <x v="2"/>
    <x v="163"/>
    <x v="8"/>
    <s v="Percent change"/>
    <s v="Units"/>
    <x v="2"/>
    <n v="5.9909999999999997"/>
  </r>
  <r>
    <n v="1"/>
    <x v="2"/>
    <x v="163"/>
    <x v="8"/>
    <s v="Percent change"/>
    <s v="Units"/>
    <x v="3"/>
    <n v="5.8109999999999999"/>
  </r>
  <r>
    <n v="1"/>
    <x v="2"/>
    <x v="163"/>
    <x v="8"/>
    <s v="Percent change"/>
    <s v="Units"/>
    <x v="4"/>
    <n v="5.4"/>
  </r>
  <r>
    <n v="1"/>
    <x v="2"/>
    <x v="163"/>
    <x v="8"/>
    <s v="Percent change"/>
    <s v="Units"/>
    <x v="5"/>
    <n v="5.3"/>
  </r>
  <r>
    <n v="1"/>
    <x v="2"/>
    <x v="163"/>
    <x v="8"/>
    <s v="Percent change"/>
    <s v="Units"/>
    <x v="6"/>
    <n v="5.3"/>
  </r>
  <r>
    <n v="200"/>
    <x v="3"/>
    <x v="163"/>
    <x v="8"/>
    <s v="Percent change"/>
    <s v="Units"/>
    <x v="0"/>
    <n v="4.923"/>
  </r>
  <r>
    <n v="200"/>
    <x v="3"/>
    <x v="163"/>
    <x v="8"/>
    <s v="Percent change"/>
    <s v="Units"/>
    <x v="1"/>
    <n v="1.976"/>
  </r>
  <r>
    <n v="200"/>
    <x v="3"/>
    <x v="163"/>
    <x v="8"/>
    <s v="Percent change"/>
    <s v="Units"/>
    <x v="2"/>
    <n v="5.9909999999999997"/>
  </r>
  <r>
    <n v="200"/>
    <x v="3"/>
    <x v="163"/>
    <x v="8"/>
    <s v="Percent change"/>
    <s v="Units"/>
    <x v="3"/>
    <n v="5.8109999999999999"/>
  </r>
  <r>
    <n v="200"/>
    <x v="3"/>
    <x v="163"/>
    <x v="8"/>
    <s v="Percent change"/>
    <s v="Units"/>
    <x v="4"/>
    <n v="5.4"/>
  </r>
  <r>
    <n v="200"/>
    <x v="3"/>
    <x v="163"/>
    <x v="8"/>
    <s v="Percent change"/>
    <s v="Units"/>
    <x v="5"/>
    <n v="5.3"/>
  </r>
  <r>
    <n v="200"/>
    <x v="3"/>
    <x v="163"/>
    <x v="8"/>
    <s v="Percent change"/>
    <s v="Units"/>
    <x v="6"/>
    <n v="5.3"/>
  </r>
  <r>
    <n v="1"/>
    <x v="2"/>
    <x v="177"/>
    <x v="6"/>
    <s v="Percent change"/>
    <s v="Units"/>
    <x v="0"/>
    <n v="2.8530000000000002"/>
  </r>
  <r>
    <n v="1"/>
    <x v="2"/>
    <x v="177"/>
    <x v="6"/>
    <s v="Percent change"/>
    <s v="Units"/>
    <x v="1"/>
    <n v="-22.998000000000001"/>
  </r>
  <r>
    <n v="1"/>
    <x v="2"/>
    <x v="177"/>
    <x v="6"/>
    <s v="Percent change"/>
    <s v="Units"/>
    <x v="2"/>
    <n v="32.134"/>
  </r>
  <r>
    <n v="1"/>
    <x v="2"/>
    <x v="177"/>
    <x v="6"/>
    <s v="Percent change"/>
    <s v="Units"/>
    <x v="3"/>
    <n v="10.175000000000001"/>
  </r>
  <r>
    <n v="1"/>
    <x v="2"/>
    <x v="177"/>
    <x v="6"/>
    <s v="Percent change"/>
    <s v="Units"/>
    <x v="4"/>
    <n v="-2.9630000000000001"/>
  </r>
  <r>
    <n v="1"/>
    <x v="2"/>
    <x v="177"/>
    <x v="6"/>
    <s v="Percent change"/>
    <s v="Units"/>
    <x v="5"/>
    <n v="5.2960000000000003"/>
  </r>
  <r>
    <n v="1"/>
    <x v="2"/>
    <x v="177"/>
    <x v="6"/>
    <s v="Percent change"/>
    <s v="Units"/>
    <x v="6"/>
    <n v="3.2509999999999999"/>
  </r>
  <r>
    <n v="205"/>
    <x v="7"/>
    <x v="177"/>
    <x v="6"/>
    <s v="Percent change"/>
    <s v="Units"/>
    <x v="0"/>
    <n v="2.8530000000000002"/>
  </r>
  <r>
    <n v="205"/>
    <x v="7"/>
    <x v="177"/>
    <x v="6"/>
    <s v="Percent change"/>
    <s v="Units"/>
    <x v="1"/>
    <n v="-22.998000000000001"/>
  </r>
  <r>
    <n v="205"/>
    <x v="7"/>
    <x v="177"/>
    <x v="6"/>
    <s v="Percent change"/>
    <s v="Units"/>
    <x v="2"/>
    <n v="32.134"/>
  </r>
  <r>
    <n v="205"/>
    <x v="7"/>
    <x v="177"/>
    <x v="6"/>
    <s v="Percent change"/>
    <s v="Units"/>
    <x v="3"/>
    <n v="10.175000000000001"/>
  </r>
  <r>
    <n v="205"/>
    <x v="7"/>
    <x v="177"/>
    <x v="6"/>
    <s v="Percent change"/>
    <s v="Units"/>
    <x v="4"/>
    <n v="-2.9630000000000001"/>
  </r>
  <r>
    <n v="205"/>
    <x v="7"/>
    <x v="177"/>
    <x v="6"/>
    <s v="Percent change"/>
    <s v="Units"/>
    <x v="5"/>
    <n v="5.2960000000000003"/>
  </r>
  <r>
    <n v="205"/>
    <x v="7"/>
    <x v="177"/>
    <x v="6"/>
    <s v="Percent change"/>
    <s v="Units"/>
    <x v="6"/>
    <n v="3.2509999999999999"/>
  </r>
  <r>
    <n v="200"/>
    <x v="3"/>
    <x v="177"/>
    <x v="6"/>
    <s v="Percent change"/>
    <s v="Units"/>
    <x v="0"/>
    <n v="2.8530000000000002"/>
  </r>
  <r>
    <n v="200"/>
    <x v="3"/>
    <x v="177"/>
    <x v="6"/>
    <s v="Percent change"/>
    <s v="Units"/>
    <x v="1"/>
    <n v="-22.998000000000001"/>
  </r>
  <r>
    <n v="200"/>
    <x v="3"/>
    <x v="177"/>
    <x v="6"/>
    <s v="Percent change"/>
    <s v="Units"/>
    <x v="2"/>
    <n v="32.134"/>
  </r>
  <r>
    <n v="200"/>
    <x v="3"/>
    <x v="177"/>
    <x v="6"/>
    <s v="Percent change"/>
    <s v="Units"/>
    <x v="3"/>
    <n v="10.175000000000001"/>
  </r>
  <r>
    <n v="200"/>
    <x v="3"/>
    <x v="177"/>
    <x v="6"/>
    <s v="Percent change"/>
    <s v="Units"/>
    <x v="4"/>
    <n v="-2.9630000000000001"/>
  </r>
  <r>
    <n v="200"/>
    <x v="3"/>
    <x v="177"/>
    <x v="6"/>
    <s v="Percent change"/>
    <s v="Units"/>
    <x v="5"/>
    <n v="5.2960000000000003"/>
  </r>
  <r>
    <n v="200"/>
    <x v="3"/>
    <x v="177"/>
    <x v="6"/>
    <s v="Percent change"/>
    <s v="Units"/>
    <x v="6"/>
    <n v="3.2509999999999999"/>
  </r>
  <r>
    <n v="1"/>
    <x v="2"/>
    <x v="172"/>
    <x v="8"/>
    <s v="Percent change"/>
    <s v="Units"/>
    <x v="0"/>
    <n v="-2.516"/>
  </r>
  <r>
    <n v="1"/>
    <x v="2"/>
    <x v="172"/>
    <x v="8"/>
    <s v="Percent change"/>
    <s v="Units"/>
    <x v="1"/>
    <n v="-2.9670000000000001"/>
  </r>
  <r>
    <n v="1"/>
    <x v="2"/>
    <x v="172"/>
    <x v="8"/>
    <s v="Percent change"/>
    <s v="Units"/>
    <x v="2"/>
    <n v="5.0110000000000001"/>
  </r>
  <r>
    <n v="1"/>
    <x v="2"/>
    <x v="172"/>
    <x v="8"/>
    <s v="Percent change"/>
    <s v="Units"/>
    <x v="3"/>
    <n v="4.8109999999999999"/>
  </r>
  <r>
    <n v="1"/>
    <x v="2"/>
    <x v="172"/>
    <x v="8"/>
    <s v="Percent change"/>
    <s v="Units"/>
    <x v="4"/>
    <n v="4.5830000000000002"/>
  </r>
  <r>
    <n v="1"/>
    <x v="2"/>
    <x v="172"/>
    <x v="8"/>
    <s v="Percent change"/>
    <s v="Units"/>
    <x v="5"/>
    <n v="5.2770000000000001"/>
  </r>
  <r>
    <n v="1"/>
    <x v="2"/>
    <x v="172"/>
    <x v="8"/>
    <s v="Percent change"/>
    <s v="Units"/>
    <x v="6"/>
    <n v="6.2480000000000002"/>
  </r>
  <r>
    <n v="200"/>
    <x v="3"/>
    <x v="172"/>
    <x v="8"/>
    <s v="Percent change"/>
    <s v="Units"/>
    <x v="0"/>
    <n v="-2.516"/>
  </r>
  <r>
    <n v="200"/>
    <x v="3"/>
    <x v="172"/>
    <x v="8"/>
    <s v="Percent change"/>
    <s v="Units"/>
    <x v="1"/>
    <n v="-2.9670000000000001"/>
  </r>
  <r>
    <n v="200"/>
    <x v="3"/>
    <x v="172"/>
    <x v="8"/>
    <s v="Percent change"/>
    <s v="Units"/>
    <x v="2"/>
    <n v="5.0110000000000001"/>
  </r>
  <r>
    <n v="200"/>
    <x v="3"/>
    <x v="172"/>
    <x v="8"/>
    <s v="Percent change"/>
    <s v="Units"/>
    <x v="3"/>
    <n v="4.8109999999999999"/>
  </r>
  <r>
    <n v="200"/>
    <x v="3"/>
    <x v="172"/>
    <x v="8"/>
    <s v="Percent change"/>
    <s v="Units"/>
    <x v="4"/>
    <n v="4.5830000000000002"/>
  </r>
  <r>
    <n v="200"/>
    <x v="3"/>
    <x v="172"/>
    <x v="8"/>
    <s v="Percent change"/>
    <s v="Units"/>
    <x v="5"/>
    <n v="5.2770000000000001"/>
  </r>
  <r>
    <n v="200"/>
    <x v="3"/>
    <x v="172"/>
    <x v="8"/>
    <s v="Percent change"/>
    <s v="Units"/>
    <x v="6"/>
    <n v="6.2480000000000002"/>
  </r>
  <r>
    <n v="603"/>
    <x v="12"/>
    <x v="172"/>
    <x v="8"/>
    <s v="Percent change"/>
    <s v="Units"/>
    <x v="0"/>
    <n v="-2.516"/>
  </r>
  <r>
    <n v="603"/>
    <x v="12"/>
    <x v="172"/>
    <x v="8"/>
    <s v="Percent change"/>
    <s v="Units"/>
    <x v="1"/>
    <n v="-2.9670000000000001"/>
  </r>
  <r>
    <n v="603"/>
    <x v="12"/>
    <x v="172"/>
    <x v="8"/>
    <s v="Percent change"/>
    <s v="Units"/>
    <x v="2"/>
    <n v="5.0110000000000001"/>
  </r>
  <r>
    <n v="603"/>
    <x v="12"/>
    <x v="172"/>
    <x v="8"/>
    <s v="Percent change"/>
    <s v="Units"/>
    <x v="3"/>
    <n v="4.8109999999999999"/>
  </r>
  <r>
    <n v="603"/>
    <x v="12"/>
    <x v="172"/>
    <x v="8"/>
    <s v="Percent change"/>
    <s v="Units"/>
    <x v="4"/>
    <n v="4.5830000000000002"/>
  </r>
  <r>
    <n v="603"/>
    <x v="12"/>
    <x v="172"/>
    <x v="8"/>
    <s v="Percent change"/>
    <s v="Units"/>
    <x v="5"/>
    <n v="5.2770000000000001"/>
  </r>
  <r>
    <n v="603"/>
    <x v="12"/>
    <x v="172"/>
    <x v="8"/>
    <s v="Percent change"/>
    <s v="Units"/>
    <x v="6"/>
    <n v="6.2480000000000002"/>
  </r>
  <r>
    <n v="205"/>
    <x v="7"/>
    <x v="63"/>
    <x v="4"/>
    <s v="Percent change"/>
    <s v="Units"/>
    <x v="0"/>
    <n v="-0.95199999999999996"/>
  </r>
  <r>
    <n v="205"/>
    <x v="7"/>
    <x v="63"/>
    <x v="4"/>
    <s v="Percent change"/>
    <s v="Units"/>
    <x v="1"/>
    <n v="-31.625"/>
  </r>
  <r>
    <n v="205"/>
    <x v="7"/>
    <x v="63"/>
    <x v="4"/>
    <s v="Percent change"/>
    <s v="Units"/>
    <x v="2"/>
    <n v="26.016999999999999"/>
  </r>
  <r>
    <n v="205"/>
    <x v="7"/>
    <x v="63"/>
    <x v="4"/>
    <s v="Percent change"/>
    <s v="Units"/>
    <x v="3"/>
    <n v="15.497999999999999"/>
  </r>
  <r>
    <n v="205"/>
    <x v="7"/>
    <x v="63"/>
    <x v="4"/>
    <s v="Percent change"/>
    <s v="Units"/>
    <x v="4"/>
    <n v="-1.6279999999999999"/>
  </r>
  <r>
    <n v="205"/>
    <x v="7"/>
    <x v="63"/>
    <x v="4"/>
    <s v="Percent change"/>
    <s v="Units"/>
    <x v="5"/>
    <n v="5.2670000000000003"/>
  </r>
  <r>
    <n v="205"/>
    <x v="7"/>
    <x v="63"/>
    <x v="4"/>
    <s v="Percent change"/>
    <s v="Units"/>
    <x v="6"/>
    <n v="5.2649999999999997"/>
  </r>
  <r>
    <n v="200"/>
    <x v="3"/>
    <x v="63"/>
    <x v="4"/>
    <s v="Percent change"/>
    <s v="Units"/>
    <x v="0"/>
    <n v="-0.95199999999999996"/>
  </r>
  <r>
    <n v="200"/>
    <x v="3"/>
    <x v="63"/>
    <x v="4"/>
    <s v="Percent change"/>
    <s v="Units"/>
    <x v="1"/>
    <n v="-31.625"/>
  </r>
  <r>
    <n v="200"/>
    <x v="3"/>
    <x v="63"/>
    <x v="4"/>
    <s v="Percent change"/>
    <s v="Units"/>
    <x v="2"/>
    <n v="26.016999999999999"/>
  </r>
  <r>
    <n v="200"/>
    <x v="3"/>
    <x v="63"/>
    <x v="4"/>
    <s v="Percent change"/>
    <s v="Units"/>
    <x v="3"/>
    <n v="15.497999999999999"/>
  </r>
  <r>
    <n v="200"/>
    <x v="3"/>
    <x v="63"/>
    <x v="4"/>
    <s v="Percent change"/>
    <s v="Units"/>
    <x v="4"/>
    <n v="-1.6279999999999999"/>
  </r>
  <r>
    <n v="200"/>
    <x v="3"/>
    <x v="63"/>
    <x v="4"/>
    <s v="Percent change"/>
    <s v="Units"/>
    <x v="5"/>
    <n v="5.2670000000000003"/>
  </r>
  <r>
    <n v="200"/>
    <x v="3"/>
    <x v="63"/>
    <x v="4"/>
    <s v="Percent change"/>
    <s v="Units"/>
    <x v="6"/>
    <n v="5.2649999999999997"/>
  </r>
  <r>
    <n v="1"/>
    <x v="2"/>
    <x v="63"/>
    <x v="4"/>
    <s v="Percent change"/>
    <s v="Units"/>
    <x v="0"/>
    <n v="-0.95199999999999996"/>
  </r>
  <r>
    <n v="1"/>
    <x v="2"/>
    <x v="63"/>
    <x v="4"/>
    <s v="Percent change"/>
    <s v="Units"/>
    <x v="1"/>
    <n v="-31.625"/>
  </r>
  <r>
    <n v="1"/>
    <x v="2"/>
    <x v="63"/>
    <x v="4"/>
    <s v="Percent change"/>
    <s v="Units"/>
    <x v="2"/>
    <n v="26.016999999999999"/>
  </r>
  <r>
    <n v="1"/>
    <x v="2"/>
    <x v="63"/>
    <x v="4"/>
    <s v="Percent change"/>
    <s v="Units"/>
    <x v="3"/>
    <n v="15.497999999999999"/>
  </r>
  <r>
    <n v="1"/>
    <x v="2"/>
    <x v="63"/>
    <x v="4"/>
    <s v="Percent change"/>
    <s v="Units"/>
    <x v="4"/>
    <n v="-1.6279999999999999"/>
  </r>
  <r>
    <n v="1"/>
    <x v="2"/>
    <x v="63"/>
    <x v="4"/>
    <s v="Percent change"/>
    <s v="Units"/>
    <x v="5"/>
    <n v="5.2670000000000003"/>
  </r>
  <r>
    <n v="1"/>
    <x v="2"/>
    <x v="63"/>
    <x v="4"/>
    <s v="Percent change"/>
    <s v="Units"/>
    <x v="6"/>
    <n v="5.2649999999999997"/>
  </r>
  <r>
    <n v="200"/>
    <x v="3"/>
    <x v="181"/>
    <x v="4"/>
    <s v="Percent change"/>
    <s v="Units"/>
    <x v="0"/>
    <n v="8.0679999999999996"/>
  </r>
  <r>
    <n v="200"/>
    <x v="3"/>
    <x v="181"/>
    <x v="4"/>
    <s v="Percent change"/>
    <s v="Units"/>
    <x v="1"/>
    <n v="-3.6480000000000001"/>
  </r>
  <r>
    <n v="200"/>
    <x v="3"/>
    <x v="181"/>
    <x v="4"/>
    <s v="Percent change"/>
    <s v="Units"/>
    <x v="2"/>
    <n v="9"/>
  </r>
  <r>
    <n v="200"/>
    <x v="3"/>
    <x v="181"/>
    <x v="4"/>
    <s v="Percent change"/>
    <s v="Units"/>
    <x v="3"/>
    <n v="2.56"/>
  </r>
  <r>
    <n v="200"/>
    <x v="3"/>
    <x v="181"/>
    <x v="4"/>
    <s v="Percent change"/>
    <s v="Units"/>
    <x v="4"/>
    <n v="7.0650000000000004"/>
  </r>
  <r>
    <n v="200"/>
    <x v="3"/>
    <x v="181"/>
    <x v="4"/>
    <s v="Percent change"/>
    <s v="Units"/>
    <x v="5"/>
    <n v="5.2329999999999997"/>
  </r>
  <r>
    <n v="200"/>
    <x v="3"/>
    <x v="181"/>
    <x v="4"/>
    <s v="Percent change"/>
    <s v="Units"/>
    <x v="6"/>
    <n v="1.635"/>
  </r>
  <r>
    <n v="505"/>
    <x v="4"/>
    <x v="181"/>
    <x v="4"/>
    <s v="Percent change"/>
    <s v="Units"/>
    <x v="0"/>
    <n v="8.0679999999999996"/>
  </r>
  <r>
    <n v="505"/>
    <x v="4"/>
    <x v="181"/>
    <x v="4"/>
    <s v="Percent change"/>
    <s v="Units"/>
    <x v="1"/>
    <n v="-3.6480000000000001"/>
  </r>
  <r>
    <n v="505"/>
    <x v="4"/>
    <x v="181"/>
    <x v="4"/>
    <s v="Percent change"/>
    <s v="Units"/>
    <x v="2"/>
    <n v="9"/>
  </r>
  <r>
    <n v="505"/>
    <x v="4"/>
    <x v="181"/>
    <x v="4"/>
    <s v="Percent change"/>
    <s v="Units"/>
    <x v="3"/>
    <n v="2.56"/>
  </r>
  <r>
    <n v="505"/>
    <x v="4"/>
    <x v="181"/>
    <x v="4"/>
    <s v="Percent change"/>
    <s v="Units"/>
    <x v="4"/>
    <n v="7.0650000000000004"/>
  </r>
  <r>
    <n v="505"/>
    <x v="4"/>
    <x v="181"/>
    <x v="4"/>
    <s v="Percent change"/>
    <s v="Units"/>
    <x v="5"/>
    <n v="5.2329999999999997"/>
  </r>
  <r>
    <n v="505"/>
    <x v="4"/>
    <x v="181"/>
    <x v="4"/>
    <s v="Percent change"/>
    <s v="Units"/>
    <x v="6"/>
    <n v="1.635"/>
  </r>
  <r>
    <n v="1"/>
    <x v="2"/>
    <x v="181"/>
    <x v="4"/>
    <s v="Percent change"/>
    <s v="Units"/>
    <x v="0"/>
    <n v="8.0679999999999996"/>
  </r>
  <r>
    <n v="1"/>
    <x v="2"/>
    <x v="181"/>
    <x v="4"/>
    <s v="Percent change"/>
    <s v="Units"/>
    <x v="1"/>
    <n v="-3.6480000000000001"/>
  </r>
  <r>
    <n v="1"/>
    <x v="2"/>
    <x v="181"/>
    <x v="4"/>
    <s v="Percent change"/>
    <s v="Units"/>
    <x v="2"/>
    <n v="9"/>
  </r>
  <r>
    <n v="1"/>
    <x v="2"/>
    <x v="181"/>
    <x v="4"/>
    <s v="Percent change"/>
    <s v="Units"/>
    <x v="3"/>
    <n v="2.56"/>
  </r>
  <r>
    <n v="1"/>
    <x v="2"/>
    <x v="181"/>
    <x v="4"/>
    <s v="Percent change"/>
    <s v="Units"/>
    <x v="4"/>
    <n v="7.0650000000000004"/>
  </r>
  <r>
    <n v="1"/>
    <x v="2"/>
    <x v="181"/>
    <x v="4"/>
    <s v="Percent change"/>
    <s v="Units"/>
    <x v="5"/>
    <n v="5.2329999999999997"/>
  </r>
  <r>
    <n v="1"/>
    <x v="2"/>
    <x v="181"/>
    <x v="4"/>
    <s v="Percent change"/>
    <s v="Units"/>
    <x v="6"/>
    <n v="1.635"/>
  </r>
  <r>
    <n v="1"/>
    <x v="2"/>
    <x v="153"/>
    <x v="4"/>
    <s v="Percent change"/>
    <s v="Units"/>
    <x v="0"/>
    <n v="-19.071000000000002"/>
  </r>
  <r>
    <n v="1"/>
    <x v="2"/>
    <x v="153"/>
    <x v="4"/>
    <s v="Percent change"/>
    <s v="Units"/>
    <x v="1"/>
    <n v="-15.651999999999999"/>
  </r>
  <r>
    <n v="1"/>
    <x v="2"/>
    <x v="153"/>
    <x v="4"/>
    <s v="Percent change"/>
    <s v="Units"/>
    <x v="2"/>
    <n v="5.3460000000000001"/>
  </r>
  <r>
    <n v="1"/>
    <x v="2"/>
    <x v="153"/>
    <x v="4"/>
    <s v="Percent change"/>
    <s v="Units"/>
    <x v="3"/>
    <n v="17.640999999999998"/>
  </r>
  <r>
    <n v="1"/>
    <x v="2"/>
    <x v="153"/>
    <x v="4"/>
    <s v="Percent change"/>
    <s v="Units"/>
    <x v="4"/>
    <n v="3.492"/>
  </r>
  <r>
    <n v="1"/>
    <x v="2"/>
    <x v="153"/>
    <x v="4"/>
    <s v="Percent change"/>
    <s v="Units"/>
    <x v="5"/>
    <n v="5.22"/>
  </r>
  <r>
    <n v="1"/>
    <x v="2"/>
    <x v="153"/>
    <x v="4"/>
    <s v="Percent change"/>
    <s v="Units"/>
    <x v="6"/>
    <n v="2.3420000000000001"/>
  </r>
  <r>
    <n v="603"/>
    <x v="12"/>
    <x v="153"/>
    <x v="4"/>
    <s v="Percent change"/>
    <s v="Units"/>
    <x v="0"/>
    <n v="-19.071000000000002"/>
  </r>
  <r>
    <n v="603"/>
    <x v="12"/>
    <x v="153"/>
    <x v="4"/>
    <s v="Percent change"/>
    <s v="Units"/>
    <x v="1"/>
    <n v="-15.651999999999999"/>
  </r>
  <r>
    <n v="603"/>
    <x v="12"/>
    <x v="153"/>
    <x v="4"/>
    <s v="Percent change"/>
    <s v="Units"/>
    <x v="2"/>
    <n v="5.3460000000000001"/>
  </r>
  <r>
    <n v="603"/>
    <x v="12"/>
    <x v="153"/>
    <x v="4"/>
    <s v="Percent change"/>
    <s v="Units"/>
    <x v="3"/>
    <n v="17.640999999999998"/>
  </r>
  <r>
    <n v="603"/>
    <x v="12"/>
    <x v="153"/>
    <x v="4"/>
    <s v="Percent change"/>
    <s v="Units"/>
    <x v="4"/>
    <n v="3.492"/>
  </r>
  <r>
    <n v="603"/>
    <x v="12"/>
    <x v="153"/>
    <x v="4"/>
    <s v="Percent change"/>
    <s v="Units"/>
    <x v="5"/>
    <n v="5.22"/>
  </r>
  <r>
    <n v="603"/>
    <x v="12"/>
    <x v="153"/>
    <x v="4"/>
    <s v="Percent change"/>
    <s v="Units"/>
    <x v="6"/>
    <n v="2.3420000000000001"/>
  </r>
  <r>
    <n v="200"/>
    <x v="3"/>
    <x v="153"/>
    <x v="4"/>
    <s v="Percent change"/>
    <s v="Units"/>
    <x v="0"/>
    <n v="-19.071000000000002"/>
  </r>
  <r>
    <n v="200"/>
    <x v="3"/>
    <x v="153"/>
    <x v="4"/>
    <s v="Percent change"/>
    <s v="Units"/>
    <x v="1"/>
    <n v="-15.651999999999999"/>
  </r>
  <r>
    <n v="200"/>
    <x v="3"/>
    <x v="153"/>
    <x v="4"/>
    <s v="Percent change"/>
    <s v="Units"/>
    <x v="2"/>
    <n v="5.3460000000000001"/>
  </r>
  <r>
    <n v="200"/>
    <x v="3"/>
    <x v="153"/>
    <x v="4"/>
    <s v="Percent change"/>
    <s v="Units"/>
    <x v="3"/>
    <n v="17.640999999999998"/>
  </r>
  <r>
    <n v="200"/>
    <x v="3"/>
    <x v="153"/>
    <x v="4"/>
    <s v="Percent change"/>
    <s v="Units"/>
    <x v="4"/>
    <n v="3.492"/>
  </r>
  <r>
    <n v="200"/>
    <x v="3"/>
    <x v="153"/>
    <x v="4"/>
    <s v="Percent change"/>
    <s v="Units"/>
    <x v="5"/>
    <n v="5.22"/>
  </r>
  <r>
    <n v="200"/>
    <x v="3"/>
    <x v="153"/>
    <x v="4"/>
    <s v="Percent change"/>
    <s v="Units"/>
    <x v="6"/>
    <n v="2.3420000000000001"/>
  </r>
  <r>
    <n v="400"/>
    <x v="11"/>
    <x v="95"/>
    <x v="9"/>
    <s v="Percent of GDP"/>
    <s v="Units"/>
    <x v="0"/>
    <n v="11.93"/>
  </r>
  <r>
    <n v="400"/>
    <x v="11"/>
    <x v="95"/>
    <x v="9"/>
    <s v="Percent of GDP"/>
    <s v="Units"/>
    <x v="1"/>
    <n v="-22.273"/>
  </r>
  <r>
    <n v="400"/>
    <x v="11"/>
    <x v="95"/>
    <x v="9"/>
    <s v="Percent of GDP"/>
    <s v="Units"/>
    <x v="2"/>
    <n v="14.827999999999999"/>
  </r>
  <r>
    <n v="400"/>
    <x v="11"/>
    <x v="95"/>
    <x v="9"/>
    <s v="Percent of GDP"/>
    <s v="Units"/>
    <x v="3"/>
    <n v="23.594999999999999"/>
  </r>
  <r>
    <n v="400"/>
    <x v="11"/>
    <x v="95"/>
    <x v="9"/>
    <s v="Percent of GDP"/>
    <s v="Units"/>
    <x v="4"/>
    <n v="8.4830000000000005"/>
  </r>
  <r>
    <n v="400"/>
    <x v="11"/>
    <x v="95"/>
    <x v="9"/>
    <s v="Percent of GDP"/>
    <s v="Units"/>
    <x v="5"/>
    <n v="5.2149999999999999"/>
  </r>
  <r>
    <n v="400"/>
    <x v="11"/>
    <x v="95"/>
    <x v="9"/>
    <s v="Percent of GDP"/>
    <s v="Units"/>
    <x v="6"/>
    <n v="4.1849999999999996"/>
  </r>
  <r>
    <n v="200"/>
    <x v="3"/>
    <x v="95"/>
    <x v="9"/>
    <s v="Percent of GDP"/>
    <s v="Units"/>
    <x v="0"/>
    <n v="11.93"/>
  </r>
  <r>
    <n v="200"/>
    <x v="3"/>
    <x v="95"/>
    <x v="9"/>
    <s v="Percent of GDP"/>
    <s v="Units"/>
    <x v="1"/>
    <n v="-22.273"/>
  </r>
  <r>
    <n v="200"/>
    <x v="3"/>
    <x v="95"/>
    <x v="9"/>
    <s v="Percent of GDP"/>
    <s v="Units"/>
    <x v="2"/>
    <n v="14.827999999999999"/>
  </r>
  <r>
    <n v="200"/>
    <x v="3"/>
    <x v="95"/>
    <x v="9"/>
    <s v="Percent of GDP"/>
    <s v="Units"/>
    <x v="3"/>
    <n v="23.594999999999999"/>
  </r>
  <r>
    <n v="200"/>
    <x v="3"/>
    <x v="95"/>
    <x v="9"/>
    <s v="Percent of GDP"/>
    <s v="Units"/>
    <x v="4"/>
    <n v="8.4830000000000005"/>
  </r>
  <r>
    <n v="200"/>
    <x v="3"/>
    <x v="95"/>
    <x v="9"/>
    <s v="Percent of GDP"/>
    <s v="Units"/>
    <x v="5"/>
    <n v="5.2149999999999999"/>
  </r>
  <r>
    <n v="200"/>
    <x v="3"/>
    <x v="95"/>
    <x v="9"/>
    <s v="Percent of GDP"/>
    <s v="Units"/>
    <x v="6"/>
    <n v="4.1849999999999996"/>
  </r>
  <r>
    <n v="200"/>
    <x v="3"/>
    <x v="73"/>
    <x v="8"/>
    <s v="Percent change"/>
    <s v="Units"/>
    <x v="0"/>
    <n v="5.9820000000000002"/>
  </r>
  <r>
    <n v="200"/>
    <x v="3"/>
    <x v="73"/>
    <x v="8"/>
    <s v="Percent change"/>
    <s v="Units"/>
    <x v="1"/>
    <n v="1.996"/>
  </r>
  <r>
    <n v="200"/>
    <x v="3"/>
    <x v="73"/>
    <x v="8"/>
    <s v="Percent change"/>
    <s v="Units"/>
    <x v="2"/>
    <n v="7.4029999999999996"/>
  </r>
  <r>
    <n v="200"/>
    <x v="3"/>
    <x v="73"/>
    <x v="8"/>
    <s v="Percent change"/>
    <s v="Units"/>
    <x v="3"/>
    <n v="5.673"/>
  </r>
  <r>
    <n v="200"/>
    <x v="3"/>
    <x v="73"/>
    <x v="8"/>
    <s v="Percent change"/>
    <s v="Units"/>
    <x v="4"/>
    <n v="5.9889999999999999"/>
  </r>
  <r>
    <n v="200"/>
    <x v="3"/>
    <x v="73"/>
    <x v="8"/>
    <s v="Percent change"/>
    <s v="Units"/>
    <x v="5"/>
    <n v="5.1980000000000004"/>
  </r>
  <r>
    <n v="200"/>
    <x v="3"/>
    <x v="73"/>
    <x v="8"/>
    <s v="Percent change"/>
    <s v="Units"/>
    <x v="6"/>
    <n v="5.3979999999999997"/>
  </r>
  <r>
    <n v="1"/>
    <x v="2"/>
    <x v="73"/>
    <x v="8"/>
    <s v="Percent change"/>
    <s v="Units"/>
    <x v="0"/>
    <n v="5.9820000000000002"/>
  </r>
  <r>
    <n v="1"/>
    <x v="2"/>
    <x v="73"/>
    <x v="8"/>
    <s v="Percent change"/>
    <s v="Units"/>
    <x v="1"/>
    <n v="1.996"/>
  </r>
  <r>
    <n v="1"/>
    <x v="2"/>
    <x v="73"/>
    <x v="8"/>
    <s v="Percent change"/>
    <s v="Units"/>
    <x v="2"/>
    <n v="7.4029999999999996"/>
  </r>
  <r>
    <n v="1"/>
    <x v="2"/>
    <x v="73"/>
    <x v="8"/>
    <s v="Percent change"/>
    <s v="Units"/>
    <x v="3"/>
    <n v="5.673"/>
  </r>
  <r>
    <n v="1"/>
    <x v="2"/>
    <x v="73"/>
    <x v="8"/>
    <s v="Percent change"/>
    <s v="Units"/>
    <x v="4"/>
    <n v="5.9889999999999999"/>
  </r>
  <r>
    <n v="1"/>
    <x v="2"/>
    <x v="73"/>
    <x v="8"/>
    <s v="Percent change"/>
    <s v="Units"/>
    <x v="5"/>
    <n v="5.1980000000000004"/>
  </r>
  <r>
    <n v="1"/>
    <x v="2"/>
    <x v="73"/>
    <x v="8"/>
    <s v="Percent change"/>
    <s v="Units"/>
    <x v="6"/>
    <n v="5.3979999999999997"/>
  </r>
  <r>
    <n v="400"/>
    <x v="11"/>
    <x v="73"/>
    <x v="8"/>
    <s v="Percent change"/>
    <s v="Units"/>
    <x v="0"/>
    <n v="5.9820000000000002"/>
  </r>
  <r>
    <n v="400"/>
    <x v="11"/>
    <x v="73"/>
    <x v="8"/>
    <s v="Percent change"/>
    <s v="Units"/>
    <x v="1"/>
    <n v="1.996"/>
  </r>
  <r>
    <n v="400"/>
    <x v="11"/>
    <x v="73"/>
    <x v="8"/>
    <s v="Percent change"/>
    <s v="Units"/>
    <x v="2"/>
    <n v="7.4029999999999996"/>
  </r>
  <r>
    <n v="400"/>
    <x v="11"/>
    <x v="73"/>
    <x v="8"/>
    <s v="Percent change"/>
    <s v="Units"/>
    <x v="3"/>
    <n v="5.673"/>
  </r>
  <r>
    <n v="400"/>
    <x v="11"/>
    <x v="73"/>
    <x v="8"/>
    <s v="Percent change"/>
    <s v="Units"/>
    <x v="4"/>
    <n v="5.9889999999999999"/>
  </r>
  <r>
    <n v="400"/>
    <x v="11"/>
    <x v="73"/>
    <x v="8"/>
    <s v="Percent change"/>
    <s v="Units"/>
    <x v="5"/>
    <n v="5.1980000000000004"/>
  </r>
  <r>
    <n v="400"/>
    <x v="11"/>
    <x v="73"/>
    <x v="8"/>
    <s v="Percent change"/>
    <s v="Units"/>
    <x v="6"/>
    <n v="5.3979999999999997"/>
  </r>
  <r>
    <n v="163"/>
    <x v="5"/>
    <x v="90"/>
    <x v="6"/>
    <s v="Percent change"/>
    <s v="Units"/>
    <x v="0"/>
    <n v="4.6689999999999996"/>
  </r>
  <r>
    <n v="163"/>
    <x v="5"/>
    <x v="90"/>
    <x v="6"/>
    <s v="Percent change"/>
    <s v="Units"/>
    <x v="1"/>
    <n v="-9.1180000000000003"/>
  </r>
  <r>
    <n v="163"/>
    <x v="5"/>
    <x v="90"/>
    <x v="6"/>
    <s v="Percent change"/>
    <s v="Units"/>
    <x v="2"/>
    <n v="17.786999999999999"/>
  </r>
  <r>
    <n v="163"/>
    <x v="5"/>
    <x v="90"/>
    <x v="6"/>
    <s v="Percent change"/>
    <s v="Units"/>
    <x v="3"/>
    <n v="8.9920000000000009"/>
  </r>
  <r>
    <n v="163"/>
    <x v="5"/>
    <x v="90"/>
    <x v="6"/>
    <s v="Percent change"/>
    <s v="Units"/>
    <x v="4"/>
    <n v="-5.069"/>
  </r>
  <r>
    <n v="163"/>
    <x v="5"/>
    <x v="90"/>
    <x v="6"/>
    <s v="Percent change"/>
    <s v="Units"/>
    <x v="5"/>
    <n v="5.1840000000000002"/>
  </r>
  <r>
    <n v="163"/>
    <x v="5"/>
    <x v="90"/>
    <x v="6"/>
    <s v="Percent change"/>
    <s v="Units"/>
    <x v="6"/>
    <n v="5.1230000000000002"/>
  </r>
  <r>
    <n v="1"/>
    <x v="2"/>
    <x v="90"/>
    <x v="6"/>
    <s v="Percent change"/>
    <s v="Units"/>
    <x v="0"/>
    <n v="4.6689999999999996"/>
  </r>
  <r>
    <n v="1"/>
    <x v="2"/>
    <x v="90"/>
    <x v="6"/>
    <s v="Percent change"/>
    <s v="Units"/>
    <x v="1"/>
    <n v="-9.1180000000000003"/>
  </r>
  <r>
    <n v="1"/>
    <x v="2"/>
    <x v="90"/>
    <x v="6"/>
    <s v="Percent change"/>
    <s v="Units"/>
    <x v="2"/>
    <n v="17.786999999999999"/>
  </r>
  <r>
    <n v="1"/>
    <x v="2"/>
    <x v="90"/>
    <x v="6"/>
    <s v="Percent change"/>
    <s v="Units"/>
    <x v="3"/>
    <n v="8.9920000000000009"/>
  </r>
  <r>
    <n v="1"/>
    <x v="2"/>
    <x v="90"/>
    <x v="6"/>
    <s v="Percent change"/>
    <s v="Units"/>
    <x v="4"/>
    <n v="-5.069"/>
  </r>
  <r>
    <n v="1"/>
    <x v="2"/>
    <x v="90"/>
    <x v="6"/>
    <s v="Percent change"/>
    <s v="Units"/>
    <x v="5"/>
    <n v="5.1840000000000002"/>
  </r>
  <r>
    <n v="1"/>
    <x v="2"/>
    <x v="90"/>
    <x v="6"/>
    <s v="Percent change"/>
    <s v="Units"/>
    <x v="6"/>
    <n v="5.1230000000000002"/>
  </r>
  <r>
    <n v="110"/>
    <x v="0"/>
    <x v="90"/>
    <x v="6"/>
    <s v="Percent change"/>
    <s v="Units"/>
    <x v="0"/>
    <n v="4.6689999999999996"/>
  </r>
  <r>
    <n v="110"/>
    <x v="0"/>
    <x v="90"/>
    <x v="6"/>
    <s v="Percent change"/>
    <s v="Units"/>
    <x v="1"/>
    <n v="-9.1180000000000003"/>
  </r>
  <r>
    <n v="110"/>
    <x v="0"/>
    <x v="90"/>
    <x v="6"/>
    <s v="Percent change"/>
    <s v="Units"/>
    <x v="2"/>
    <n v="17.786999999999999"/>
  </r>
  <r>
    <n v="110"/>
    <x v="0"/>
    <x v="90"/>
    <x v="6"/>
    <s v="Percent change"/>
    <s v="Units"/>
    <x v="3"/>
    <n v="8.9920000000000009"/>
  </r>
  <r>
    <n v="110"/>
    <x v="0"/>
    <x v="90"/>
    <x v="6"/>
    <s v="Percent change"/>
    <s v="Units"/>
    <x v="4"/>
    <n v="-5.069"/>
  </r>
  <r>
    <n v="110"/>
    <x v="0"/>
    <x v="90"/>
    <x v="6"/>
    <s v="Percent change"/>
    <s v="Units"/>
    <x v="5"/>
    <n v="5.1840000000000002"/>
  </r>
  <r>
    <n v="110"/>
    <x v="0"/>
    <x v="90"/>
    <x v="6"/>
    <s v="Percent change"/>
    <s v="Units"/>
    <x v="6"/>
    <n v="5.1230000000000002"/>
  </r>
  <r>
    <n v="505"/>
    <x v="4"/>
    <x v="123"/>
    <x v="8"/>
    <s v="Percent change"/>
    <s v="Units"/>
    <x v="0"/>
    <n v="7.298"/>
  </r>
  <r>
    <n v="505"/>
    <x v="4"/>
    <x v="123"/>
    <x v="8"/>
    <s v="Percent change"/>
    <s v="Units"/>
    <x v="1"/>
    <n v="-32.908999999999999"/>
  </r>
  <r>
    <n v="505"/>
    <x v="4"/>
    <x v="123"/>
    <x v="8"/>
    <s v="Percent change"/>
    <s v="Units"/>
    <x v="2"/>
    <n v="37.686999999999998"/>
  </r>
  <r>
    <n v="505"/>
    <x v="4"/>
    <x v="123"/>
    <x v="8"/>
    <s v="Percent change"/>
    <s v="Units"/>
    <x v="3"/>
    <n v="13.907"/>
  </r>
  <r>
    <n v="505"/>
    <x v="4"/>
    <x v="123"/>
    <x v="8"/>
    <s v="Percent change"/>
    <s v="Units"/>
    <x v="4"/>
    <n v="4.4240000000000004"/>
  </r>
  <r>
    <n v="505"/>
    <x v="4"/>
    <x v="123"/>
    <x v="8"/>
    <s v="Percent change"/>
    <s v="Units"/>
    <x v="5"/>
    <n v="5.17"/>
  </r>
  <r>
    <n v="505"/>
    <x v="4"/>
    <x v="123"/>
    <x v="8"/>
    <s v="Percent change"/>
    <s v="Units"/>
    <x v="6"/>
    <n v="6.5039999999999996"/>
  </r>
  <r>
    <n v="1"/>
    <x v="2"/>
    <x v="123"/>
    <x v="8"/>
    <s v="Percent change"/>
    <s v="Units"/>
    <x v="0"/>
    <n v="7.298"/>
  </r>
  <r>
    <n v="1"/>
    <x v="2"/>
    <x v="123"/>
    <x v="8"/>
    <s v="Percent change"/>
    <s v="Units"/>
    <x v="1"/>
    <n v="-32.908999999999999"/>
  </r>
  <r>
    <n v="1"/>
    <x v="2"/>
    <x v="123"/>
    <x v="8"/>
    <s v="Percent change"/>
    <s v="Units"/>
    <x v="2"/>
    <n v="37.686999999999998"/>
  </r>
  <r>
    <n v="1"/>
    <x v="2"/>
    <x v="123"/>
    <x v="8"/>
    <s v="Percent change"/>
    <s v="Units"/>
    <x v="3"/>
    <n v="13.907"/>
  </r>
  <r>
    <n v="1"/>
    <x v="2"/>
    <x v="123"/>
    <x v="8"/>
    <s v="Percent change"/>
    <s v="Units"/>
    <x v="4"/>
    <n v="4.4240000000000004"/>
  </r>
  <r>
    <n v="1"/>
    <x v="2"/>
    <x v="123"/>
    <x v="8"/>
    <s v="Percent change"/>
    <s v="Units"/>
    <x v="5"/>
    <n v="5.17"/>
  </r>
  <r>
    <n v="1"/>
    <x v="2"/>
    <x v="123"/>
    <x v="8"/>
    <s v="Percent change"/>
    <s v="Units"/>
    <x v="6"/>
    <n v="6.5039999999999996"/>
  </r>
  <r>
    <n v="200"/>
    <x v="3"/>
    <x v="123"/>
    <x v="8"/>
    <s v="Percent change"/>
    <s v="Units"/>
    <x v="0"/>
    <n v="7.298"/>
  </r>
  <r>
    <n v="200"/>
    <x v="3"/>
    <x v="123"/>
    <x v="8"/>
    <s v="Percent change"/>
    <s v="Units"/>
    <x v="1"/>
    <n v="-32.908999999999999"/>
  </r>
  <r>
    <n v="200"/>
    <x v="3"/>
    <x v="123"/>
    <x v="8"/>
    <s v="Percent change"/>
    <s v="Units"/>
    <x v="2"/>
    <n v="37.686999999999998"/>
  </r>
  <r>
    <n v="200"/>
    <x v="3"/>
    <x v="123"/>
    <x v="8"/>
    <s v="Percent change"/>
    <s v="Units"/>
    <x v="3"/>
    <n v="13.907"/>
  </r>
  <r>
    <n v="200"/>
    <x v="3"/>
    <x v="123"/>
    <x v="8"/>
    <s v="Percent change"/>
    <s v="Units"/>
    <x v="4"/>
    <n v="4.4240000000000004"/>
  </r>
  <r>
    <n v="200"/>
    <x v="3"/>
    <x v="123"/>
    <x v="8"/>
    <s v="Percent change"/>
    <s v="Units"/>
    <x v="5"/>
    <n v="5.17"/>
  </r>
  <r>
    <n v="200"/>
    <x v="3"/>
    <x v="123"/>
    <x v="8"/>
    <s v="Percent change"/>
    <s v="Units"/>
    <x v="6"/>
    <n v="6.5039999999999996"/>
  </r>
  <r>
    <n v="400"/>
    <x v="11"/>
    <x v="155"/>
    <x v="4"/>
    <s v="Percent change"/>
    <s v="Units"/>
    <x v="0"/>
    <n v="11.895"/>
  </r>
  <r>
    <n v="400"/>
    <x v="11"/>
    <x v="155"/>
    <x v="4"/>
    <s v="Percent change"/>
    <s v="Units"/>
    <x v="1"/>
    <n v="5.4269999999999996"/>
  </r>
  <r>
    <n v="400"/>
    <x v="11"/>
    <x v="155"/>
    <x v="4"/>
    <s v="Percent change"/>
    <s v="Units"/>
    <x v="2"/>
    <n v="17.137"/>
  </r>
  <r>
    <n v="400"/>
    <x v="11"/>
    <x v="155"/>
    <x v="4"/>
    <s v="Percent change"/>
    <s v="Units"/>
    <x v="3"/>
    <n v="-2.8490000000000002"/>
  </r>
  <r>
    <n v="400"/>
    <x v="11"/>
    <x v="155"/>
    <x v="4"/>
    <s v="Percent change"/>
    <s v="Units"/>
    <x v="4"/>
    <n v="8.9139999999999997"/>
  </r>
  <r>
    <n v="400"/>
    <x v="11"/>
    <x v="155"/>
    <x v="4"/>
    <s v="Percent change"/>
    <s v="Units"/>
    <x v="5"/>
    <n v="5.1310000000000002"/>
  </r>
  <r>
    <n v="400"/>
    <x v="11"/>
    <x v="155"/>
    <x v="4"/>
    <s v="Percent change"/>
    <s v="Units"/>
    <x v="6"/>
    <n v="6.16"/>
  </r>
  <r>
    <n v="1"/>
    <x v="2"/>
    <x v="155"/>
    <x v="4"/>
    <s v="Percent change"/>
    <s v="Units"/>
    <x v="0"/>
    <n v="11.895"/>
  </r>
  <r>
    <n v="1"/>
    <x v="2"/>
    <x v="155"/>
    <x v="4"/>
    <s v="Percent change"/>
    <s v="Units"/>
    <x v="1"/>
    <n v="5.4269999999999996"/>
  </r>
  <r>
    <n v="1"/>
    <x v="2"/>
    <x v="155"/>
    <x v="4"/>
    <s v="Percent change"/>
    <s v="Units"/>
    <x v="2"/>
    <n v="17.137"/>
  </r>
  <r>
    <n v="1"/>
    <x v="2"/>
    <x v="155"/>
    <x v="4"/>
    <s v="Percent change"/>
    <s v="Units"/>
    <x v="3"/>
    <n v="-2.8490000000000002"/>
  </r>
  <r>
    <n v="1"/>
    <x v="2"/>
    <x v="155"/>
    <x v="4"/>
    <s v="Percent change"/>
    <s v="Units"/>
    <x v="4"/>
    <n v="8.9139999999999997"/>
  </r>
  <r>
    <n v="1"/>
    <x v="2"/>
    <x v="155"/>
    <x v="4"/>
    <s v="Percent change"/>
    <s v="Units"/>
    <x v="5"/>
    <n v="5.1310000000000002"/>
  </r>
  <r>
    <n v="1"/>
    <x v="2"/>
    <x v="155"/>
    <x v="4"/>
    <s v="Percent change"/>
    <s v="Units"/>
    <x v="6"/>
    <n v="6.16"/>
  </r>
  <r>
    <n v="200"/>
    <x v="3"/>
    <x v="155"/>
    <x v="4"/>
    <s v="Percent change"/>
    <s v="Units"/>
    <x v="0"/>
    <n v="11.895"/>
  </r>
  <r>
    <n v="200"/>
    <x v="3"/>
    <x v="155"/>
    <x v="4"/>
    <s v="Percent change"/>
    <s v="Units"/>
    <x v="1"/>
    <n v="5.4269999999999996"/>
  </r>
  <r>
    <n v="200"/>
    <x v="3"/>
    <x v="155"/>
    <x v="4"/>
    <s v="Percent change"/>
    <s v="Units"/>
    <x v="2"/>
    <n v="17.137"/>
  </r>
  <r>
    <n v="200"/>
    <x v="3"/>
    <x v="155"/>
    <x v="4"/>
    <s v="Percent change"/>
    <s v="Units"/>
    <x v="3"/>
    <n v="-2.8490000000000002"/>
  </r>
  <r>
    <n v="200"/>
    <x v="3"/>
    <x v="155"/>
    <x v="4"/>
    <s v="Percent change"/>
    <s v="Units"/>
    <x v="4"/>
    <n v="8.9139999999999997"/>
  </r>
  <r>
    <n v="200"/>
    <x v="3"/>
    <x v="155"/>
    <x v="4"/>
    <s v="Percent change"/>
    <s v="Units"/>
    <x v="5"/>
    <n v="5.1310000000000002"/>
  </r>
  <r>
    <n v="200"/>
    <x v="3"/>
    <x v="155"/>
    <x v="4"/>
    <s v="Percent change"/>
    <s v="Units"/>
    <x v="6"/>
    <n v="6.16"/>
  </r>
  <r>
    <n v="123"/>
    <x v="9"/>
    <x v="31"/>
    <x v="9"/>
    <s v="Percent of GDP"/>
    <s v="Units"/>
    <x v="0"/>
    <n v="3.7650000000000001"/>
  </r>
  <r>
    <n v="123"/>
    <x v="9"/>
    <x v="31"/>
    <x v="9"/>
    <s v="Percent of GDP"/>
    <s v="Units"/>
    <x v="1"/>
    <n v="-6.7309999999999999"/>
  </r>
  <r>
    <n v="123"/>
    <x v="9"/>
    <x v="31"/>
    <x v="9"/>
    <s v="Percent of GDP"/>
    <s v="Units"/>
    <x v="2"/>
    <n v="1.135"/>
  </r>
  <r>
    <n v="123"/>
    <x v="9"/>
    <x v="31"/>
    <x v="9"/>
    <s v="Percent of GDP"/>
    <s v="Units"/>
    <x v="3"/>
    <n v="1.206"/>
  </r>
  <r>
    <n v="123"/>
    <x v="9"/>
    <x v="31"/>
    <x v="9"/>
    <s v="Percent of GDP"/>
    <s v="Units"/>
    <x v="4"/>
    <n v="3.5840000000000001"/>
  </r>
  <r>
    <n v="123"/>
    <x v="9"/>
    <x v="31"/>
    <x v="9"/>
    <s v="Percent of GDP"/>
    <s v="Units"/>
    <x v="5"/>
    <n v="5.1219999999999999"/>
  </r>
  <r>
    <n v="123"/>
    <x v="9"/>
    <x v="31"/>
    <x v="9"/>
    <s v="Percent of GDP"/>
    <s v="Units"/>
    <x v="6"/>
    <n v="3.625"/>
  </r>
  <r>
    <n v="510"/>
    <x v="10"/>
    <x v="31"/>
    <x v="9"/>
    <s v="Percent of GDP"/>
    <s v="Units"/>
    <x v="0"/>
    <n v="3.7650000000000001"/>
  </r>
  <r>
    <n v="510"/>
    <x v="10"/>
    <x v="31"/>
    <x v="9"/>
    <s v="Percent of GDP"/>
    <s v="Units"/>
    <x v="1"/>
    <n v="-6.7309999999999999"/>
  </r>
  <r>
    <n v="510"/>
    <x v="10"/>
    <x v="31"/>
    <x v="9"/>
    <s v="Percent of GDP"/>
    <s v="Units"/>
    <x v="2"/>
    <n v="1.135"/>
  </r>
  <r>
    <n v="510"/>
    <x v="10"/>
    <x v="31"/>
    <x v="9"/>
    <s v="Percent of GDP"/>
    <s v="Units"/>
    <x v="3"/>
    <n v="1.206"/>
  </r>
  <r>
    <n v="510"/>
    <x v="10"/>
    <x v="31"/>
    <x v="9"/>
    <s v="Percent of GDP"/>
    <s v="Units"/>
    <x v="4"/>
    <n v="3.5840000000000001"/>
  </r>
  <r>
    <n v="510"/>
    <x v="10"/>
    <x v="31"/>
    <x v="9"/>
    <s v="Percent of GDP"/>
    <s v="Units"/>
    <x v="5"/>
    <n v="5.1219999999999999"/>
  </r>
  <r>
    <n v="510"/>
    <x v="10"/>
    <x v="31"/>
    <x v="9"/>
    <s v="Percent of GDP"/>
    <s v="Units"/>
    <x v="6"/>
    <n v="3.625"/>
  </r>
  <r>
    <n v="110"/>
    <x v="0"/>
    <x v="31"/>
    <x v="9"/>
    <s v="Percent of GDP"/>
    <s v="Units"/>
    <x v="0"/>
    <n v="3.7650000000000001"/>
  </r>
  <r>
    <n v="110"/>
    <x v="0"/>
    <x v="31"/>
    <x v="9"/>
    <s v="Percent of GDP"/>
    <s v="Units"/>
    <x v="1"/>
    <n v="-6.7309999999999999"/>
  </r>
  <r>
    <n v="110"/>
    <x v="0"/>
    <x v="31"/>
    <x v="9"/>
    <s v="Percent of GDP"/>
    <s v="Units"/>
    <x v="2"/>
    <n v="1.135"/>
  </r>
  <r>
    <n v="110"/>
    <x v="0"/>
    <x v="31"/>
    <x v="9"/>
    <s v="Percent of GDP"/>
    <s v="Units"/>
    <x v="3"/>
    <n v="1.206"/>
  </r>
  <r>
    <n v="110"/>
    <x v="0"/>
    <x v="31"/>
    <x v="9"/>
    <s v="Percent of GDP"/>
    <s v="Units"/>
    <x v="4"/>
    <n v="3.5840000000000001"/>
  </r>
  <r>
    <n v="110"/>
    <x v="0"/>
    <x v="31"/>
    <x v="9"/>
    <s v="Percent of GDP"/>
    <s v="Units"/>
    <x v="5"/>
    <n v="5.1219999999999999"/>
  </r>
  <r>
    <n v="110"/>
    <x v="0"/>
    <x v="31"/>
    <x v="9"/>
    <s v="Percent of GDP"/>
    <s v="Units"/>
    <x v="6"/>
    <n v="3.625"/>
  </r>
  <r>
    <n v="603"/>
    <x v="12"/>
    <x v="161"/>
    <x v="0"/>
    <s v="U.S. dollars"/>
    <s v="Billions"/>
    <x v="0"/>
    <n v="4.4950000000000001"/>
  </r>
  <r>
    <n v="603"/>
    <x v="12"/>
    <x v="161"/>
    <x v="0"/>
    <s v="U.S. dollars"/>
    <s v="Billions"/>
    <x v="1"/>
    <n v="3.984"/>
  </r>
  <r>
    <n v="603"/>
    <x v="12"/>
    <x v="161"/>
    <x v="0"/>
    <s v="U.S. dollars"/>
    <s v="Billions"/>
    <x v="2"/>
    <n v="4.851"/>
  </r>
  <r>
    <n v="603"/>
    <x v="12"/>
    <x v="161"/>
    <x v="0"/>
    <s v="U.S. dollars"/>
    <s v="Billions"/>
    <x v="3"/>
    <n v="4.7910000000000004"/>
  </r>
  <r>
    <n v="603"/>
    <x v="12"/>
    <x v="161"/>
    <x v="0"/>
    <s v="U.S. dollars"/>
    <s v="Billions"/>
    <x v="4"/>
    <n v="4.8680000000000003"/>
  </r>
  <r>
    <n v="603"/>
    <x v="12"/>
    <x v="161"/>
    <x v="0"/>
    <s v="U.S. dollars"/>
    <s v="Billions"/>
    <x v="5"/>
    <n v="5.085"/>
  </r>
  <r>
    <n v="603"/>
    <x v="12"/>
    <x v="161"/>
    <x v="0"/>
    <s v="U.S. dollars"/>
    <s v="Billions"/>
    <x v="6"/>
    <n v="5.306"/>
  </r>
  <r>
    <n v="1"/>
    <x v="2"/>
    <x v="161"/>
    <x v="0"/>
    <s v="U.S. dollars"/>
    <s v="Billions"/>
    <x v="0"/>
    <n v="4.4950000000000001"/>
  </r>
  <r>
    <n v="1"/>
    <x v="2"/>
    <x v="161"/>
    <x v="0"/>
    <s v="U.S. dollars"/>
    <s v="Billions"/>
    <x v="1"/>
    <n v="3.984"/>
  </r>
  <r>
    <n v="1"/>
    <x v="2"/>
    <x v="161"/>
    <x v="0"/>
    <s v="U.S. dollars"/>
    <s v="Billions"/>
    <x v="2"/>
    <n v="4.851"/>
  </r>
  <r>
    <n v="1"/>
    <x v="2"/>
    <x v="161"/>
    <x v="0"/>
    <s v="U.S. dollars"/>
    <s v="Billions"/>
    <x v="3"/>
    <n v="4.7910000000000004"/>
  </r>
  <r>
    <n v="1"/>
    <x v="2"/>
    <x v="161"/>
    <x v="0"/>
    <s v="U.S. dollars"/>
    <s v="Billions"/>
    <x v="4"/>
    <n v="4.8680000000000003"/>
  </r>
  <r>
    <n v="1"/>
    <x v="2"/>
    <x v="161"/>
    <x v="0"/>
    <s v="U.S. dollars"/>
    <s v="Billions"/>
    <x v="5"/>
    <n v="5.085"/>
  </r>
  <r>
    <n v="1"/>
    <x v="2"/>
    <x v="161"/>
    <x v="0"/>
    <s v="U.S. dollars"/>
    <s v="Billions"/>
    <x v="6"/>
    <n v="5.306"/>
  </r>
  <r>
    <n v="200"/>
    <x v="3"/>
    <x v="161"/>
    <x v="0"/>
    <s v="U.S. dollars"/>
    <s v="Billions"/>
    <x v="0"/>
    <n v="4.4950000000000001"/>
  </r>
  <r>
    <n v="200"/>
    <x v="3"/>
    <x v="161"/>
    <x v="0"/>
    <s v="U.S. dollars"/>
    <s v="Billions"/>
    <x v="1"/>
    <n v="3.984"/>
  </r>
  <r>
    <n v="200"/>
    <x v="3"/>
    <x v="161"/>
    <x v="0"/>
    <s v="U.S. dollars"/>
    <s v="Billions"/>
    <x v="2"/>
    <n v="4.851"/>
  </r>
  <r>
    <n v="200"/>
    <x v="3"/>
    <x v="161"/>
    <x v="0"/>
    <s v="U.S. dollars"/>
    <s v="Billions"/>
    <x v="3"/>
    <n v="4.7910000000000004"/>
  </r>
  <r>
    <n v="200"/>
    <x v="3"/>
    <x v="161"/>
    <x v="0"/>
    <s v="U.S. dollars"/>
    <s v="Billions"/>
    <x v="4"/>
    <n v="4.8680000000000003"/>
  </r>
  <r>
    <n v="200"/>
    <x v="3"/>
    <x v="161"/>
    <x v="0"/>
    <s v="U.S. dollars"/>
    <s v="Billions"/>
    <x v="5"/>
    <n v="5.085"/>
  </r>
  <r>
    <n v="200"/>
    <x v="3"/>
    <x v="161"/>
    <x v="0"/>
    <s v="U.S. dollars"/>
    <s v="Billions"/>
    <x v="6"/>
    <n v="5.306"/>
  </r>
  <r>
    <n v="400"/>
    <x v="11"/>
    <x v="54"/>
    <x v="9"/>
    <s v="Percent of GDP"/>
    <s v="Units"/>
    <x v="0"/>
    <n v="0.999"/>
  </r>
  <r>
    <n v="400"/>
    <x v="11"/>
    <x v="54"/>
    <x v="9"/>
    <s v="Percent of GDP"/>
    <s v="Units"/>
    <x v="1"/>
    <n v="-2.1339999999999999"/>
  </r>
  <r>
    <n v="400"/>
    <x v="11"/>
    <x v="54"/>
    <x v="9"/>
    <s v="Percent of GDP"/>
    <s v="Units"/>
    <x v="2"/>
    <n v="0.24299999999999999"/>
  </r>
  <r>
    <n v="400"/>
    <x v="11"/>
    <x v="54"/>
    <x v="9"/>
    <s v="Percent of GDP"/>
    <s v="Units"/>
    <x v="3"/>
    <n v="10.351000000000001"/>
  </r>
  <r>
    <n v="400"/>
    <x v="11"/>
    <x v="54"/>
    <x v="9"/>
    <s v="Percent of GDP"/>
    <s v="Units"/>
    <x v="4"/>
    <n v="5.3869999999999996"/>
  </r>
  <r>
    <n v="400"/>
    <x v="11"/>
    <x v="54"/>
    <x v="9"/>
    <s v="Percent of GDP"/>
    <s v="Units"/>
    <x v="5"/>
    <n v="5.069"/>
  </r>
  <r>
    <n v="400"/>
    <x v="11"/>
    <x v="54"/>
    <x v="9"/>
    <s v="Percent of GDP"/>
    <s v="Units"/>
    <x v="6"/>
    <n v="4.702"/>
  </r>
  <r>
    <n v="200"/>
    <x v="3"/>
    <x v="54"/>
    <x v="9"/>
    <s v="Percent of GDP"/>
    <s v="Units"/>
    <x v="0"/>
    <n v="0.999"/>
  </r>
  <r>
    <n v="200"/>
    <x v="3"/>
    <x v="54"/>
    <x v="9"/>
    <s v="Percent of GDP"/>
    <s v="Units"/>
    <x v="1"/>
    <n v="-2.1339999999999999"/>
  </r>
  <r>
    <n v="200"/>
    <x v="3"/>
    <x v="54"/>
    <x v="9"/>
    <s v="Percent of GDP"/>
    <s v="Units"/>
    <x v="2"/>
    <n v="0.24299999999999999"/>
  </r>
  <r>
    <n v="200"/>
    <x v="3"/>
    <x v="54"/>
    <x v="9"/>
    <s v="Percent of GDP"/>
    <s v="Units"/>
    <x v="3"/>
    <n v="10.351000000000001"/>
  </r>
  <r>
    <n v="200"/>
    <x v="3"/>
    <x v="54"/>
    <x v="9"/>
    <s v="Percent of GDP"/>
    <s v="Units"/>
    <x v="4"/>
    <n v="5.3869999999999996"/>
  </r>
  <r>
    <n v="200"/>
    <x v="3"/>
    <x v="54"/>
    <x v="9"/>
    <s v="Percent of GDP"/>
    <s v="Units"/>
    <x v="5"/>
    <n v="5.069"/>
  </r>
  <r>
    <n v="200"/>
    <x v="3"/>
    <x v="54"/>
    <x v="9"/>
    <s v="Percent of GDP"/>
    <s v="Units"/>
    <x v="6"/>
    <n v="4.702"/>
  </r>
  <r>
    <n v="400"/>
    <x v="11"/>
    <x v="187"/>
    <x v="6"/>
    <s v="Percent change"/>
    <s v="Units"/>
    <x v="0"/>
    <n v="17.282"/>
  </r>
  <r>
    <n v="400"/>
    <x v="11"/>
    <x v="187"/>
    <x v="6"/>
    <s v="Percent change"/>
    <s v="Units"/>
    <x v="1"/>
    <n v="10.661"/>
  </r>
  <r>
    <n v="400"/>
    <x v="11"/>
    <x v="187"/>
    <x v="6"/>
    <s v="Percent change"/>
    <s v="Units"/>
    <x v="2"/>
    <n v="-5.7549999999999999"/>
  </r>
  <r>
    <n v="400"/>
    <x v="11"/>
    <x v="187"/>
    <x v="6"/>
    <s v="Percent change"/>
    <s v="Units"/>
    <x v="3"/>
    <n v="-8.1289999999999996"/>
  </r>
  <r>
    <n v="400"/>
    <x v="11"/>
    <x v="187"/>
    <x v="6"/>
    <s v="Percent change"/>
    <s v="Units"/>
    <x v="4"/>
    <n v="-4.1020000000000003"/>
  </r>
  <r>
    <n v="400"/>
    <x v="11"/>
    <x v="187"/>
    <x v="6"/>
    <s v="Percent change"/>
    <s v="Units"/>
    <x v="5"/>
    <n v="5.0659999999999998"/>
  </r>
  <r>
    <n v="400"/>
    <x v="11"/>
    <x v="187"/>
    <x v="6"/>
    <s v="Percent change"/>
    <s v="Units"/>
    <x v="6"/>
    <n v="0.67900000000000005"/>
  </r>
  <r>
    <n v="1"/>
    <x v="2"/>
    <x v="187"/>
    <x v="6"/>
    <s v="Percent change"/>
    <s v="Units"/>
    <x v="0"/>
    <n v="17.282"/>
  </r>
  <r>
    <n v="1"/>
    <x v="2"/>
    <x v="187"/>
    <x v="6"/>
    <s v="Percent change"/>
    <s v="Units"/>
    <x v="1"/>
    <n v="10.661"/>
  </r>
  <r>
    <n v="1"/>
    <x v="2"/>
    <x v="187"/>
    <x v="6"/>
    <s v="Percent change"/>
    <s v="Units"/>
    <x v="2"/>
    <n v="-5.7549999999999999"/>
  </r>
  <r>
    <n v="1"/>
    <x v="2"/>
    <x v="187"/>
    <x v="6"/>
    <s v="Percent change"/>
    <s v="Units"/>
    <x v="3"/>
    <n v="-8.1289999999999996"/>
  </r>
  <r>
    <n v="1"/>
    <x v="2"/>
    <x v="187"/>
    <x v="6"/>
    <s v="Percent change"/>
    <s v="Units"/>
    <x v="4"/>
    <n v="-4.1020000000000003"/>
  </r>
  <r>
    <n v="1"/>
    <x v="2"/>
    <x v="187"/>
    <x v="6"/>
    <s v="Percent change"/>
    <s v="Units"/>
    <x v="5"/>
    <n v="5.0659999999999998"/>
  </r>
  <r>
    <n v="1"/>
    <x v="2"/>
    <x v="187"/>
    <x v="6"/>
    <s v="Percent change"/>
    <s v="Units"/>
    <x v="6"/>
    <n v="0.67900000000000005"/>
  </r>
  <r>
    <n v="200"/>
    <x v="3"/>
    <x v="187"/>
    <x v="6"/>
    <s v="Percent change"/>
    <s v="Units"/>
    <x v="0"/>
    <n v="17.282"/>
  </r>
  <r>
    <n v="200"/>
    <x v="3"/>
    <x v="187"/>
    <x v="6"/>
    <s v="Percent change"/>
    <s v="Units"/>
    <x v="1"/>
    <n v="10.661"/>
  </r>
  <r>
    <n v="200"/>
    <x v="3"/>
    <x v="187"/>
    <x v="6"/>
    <s v="Percent change"/>
    <s v="Units"/>
    <x v="2"/>
    <n v="-5.7549999999999999"/>
  </r>
  <r>
    <n v="200"/>
    <x v="3"/>
    <x v="187"/>
    <x v="6"/>
    <s v="Percent change"/>
    <s v="Units"/>
    <x v="3"/>
    <n v="-8.1289999999999996"/>
  </r>
  <r>
    <n v="200"/>
    <x v="3"/>
    <x v="187"/>
    <x v="6"/>
    <s v="Percent change"/>
    <s v="Units"/>
    <x v="4"/>
    <n v="-4.1020000000000003"/>
  </r>
  <r>
    <n v="200"/>
    <x v="3"/>
    <x v="187"/>
    <x v="6"/>
    <s v="Percent change"/>
    <s v="Units"/>
    <x v="5"/>
    <n v="5.0659999999999998"/>
  </r>
  <r>
    <n v="200"/>
    <x v="3"/>
    <x v="187"/>
    <x v="6"/>
    <s v="Percent change"/>
    <s v="Units"/>
    <x v="6"/>
    <n v="0.67900000000000005"/>
  </r>
  <r>
    <n v="1"/>
    <x v="2"/>
    <x v="134"/>
    <x v="8"/>
    <s v="Percent change"/>
    <s v="Units"/>
    <x v="0"/>
    <n v="3.1459999999999999"/>
  </r>
  <r>
    <n v="1"/>
    <x v="2"/>
    <x v="134"/>
    <x v="8"/>
    <s v="Percent change"/>
    <s v="Units"/>
    <x v="1"/>
    <n v="-0.42899999999999999"/>
  </r>
  <r>
    <n v="1"/>
    <x v="2"/>
    <x v="134"/>
    <x v="8"/>
    <s v="Percent change"/>
    <s v="Units"/>
    <x v="2"/>
    <n v="0.73699999999999999"/>
  </r>
  <r>
    <n v="1"/>
    <x v="2"/>
    <x v="134"/>
    <x v="8"/>
    <s v="Percent change"/>
    <s v="Units"/>
    <x v="3"/>
    <n v="6.3639999999999999"/>
  </r>
  <r>
    <n v="1"/>
    <x v="2"/>
    <x v="134"/>
    <x v="8"/>
    <s v="Percent change"/>
    <s v="Units"/>
    <x v="4"/>
    <n v="4.8109999999999999"/>
  </r>
  <r>
    <n v="1"/>
    <x v="2"/>
    <x v="134"/>
    <x v="8"/>
    <s v="Percent change"/>
    <s v="Units"/>
    <x v="5"/>
    <n v="5.0519999999999996"/>
  </r>
  <r>
    <n v="1"/>
    <x v="2"/>
    <x v="134"/>
    <x v="8"/>
    <s v="Percent change"/>
    <s v="Units"/>
    <x v="6"/>
    <n v="5.548"/>
  </r>
  <r>
    <n v="200"/>
    <x v="3"/>
    <x v="134"/>
    <x v="8"/>
    <s v="Percent change"/>
    <s v="Units"/>
    <x v="0"/>
    <n v="3.1459999999999999"/>
  </r>
  <r>
    <n v="200"/>
    <x v="3"/>
    <x v="134"/>
    <x v="8"/>
    <s v="Percent change"/>
    <s v="Units"/>
    <x v="1"/>
    <n v="-0.42899999999999999"/>
  </r>
  <r>
    <n v="200"/>
    <x v="3"/>
    <x v="134"/>
    <x v="8"/>
    <s v="Percent change"/>
    <s v="Units"/>
    <x v="2"/>
    <n v="0.73699999999999999"/>
  </r>
  <r>
    <n v="200"/>
    <x v="3"/>
    <x v="134"/>
    <x v="8"/>
    <s v="Percent change"/>
    <s v="Units"/>
    <x v="3"/>
    <n v="6.3639999999999999"/>
  </r>
  <r>
    <n v="200"/>
    <x v="3"/>
    <x v="134"/>
    <x v="8"/>
    <s v="Percent change"/>
    <s v="Units"/>
    <x v="4"/>
    <n v="4.8109999999999999"/>
  </r>
  <r>
    <n v="200"/>
    <x v="3"/>
    <x v="134"/>
    <x v="8"/>
    <s v="Percent change"/>
    <s v="Units"/>
    <x v="5"/>
    <n v="5.0519999999999996"/>
  </r>
  <r>
    <n v="200"/>
    <x v="3"/>
    <x v="134"/>
    <x v="8"/>
    <s v="Percent change"/>
    <s v="Units"/>
    <x v="6"/>
    <n v="5.548"/>
  </r>
  <r>
    <n v="400"/>
    <x v="11"/>
    <x v="134"/>
    <x v="8"/>
    <s v="Percent change"/>
    <s v="Units"/>
    <x v="0"/>
    <n v="3.1459999999999999"/>
  </r>
  <r>
    <n v="400"/>
    <x v="11"/>
    <x v="134"/>
    <x v="8"/>
    <s v="Percent change"/>
    <s v="Units"/>
    <x v="1"/>
    <n v="-0.42899999999999999"/>
  </r>
  <r>
    <n v="400"/>
    <x v="11"/>
    <x v="134"/>
    <x v="8"/>
    <s v="Percent change"/>
    <s v="Units"/>
    <x v="2"/>
    <n v="0.73699999999999999"/>
  </r>
  <r>
    <n v="400"/>
    <x v="11"/>
    <x v="134"/>
    <x v="8"/>
    <s v="Percent change"/>
    <s v="Units"/>
    <x v="3"/>
    <n v="6.3639999999999999"/>
  </r>
  <r>
    <n v="400"/>
    <x v="11"/>
    <x v="134"/>
    <x v="8"/>
    <s v="Percent change"/>
    <s v="Units"/>
    <x v="4"/>
    <n v="4.8109999999999999"/>
  </r>
  <r>
    <n v="400"/>
    <x v="11"/>
    <x v="134"/>
    <x v="8"/>
    <s v="Percent change"/>
    <s v="Units"/>
    <x v="5"/>
    <n v="5.0519999999999996"/>
  </r>
  <r>
    <n v="400"/>
    <x v="11"/>
    <x v="134"/>
    <x v="8"/>
    <s v="Percent change"/>
    <s v="Units"/>
    <x v="6"/>
    <n v="5.548"/>
  </r>
  <r>
    <n v="998"/>
    <x v="6"/>
    <x v="128"/>
    <x v="8"/>
    <s v="Percent change"/>
    <s v="Units"/>
    <x v="0"/>
    <n v="7.1239999999999997"/>
  </r>
  <r>
    <n v="998"/>
    <x v="6"/>
    <x v="128"/>
    <x v="8"/>
    <s v="Percent change"/>
    <s v="Units"/>
    <x v="1"/>
    <n v="-8.157"/>
  </r>
  <r>
    <n v="998"/>
    <x v="6"/>
    <x v="128"/>
    <x v="8"/>
    <s v="Percent change"/>
    <s v="Units"/>
    <x v="2"/>
    <n v="12.513999999999999"/>
  </r>
  <r>
    <n v="998"/>
    <x v="6"/>
    <x v="128"/>
    <x v="8"/>
    <s v="Percent change"/>
    <s v="Units"/>
    <x v="3"/>
    <n v="8.0760000000000005"/>
  </r>
  <r>
    <n v="998"/>
    <x v="6"/>
    <x v="128"/>
    <x v="8"/>
    <s v="Percent change"/>
    <s v="Units"/>
    <x v="4"/>
    <n v="5.6139999999999999"/>
  </r>
  <r>
    <n v="998"/>
    <x v="6"/>
    <x v="128"/>
    <x v="8"/>
    <s v="Percent change"/>
    <s v="Units"/>
    <x v="5"/>
    <n v="5.0410000000000004"/>
  </r>
  <r>
    <n v="998"/>
    <x v="6"/>
    <x v="128"/>
    <x v="8"/>
    <s v="Percent change"/>
    <s v="Units"/>
    <x v="6"/>
    <n v="4.0049999999999999"/>
  </r>
  <r>
    <n v="110"/>
    <x v="0"/>
    <x v="128"/>
    <x v="8"/>
    <s v="Percent change"/>
    <s v="Units"/>
    <x v="0"/>
    <n v="7.1239999999999997"/>
  </r>
  <r>
    <n v="110"/>
    <x v="0"/>
    <x v="128"/>
    <x v="8"/>
    <s v="Percent change"/>
    <s v="Units"/>
    <x v="1"/>
    <n v="-8.157"/>
  </r>
  <r>
    <n v="110"/>
    <x v="0"/>
    <x v="128"/>
    <x v="8"/>
    <s v="Percent change"/>
    <s v="Units"/>
    <x v="2"/>
    <n v="12.513999999999999"/>
  </r>
  <r>
    <n v="110"/>
    <x v="0"/>
    <x v="128"/>
    <x v="8"/>
    <s v="Percent change"/>
    <s v="Units"/>
    <x v="3"/>
    <n v="8.0760000000000005"/>
  </r>
  <r>
    <n v="110"/>
    <x v="0"/>
    <x v="128"/>
    <x v="8"/>
    <s v="Percent change"/>
    <s v="Units"/>
    <x v="4"/>
    <n v="5.6139999999999999"/>
  </r>
  <r>
    <n v="110"/>
    <x v="0"/>
    <x v="128"/>
    <x v="8"/>
    <s v="Percent change"/>
    <s v="Units"/>
    <x v="5"/>
    <n v="5.0410000000000004"/>
  </r>
  <r>
    <n v="110"/>
    <x v="0"/>
    <x v="128"/>
    <x v="8"/>
    <s v="Percent change"/>
    <s v="Units"/>
    <x v="6"/>
    <n v="4.0049999999999999"/>
  </r>
  <r>
    <n v="163"/>
    <x v="5"/>
    <x v="128"/>
    <x v="8"/>
    <s v="Percent change"/>
    <s v="Units"/>
    <x v="0"/>
    <n v="7.1239999999999997"/>
  </r>
  <r>
    <n v="163"/>
    <x v="5"/>
    <x v="128"/>
    <x v="8"/>
    <s v="Percent change"/>
    <s v="Units"/>
    <x v="1"/>
    <n v="-8.157"/>
  </r>
  <r>
    <n v="163"/>
    <x v="5"/>
    <x v="128"/>
    <x v="8"/>
    <s v="Percent change"/>
    <s v="Units"/>
    <x v="2"/>
    <n v="12.513999999999999"/>
  </r>
  <r>
    <n v="163"/>
    <x v="5"/>
    <x v="128"/>
    <x v="8"/>
    <s v="Percent change"/>
    <s v="Units"/>
    <x v="3"/>
    <n v="8.0760000000000005"/>
  </r>
  <r>
    <n v="163"/>
    <x v="5"/>
    <x v="128"/>
    <x v="8"/>
    <s v="Percent change"/>
    <s v="Units"/>
    <x v="4"/>
    <n v="5.6139999999999999"/>
  </r>
  <r>
    <n v="163"/>
    <x v="5"/>
    <x v="128"/>
    <x v="8"/>
    <s v="Percent change"/>
    <s v="Units"/>
    <x v="5"/>
    <n v="5.0410000000000004"/>
  </r>
  <r>
    <n v="163"/>
    <x v="5"/>
    <x v="128"/>
    <x v="8"/>
    <s v="Percent change"/>
    <s v="Units"/>
    <x v="6"/>
    <n v="4.0049999999999999"/>
  </r>
  <r>
    <n v="1"/>
    <x v="2"/>
    <x v="128"/>
    <x v="8"/>
    <s v="Percent change"/>
    <s v="Units"/>
    <x v="0"/>
    <n v="7.1239999999999997"/>
  </r>
  <r>
    <n v="1"/>
    <x v="2"/>
    <x v="128"/>
    <x v="8"/>
    <s v="Percent change"/>
    <s v="Units"/>
    <x v="1"/>
    <n v="-8.157"/>
  </r>
  <r>
    <n v="1"/>
    <x v="2"/>
    <x v="128"/>
    <x v="8"/>
    <s v="Percent change"/>
    <s v="Units"/>
    <x v="2"/>
    <n v="12.513999999999999"/>
  </r>
  <r>
    <n v="1"/>
    <x v="2"/>
    <x v="128"/>
    <x v="8"/>
    <s v="Percent change"/>
    <s v="Units"/>
    <x v="3"/>
    <n v="8.0760000000000005"/>
  </r>
  <r>
    <n v="1"/>
    <x v="2"/>
    <x v="128"/>
    <x v="8"/>
    <s v="Percent change"/>
    <s v="Units"/>
    <x v="4"/>
    <n v="5.6139999999999999"/>
  </r>
  <r>
    <n v="1"/>
    <x v="2"/>
    <x v="128"/>
    <x v="8"/>
    <s v="Percent change"/>
    <s v="Units"/>
    <x v="5"/>
    <n v="5.0410000000000004"/>
  </r>
  <r>
    <n v="1"/>
    <x v="2"/>
    <x v="128"/>
    <x v="8"/>
    <s v="Percent change"/>
    <s v="Units"/>
    <x v="6"/>
    <n v="4.0049999999999999"/>
  </r>
  <r>
    <n v="123"/>
    <x v="9"/>
    <x v="51"/>
    <x v="11"/>
    <s v="Percent of total labor force"/>
    <s v="Units"/>
    <x v="0"/>
    <n v="4.125"/>
  </r>
  <r>
    <n v="123"/>
    <x v="9"/>
    <x v="51"/>
    <x v="11"/>
    <s v="Percent of total labor force"/>
    <s v="Units"/>
    <x v="1"/>
    <n v="4.5999999999999996"/>
  </r>
  <r>
    <n v="123"/>
    <x v="9"/>
    <x v="51"/>
    <x v="11"/>
    <s v="Percent of total labor force"/>
    <s v="Units"/>
    <x v="2"/>
    <n v="3.7749999999999999"/>
  </r>
  <r>
    <n v="123"/>
    <x v="9"/>
    <x v="51"/>
    <x v="11"/>
    <s v="Percent of total labor force"/>
    <s v="Units"/>
    <x v="3"/>
    <n v="3.3"/>
  </r>
  <r>
    <n v="123"/>
    <x v="9"/>
    <x v="51"/>
    <x v="11"/>
    <s v="Percent of total labor force"/>
    <s v="Units"/>
    <x v="4"/>
    <n v="3.7250000000000001"/>
  </r>
  <r>
    <n v="123"/>
    <x v="9"/>
    <x v="51"/>
    <x v="11"/>
    <s v="Percent of total labor force"/>
    <s v="Units"/>
    <x v="5"/>
    <n v="5.0359999999999996"/>
  </r>
  <r>
    <n v="123"/>
    <x v="9"/>
    <x v="51"/>
    <x v="11"/>
    <s v="Percent of total labor force"/>
    <s v="Units"/>
    <x v="6"/>
    <n v="5.4180000000000001"/>
  </r>
  <r>
    <n v="110"/>
    <x v="0"/>
    <x v="51"/>
    <x v="11"/>
    <s v="Percent of total labor force"/>
    <s v="Units"/>
    <x v="0"/>
    <n v="4.125"/>
  </r>
  <r>
    <n v="110"/>
    <x v="0"/>
    <x v="51"/>
    <x v="11"/>
    <s v="Percent of total labor force"/>
    <s v="Units"/>
    <x v="1"/>
    <n v="4.5999999999999996"/>
  </r>
  <r>
    <n v="110"/>
    <x v="0"/>
    <x v="51"/>
    <x v="11"/>
    <s v="Percent of total labor force"/>
    <s v="Units"/>
    <x v="2"/>
    <n v="3.7749999999999999"/>
  </r>
  <r>
    <n v="110"/>
    <x v="0"/>
    <x v="51"/>
    <x v="11"/>
    <s v="Percent of total labor force"/>
    <s v="Units"/>
    <x v="3"/>
    <n v="3.3"/>
  </r>
  <r>
    <n v="110"/>
    <x v="0"/>
    <x v="51"/>
    <x v="11"/>
    <s v="Percent of total labor force"/>
    <s v="Units"/>
    <x v="4"/>
    <n v="3.7250000000000001"/>
  </r>
  <r>
    <n v="110"/>
    <x v="0"/>
    <x v="51"/>
    <x v="11"/>
    <s v="Percent of total labor force"/>
    <s v="Units"/>
    <x v="5"/>
    <n v="5.0359999999999996"/>
  </r>
  <r>
    <n v="110"/>
    <x v="0"/>
    <x v="51"/>
    <x v="11"/>
    <s v="Percent of total labor force"/>
    <s v="Units"/>
    <x v="6"/>
    <n v="5.4180000000000001"/>
  </r>
  <r>
    <n v="998"/>
    <x v="6"/>
    <x v="19"/>
    <x v="1"/>
    <s v="Percent change"/>
    <s v="Units"/>
    <x v="0"/>
    <n v="2.2440000000000002"/>
  </r>
  <r>
    <n v="998"/>
    <x v="6"/>
    <x v="19"/>
    <x v="1"/>
    <s v="Percent change"/>
    <s v="Units"/>
    <x v="1"/>
    <n v="3.379"/>
  </r>
  <r>
    <n v="998"/>
    <x v="6"/>
    <x v="19"/>
    <x v="1"/>
    <s v="Percent change"/>
    <s v="Units"/>
    <x v="2"/>
    <n v="5.1239999999999997"/>
  </r>
  <r>
    <n v="998"/>
    <x v="6"/>
    <x v="19"/>
    <x v="1"/>
    <s v="Percent change"/>
    <s v="Units"/>
    <x v="3"/>
    <n v="14.36"/>
  </r>
  <r>
    <n v="998"/>
    <x v="6"/>
    <x v="19"/>
    <x v="1"/>
    <s v="Percent change"/>
    <s v="Units"/>
    <x v="4"/>
    <n v="11.423999999999999"/>
  </r>
  <r>
    <n v="998"/>
    <x v="6"/>
    <x v="19"/>
    <x v="1"/>
    <s v="Percent change"/>
    <s v="Units"/>
    <x v="5"/>
    <n v="5.0140000000000002"/>
  </r>
  <r>
    <n v="998"/>
    <x v="6"/>
    <x v="19"/>
    <x v="1"/>
    <s v="Percent change"/>
    <s v="Units"/>
    <x v="6"/>
    <n v="4.9660000000000002"/>
  </r>
  <r>
    <n v="1"/>
    <x v="2"/>
    <x v="19"/>
    <x v="1"/>
    <s v="Percent change"/>
    <s v="Units"/>
    <x v="0"/>
    <n v="2.2440000000000002"/>
  </r>
  <r>
    <n v="1"/>
    <x v="2"/>
    <x v="19"/>
    <x v="1"/>
    <s v="Percent change"/>
    <s v="Units"/>
    <x v="1"/>
    <n v="3.379"/>
  </r>
  <r>
    <n v="1"/>
    <x v="2"/>
    <x v="19"/>
    <x v="1"/>
    <s v="Percent change"/>
    <s v="Units"/>
    <x v="2"/>
    <n v="5.1239999999999997"/>
  </r>
  <r>
    <n v="1"/>
    <x v="2"/>
    <x v="19"/>
    <x v="1"/>
    <s v="Percent change"/>
    <s v="Units"/>
    <x v="3"/>
    <n v="14.36"/>
  </r>
  <r>
    <n v="1"/>
    <x v="2"/>
    <x v="19"/>
    <x v="1"/>
    <s v="Percent change"/>
    <s v="Units"/>
    <x v="4"/>
    <n v="11.423999999999999"/>
  </r>
  <r>
    <n v="1"/>
    <x v="2"/>
    <x v="19"/>
    <x v="1"/>
    <s v="Percent change"/>
    <s v="Units"/>
    <x v="5"/>
    <n v="5.0140000000000002"/>
  </r>
  <r>
    <n v="1"/>
    <x v="2"/>
    <x v="19"/>
    <x v="1"/>
    <s v="Percent change"/>
    <s v="Units"/>
    <x v="6"/>
    <n v="4.9660000000000002"/>
  </r>
  <r>
    <n v="903"/>
    <x v="8"/>
    <x v="19"/>
    <x v="1"/>
    <s v="Percent change"/>
    <s v="Units"/>
    <x v="0"/>
    <n v="2.2440000000000002"/>
  </r>
  <r>
    <n v="903"/>
    <x v="8"/>
    <x v="19"/>
    <x v="1"/>
    <s v="Percent change"/>
    <s v="Units"/>
    <x v="1"/>
    <n v="3.379"/>
  </r>
  <r>
    <n v="903"/>
    <x v="8"/>
    <x v="19"/>
    <x v="1"/>
    <s v="Percent change"/>
    <s v="Units"/>
    <x v="2"/>
    <n v="5.1239999999999997"/>
  </r>
  <r>
    <n v="903"/>
    <x v="8"/>
    <x v="19"/>
    <x v="1"/>
    <s v="Percent change"/>
    <s v="Units"/>
    <x v="3"/>
    <n v="14.36"/>
  </r>
  <r>
    <n v="903"/>
    <x v="8"/>
    <x v="19"/>
    <x v="1"/>
    <s v="Percent change"/>
    <s v="Units"/>
    <x v="4"/>
    <n v="11.423999999999999"/>
  </r>
  <r>
    <n v="903"/>
    <x v="8"/>
    <x v="19"/>
    <x v="1"/>
    <s v="Percent change"/>
    <s v="Units"/>
    <x v="5"/>
    <n v="5.0140000000000002"/>
  </r>
  <r>
    <n v="903"/>
    <x v="8"/>
    <x v="19"/>
    <x v="1"/>
    <s v="Percent change"/>
    <s v="Units"/>
    <x v="6"/>
    <n v="4.9660000000000002"/>
  </r>
  <r>
    <n v="200"/>
    <x v="3"/>
    <x v="19"/>
    <x v="1"/>
    <s v="Percent change"/>
    <s v="Units"/>
    <x v="0"/>
    <n v="2.2440000000000002"/>
  </r>
  <r>
    <n v="200"/>
    <x v="3"/>
    <x v="19"/>
    <x v="1"/>
    <s v="Percent change"/>
    <s v="Units"/>
    <x v="1"/>
    <n v="3.379"/>
  </r>
  <r>
    <n v="200"/>
    <x v="3"/>
    <x v="19"/>
    <x v="1"/>
    <s v="Percent change"/>
    <s v="Units"/>
    <x v="2"/>
    <n v="5.1239999999999997"/>
  </r>
  <r>
    <n v="200"/>
    <x v="3"/>
    <x v="19"/>
    <x v="1"/>
    <s v="Percent change"/>
    <s v="Units"/>
    <x v="3"/>
    <n v="14.36"/>
  </r>
  <r>
    <n v="200"/>
    <x v="3"/>
    <x v="19"/>
    <x v="1"/>
    <s v="Percent change"/>
    <s v="Units"/>
    <x v="4"/>
    <n v="11.423999999999999"/>
  </r>
  <r>
    <n v="200"/>
    <x v="3"/>
    <x v="19"/>
    <x v="1"/>
    <s v="Percent change"/>
    <s v="Units"/>
    <x v="5"/>
    <n v="5.0140000000000002"/>
  </r>
  <r>
    <n v="200"/>
    <x v="3"/>
    <x v="19"/>
    <x v="1"/>
    <s v="Percent change"/>
    <s v="Units"/>
    <x v="6"/>
    <n v="4.9660000000000002"/>
  </r>
  <r>
    <n v="1"/>
    <x v="2"/>
    <x v="133"/>
    <x v="1"/>
    <s v="Percent change"/>
    <s v="Units"/>
    <x v="0"/>
    <n v="4.8460000000000001"/>
  </r>
  <r>
    <n v="1"/>
    <x v="2"/>
    <x v="133"/>
    <x v="1"/>
    <s v="Percent change"/>
    <s v="Units"/>
    <x v="1"/>
    <n v="3.7709999999999999"/>
  </r>
  <r>
    <n v="1"/>
    <x v="2"/>
    <x v="133"/>
    <x v="1"/>
    <s v="Percent change"/>
    <s v="Units"/>
    <x v="2"/>
    <n v="5.0990000000000002"/>
  </r>
  <r>
    <n v="1"/>
    <x v="2"/>
    <x v="133"/>
    <x v="1"/>
    <s v="Percent change"/>
    <s v="Units"/>
    <x v="3"/>
    <n v="28.567"/>
  </r>
  <r>
    <n v="1"/>
    <x v="2"/>
    <x v="133"/>
    <x v="1"/>
    <s v="Percent change"/>
    <s v="Units"/>
    <x v="4"/>
    <n v="13.436999999999999"/>
  </r>
  <r>
    <n v="1"/>
    <x v="2"/>
    <x v="133"/>
    <x v="1"/>
    <s v="Percent change"/>
    <s v="Units"/>
    <x v="5"/>
    <n v="5"/>
  </r>
  <r>
    <n v="1"/>
    <x v="2"/>
    <x v="133"/>
    <x v="1"/>
    <s v="Percent change"/>
    <s v="Units"/>
    <x v="6"/>
    <n v="5"/>
  </r>
  <r>
    <n v="1"/>
    <x v="2"/>
    <x v="167"/>
    <x v="1"/>
    <s v="Percent change"/>
    <s v="Units"/>
    <x v="0"/>
    <n v="5.3760000000000003"/>
  </r>
  <r>
    <n v="1"/>
    <x v="2"/>
    <x v="167"/>
    <x v="1"/>
    <s v="Percent change"/>
    <s v="Units"/>
    <x v="1"/>
    <n v="3.6819999999999999"/>
  </r>
  <r>
    <n v="1"/>
    <x v="2"/>
    <x v="167"/>
    <x v="1"/>
    <s v="Percent change"/>
    <s v="Units"/>
    <x v="2"/>
    <n v="4.9279999999999999"/>
  </r>
  <r>
    <n v="1"/>
    <x v="2"/>
    <x v="167"/>
    <x v="1"/>
    <s v="Percent change"/>
    <s v="Units"/>
    <x v="3"/>
    <n v="10.47"/>
  </r>
  <r>
    <n v="1"/>
    <x v="2"/>
    <x v="167"/>
    <x v="1"/>
    <s v="Percent change"/>
    <s v="Units"/>
    <x v="4"/>
    <n v="8.4420000000000002"/>
  </r>
  <r>
    <n v="1"/>
    <x v="2"/>
    <x v="167"/>
    <x v="1"/>
    <s v="Percent change"/>
    <s v="Units"/>
    <x v="5"/>
    <n v="5"/>
  </r>
  <r>
    <n v="1"/>
    <x v="2"/>
    <x v="167"/>
    <x v="1"/>
    <s v="Percent change"/>
    <s v="Units"/>
    <x v="6"/>
    <n v="4"/>
  </r>
  <r>
    <n v="603"/>
    <x v="12"/>
    <x v="184"/>
    <x v="8"/>
    <s v="Percent change"/>
    <s v="Units"/>
    <x v="0"/>
    <n v="4.5"/>
  </r>
  <r>
    <n v="603"/>
    <x v="12"/>
    <x v="184"/>
    <x v="8"/>
    <s v="Percent change"/>
    <s v="Units"/>
    <x v="1"/>
    <n v="1.5"/>
  </r>
  <r>
    <n v="603"/>
    <x v="12"/>
    <x v="184"/>
    <x v="8"/>
    <s v="Percent change"/>
    <s v="Units"/>
    <x v="2"/>
    <n v="6.4"/>
  </r>
  <r>
    <n v="603"/>
    <x v="12"/>
    <x v="184"/>
    <x v="8"/>
    <s v="Percent change"/>
    <s v="Units"/>
    <x v="3"/>
    <n v="4.2"/>
  </r>
  <r>
    <n v="603"/>
    <x v="12"/>
    <x v="184"/>
    <x v="8"/>
    <s v="Percent change"/>
    <s v="Units"/>
    <x v="4"/>
    <n v="4.2"/>
  </r>
  <r>
    <n v="603"/>
    <x v="12"/>
    <x v="184"/>
    <x v="8"/>
    <s v="Percent change"/>
    <s v="Units"/>
    <x v="5"/>
    <n v="5"/>
  </r>
  <r>
    <n v="603"/>
    <x v="12"/>
    <x v="184"/>
    <x v="8"/>
    <s v="Percent change"/>
    <s v="Units"/>
    <x v="6"/>
    <n v="5"/>
  </r>
  <r>
    <n v="200"/>
    <x v="3"/>
    <x v="133"/>
    <x v="1"/>
    <s v="Percent change"/>
    <s v="Units"/>
    <x v="0"/>
    <n v="4.8460000000000001"/>
  </r>
  <r>
    <n v="200"/>
    <x v="3"/>
    <x v="133"/>
    <x v="1"/>
    <s v="Percent change"/>
    <s v="Units"/>
    <x v="1"/>
    <n v="3.7709999999999999"/>
  </r>
  <r>
    <n v="200"/>
    <x v="3"/>
    <x v="133"/>
    <x v="1"/>
    <s v="Percent change"/>
    <s v="Units"/>
    <x v="2"/>
    <n v="5.0990000000000002"/>
  </r>
  <r>
    <n v="200"/>
    <x v="3"/>
    <x v="133"/>
    <x v="1"/>
    <s v="Percent change"/>
    <s v="Units"/>
    <x v="3"/>
    <n v="28.567"/>
  </r>
  <r>
    <n v="200"/>
    <x v="3"/>
    <x v="133"/>
    <x v="1"/>
    <s v="Percent change"/>
    <s v="Units"/>
    <x v="4"/>
    <n v="13.436999999999999"/>
  </r>
  <r>
    <n v="200"/>
    <x v="3"/>
    <x v="133"/>
    <x v="1"/>
    <s v="Percent change"/>
    <s v="Units"/>
    <x v="5"/>
    <n v="5"/>
  </r>
  <r>
    <n v="200"/>
    <x v="3"/>
    <x v="133"/>
    <x v="1"/>
    <s v="Percent change"/>
    <s v="Units"/>
    <x v="6"/>
    <n v="5"/>
  </r>
  <r>
    <n v="903"/>
    <x v="8"/>
    <x v="133"/>
    <x v="1"/>
    <s v="Percent change"/>
    <s v="Units"/>
    <x v="0"/>
    <n v="4.8460000000000001"/>
  </r>
  <r>
    <n v="903"/>
    <x v="8"/>
    <x v="133"/>
    <x v="1"/>
    <s v="Percent change"/>
    <s v="Units"/>
    <x v="1"/>
    <n v="3.7709999999999999"/>
  </r>
  <r>
    <n v="903"/>
    <x v="8"/>
    <x v="133"/>
    <x v="1"/>
    <s v="Percent change"/>
    <s v="Units"/>
    <x v="2"/>
    <n v="5.0990000000000002"/>
  </r>
  <r>
    <n v="903"/>
    <x v="8"/>
    <x v="133"/>
    <x v="1"/>
    <s v="Percent change"/>
    <s v="Units"/>
    <x v="3"/>
    <n v="28.567"/>
  </r>
  <r>
    <n v="903"/>
    <x v="8"/>
    <x v="133"/>
    <x v="1"/>
    <s v="Percent change"/>
    <s v="Units"/>
    <x v="4"/>
    <n v="13.436999999999999"/>
  </r>
  <r>
    <n v="903"/>
    <x v="8"/>
    <x v="133"/>
    <x v="1"/>
    <s v="Percent change"/>
    <s v="Units"/>
    <x v="5"/>
    <n v="5"/>
  </r>
  <r>
    <n v="903"/>
    <x v="8"/>
    <x v="133"/>
    <x v="1"/>
    <s v="Percent change"/>
    <s v="Units"/>
    <x v="6"/>
    <n v="5"/>
  </r>
  <r>
    <n v="205"/>
    <x v="7"/>
    <x v="167"/>
    <x v="1"/>
    <s v="Percent change"/>
    <s v="Units"/>
    <x v="0"/>
    <n v="5.3760000000000003"/>
  </r>
  <r>
    <n v="205"/>
    <x v="7"/>
    <x v="167"/>
    <x v="1"/>
    <s v="Percent change"/>
    <s v="Units"/>
    <x v="1"/>
    <n v="3.6819999999999999"/>
  </r>
  <r>
    <n v="205"/>
    <x v="7"/>
    <x v="167"/>
    <x v="1"/>
    <s v="Percent change"/>
    <s v="Units"/>
    <x v="2"/>
    <n v="4.9279999999999999"/>
  </r>
  <r>
    <n v="205"/>
    <x v="7"/>
    <x v="167"/>
    <x v="1"/>
    <s v="Percent change"/>
    <s v="Units"/>
    <x v="3"/>
    <n v="10.47"/>
  </r>
  <r>
    <n v="205"/>
    <x v="7"/>
    <x v="167"/>
    <x v="1"/>
    <s v="Percent change"/>
    <s v="Units"/>
    <x v="4"/>
    <n v="8.4420000000000002"/>
  </r>
  <r>
    <n v="205"/>
    <x v="7"/>
    <x v="167"/>
    <x v="1"/>
    <s v="Percent change"/>
    <s v="Units"/>
    <x v="5"/>
    <n v="5"/>
  </r>
  <r>
    <n v="205"/>
    <x v="7"/>
    <x v="167"/>
    <x v="1"/>
    <s v="Percent change"/>
    <s v="Units"/>
    <x v="6"/>
    <n v="4"/>
  </r>
  <r>
    <n v="200"/>
    <x v="3"/>
    <x v="167"/>
    <x v="1"/>
    <s v="Percent change"/>
    <s v="Units"/>
    <x v="0"/>
    <n v="5.3760000000000003"/>
  </r>
  <r>
    <n v="200"/>
    <x v="3"/>
    <x v="167"/>
    <x v="1"/>
    <s v="Percent change"/>
    <s v="Units"/>
    <x v="1"/>
    <n v="3.6819999999999999"/>
  </r>
  <r>
    <n v="200"/>
    <x v="3"/>
    <x v="167"/>
    <x v="1"/>
    <s v="Percent change"/>
    <s v="Units"/>
    <x v="2"/>
    <n v="4.9279999999999999"/>
  </r>
  <r>
    <n v="200"/>
    <x v="3"/>
    <x v="167"/>
    <x v="1"/>
    <s v="Percent change"/>
    <s v="Units"/>
    <x v="3"/>
    <n v="10.47"/>
  </r>
  <r>
    <n v="200"/>
    <x v="3"/>
    <x v="167"/>
    <x v="1"/>
    <s v="Percent change"/>
    <s v="Units"/>
    <x v="4"/>
    <n v="8.4420000000000002"/>
  </r>
  <r>
    <n v="200"/>
    <x v="3"/>
    <x v="167"/>
    <x v="1"/>
    <s v="Percent change"/>
    <s v="Units"/>
    <x v="5"/>
    <n v="5"/>
  </r>
  <r>
    <n v="200"/>
    <x v="3"/>
    <x v="167"/>
    <x v="1"/>
    <s v="Percent change"/>
    <s v="Units"/>
    <x v="6"/>
    <n v="4"/>
  </r>
  <r>
    <n v="1"/>
    <x v="2"/>
    <x v="184"/>
    <x v="8"/>
    <s v="Percent change"/>
    <s v="Units"/>
    <x v="0"/>
    <n v="4.5"/>
  </r>
  <r>
    <n v="1"/>
    <x v="2"/>
    <x v="184"/>
    <x v="8"/>
    <s v="Percent change"/>
    <s v="Units"/>
    <x v="1"/>
    <n v="1.5"/>
  </r>
  <r>
    <n v="1"/>
    <x v="2"/>
    <x v="184"/>
    <x v="8"/>
    <s v="Percent change"/>
    <s v="Units"/>
    <x v="2"/>
    <n v="6.4"/>
  </r>
  <r>
    <n v="1"/>
    <x v="2"/>
    <x v="184"/>
    <x v="8"/>
    <s v="Percent change"/>
    <s v="Units"/>
    <x v="3"/>
    <n v="4.2"/>
  </r>
  <r>
    <n v="1"/>
    <x v="2"/>
    <x v="184"/>
    <x v="8"/>
    <s v="Percent change"/>
    <s v="Units"/>
    <x v="4"/>
    <n v="4.2"/>
  </r>
  <r>
    <n v="1"/>
    <x v="2"/>
    <x v="184"/>
    <x v="8"/>
    <s v="Percent change"/>
    <s v="Units"/>
    <x v="5"/>
    <n v="5"/>
  </r>
  <r>
    <n v="1"/>
    <x v="2"/>
    <x v="184"/>
    <x v="8"/>
    <s v="Percent change"/>
    <s v="Units"/>
    <x v="6"/>
    <n v="5"/>
  </r>
  <r>
    <n v="200"/>
    <x v="3"/>
    <x v="184"/>
    <x v="8"/>
    <s v="Percent change"/>
    <s v="Units"/>
    <x v="0"/>
    <n v="4.5"/>
  </r>
  <r>
    <n v="200"/>
    <x v="3"/>
    <x v="184"/>
    <x v="8"/>
    <s v="Percent change"/>
    <s v="Units"/>
    <x v="1"/>
    <n v="1.5"/>
  </r>
  <r>
    <n v="200"/>
    <x v="3"/>
    <x v="184"/>
    <x v="8"/>
    <s v="Percent change"/>
    <s v="Units"/>
    <x v="2"/>
    <n v="6.4"/>
  </r>
  <r>
    <n v="200"/>
    <x v="3"/>
    <x v="184"/>
    <x v="8"/>
    <s v="Percent change"/>
    <s v="Units"/>
    <x v="3"/>
    <n v="4.2"/>
  </r>
  <r>
    <n v="200"/>
    <x v="3"/>
    <x v="184"/>
    <x v="8"/>
    <s v="Percent change"/>
    <s v="Units"/>
    <x v="4"/>
    <n v="4.2"/>
  </r>
  <r>
    <n v="200"/>
    <x v="3"/>
    <x v="184"/>
    <x v="8"/>
    <s v="Percent change"/>
    <s v="Units"/>
    <x v="5"/>
    <n v="5"/>
  </r>
  <r>
    <n v="200"/>
    <x v="3"/>
    <x v="184"/>
    <x v="8"/>
    <s v="Percent change"/>
    <s v="Units"/>
    <x v="6"/>
    <n v="5"/>
  </r>
  <r>
    <n v="1"/>
    <x v="2"/>
    <x v="38"/>
    <x v="6"/>
    <s v="Percent change"/>
    <s v="Units"/>
    <x v="0"/>
    <n v="-7.2450000000000001"/>
  </r>
  <r>
    <n v="1"/>
    <x v="2"/>
    <x v="38"/>
    <x v="6"/>
    <s v="Percent change"/>
    <s v="Units"/>
    <x v="1"/>
    <n v="-6.8579999999999997"/>
  </r>
  <r>
    <n v="1"/>
    <x v="2"/>
    <x v="38"/>
    <x v="6"/>
    <s v="Percent change"/>
    <s v="Units"/>
    <x v="2"/>
    <n v="15.821999999999999"/>
  </r>
  <r>
    <n v="1"/>
    <x v="2"/>
    <x v="38"/>
    <x v="6"/>
    <s v="Percent change"/>
    <s v="Units"/>
    <x v="3"/>
    <n v="-12.233000000000001"/>
  </r>
  <r>
    <n v="1"/>
    <x v="2"/>
    <x v="38"/>
    <x v="6"/>
    <s v="Percent change"/>
    <s v="Units"/>
    <x v="4"/>
    <n v="-5.3070000000000004"/>
  </r>
  <r>
    <n v="1"/>
    <x v="2"/>
    <x v="38"/>
    <x v="6"/>
    <s v="Percent change"/>
    <s v="Units"/>
    <x v="5"/>
    <n v="4.9790000000000001"/>
  </r>
  <r>
    <n v="1"/>
    <x v="2"/>
    <x v="38"/>
    <x v="6"/>
    <s v="Percent change"/>
    <s v="Units"/>
    <x v="6"/>
    <n v="4.1420000000000003"/>
  </r>
  <r>
    <n v="123"/>
    <x v="9"/>
    <x v="38"/>
    <x v="6"/>
    <s v="Percent change"/>
    <s v="Units"/>
    <x v="0"/>
    <n v="-7.2450000000000001"/>
  </r>
  <r>
    <n v="123"/>
    <x v="9"/>
    <x v="38"/>
    <x v="6"/>
    <s v="Percent change"/>
    <s v="Units"/>
    <x v="1"/>
    <n v="-6.8579999999999997"/>
  </r>
  <r>
    <n v="123"/>
    <x v="9"/>
    <x v="38"/>
    <x v="6"/>
    <s v="Percent change"/>
    <s v="Units"/>
    <x v="2"/>
    <n v="15.821999999999999"/>
  </r>
  <r>
    <n v="123"/>
    <x v="9"/>
    <x v="38"/>
    <x v="6"/>
    <s v="Percent change"/>
    <s v="Units"/>
    <x v="3"/>
    <n v="-12.233000000000001"/>
  </r>
  <r>
    <n v="123"/>
    <x v="9"/>
    <x v="38"/>
    <x v="6"/>
    <s v="Percent change"/>
    <s v="Units"/>
    <x v="4"/>
    <n v="-5.3070000000000004"/>
  </r>
  <r>
    <n v="123"/>
    <x v="9"/>
    <x v="38"/>
    <x v="6"/>
    <s v="Percent change"/>
    <s v="Units"/>
    <x v="5"/>
    <n v="4.9790000000000001"/>
  </r>
  <r>
    <n v="123"/>
    <x v="9"/>
    <x v="38"/>
    <x v="6"/>
    <s v="Percent change"/>
    <s v="Units"/>
    <x v="6"/>
    <n v="4.1420000000000003"/>
  </r>
  <r>
    <n v="110"/>
    <x v="0"/>
    <x v="38"/>
    <x v="6"/>
    <s v="Percent change"/>
    <s v="Units"/>
    <x v="0"/>
    <n v="-7.2450000000000001"/>
  </r>
  <r>
    <n v="110"/>
    <x v="0"/>
    <x v="38"/>
    <x v="6"/>
    <s v="Percent change"/>
    <s v="Units"/>
    <x v="1"/>
    <n v="-6.8579999999999997"/>
  </r>
  <r>
    <n v="110"/>
    <x v="0"/>
    <x v="38"/>
    <x v="6"/>
    <s v="Percent change"/>
    <s v="Units"/>
    <x v="2"/>
    <n v="15.821999999999999"/>
  </r>
  <r>
    <n v="110"/>
    <x v="0"/>
    <x v="38"/>
    <x v="6"/>
    <s v="Percent change"/>
    <s v="Units"/>
    <x v="3"/>
    <n v="-12.233000000000001"/>
  </r>
  <r>
    <n v="110"/>
    <x v="0"/>
    <x v="38"/>
    <x v="6"/>
    <s v="Percent change"/>
    <s v="Units"/>
    <x v="4"/>
    <n v="-5.3070000000000004"/>
  </r>
  <r>
    <n v="110"/>
    <x v="0"/>
    <x v="38"/>
    <x v="6"/>
    <s v="Percent change"/>
    <s v="Units"/>
    <x v="5"/>
    <n v="4.9790000000000001"/>
  </r>
  <r>
    <n v="110"/>
    <x v="0"/>
    <x v="38"/>
    <x v="6"/>
    <s v="Percent change"/>
    <s v="Units"/>
    <x v="6"/>
    <n v="4.1420000000000003"/>
  </r>
  <r>
    <n v="603"/>
    <x v="12"/>
    <x v="104"/>
    <x v="8"/>
    <s v="Percent change"/>
    <s v="Units"/>
    <x v="0"/>
    <n v="2.3180000000000001"/>
  </r>
  <r>
    <n v="603"/>
    <x v="12"/>
    <x v="104"/>
    <x v="8"/>
    <s v="Percent change"/>
    <s v="Units"/>
    <x v="1"/>
    <n v="-1.22"/>
  </r>
  <r>
    <n v="603"/>
    <x v="12"/>
    <x v="104"/>
    <x v="8"/>
    <s v="Percent change"/>
    <s v="Units"/>
    <x v="2"/>
    <n v="2.3769999999999998"/>
  </r>
  <r>
    <n v="603"/>
    <x v="12"/>
    <x v="104"/>
    <x v="8"/>
    <s v="Percent change"/>
    <s v="Units"/>
    <x v="3"/>
    <n v="4.3600000000000003"/>
  </r>
  <r>
    <n v="603"/>
    <x v="12"/>
    <x v="104"/>
    <x v="8"/>
    <s v="Percent change"/>
    <s v="Units"/>
    <x v="4"/>
    <n v="6.0129999999999999"/>
  </r>
  <r>
    <n v="603"/>
    <x v="12"/>
    <x v="104"/>
    <x v="8"/>
    <s v="Percent change"/>
    <s v="Units"/>
    <x v="5"/>
    <n v="4.9740000000000002"/>
  </r>
  <r>
    <n v="603"/>
    <x v="12"/>
    <x v="104"/>
    <x v="8"/>
    <s v="Percent change"/>
    <s v="Units"/>
    <x v="6"/>
    <n v="4.9710000000000001"/>
  </r>
  <r>
    <n v="200"/>
    <x v="3"/>
    <x v="71"/>
    <x v="8"/>
    <s v="Percent change"/>
    <s v="Units"/>
    <x v="0"/>
    <n v="5.1139999999999999"/>
  </r>
  <r>
    <n v="200"/>
    <x v="3"/>
    <x v="71"/>
    <x v="8"/>
    <s v="Percent change"/>
    <s v="Units"/>
    <x v="1"/>
    <n v="-0.27300000000000002"/>
  </r>
  <r>
    <n v="200"/>
    <x v="3"/>
    <x v="71"/>
    <x v="8"/>
    <s v="Percent change"/>
    <s v="Units"/>
    <x v="2"/>
    <n v="7.59"/>
  </r>
  <r>
    <n v="200"/>
    <x v="3"/>
    <x v="71"/>
    <x v="8"/>
    <s v="Percent change"/>
    <s v="Units"/>
    <x v="3"/>
    <n v="4.8470000000000004"/>
  </r>
  <r>
    <n v="200"/>
    <x v="3"/>
    <x v="71"/>
    <x v="8"/>
    <s v="Percent change"/>
    <s v="Units"/>
    <x v="4"/>
    <n v="5.5069999999999997"/>
  </r>
  <r>
    <n v="200"/>
    <x v="3"/>
    <x v="71"/>
    <x v="8"/>
    <s v="Percent change"/>
    <s v="Units"/>
    <x v="5"/>
    <n v="4.9740000000000002"/>
  </r>
  <r>
    <n v="200"/>
    <x v="3"/>
    <x v="71"/>
    <x v="8"/>
    <s v="Percent change"/>
    <s v="Units"/>
    <x v="6"/>
    <n v="5.3230000000000004"/>
  </r>
  <r>
    <n v="1"/>
    <x v="2"/>
    <x v="104"/>
    <x v="8"/>
    <s v="Percent change"/>
    <s v="Units"/>
    <x v="0"/>
    <n v="2.3180000000000001"/>
  </r>
  <r>
    <n v="1"/>
    <x v="2"/>
    <x v="104"/>
    <x v="8"/>
    <s v="Percent change"/>
    <s v="Units"/>
    <x v="1"/>
    <n v="-1.22"/>
  </r>
  <r>
    <n v="1"/>
    <x v="2"/>
    <x v="104"/>
    <x v="8"/>
    <s v="Percent change"/>
    <s v="Units"/>
    <x v="2"/>
    <n v="2.3769999999999998"/>
  </r>
  <r>
    <n v="1"/>
    <x v="2"/>
    <x v="104"/>
    <x v="8"/>
    <s v="Percent change"/>
    <s v="Units"/>
    <x v="3"/>
    <n v="4.3600000000000003"/>
  </r>
  <r>
    <n v="1"/>
    <x v="2"/>
    <x v="104"/>
    <x v="8"/>
    <s v="Percent change"/>
    <s v="Units"/>
    <x v="4"/>
    <n v="6.0129999999999999"/>
  </r>
  <r>
    <n v="1"/>
    <x v="2"/>
    <x v="104"/>
    <x v="8"/>
    <s v="Percent change"/>
    <s v="Units"/>
    <x v="5"/>
    <n v="4.9740000000000002"/>
  </r>
  <r>
    <n v="1"/>
    <x v="2"/>
    <x v="104"/>
    <x v="8"/>
    <s v="Percent change"/>
    <s v="Units"/>
    <x v="6"/>
    <n v="4.9710000000000001"/>
  </r>
  <r>
    <n v="200"/>
    <x v="3"/>
    <x v="104"/>
    <x v="8"/>
    <s v="Percent change"/>
    <s v="Units"/>
    <x v="0"/>
    <n v="2.3180000000000001"/>
  </r>
  <r>
    <n v="200"/>
    <x v="3"/>
    <x v="104"/>
    <x v="8"/>
    <s v="Percent change"/>
    <s v="Units"/>
    <x v="1"/>
    <n v="-1.22"/>
  </r>
  <r>
    <n v="200"/>
    <x v="3"/>
    <x v="104"/>
    <x v="8"/>
    <s v="Percent change"/>
    <s v="Units"/>
    <x v="2"/>
    <n v="2.3769999999999998"/>
  </r>
  <r>
    <n v="200"/>
    <x v="3"/>
    <x v="104"/>
    <x v="8"/>
    <s v="Percent change"/>
    <s v="Units"/>
    <x v="3"/>
    <n v="4.3600000000000003"/>
  </r>
  <r>
    <n v="200"/>
    <x v="3"/>
    <x v="104"/>
    <x v="8"/>
    <s v="Percent change"/>
    <s v="Units"/>
    <x v="4"/>
    <n v="6.0129999999999999"/>
  </r>
  <r>
    <n v="200"/>
    <x v="3"/>
    <x v="104"/>
    <x v="8"/>
    <s v="Percent change"/>
    <s v="Units"/>
    <x v="5"/>
    <n v="4.9740000000000002"/>
  </r>
  <r>
    <n v="200"/>
    <x v="3"/>
    <x v="104"/>
    <x v="8"/>
    <s v="Percent change"/>
    <s v="Units"/>
    <x v="6"/>
    <n v="4.9710000000000001"/>
  </r>
  <r>
    <n v="603"/>
    <x v="12"/>
    <x v="71"/>
    <x v="8"/>
    <s v="Percent change"/>
    <s v="Units"/>
    <x v="0"/>
    <n v="5.1139999999999999"/>
  </r>
  <r>
    <n v="603"/>
    <x v="12"/>
    <x v="71"/>
    <x v="8"/>
    <s v="Percent change"/>
    <s v="Units"/>
    <x v="1"/>
    <n v="-0.27300000000000002"/>
  </r>
  <r>
    <n v="603"/>
    <x v="12"/>
    <x v="71"/>
    <x v="8"/>
    <s v="Percent change"/>
    <s v="Units"/>
    <x v="2"/>
    <n v="7.59"/>
  </r>
  <r>
    <n v="603"/>
    <x v="12"/>
    <x v="71"/>
    <x v="8"/>
    <s v="Percent change"/>
    <s v="Units"/>
    <x v="3"/>
    <n v="4.8470000000000004"/>
  </r>
  <r>
    <n v="603"/>
    <x v="12"/>
    <x v="71"/>
    <x v="8"/>
    <s v="Percent change"/>
    <s v="Units"/>
    <x v="4"/>
    <n v="5.5069999999999997"/>
  </r>
  <r>
    <n v="603"/>
    <x v="12"/>
    <x v="71"/>
    <x v="8"/>
    <s v="Percent change"/>
    <s v="Units"/>
    <x v="5"/>
    <n v="4.9740000000000002"/>
  </r>
  <r>
    <n v="603"/>
    <x v="12"/>
    <x v="71"/>
    <x v="8"/>
    <s v="Percent change"/>
    <s v="Units"/>
    <x v="6"/>
    <n v="5.3230000000000004"/>
  </r>
  <r>
    <n v="1"/>
    <x v="2"/>
    <x v="71"/>
    <x v="8"/>
    <s v="Percent change"/>
    <s v="Units"/>
    <x v="0"/>
    <n v="5.1139999999999999"/>
  </r>
  <r>
    <n v="1"/>
    <x v="2"/>
    <x v="71"/>
    <x v="8"/>
    <s v="Percent change"/>
    <s v="Units"/>
    <x v="1"/>
    <n v="-0.27300000000000002"/>
  </r>
  <r>
    <n v="1"/>
    <x v="2"/>
    <x v="71"/>
    <x v="8"/>
    <s v="Percent change"/>
    <s v="Units"/>
    <x v="2"/>
    <n v="7.59"/>
  </r>
  <r>
    <n v="1"/>
    <x v="2"/>
    <x v="71"/>
    <x v="8"/>
    <s v="Percent change"/>
    <s v="Units"/>
    <x v="3"/>
    <n v="4.8470000000000004"/>
  </r>
  <r>
    <n v="1"/>
    <x v="2"/>
    <x v="71"/>
    <x v="8"/>
    <s v="Percent change"/>
    <s v="Units"/>
    <x v="4"/>
    <n v="5.5069999999999997"/>
  </r>
  <r>
    <n v="1"/>
    <x v="2"/>
    <x v="71"/>
    <x v="8"/>
    <s v="Percent change"/>
    <s v="Units"/>
    <x v="5"/>
    <n v="4.9740000000000002"/>
  </r>
  <r>
    <n v="1"/>
    <x v="2"/>
    <x v="71"/>
    <x v="8"/>
    <s v="Percent change"/>
    <s v="Units"/>
    <x v="6"/>
    <n v="5.3230000000000004"/>
  </r>
  <r>
    <n v="200"/>
    <x v="3"/>
    <x v="15"/>
    <x v="8"/>
    <s v="Percent change"/>
    <s v="Units"/>
    <x v="0"/>
    <n v="5.0190000000000001"/>
  </r>
  <r>
    <n v="200"/>
    <x v="3"/>
    <x v="15"/>
    <x v="8"/>
    <s v="Percent change"/>
    <s v="Units"/>
    <x v="1"/>
    <n v="-2.0659999999999998"/>
  </r>
  <r>
    <n v="200"/>
    <x v="3"/>
    <x v="15"/>
    <x v="8"/>
    <s v="Percent change"/>
    <s v="Units"/>
    <x v="2"/>
    <n v="3.7029999999999998"/>
  </r>
  <r>
    <n v="200"/>
    <x v="3"/>
    <x v="15"/>
    <x v="8"/>
    <s v="Percent change"/>
    <s v="Units"/>
    <x v="3"/>
    <n v="5.3070000000000004"/>
  </r>
  <r>
    <n v="200"/>
    <x v="3"/>
    <x v="15"/>
    <x v="8"/>
    <s v="Percent change"/>
    <s v="Units"/>
    <x v="4"/>
    <n v="5.048"/>
  </r>
  <r>
    <n v="200"/>
    <x v="3"/>
    <x v="15"/>
    <x v="8"/>
    <s v="Percent change"/>
    <s v="Units"/>
    <x v="5"/>
    <n v="4.9640000000000004"/>
  </r>
  <r>
    <n v="200"/>
    <x v="3"/>
    <x v="15"/>
    <x v="8"/>
    <s v="Percent change"/>
    <s v="Units"/>
    <x v="6"/>
    <n v="5.0549999999999997"/>
  </r>
  <r>
    <n v="510"/>
    <x v="10"/>
    <x v="15"/>
    <x v="8"/>
    <s v="Percent change"/>
    <s v="Units"/>
    <x v="0"/>
    <n v="5.0190000000000001"/>
  </r>
  <r>
    <n v="510"/>
    <x v="10"/>
    <x v="15"/>
    <x v="8"/>
    <s v="Percent change"/>
    <s v="Units"/>
    <x v="1"/>
    <n v="-2.0659999999999998"/>
  </r>
  <r>
    <n v="510"/>
    <x v="10"/>
    <x v="15"/>
    <x v="8"/>
    <s v="Percent change"/>
    <s v="Units"/>
    <x v="2"/>
    <n v="3.7029999999999998"/>
  </r>
  <r>
    <n v="510"/>
    <x v="10"/>
    <x v="15"/>
    <x v="8"/>
    <s v="Percent change"/>
    <s v="Units"/>
    <x v="3"/>
    <n v="5.3070000000000004"/>
  </r>
  <r>
    <n v="510"/>
    <x v="10"/>
    <x v="15"/>
    <x v="8"/>
    <s v="Percent change"/>
    <s v="Units"/>
    <x v="4"/>
    <n v="5.048"/>
  </r>
  <r>
    <n v="510"/>
    <x v="10"/>
    <x v="15"/>
    <x v="8"/>
    <s v="Percent change"/>
    <s v="Units"/>
    <x v="5"/>
    <n v="4.9640000000000004"/>
  </r>
  <r>
    <n v="510"/>
    <x v="10"/>
    <x v="15"/>
    <x v="8"/>
    <s v="Percent change"/>
    <s v="Units"/>
    <x v="6"/>
    <n v="5.0549999999999997"/>
  </r>
  <r>
    <n v="505"/>
    <x v="4"/>
    <x v="15"/>
    <x v="8"/>
    <s v="Percent change"/>
    <s v="Units"/>
    <x v="0"/>
    <n v="5.0190000000000001"/>
  </r>
  <r>
    <n v="505"/>
    <x v="4"/>
    <x v="15"/>
    <x v="8"/>
    <s v="Percent change"/>
    <s v="Units"/>
    <x v="1"/>
    <n v="-2.0659999999999998"/>
  </r>
  <r>
    <n v="505"/>
    <x v="4"/>
    <x v="15"/>
    <x v="8"/>
    <s v="Percent change"/>
    <s v="Units"/>
    <x v="2"/>
    <n v="3.7029999999999998"/>
  </r>
  <r>
    <n v="505"/>
    <x v="4"/>
    <x v="15"/>
    <x v="8"/>
    <s v="Percent change"/>
    <s v="Units"/>
    <x v="3"/>
    <n v="5.3070000000000004"/>
  </r>
  <r>
    <n v="505"/>
    <x v="4"/>
    <x v="15"/>
    <x v="8"/>
    <s v="Percent change"/>
    <s v="Units"/>
    <x v="4"/>
    <n v="5.048"/>
  </r>
  <r>
    <n v="505"/>
    <x v="4"/>
    <x v="15"/>
    <x v="8"/>
    <s v="Percent change"/>
    <s v="Units"/>
    <x v="5"/>
    <n v="4.9640000000000004"/>
  </r>
  <r>
    <n v="505"/>
    <x v="4"/>
    <x v="15"/>
    <x v="8"/>
    <s v="Percent change"/>
    <s v="Units"/>
    <x v="6"/>
    <n v="5.0549999999999997"/>
  </r>
  <r>
    <n v="1"/>
    <x v="2"/>
    <x v="15"/>
    <x v="8"/>
    <s v="Percent change"/>
    <s v="Units"/>
    <x v="0"/>
    <n v="5.0190000000000001"/>
  </r>
  <r>
    <n v="1"/>
    <x v="2"/>
    <x v="15"/>
    <x v="8"/>
    <s v="Percent change"/>
    <s v="Units"/>
    <x v="1"/>
    <n v="-2.0659999999999998"/>
  </r>
  <r>
    <n v="1"/>
    <x v="2"/>
    <x v="15"/>
    <x v="8"/>
    <s v="Percent change"/>
    <s v="Units"/>
    <x v="2"/>
    <n v="3.7029999999999998"/>
  </r>
  <r>
    <n v="1"/>
    <x v="2"/>
    <x v="15"/>
    <x v="8"/>
    <s v="Percent change"/>
    <s v="Units"/>
    <x v="3"/>
    <n v="5.3070000000000004"/>
  </r>
  <r>
    <n v="1"/>
    <x v="2"/>
    <x v="15"/>
    <x v="8"/>
    <s v="Percent change"/>
    <s v="Units"/>
    <x v="4"/>
    <n v="5.048"/>
  </r>
  <r>
    <n v="1"/>
    <x v="2"/>
    <x v="15"/>
    <x v="8"/>
    <s v="Percent change"/>
    <s v="Units"/>
    <x v="5"/>
    <n v="4.9640000000000004"/>
  </r>
  <r>
    <n v="1"/>
    <x v="2"/>
    <x v="15"/>
    <x v="8"/>
    <s v="Percent change"/>
    <s v="Units"/>
    <x v="6"/>
    <n v="5.0549999999999997"/>
  </r>
  <r>
    <n v="1"/>
    <x v="2"/>
    <x v="82"/>
    <x v="1"/>
    <s v="Percent change"/>
    <s v="Units"/>
    <x v="0"/>
    <n v="5.0919999999999996"/>
  </r>
  <r>
    <n v="1"/>
    <x v="2"/>
    <x v="82"/>
    <x v="1"/>
    <s v="Percent change"/>
    <s v="Units"/>
    <x v="1"/>
    <n v="6.1"/>
  </r>
  <r>
    <n v="1"/>
    <x v="2"/>
    <x v="82"/>
    <x v="1"/>
    <s v="Percent change"/>
    <s v="Units"/>
    <x v="2"/>
    <n v="19.478999999999999"/>
  </r>
  <r>
    <n v="1"/>
    <x v="2"/>
    <x v="82"/>
    <x v="1"/>
    <s v="Percent change"/>
    <s v="Units"/>
    <x v="3"/>
    <n v="11.211"/>
  </r>
  <r>
    <n v="1"/>
    <x v="2"/>
    <x v="82"/>
    <x v="1"/>
    <s v="Percent change"/>
    <s v="Units"/>
    <x v="4"/>
    <n v="-1.738"/>
  </r>
  <r>
    <n v="1"/>
    <x v="2"/>
    <x v="82"/>
    <x v="1"/>
    <s v="Percent change"/>
    <s v="Units"/>
    <x v="5"/>
    <n v="4.9550000000000001"/>
  </r>
  <r>
    <n v="1"/>
    <x v="2"/>
    <x v="82"/>
    <x v="1"/>
    <s v="Percent change"/>
    <s v="Units"/>
    <x v="6"/>
    <n v="7.9"/>
  </r>
  <r>
    <n v="200"/>
    <x v="3"/>
    <x v="82"/>
    <x v="1"/>
    <s v="Percent change"/>
    <s v="Units"/>
    <x v="0"/>
    <n v="5.0919999999999996"/>
  </r>
  <r>
    <n v="200"/>
    <x v="3"/>
    <x v="82"/>
    <x v="1"/>
    <s v="Percent change"/>
    <s v="Units"/>
    <x v="1"/>
    <n v="6.1"/>
  </r>
  <r>
    <n v="200"/>
    <x v="3"/>
    <x v="82"/>
    <x v="1"/>
    <s v="Percent change"/>
    <s v="Units"/>
    <x v="2"/>
    <n v="19.478999999999999"/>
  </r>
  <r>
    <n v="200"/>
    <x v="3"/>
    <x v="82"/>
    <x v="1"/>
    <s v="Percent change"/>
    <s v="Units"/>
    <x v="3"/>
    <n v="11.211"/>
  </r>
  <r>
    <n v="200"/>
    <x v="3"/>
    <x v="82"/>
    <x v="1"/>
    <s v="Percent change"/>
    <s v="Units"/>
    <x v="4"/>
    <n v="-1.738"/>
  </r>
  <r>
    <n v="200"/>
    <x v="3"/>
    <x v="82"/>
    <x v="1"/>
    <s v="Percent change"/>
    <s v="Units"/>
    <x v="5"/>
    <n v="4.9550000000000001"/>
  </r>
  <r>
    <n v="200"/>
    <x v="3"/>
    <x v="82"/>
    <x v="1"/>
    <s v="Percent change"/>
    <s v="Units"/>
    <x v="6"/>
    <n v="7.9"/>
  </r>
  <r>
    <n v="400"/>
    <x v="11"/>
    <x v="82"/>
    <x v="1"/>
    <s v="Percent change"/>
    <s v="Units"/>
    <x v="0"/>
    <n v="5.0919999999999996"/>
  </r>
  <r>
    <n v="400"/>
    <x v="11"/>
    <x v="82"/>
    <x v="1"/>
    <s v="Percent change"/>
    <s v="Units"/>
    <x v="1"/>
    <n v="6.1"/>
  </r>
  <r>
    <n v="400"/>
    <x v="11"/>
    <x v="82"/>
    <x v="1"/>
    <s v="Percent change"/>
    <s v="Units"/>
    <x v="2"/>
    <n v="19.478999999999999"/>
  </r>
  <r>
    <n v="400"/>
    <x v="11"/>
    <x v="82"/>
    <x v="1"/>
    <s v="Percent change"/>
    <s v="Units"/>
    <x v="3"/>
    <n v="11.211"/>
  </r>
  <r>
    <n v="400"/>
    <x v="11"/>
    <x v="82"/>
    <x v="1"/>
    <s v="Percent change"/>
    <s v="Units"/>
    <x v="4"/>
    <n v="-1.738"/>
  </r>
  <r>
    <n v="400"/>
    <x v="11"/>
    <x v="82"/>
    <x v="1"/>
    <s v="Percent change"/>
    <s v="Units"/>
    <x v="5"/>
    <n v="4.9550000000000001"/>
  </r>
  <r>
    <n v="400"/>
    <x v="11"/>
    <x v="82"/>
    <x v="1"/>
    <s v="Percent change"/>
    <s v="Units"/>
    <x v="6"/>
    <n v="7.9"/>
  </r>
  <r>
    <n v="200"/>
    <x v="3"/>
    <x v="26"/>
    <x v="4"/>
    <s v="Percent change"/>
    <s v="Units"/>
    <x v="0"/>
    <n v="-2.9540000000000002"/>
  </r>
  <r>
    <n v="200"/>
    <x v="3"/>
    <x v="26"/>
    <x v="4"/>
    <s v="Percent change"/>
    <s v="Units"/>
    <x v="1"/>
    <n v="-19.681000000000001"/>
  </r>
  <r>
    <n v="200"/>
    <x v="3"/>
    <x v="26"/>
    <x v="4"/>
    <s v="Percent change"/>
    <s v="Units"/>
    <x v="2"/>
    <n v="11.089"/>
  </r>
  <r>
    <n v="200"/>
    <x v="3"/>
    <x v="26"/>
    <x v="4"/>
    <s v="Percent change"/>
    <s v="Units"/>
    <x v="3"/>
    <n v="6.1420000000000003"/>
  </r>
  <r>
    <n v="200"/>
    <x v="3"/>
    <x v="26"/>
    <x v="4"/>
    <s v="Percent change"/>
    <s v="Units"/>
    <x v="4"/>
    <n v="2.6120000000000001"/>
  </r>
  <r>
    <n v="200"/>
    <x v="3"/>
    <x v="26"/>
    <x v="4"/>
    <s v="Percent change"/>
    <s v="Units"/>
    <x v="5"/>
    <n v="4.9320000000000004"/>
  </r>
  <r>
    <n v="200"/>
    <x v="3"/>
    <x v="26"/>
    <x v="4"/>
    <s v="Percent change"/>
    <s v="Units"/>
    <x v="6"/>
    <n v="4.5359999999999996"/>
  </r>
  <r>
    <n v="1"/>
    <x v="2"/>
    <x v="26"/>
    <x v="4"/>
    <s v="Percent change"/>
    <s v="Units"/>
    <x v="0"/>
    <n v="-2.9540000000000002"/>
  </r>
  <r>
    <n v="1"/>
    <x v="2"/>
    <x v="26"/>
    <x v="4"/>
    <s v="Percent change"/>
    <s v="Units"/>
    <x v="1"/>
    <n v="-19.681000000000001"/>
  </r>
  <r>
    <n v="1"/>
    <x v="2"/>
    <x v="26"/>
    <x v="4"/>
    <s v="Percent change"/>
    <s v="Units"/>
    <x v="2"/>
    <n v="11.089"/>
  </r>
  <r>
    <n v="1"/>
    <x v="2"/>
    <x v="26"/>
    <x v="4"/>
    <s v="Percent change"/>
    <s v="Units"/>
    <x v="3"/>
    <n v="6.1420000000000003"/>
  </r>
  <r>
    <n v="1"/>
    <x v="2"/>
    <x v="26"/>
    <x v="4"/>
    <s v="Percent change"/>
    <s v="Units"/>
    <x v="4"/>
    <n v="2.6120000000000001"/>
  </r>
  <r>
    <n v="1"/>
    <x v="2"/>
    <x v="26"/>
    <x v="4"/>
    <s v="Percent change"/>
    <s v="Units"/>
    <x v="5"/>
    <n v="4.9320000000000004"/>
  </r>
  <r>
    <n v="1"/>
    <x v="2"/>
    <x v="26"/>
    <x v="4"/>
    <s v="Percent change"/>
    <s v="Units"/>
    <x v="6"/>
    <n v="4.5359999999999996"/>
  </r>
  <r>
    <n v="505"/>
    <x v="4"/>
    <x v="26"/>
    <x v="4"/>
    <s v="Percent change"/>
    <s v="Units"/>
    <x v="0"/>
    <n v="-2.9540000000000002"/>
  </r>
  <r>
    <n v="505"/>
    <x v="4"/>
    <x v="26"/>
    <x v="4"/>
    <s v="Percent change"/>
    <s v="Units"/>
    <x v="1"/>
    <n v="-19.681000000000001"/>
  </r>
  <r>
    <n v="505"/>
    <x v="4"/>
    <x v="26"/>
    <x v="4"/>
    <s v="Percent change"/>
    <s v="Units"/>
    <x v="2"/>
    <n v="11.089"/>
  </r>
  <r>
    <n v="505"/>
    <x v="4"/>
    <x v="26"/>
    <x v="4"/>
    <s v="Percent change"/>
    <s v="Units"/>
    <x v="3"/>
    <n v="6.1420000000000003"/>
  </r>
  <r>
    <n v="505"/>
    <x v="4"/>
    <x v="26"/>
    <x v="4"/>
    <s v="Percent change"/>
    <s v="Units"/>
    <x v="4"/>
    <n v="2.6120000000000001"/>
  </r>
  <r>
    <n v="505"/>
    <x v="4"/>
    <x v="26"/>
    <x v="4"/>
    <s v="Percent change"/>
    <s v="Units"/>
    <x v="5"/>
    <n v="4.9320000000000004"/>
  </r>
  <r>
    <n v="505"/>
    <x v="4"/>
    <x v="26"/>
    <x v="4"/>
    <s v="Percent change"/>
    <s v="Units"/>
    <x v="6"/>
    <n v="4.5359999999999996"/>
  </r>
  <r>
    <n v="510"/>
    <x v="10"/>
    <x v="26"/>
    <x v="4"/>
    <s v="Percent change"/>
    <s v="Units"/>
    <x v="0"/>
    <n v="-2.9540000000000002"/>
  </r>
  <r>
    <n v="510"/>
    <x v="10"/>
    <x v="26"/>
    <x v="4"/>
    <s v="Percent change"/>
    <s v="Units"/>
    <x v="1"/>
    <n v="-19.681000000000001"/>
  </r>
  <r>
    <n v="510"/>
    <x v="10"/>
    <x v="26"/>
    <x v="4"/>
    <s v="Percent change"/>
    <s v="Units"/>
    <x v="2"/>
    <n v="11.089"/>
  </r>
  <r>
    <n v="510"/>
    <x v="10"/>
    <x v="26"/>
    <x v="4"/>
    <s v="Percent change"/>
    <s v="Units"/>
    <x v="3"/>
    <n v="6.1420000000000003"/>
  </r>
  <r>
    <n v="510"/>
    <x v="10"/>
    <x v="26"/>
    <x v="4"/>
    <s v="Percent change"/>
    <s v="Units"/>
    <x v="4"/>
    <n v="2.6120000000000001"/>
  </r>
  <r>
    <n v="510"/>
    <x v="10"/>
    <x v="26"/>
    <x v="4"/>
    <s v="Percent change"/>
    <s v="Units"/>
    <x v="5"/>
    <n v="4.9320000000000004"/>
  </r>
  <r>
    <n v="510"/>
    <x v="10"/>
    <x v="26"/>
    <x v="4"/>
    <s v="Percent change"/>
    <s v="Units"/>
    <x v="6"/>
    <n v="4.5359999999999996"/>
  </r>
  <r>
    <n v="400"/>
    <x v="11"/>
    <x v="155"/>
    <x v="1"/>
    <s v="Percent change"/>
    <s v="Units"/>
    <x v="0"/>
    <n v="7.79"/>
  </r>
  <r>
    <n v="400"/>
    <x v="11"/>
    <x v="155"/>
    <x v="1"/>
    <s v="Percent change"/>
    <s v="Units"/>
    <x v="1"/>
    <n v="8.58"/>
  </r>
  <r>
    <n v="400"/>
    <x v="11"/>
    <x v="155"/>
    <x v="1"/>
    <s v="Percent change"/>
    <s v="Units"/>
    <x v="2"/>
    <n v="8.9740000000000002"/>
  </r>
  <r>
    <n v="400"/>
    <x v="11"/>
    <x v="155"/>
    <x v="1"/>
    <s v="Percent change"/>
    <s v="Units"/>
    <x v="3"/>
    <n v="6.641"/>
  </r>
  <r>
    <n v="400"/>
    <x v="11"/>
    <x v="155"/>
    <x v="1"/>
    <s v="Percent change"/>
    <s v="Units"/>
    <x v="4"/>
    <n v="3.6520000000000001"/>
  </r>
  <r>
    <n v="400"/>
    <x v="11"/>
    <x v="155"/>
    <x v="1"/>
    <s v="Percent change"/>
    <s v="Units"/>
    <x v="5"/>
    <n v="4.915"/>
  </r>
  <r>
    <n v="400"/>
    <x v="11"/>
    <x v="155"/>
    <x v="1"/>
    <s v="Percent change"/>
    <s v="Units"/>
    <x v="6"/>
    <n v="6.25"/>
  </r>
  <r>
    <n v="400"/>
    <x v="11"/>
    <x v="47"/>
    <x v="4"/>
    <s v="Percent change"/>
    <s v="Units"/>
    <x v="0"/>
    <n v="6.4009999999999998"/>
  </r>
  <r>
    <n v="400"/>
    <x v="11"/>
    <x v="47"/>
    <x v="4"/>
    <s v="Percent change"/>
    <s v="Units"/>
    <x v="1"/>
    <n v="-9.6240000000000006"/>
  </r>
  <r>
    <n v="400"/>
    <x v="11"/>
    <x v="47"/>
    <x v="4"/>
    <s v="Percent change"/>
    <s v="Units"/>
    <x v="2"/>
    <n v="-3.7650000000000001"/>
  </r>
  <r>
    <n v="400"/>
    <x v="11"/>
    <x v="47"/>
    <x v="4"/>
    <s v="Percent change"/>
    <s v="Units"/>
    <x v="3"/>
    <n v="1.8779999999999999"/>
  </r>
  <r>
    <n v="400"/>
    <x v="11"/>
    <x v="47"/>
    <x v="4"/>
    <s v="Percent change"/>
    <s v="Units"/>
    <x v="4"/>
    <n v="15.542"/>
  </r>
  <r>
    <n v="400"/>
    <x v="11"/>
    <x v="47"/>
    <x v="4"/>
    <s v="Percent change"/>
    <s v="Units"/>
    <x v="5"/>
    <n v="4.915"/>
  </r>
  <r>
    <n v="400"/>
    <x v="11"/>
    <x v="47"/>
    <x v="4"/>
    <s v="Percent change"/>
    <s v="Units"/>
    <x v="6"/>
    <n v="12.739000000000001"/>
  </r>
  <r>
    <n v="200"/>
    <x v="3"/>
    <x v="47"/>
    <x v="4"/>
    <s v="Percent change"/>
    <s v="Units"/>
    <x v="0"/>
    <n v="6.4009999999999998"/>
  </r>
  <r>
    <n v="200"/>
    <x v="3"/>
    <x v="47"/>
    <x v="4"/>
    <s v="Percent change"/>
    <s v="Units"/>
    <x v="1"/>
    <n v="-9.6240000000000006"/>
  </r>
  <r>
    <n v="200"/>
    <x v="3"/>
    <x v="47"/>
    <x v="4"/>
    <s v="Percent change"/>
    <s v="Units"/>
    <x v="2"/>
    <n v="-3.7650000000000001"/>
  </r>
  <r>
    <n v="200"/>
    <x v="3"/>
    <x v="47"/>
    <x v="4"/>
    <s v="Percent change"/>
    <s v="Units"/>
    <x v="3"/>
    <n v="1.8779999999999999"/>
  </r>
  <r>
    <n v="200"/>
    <x v="3"/>
    <x v="47"/>
    <x v="4"/>
    <s v="Percent change"/>
    <s v="Units"/>
    <x v="4"/>
    <n v="15.542"/>
  </r>
  <r>
    <n v="200"/>
    <x v="3"/>
    <x v="47"/>
    <x v="4"/>
    <s v="Percent change"/>
    <s v="Units"/>
    <x v="5"/>
    <n v="4.915"/>
  </r>
  <r>
    <n v="200"/>
    <x v="3"/>
    <x v="47"/>
    <x v="4"/>
    <s v="Percent change"/>
    <s v="Units"/>
    <x v="6"/>
    <n v="12.739000000000001"/>
  </r>
  <r>
    <n v="200"/>
    <x v="3"/>
    <x v="155"/>
    <x v="1"/>
    <s v="Percent change"/>
    <s v="Units"/>
    <x v="0"/>
    <n v="7.79"/>
  </r>
  <r>
    <n v="200"/>
    <x v="3"/>
    <x v="155"/>
    <x v="1"/>
    <s v="Percent change"/>
    <s v="Units"/>
    <x v="1"/>
    <n v="8.58"/>
  </r>
  <r>
    <n v="200"/>
    <x v="3"/>
    <x v="155"/>
    <x v="1"/>
    <s v="Percent change"/>
    <s v="Units"/>
    <x v="2"/>
    <n v="8.9740000000000002"/>
  </r>
  <r>
    <n v="200"/>
    <x v="3"/>
    <x v="155"/>
    <x v="1"/>
    <s v="Percent change"/>
    <s v="Units"/>
    <x v="3"/>
    <n v="6.641"/>
  </r>
  <r>
    <n v="200"/>
    <x v="3"/>
    <x v="155"/>
    <x v="1"/>
    <s v="Percent change"/>
    <s v="Units"/>
    <x v="4"/>
    <n v="3.6520000000000001"/>
  </r>
  <r>
    <n v="200"/>
    <x v="3"/>
    <x v="155"/>
    <x v="1"/>
    <s v="Percent change"/>
    <s v="Units"/>
    <x v="5"/>
    <n v="4.915"/>
  </r>
  <r>
    <n v="200"/>
    <x v="3"/>
    <x v="155"/>
    <x v="1"/>
    <s v="Percent change"/>
    <s v="Units"/>
    <x v="6"/>
    <n v="6.25"/>
  </r>
  <r>
    <n v="1"/>
    <x v="2"/>
    <x v="47"/>
    <x v="4"/>
    <s v="Percent change"/>
    <s v="Units"/>
    <x v="0"/>
    <n v="6.4009999999999998"/>
  </r>
  <r>
    <n v="1"/>
    <x v="2"/>
    <x v="47"/>
    <x v="4"/>
    <s v="Percent change"/>
    <s v="Units"/>
    <x v="1"/>
    <n v="-9.6240000000000006"/>
  </r>
  <r>
    <n v="1"/>
    <x v="2"/>
    <x v="47"/>
    <x v="4"/>
    <s v="Percent change"/>
    <s v="Units"/>
    <x v="2"/>
    <n v="-3.7650000000000001"/>
  </r>
  <r>
    <n v="1"/>
    <x v="2"/>
    <x v="47"/>
    <x v="4"/>
    <s v="Percent change"/>
    <s v="Units"/>
    <x v="3"/>
    <n v="1.8779999999999999"/>
  </r>
  <r>
    <n v="1"/>
    <x v="2"/>
    <x v="47"/>
    <x v="4"/>
    <s v="Percent change"/>
    <s v="Units"/>
    <x v="4"/>
    <n v="15.542"/>
  </r>
  <r>
    <n v="1"/>
    <x v="2"/>
    <x v="47"/>
    <x v="4"/>
    <s v="Percent change"/>
    <s v="Units"/>
    <x v="5"/>
    <n v="4.915"/>
  </r>
  <r>
    <n v="1"/>
    <x v="2"/>
    <x v="47"/>
    <x v="4"/>
    <s v="Percent change"/>
    <s v="Units"/>
    <x v="6"/>
    <n v="12.739000000000001"/>
  </r>
  <r>
    <n v="1"/>
    <x v="2"/>
    <x v="155"/>
    <x v="1"/>
    <s v="Percent change"/>
    <s v="Units"/>
    <x v="0"/>
    <n v="7.79"/>
  </r>
  <r>
    <n v="1"/>
    <x v="2"/>
    <x v="155"/>
    <x v="1"/>
    <s v="Percent change"/>
    <s v="Units"/>
    <x v="1"/>
    <n v="8.58"/>
  </r>
  <r>
    <n v="1"/>
    <x v="2"/>
    <x v="155"/>
    <x v="1"/>
    <s v="Percent change"/>
    <s v="Units"/>
    <x v="2"/>
    <n v="8.9740000000000002"/>
  </r>
  <r>
    <n v="1"/>
    <x v="2"/>
    <x v="155"/>
    <x v="1"/>
    <s v="Percent change"/>
    <s v="Units"/>
    <x v="3"/>
    <n v="6.641"/>
  </r>
  <r>
    <n v="1"/>
    <x v="2"/>
    <x v="155"/>
    <x v="1"/>
    <s v="Percent change"/>
    <s v="Units"/>
    <x v="4"/>
    <n v="3.6520000000000001"/>
  </r>
  <r>
    <n v="1"/>
    <x v="2"/>
    <x v="155"/>
    <x v="1"/>
    <s v="Percent change"/>
    <s v="Units"/>
    <x v="5"/>
    <n v="4.915"/>
  </r>
  <r>
    <n v="1"/>
    <x v="2"/>
    <x v="155"/>
    <x v="1"/>
    <s v="Percent change"/>
    <s v="Units"/>
    <x v="6"/>
    <n v="6.25"/>
  </r>
  <r>
    <n v="200"/>
    <x v="3"/>
    <x v="166"/>
    <x v="1"/>
    <s v="Percent change"/>
    <s v="Units"/>
    <x v="0"/>
    <n v="0.45400000000000001"/>
  </r>
  <r>
    <n v="200"/>
    <x v="3"/>
    <x v="166"/>
    <x v="1"/>
    <s v="Percent change"/>
    <s v="Units"/>
    <x v="1"/>
    <n v="2.52"/>
  </r>
  <r>
    <n v="200"/>
    <x v="3"/>
    <x v="166"/>
    <x v="1"/>
    <s v="Percent change"/>
    <s v="Units"/>
    <x v="2"/>
    <n v="4.0389999999999997"/>
  </r>
  <r>
    <n v="200"/>
    <x v="3"/>
    <x v="166"/>
    <x v="1"/>
    <s v="Percent change"/>
    <s v="Units"/>
    <x v="3"/>
    <n v="10.785"/>
  </r>
  <r>
    <n v="200"/>
    <x v="3"/>
    <x v="166"/>
    <x v="1"/>
    <s v="Percent change"/>
    <s v="Units"/>
    <x v="4"/>
    <n v="7.0449999999999999"/>
  </r>
  <r>
    <n v="200"/>
    <x v="3"/>
    <x v="166"/>
    <x v="1"/>
    <s v="Percent change"/>
    <s v="Units"/>
    <x v="5"/>
    <n v="4.9009999999999998"/>
  </r>
  <r>
    <n v="200"/>
    <x v="3"/>
    <x v="166"/>
    <x v="1"/>
    <s v="Percent change"/>
    <s v="Units"/>
    <x v="6"/>
    <n v="3.5739999999999998"/>
  </r>
  <r>
    <n v="603"/>
    <x v="12"/>
    <x v="166"/>
    <x v="1"/>
    <s v="Percent change"/>
    <s v="Units"/>
    <x v="0"/>
    <n v="0.45400000000000001"/>
  </r>
  <r>
    <n v="603"/>
    <x v="12"/>
    <x v="166"/>
    <x v="1"/>
    <s v="Percent change"/>
    <s v="Units"/>
    <x v="1"/>
    <n v="2.52"/>
  </r>
  <r>
    <n v="603"/>
    <x v="12"/>
    <x v="166"/>
    <x v="1"/>
    <s v="Percent change"/>
    <s v="Units"/>
    <x v="2"/>
    <n v="4.0389999999999997"/>
  </r>
  <r>
    <n v="603"/>
    <x v="12"/>
    <x v="166"/>
    <x v="1"/>
    <s v="Percent change"/>
    <s v="Units"/>
    <x v="3"/>
    <n v="10.785"/>
  </r>
  <r>
    <n v="603"/>
    <x v="12"/>
    <x v="166"/>
    <x v="1"/>
    <s v="Percent change"/>
    <s v="Units"/>
    <x v="4"/>
    <n v="7.0449999999999999"/>
  </r>
  <r>
    <n v="603"/>
    <x v="12"/>
    <x v="166"/>
    <x v="1"/>
    <s v="Percent change"/>
    <s v="Units"/>
    <x v="5"/>
    <n v="4.9009999999999998"/>
  </r>
  <r>
    <n v="603"/>
    <x v="12"/>
    <x v="166"/>
    <x v="1"/>
    <s v="Percent change"/>
    <s v="Units"/>
    <x v="6"/>
    <n v="3.5739999999999998"/>
  </r>
  <r>
    <n v="1"/>
    <x v="2"/>
    <x v="166"/>
    <x v="1"/>
    <s v="Percent change"/>
    <s v="Units"/>
    <x v="0"/>
    <n v="0.45400000000000001"/>
  </r>
  <r>
    <n v="1"/>
    <x v="2"/>
    <x v="166"/>
    <x v="1"/>
    <s v="Percent change"/>
    <s v="Units"/>
    <x v="1"/>
    <n v="2.52"/>
  </r>
  <r>
    <n v="1"/>
    <x v="2"/>
    <x v="166"/>
    <x v="1"/>
    <s v="Percent change"/>
    <s v="Units"/>
    <x v="2"/>
    <n v="4.0389999999999997"/>
  </r>
  <r>
    <n v="1"/>
    <x v="2"/>
    <x v="166"/>
    <x v="1"/>
    <s v="Percent change"/>
    <s v="Units"/>
    <x v="3"/>
    <n v="10.785"/>
  </r>
  <r>
    <n v="1"/>
    <x v="2"/>
    <x v="166"/>
    <x v="1"/>
    <s v="Percent change"/>
    <s v="Units"/>
    <x v="4"/>
    <n v="7.0449999999999999"/>
  </r>
  <r>
    <n v="1"/>
    <x v="2"/>
    <x v="166"/>
    <x v="1"/>
    <s v="Percent change"/>
    <s v="Units"/>
    <x v="5"/>
    <n v="4.9009999999999998"/>
  </r>
  <r>
    <n v="1"/>
    <x v="2"/>
    <x v="166"/>
    <x v="1"/>
    <s v="Percent change"/>
    <s v="Units"/>
    <x v="6"/>
    <n v="3.5739999999999998"/>
  </r>
  <r>
    <n v="200"/>
    <x v="3"/>
    <x v="130"/>
    <x v="1"/>
    <s v="Percent change"/>
    <s v="Units"/>
    <x v="0"/>
    <n v="2.8130000000000002"/>
  </r>
  <r>
    <n v="200"/>
    <x v="3"/>
    <x v="130"/>
    <x v="1"/>
    <s v="Percent change"/>
    <s v="Units"/>
    <x v="1"/>
    <n v="3.048"/>
  </r>
  <r>
    <n v="200"/>
    <x v="3"/>
    <x v="130"/>
    <x v="1"/>
    <s v="Percent change"/>
    <s v="Units"/>
    <x v="2"/>
    <n v="8.2110000000000003"/>
  </r>
  <r>
    <n v="200"/>
    <x v="3"/>
    <x v="130"/>
    <x v="1"/>
    <s v="Percent change"/>
    <s v="Units"/>
    <x v="3"/>
    <n v="5.9349999999999996"/>
  </r>
  <r>
    <n v="200"/>
    <x v="3"/>
    <x v="130"/>
    <x v="1"/>
    <s v="Percent change"/>
    <s v="Units"/>
    <x v="4"/>
    <n v="4.5549999999999997"/>
  </r>
  <r>
    <n v="200"/>
    <x v="3"/>
    <x v="130"/>
    <x v="1"/>
    <s v="Percent change"/>
    <s v="Units"/>
    <x v="5"/>
    <n v="4.8979999999999997"/>
  </r>
  <r>
    <n v="200"/>
    <x v="3"/>
    <x v="130"/>
    <x v="1"/>
    <s v="Percent change"/>
    <s v="Units"/>
    <x v="6"/>
    <n v="4.5860000000000003"/>
  </r>
  <r>
    <n v="1"/>
    <x v="2"/>
    <x v="130"/>
    <x v="1"/>
    <s v="Percent change"/>
    <s v="Units"/>
    <x v="0"/>
    <n v="2.8130000000000002"/>
  </r>
  <r>
    <n v="1"/>
    <x v="2"/>
    <x v="130"/>
    <x v="1"/>
    <s v="Percent change"/>
    <s v="Units"/>
    <x v="1"/>
    <n v="3.048"/>
  </r>
  <r>
    <n v="1"/>
    <x v="2"/>
    <x v="130"/>
    <x v="1"/>
    <s v="Percent change"/>
    <s v="Units"/>
    <x v="2"/>
    <n v="8.2110000000000003"/>
  </r>
  <r>
    <n v="1"/>
    <x v="2"/>
    <x v="130"/>
    <x v="1"/>
    <s v="Percent change"/>
    <s v="Units"/>
    <x v="3"/>
    <n v="5.9349999999999996"/>
  </r>
  <r>
    <n v="1"/>
    <x v="2"/>
    <x v="130"/>
    <x v="1"/>
    <s v="Percent change"/>
    <s v="Units"/>
    <x v="4"/>
    <n v="4.5549999999999997"/>
  </r>
  <r>
    <n v="1"/>
    <x v="2"/>
    <x v="130"/>
    <x v="1"/>
    <s v="Percent change"/>
    <s v="Units"/>
    <x v="5"/>
    <n v="4.8979999999999997"/>
  </r>
  <r>
    <n v="1"/>
    <x v="2"/>
    <x v="130"/>
    <x v="1"/>
    <s v="Percent change"/>
    <s v="Units"/>
    <x v="6"/>
    <n v="4.5860000000000003"/>
  </r>
  <r>
    <n v="505"/>
    <x v="4"/>
    <x v="130"/>
    <x v="1"/>
    <s v="Percent change"/>
    <s v="Units"/>
    <x v="0"/>
    <n v="2.8130000000000002"/>
  </r>
  <r>
    <n v="505"/>
    <x v="4"/>
    <x v="130"/>
    <x v="1"/>
    <s v="Percent change"/>
    <s v="Units"/>
    <x v="1"/>
    <n v="3.048"/>
  </r>
  <r>
    <n v="505"/>
    <x v="4"/>
    <x v="130"/>
    <x v="1"/>
    <s v="Percent change"/>
    <s v="Units"/>
    <x v="2"/>
    <n v="8.2110000000000003"/>
  </r>
  <r>
    <n v="505"/>
    <x v="4"/>
    <x v="130"/>
    <x v="1"/>
    <s v="Percent change"/>
    <s v="Units"/>
    <x v="3"/>
    <n v="5.9349999999999996"/>
  </r>
  <r>
    <n v="505"/>
    <x v="4"/>
    <x v="130"/>
    <x v="1"/>
    <s v="Percent change"/>
    <s v="Units"/>
    <x v="4"/>
    <n v="4.5549999999999997"/>
  </r>
  <r>
    <n v="505"/>
    <x v="4"/>
    <x v="130"/>
    <x v="1"/>
    <s v="Percent change"/>
    <s v="Units"/>
    <x v="5"/>
    <n v="4.8979999999999997"/>
  </r>
  <r>
    <n v="505"/>
    <x v="4"/>
    <x v="130"/>
    <x v="1"/>
    <s v="Percent change"/>
    <s v="Units"/>
    <x v="6"/>
    <n v="4.5860000000000003"/>
  </r>
  <r>
    <n v="110"/>
    <x v="0"/>
    <x v="37"/>
    <x v="11"/>
    <s v="Percent of total labor force"/>
    <s v="Units"/>
    <x v="0"/>
    <n v="5"/>
  </r>
  <r>
    <n v="110"/>
    <x v="0"/>
    <x v="37"/>
    <x v="11"/>
    <s v="Percent of total labor force"/>
    <s v="Units"/>
    <x v="1"/>
    <n v="5.625"/>
  </r>
  <r>
    <n v="110"/>
    <x v="0"/>
    <x v="37"/>
    <x v="11"/>
    <s v="Percent of total labor force"/>
    <s v="Units"/>
    <x v="2"/>
    <n v="5.0919999999999996"/>
  </r>
  <r>
    <n v="110"/>
    <x v="0"/>
    <x v="37"/>
    <x v="11"/>
    <s v="Percent of total labor force"/>
    <s v="Units"/>
    <x v="3"/>
    <n v="4.4749999999999996"/>
  </r>
  <r>
    <n v="110"/>
    <x v="0"/>
    <x v="37"/>
    <x v="11"/>
    <s v="Percent of total labor force"/>
    <s v="Units"/>
    <x v="4"/>
    <n v="4.8920000000000003"/>
  </r>
  <r>
    <n v="110"/>
    <x v="0"/>
    <x v="37"/>
    <x v="11"/>
    <s v="Percent of total labor force"/>
    <s v="Units"/>
    <x v="5"/>
    <n v="4.8920000000000003"/>
  </r>
  <r>
    <n v="110"/>
    <x v="0"/>
    <x v="37"/>
    <x v="11"/>
    <s v="Percent of total labor force"/>
    <s v="Units"/>
    <x v="6"/>
    <n v="4.9000000000000004"/>
  </r>
  <r>
    <n v="123"/>
    <x v="9"/>
    <x v="37"/>
    <x v="11"/>
    <s v="Percent of total labor force"/>
    <s v="Units"/>
    <x v="0"/>
    <n v="5"/>
  </r>
  <r>
    <n v="123"/>
    <x v="9"/>
    <x v="37"/>
    <x v="11"/>
    <s v="Percent of total labor force"/>
    <s v="Units"/>
    <x v="1"/>
    <n v="5.625"/>
  </r>
  <r>
    <n v="123"/>
    <x v="9"/>
    <x v="37"/>
    <x v="11"/>
    <s v="Percent of total labor force"/>
    <s v="Units"/>
    <x v="2"/>
    <n v="5.0919999999999996"/>
  </r>
  <r>
    <n v="123"/>
    <x v="9"/>
    <x v="37"/>
    <x v="11"/>
    <s v="Percent of total labor force"/>
    <s v="Units"/>
    <x v="3"/>
    <n v="4.4749999999999996"/>
  </r>
  <r>
    <n v="123"/>
    <x v="9"/>
    <x v="37"/>
    <x v="11"/>
    <s v="Percent of total labor force"/>
    <s v="Units"/>
    <x v="4"/>
    <n v="4.8920000000000003"/>
  </r>
  <r>
    <n v="123"/>
    <x v="9"/>
    <x v="37"/>
    <x v="11"/>
    <s v="Percent of total labor force"/>
    <s v="Units"/>
    <x v="5"/>
    <n v="4.8920000000000003"/>
  </r>
  <r>
    <n v="123"/>
    <x v="9"/>
    <x v="37"/>
    <x v="11"/>
    <s v="Percent of total labor force"/>
    <s v="Units"/>
    <x v="6"/>
    <n v="4.9000000000000004"/>
  </r>
  <r>
    <n v="603"/>
    <x v="12"/>
    <x v="40"/>
    <x v="1"/>
    <s v="Percent change"/>
    <s v="Units"/>
    <x v="0"/>
    <n v="4.1210000000000004"/>
  </r>
  <r>
    <n v="603"/>
    <x v="12"/>
    <x v="40"/>
    <x v="1"/>
    <s v="Percent change"/>
    <s v="Units"/>
    <x v="1"/>
    <n v="3.2749999999999999"/>
  </r>
  <r>
    <n v="603"/>
    <x v="12"/>
    <x v="40"/>
    <x v="1"/>
    <s v="Percent change"/>
    <s v="Units"/>
    <x v="2"/>
    <n v="4.556"/>
  </r>
  <r>
    <n v="603"/>
    <x v="12"/>
    <x v="40"/>
    <x v="1"/>
    <s v="Percent change"/>
    <s v="Units"/>
    <x v="3"/>
    <n v="6.8689999999999998"/>
  </r>
  <r>
    <n v="603"/>
    <x v="12"/>
    <x v="40"/>
    <x v="1"/>
    <s v="Percent change"/>
    <s v="Units"/>
    <x v="4"/>
    <n v="5.9"/>
  </r>
  <r>
    <n v="603"/>
    <x v="12"/>
    <x v="40"/>
    <x v="1"/>
    <s v="Percent change"/>
    <s v="Units"/>
    <x v="5"/>
    <n v="4.8630000000000004"/>
  </r>
  <r>
    <n v="603"/>
    <x v="12"/>
    <x v="40"/>
    <x v="1"/>
    <s v="Percent change"/>
    <s v="Units"/>
    <x v="6"/>
    <n v="4.5"/>
  </r>
  <r>
    <n v="1"/>
    <x v="2"/>
    <x v="40"/>
    <x v="1"/>
    <s v="Percent change"/>
    <s v="Units"/>
    <x v="0"/>
    <n v="4.1210000000000004"/>
  </r>
  <r>
    <n v="1"/>
    <x v="2"/>
    <x v="40"/>
    <x v="1"/>
    <s v="Percent change"/>
    <s v="Units"/>
    <x v="1"/>
    <n v="3.2749999999999999"/>
  </r>
  <r>
    <n v="1"/>
    <x v="2"/>
    <x v="40"/>
    <x v="1"/>
    <s v="Percent change"/>
    <s v="Units"/>
    <x v="2"/>
    <n v="4.556"/>
  </r>
  <r>
    <n v="1"/>
    <x v="2"/>
    <x v="40"/>
    <x v="1"/>
    <s v="Percent change"/>
    <s v="Units"/>
    <x v="3"/>
    <n v="6.8689999999999998"/>
  </r>
  <r>
    <n v="1"/>
    <x v="2"/>
    <x v="40"/>
    <x v="1"/>
    <s v="Percent change"/>
    <s v="Units"/>
    <x v="4"/>
    <n v="5.9"/>
  </r>
  <r>
    <n v="1"/>
    <x v="2"/>
    <x v="40"/>
    <x v="1"/>
    <s v="Percent change"/>
    <s v="Units"/>
    <x v="5"/>
    <n v="4.8630000000000004"/>
  </r>
  <r>
    <n v="1"/>
    <x v="2"/>
    <x v="40"/>
    <x v="1"/>
    <s v="Percent change"/>
    <s v="Units"/>
    <x v="6"/>
    <n v="4.5"/>
  </r>
  <r>
    <n v="200"/>
    <x v="3"/>
    <x v="40"/>
    <x v="1"/>
    <s v="Percent change"/>
    <s v="Units"/>
    <x v="0"/>
    <n v="4.1210000000000004"/>
  </r>
  <r>
    <n v="200"/>
    <x v="3"/>
    <x v="40"/>
    <x v="1"/>
    <s v="Percent change"/>
    <s v="Units"/>
    <x v="1"/>
    <n v="3.2749999999999999"/>
  </r>
  <r>
    <n v="200"/>
    <x v="3"/>
    <x v="40"/>
    <x v="1"/>
    <s v="Percent change"/>
    <s v="Units"/>
    <x v="2"/>
    <n v="4.556"/>
  </r>
  <r>
    <n v="200"/>
    <x v="3"/>
    <x v="40"/>
    <x v="1"/>
    <s v="Percent change"/>
    <s v="Units"/>
    <x v="3"/>
    <n v="6.8689999999999998"/>
  </r>
  <r>
    <n v="200"/>
    <x v="3"/>
    <x v="40"/>
    <x v="1"/>
    <s v="Percent change"/>
    <s v="Units"/>
    <x v="4"/>
    <n v="5.9"/>
  </r>
  <r>
    <n v="200"/>
    <x v="3"/>
    <x v="40"/>
    <x v="1"/>
    <s v="Percent change"/>
    <s v="Units"/>
    <x v="5"/>
    <n v="4.8630000000000004"/>
  </r>
  <r>
    <n v="200"/>
    <x v="3"/>
    <x v="40"/>
    <x v="1"/>
    <s v="Percent change"/>
    <s v="Units"/>
    <x v="6"/>
    <n v="4.5"/>
  </r>
  <r>
    <n v="200"/>
    <x v="3"/>
    <x v="166"/>
    <x v="8"/>
    <s v="Percent change"/>
    <s v="Units"/>
    <x v="0"/>
    <n v="2.891"/>
  </r>
  <r>
    <n v="200"/>
    <x v="3"/>
    <x v="166"/>
    <x v="8"/>
    <s v="Percent change"/>
    <s v="Units"/>
    <x v="1"/>
    <n v="-14.547000000000001"/>
  </r>
  <r>
    <n v="200"/>
    <x v="3"/>
    <x v="166"/>
    <x v="8"/>
    <s v="Percent change"/>
    <s v="Units"/>
    <x v="2"/>
    <n v="3.4039999999999999"/>
  </r>
  <r>
    <n v="200"/>
    <x v="3"/>
    <x v="166"/>
    <x v="8"/>
    <s v="Percent change"/>
    <s v="Units"/>
    <x v="3"/>
    <n v="8.8810000000000002"/>
  </r>
  <r>
    <n v="200"/>
    <x v="3"/>
    <x v="166"/>
    <x v="8"/>
    <s v="Percent change"/>
    <s v="Units"/>
    <x v="4"/>
    <n v="6.87"/>
  </r>
  <r>
    <n v="200"/>
    <x v="3"/>
    <x v="166"/>
    <x v="8"/>
    <s v="Percent change"/>
    <s v="Units"/>
    <x v="5"/>
    <n v="4.8609999999999998"/>
  </r>
  <r>
    <n v="200"/>
    <x v="3"/>
    <x v="166"/>
    <x v="8"/>
    <s v="Percent change"/>
    <s v="Units"/>
    <x v="6"/>
    <n v="3.6760000000000002"/>
  </r>
  <r>
    <n v="603"/>
    <x v="12"/>
    <x v="166"/>
    <x v="8"/>
    <s v="Percent change"/>
    <s v="Units"/>
    <x v="0"/>
    <n v="2.891"/>
  </r>
  <r>
    <n v="603"/>
    <x v="12"/>
    <x v="166"/>
    <x v="8"/>
    <s v="Percent change"/>
    <s v="Units"/>
    <x v="1"/>
    <n v="-14.547000000000001"/>
  </r>
  <r>
    <n v="603"/>
    <x v="12"/>
    <x v="166"/>
    <x v="8"/>
    <s v="Percent change"/>
    <s v="Units"/>
    <x v="2"/>
    <n v="3.4039999999999999"/>
  </r>
  <r>
    <n v="603"/>
    <x v="12"/>
    <x v="166"/>
    <x v="8"/>
    <s v="Percent change"/>
    <s v="Units"/>
    <x v="3"/>
    <n v="8.8810000000000002"/>
  </r>
  <r>
    <n v="603"/>
    <x v="12"/>
    <x v="166"/>
    <x v="8"/>
    <s v="Percent change"/>
    <s v="Units"/>
    <x v="4"/>
    <n v="6.87"/>
  </r>
  <r>
    <n v="603"/>
    <x v="12"/>
    <x v="166"/>
    <x v="8"/>
    <s v="Percent change"/>
    <s v="Units"/>
    <x v="5"/>
    <n v="4.8609999999999998"/>
  </r>
  <r>
    <n v="603"/>
    <x v="12"/>
    <x v="166"/>
    <x v="8"/>
    <s v="Percent change"/>
    <s v="Units"/>
    <x v="6"/>
    <n v="3.6760000000000002"/>
  </r>
  <r>
    <n v="1"/>
    <x v="2"/>
    <x v="166"/>
    <x v="8"/>
    <s v="Percent change"/>
    <s v="Units"/>
    <x v="0"/>
    <n v="2.891"/>
  </r>
  <r>
    <n v="1"/>
    <x v="2"/>
    <x v="166"/>
    <x v="8"/>
    <s v="Percent change"/>
    <s v="Units"/>
    <x v="1"/>
    <n v="-14.547000000000001"/>
  </r>
  <r>
    <n v="1"/>
    <x v="2"/>
    <x v="166"/>
    <x v="8"/>
    <s v="Percent change"/>
    <s v="Units"/>
    <x v="2"/>
    <n v="3.4039999999999999"/>
  </r>
  <r>
    <n v="1"/>
    <x v="2"/>
    <x v="166"/>
    <x v="8"/>
    <s v="Percent change"/>
    <s v="Units"/>
    <x v="3"/>
    <n v="8.8810000000000002"/>
  </r>
  <r>
    <n v="1"/>
    <x v="2"/>
    <x v="166"/>
    <x v="8"/>
    <s v="Percent change"/>
    <s v="Units"/>
    <x v="4"/>
    <n v="6.87"/>
  </r>
  <r>
    <n v="1"/>
    <x v="2"/>
    <x v="166"/>
    <x v="8"/>
    <s v="Percent change"/>
    <s v="Units"/>
    <x v="5"/>
    <n v="4.8609999999999998"/>
  </r>
  <r>
    <n v="1"/>
    <x v="2"/>
    <x v="166"/>
    <x v="8"/>
    <s v="Percent change"/>
    <s v="Units"/>
    <x v="6"/>
    <n v="3.6760000000000002"/>
  </r>
  <r>
    <n v="200"/>
    <x v="3"/>
    <x v="4"/>
    <x v="6"/>
    <s v="Percent change"/>
    <s v="Units"/>
    <x v="0"/>
    <n v="-3.742"/>
  </r>
  <r>
    <n v="200"/>
    <x v="3"/>
    <x v="4"/>
    <x v="6"/>
    <s v="Percent change"/>
    <s v="Units"/>
    <x v="1"/>
    <n v="-13.712"/>
  </r>
  <r>
    <n v="200"/>
    <x v="3"/>
    <x v="4"/>
    <x v="6"/>
    <s v="Percent change"/>
    <s v="Units"/>
    <x v="2"/>
    <n v="19.38"/>
  </r>
  <r>
    <n v="200"/>
    <x v="3"/>
    <x v="4"/>
    <x v="6"/>
    <s v="Percent change"/>
    <s v="Units"/>
    <x v="3"/>
    <n v="10.039999999999999"/>
  </r>
  <r>
    <n v="200"/>
    <x v="3"/>
    <x v="4"/>
    <x v="6"/>
    <s v="Percent change"/>
    <s v="Units"/>
    <x v="4"/>
    <n v="-9.2999999999999999E-2"/>
  </r>
  <r>
    <n v="200"/>
    <x v="3"/>
    <x v="4"/>
    <x v="6"/>
    <s v="Percent change"/>
    <s v="Units"/>
    <x v="5"/>
    <n v="4.8600000000000003"/>
  </r>
  <r>
    <n v="200"/>
    <x v="3"/>
    <x v="4"/>
    <x v="6"/>
    <s v="Percent change"/>
    <s v="Units"/>
    <x v="6"/>
    <n v="6.2709999999999999"/>
  </r>
  <r>
    <n v="505"/>
    <x v="4"/>
    <x v="4"/>
    <x v="6"/>
    <s v="Percent change"/>
    <s v="Units"/>
    <x v="0"/>
    <n v="-3.742"/>
  </r>
  <r>
    <n v="505"/>
    <x v="4"/>
    <x v="4"/>
    <x v="6"/>
    <s v="Percent change"/>
    <s v="Units"/>
    <x v="1"/>
    <n v="-13.712"/>
  </r>
  <r>
    <n v="505"/>
    <x v="4"/>
    <x v="4"/>
    <x v="6"/>
    <s v="Percent change"/>
    <s v="Units"/>
    <x v="2"/>
    <n v="19.38"/>
  </r>
  <r>
    <n v="505"/>
    <x v="4"/>
    <x v="4"/>
    <x v="6"/>
    <s v="Percent change"/>
    <s v="Units"/>
    <x v="3"/>
    <n v="10.039999999999999"/>
  </r>
  <r>
    <n v="505"/>
    <x v="4"/>
    <x v="4"/>
    <x v="6"/>
    <s v="Percent change"/>
    <s v="Units"/>
    <x v="4"/>
    <n v="-9.2999999999999999E-2"/>
  </r>
  <r>
    <n v="505"/>
    <x v="4"/>
    <x v="4"/>
    <x v="6"/>
    <s v="Percent change"/>
    <s v="Units"/>
    <x v="5"/>
    <n v="4.8600000000000003"/>
  </r>
  <r>
    <n v="505"/>
    <x v="4"/>
    <x v="4"/>
    <x v="6"/>
    <s v="Percent change"/>
    <s v="Units"/>
    <x v="6"/>
    <n v="6.2709999999999999"/>
  </r>
  <r>
    <n v="1"/>
    <x v="2"/>
    <x v="4"/>
    <x v="6"/>
    <s v="Percent change"/>
    <s v="Units"/>
    <x v="0"/>
    <n v="-3.742"/>
  </r>
  <r>
    <n v="1"/>
    <x v="2"/>
    <x v="4"/>
    <x v="6"/>
    <s v="Percent change"/>
    <s v="Units"/>
    <x v="1"/>
    <n v="-13.712"/>
  </r>
  <r>
    <n v="1"/>
    <x v="2"/>
    <x v="4"/>
    <x v="6"/>
    <s v="Percent change"/>
    <s v="Units"/>
    <x v="2"/>
    <n v="19.38"/>
  </r>
  <r>
    <n v="1"/>
    <x v="2"/>
    <x v="4"/>
    <x v="6"/>
    <s v="Percent change"/>
    <s v="Units"/>
    <x v="3"/>
    <n v="10.039999999999999"/>
  </r>
  <r>
    <n v="1"/>
    <x v="2"/>
    <x v="4"/>
    <x v="6"/>
    <s v="Percent change"/>
    <s v="Units"/>
    <x v="4"/>
    <n v="-9.2999999999999999E-2"/>
  </r>
  <r>
    <n v="1"/>
    <x v="2"/>
    <x v="4"/>
    <x v="6"/>
    <s v="Percent change"/>
    <s v="Units"/>
    <x v="5"/>
    <n v="4.8600000000000003"/>
  </r>
  <r>
    <n v="1"/>
    <x v="2"/>
    <x v="4"/>
    <x v="6"/>
    <s v="Percent change"/>
    <s v="Units"/>
    <x v="6"/>
    <n v="6.2709999999999999"/>
  </r>
  <r>
    <n v="200"/>
    <x v="3"/>
    <x v="153"/>
    <x v="9"/>
    <s v="Percent of GDP"/>
    <s v="Units"/>
    <x v="0"/>
    <n v="4.3040000000000003"/>
  </r>
  <r>
    <n v="200"/>
    <x v="3"/>
    <x v="153"/>
    <x v="9"/>
    <s v="Percent of GDP"/>
    <s v="Units"/>
    <x v="1"/>
    <n v="-1.105"/>
  </r>
  <r>
    <n v="200"/>
    <x v="3"/>
    <x v="153"/>
    <x v="9"/>
    <s v="Percent of GDP"/>
    <s v="Units"/>
    <x v="2"/>
    <n v="1.629"/>
  </r>
  <r>
    <n v="200"/>
    <x v="3"/>
    <x v="153"/>
    <x v="9"/>
    <s v="Percent of GDP"/>
    <s v="Units"/>
    <x v="3"/>
    <n v="8.9480000000000004"/>
  </r>
  <r>
    <n v="200"/>
    <x v="3"/>
    <x v="153"/>
    <x v="9"/>
    <s v="Percent of GDP"/>
    <s v="Units"/>
    <x v="4"/>
    <n v="3.5750000000000002"/>
  </r>
  <r>
    <n v="200"/>
    <x v="3"/>
    <x v="153"/>
    <x v="9"/>
    <s v="Percent of GDP"/>
    <s v="Units"/>
    <x v="5"/>
    <n v="4.8579999999999997"/>
  </r>
  <r>
    <n v="200"/>
    <x v="3"/>
    <x v="153"/>
    <x v="9"/>
    <s v="Percent of GDP"/>
    <s v="Units"/>
    <x v="6"/>
    <n v="3.556"/>
  </r>
  <r>
    <n v="603"/>
    <x v="12"/>
    <x v="153"/>
    <x v="9"/>
    <s v="Percent of GDP"/>
    <s v="Units"/>
    <x v="0"/>
    <n v="4.3040000000000003"/>
  </r>
  <r>
    <n v="603"/>
    <x v="12"/>
    <x v="153"/>
    <x v="9"/>
    <s v="Percent of GDP"/>
    <s v="Units"/>
    <x v="1"/>
    <n v="-1.105"/>
  </r>
  <r>
    <n v="603"/>
    <x v="12"/>
    <x v="153"/>
    <x v="9"/>
    <s v="Percent of GDP"/>
    <s v="Units"/>
    <x v="2"/>
    <n v="1.629"/>
  </r>
  <r>
    <n v="603"/>
    <x v="12"/>
    <x v="153"/>
    <x v="9"/>
    <s v="Percent of GDP"/>
    <s v="Units"/>
    <x v="3"/>
    <n v="8.9480000000000004"/>
  </r>
  <r>
    <n v="603"/>
    <x v="12"/>
    <x v="153"/>
    <x v="9"/>
    <s v="Percent of GDP"/>
    <s v="Units"/>
    <x v="4"/>
    <n v="3.5750000000000002"/>
  </r>
  <r>
    <n v="603"/>
    <x v="12"/>
    <x v="153"/>
    <x v="9"/>
    <s v="Percent of GDP"/>
    <s v="Units"/>
    <x v="5"/>
    <n v="4.8579999999999997"/>
  </r>
  <r>
    <n v="603"/>
    <x v="12"/>
    <x v="153"/>
    <x v="9"/>
    <s v="Percent of GDP"/>
    <s v="Units"/>
    <x v="6"/>
    <n v="3.556"/>
  </r>
  <r>
    <n v="603"/>
    <x v="12"/>
    <x v="136"/>
    <x v="1"/>
    <s v="Percent change"/>
    <s v="Units"/>
    <x v="0"/>
    <n v="3.7210000000000001"/>
  </r>
  <r>
    <n v="603"/>
    <x v="12"/>
    <x v="136"/>
    <x v="1"/>
    <s v="Percent change"/>
    <s v="Units"/>
    <x v="1"/>
    <n v="2.2090000000000001"/>
  </r>
  <r>
    <n v="603"/>
    <x v="12"/>
    <x v="136"/>
    <x v="1"/>
    <s v="Percent change"/>
    <s v="Units"/>
    <x v="2"/>
    <n v="3.62"/>
  </r>
  <r>
    <n v="603"/>
    <x v="12"/>
    <x v="136"/>
    <x v="1"/>
    <s v="Percent change"/>
    <s v="Units"/>
    <x v="3"/>
    <n v="6.077"/>
  </r>
  <r>
    <n v="603"/>
    <x v="12"/>
    <x v="136"/>
    <x v="1"/>
    <s v="Percent change"/>
    <s v="Units"/>
    <x v="4"/>
    <n v="5.88"/>
  </r>
  <r>
    <n v="603"/>
    <x v="12"/>
    <x v="136"/>
    <x v="1"/>
    <s v="Percent change"/>
    <s v="Units"/>
    <x v="5"/>
    <n v="4.8109999999999999"/>
  </r>
  <r>
    <n v="603"/>
    <x v="12"/>
    <x v="136"/>
    <x v="1"/>
    <s v="Percent change"/>
    <s v="Units"/>
    <x v="6"/>
    <n v="4.8109999999999999"/>
  </r>
  <r>
    <n v="1"/>
    <x v="2"/>
    <x v="136"/>
    <x v="1"/>
    <s v="Percent change"/>
    <s v="Units"/>
    <x v="0"/>
    <n v="3.7210000000000001"/>
  </r>
  <r>
    <n v="1"/>
    <x v="2"/>
    <x v="136"/>
    <x v="1"/>
    <s v="Percent change"/>
    <s v="Units"/>
    <x v="1"/>
    <n v="2.2090000000000001"/>
  </r>
  <r>
    <n v="1"/>
    <x v="2"/>
    <x v="136"/>
    <x v="1"/>
    <s v="Percent change"/>
    <s v="Units"/>
    <x v="2"/>
    <n v="3.62"/>
  </r>
  <r>
    <n v="1"/>
    <x v="2"/>
    <x v="136"/>
    <x v="1"/>
    <s v="Percent change"/>
    <s v="Units"/>
    <x v="3"/>
    <n v="6.077"/>
  </r>
  <r>
    <n v="1"/>
    <x v="2"/>
    <x v="136"/>
    <x v="1"/>
    <s v="Percent change"/>
    <s v="Units"/>
    <x v="4"/>
    <n v="5.88"/>
  </r>
  <r>
    <n v="1"/>
    <x v="2"/>
    <x v="136"/>
    <x v="1"/>
    <s v="Percent change"/>
    <s v="Units"/>
    <x v="5"/>
    <n v="4.8109999999999999"/>
  </r>
  <r>
    <n v="1"/>
    <x v="2"/>
    <x v="136"/>
    <x v="1"/>
    <s v="Percent change"/>
    <s v="Units"/>
    <x v="6"/>
    <n v="4.8109999999999999"/>
  </r>
  <r>
    <n v="200"/>
    <x v="3"/>
    <x v="136"/>
    <x v="1"/>
    <s v="Percent change"/>
    <s v="Units"/>
    <x v="0"/>
    <n v="3.7210000000000001"/>
  </r>
  <r>
    <n v="200"/>
    <x v="3"/>
    <x v="136"/>
    <x v="1"/>
    <s v="Percent change"/>
    <s v="Units"/>
    <x v="1"/>
    <n v="2.2090000000000001"/>
  </r>
  <r>
    <n v="200"/>
    <x v="3"/>
    <x v="136"/>
    <x v="1"/>
    <s v="Percent change"/>
    <s v="Units"/>
    <x v="2"/>
    <n v="3.62"/>
  </r>
  <r>
    <n v="200"/>
    <x v="3"/>
    <x v="136"/>
    <x v="1"/>
    <s v="Percent change"/>
    <s v="Units"/>
    <x v="3"/>
    <n v="6.077"/>
  </r>
  <r>
    <n v="200"/>
    <x v="3"/>
    <x v="136"/>
    <x v="1"/>
    <s v="Percent change"/>
    <s v="Units"/>
    <x v="4"/>
    <n v="5.88"/>
  </r>
  <r>
    <n v="200"/>
    <x v="3"/>
    <x v="136"/>
    <x v="1"/>
    <s v="Percent change"/>
    <s v="Units"/>
    <x v="5"/>
    <n v="4.8109999999999999"/>
  </r>
  <r>
    <n v="200"/>
    <x v="3"/>
    <x v="136"/>
    <x v="1"/>
    <s v="Percent change"/>
    <s v="Units"/>
    <x v="6"/>
    <n v="4.8109999999999999"/>
  </r>
  <r>
    <n v="400"/>
    <x v="11"/>
    <x v="188"/>
    <x v="1"/>
    <s v="Percent change"/>
    <s v="Units"/>
    <x v="0"/>
    <n v="4.5170000000000003"/>
  </r>
  <r>
    <n v="400"/>
    <x v="11"/>
    <x v="188"/>
    <x v="1"/>
    <s v="Percent change"/>
    <s v="Units"/>
    <x v="1"/>
    <n v="4.3040000000000003"/>
  </r>
  <r>
    <n v="400"/>
    <x v="11"/>
    <x v="188"/>
    <x v="1"/>
    <s v="Percent change"/>
    <s v="Units"/>
    <x v="2"/>
    <n v="4.62"/>
  </r>
  <r>
    <n v="400"/>
    <x v="11"/>
    <x v="188"/>
    <x v="1"/>
    <s v="Percent change"/>
    <s v="Units"/>
    <x v="3"/>
    <n v="6.7850000000000001"/>
  </r>
  <r>
    <n v="400"/>
    <x v="11"/>
    <x v="188"/>
    <x v="1"/>
    <s v="Percent change"/>
    <s v="Units"/>
    <x v="4"/>
    <n v="6.1040000000000001"/>
  </r>
  <r>
    <n v="400"/>
    <x v="11"/>
    <x v="188"/>
    <x v="1"/>
    <s v="Percent change"/>
    <s v="Units"/>
    <x v="5"/>
    <n v="4.8"/>
  </r>
  <r>
    <n v="400"/>
    <x v="11"/>
    <x v="188"/>
    <x v="1"/>
    <s v="Percent change"/>
    <s v="Units"/>
    <x v="6"/>
    <n v="3.9"/>
  </r>
  <r>
    <n v="200"/>
    <x v="3"/>
    <x v="188"/>
    <x v="1"/>
    <s v="Percent change"/>
    <s v="Units"/>
    <x v="0"/>
    <n v="4.5170000000000003"/>
  </r>
  <r>
    <n v="200"/>
    <x v="3"/>
    <x v="188"/>
    <x v="1"/>
    <s v="Percent change"/>
    <s v="Units"/>
    <x v="1"/>
    <n v="4.3040000000000003"/>
  </r>
  <r>
    <n v="200"/>
    <x v="3"/>
    <x v="188"/>
    <x v="1"/>
    <s v="Percent change"/>
    <s v="Units"/>
    <x v="2"/>
    <n v="4.62"/>
  </r>
  <r>
    <n v="200"/>
    <x v="3"/>
    <x v="188"/>
    <x v="1"/>
    <s v="Percent change"/>
    <s v="Units"/>
    <x v="3"/>
    <n v="6.7850000000000001"/>
  </r>
  <r>
    <n v="200"/>
    <x v="3"/>
    <x v="188"/>
    <x v="1"/>
    <s v="Percent change"/>
    <s v="Units"/>
    <x v="4"/>
    <n v="6.1040000000000001"/>
  </r>
  <r>
    <n v="200"/>
    <x v="3"/>
    <x v="188"/>
    <x v="1"/>
    <s v="Percent change"/>
    <s v="Units"/>
    <x v="5"/>
    <n v="4.8"/>
  </r>
  <r>
    <n v="200"/>
    <x v="3"/>
    <x v="188"/>
    <x v="1"/>
    <s v="Percent change"/>
    <s v="Units"/>
    <x v="6"/>
    <n v="3.9"/>
  </r>
  <r>
    <n v="1"/>
    <x v="2"/>
    <x v="188"/>
    <x v="1"/>
    <s v="Percent change"/>
    <s v="Units"/>
    <x v="0"/>
    <n v="4.5170000000000003"/>
  </r>
  <r>
    <n v="1"/>
    <x v="2"/>
    <x v="188"/>
    <x v="1"/>
    <s v="Percent change"/>
    <s v="Units"/>
    <x v="1"/>
    <n v="4.3040000000000003"/>
  </r>
  <r>
    <n v="1"/>
    <x v="2"/>
    <x v="188"/>
    <x v="1"/>
    <s v="Percent change"/>
    <s v="Units"/>
    <x v="2"/>
    <n v="4.62"/>
  </r>
  <r>
    <n v="1"/>
    <x v="2"/>
    <x v="188"/>
    <x v="1"/>
    <s v="Percent change"/>
    <s v="Units"/>
    <x v="3"/>
    <n v="6.7850000000000001"/>
  </r>
  <r>
    <n v="1"/>
    <x v="2"/>
    <x v="188"/>
    <x v="1"/>
    <s v="Percent change"/>
    <s v="Units"/>
    <x v="4"/>
    <n v="6.1040000000000001"/>
  </r>
  <r>
    <n v="1"/>
    <x v="2"/>
    <x v="188"/>
    <x v="1"/>
    <s v="Percent change"/>
    <s v="Units"/>
    <x v="5"/>
    <n v="4.8"/>
  </r>
  <r>
    <n v="1"/>
    <x v="2"/>
    <x v="188"/>
    <x v="1"/>
    <s v="Percent change"/>
    <s v="Units"/>
    <x v="6"/>
    <n v="3.9"/>
  </r>
  <r>
    <n v="1"/>
    <x v="2"/>
    <x v="164"/>
    <x v="6"/>
    <s v="Percent change"/>
    <s v="Units"/>
    <x v="0"/>
    <n v="-2.6520000000000001"/>
  </r>
  <r>
    <n v="1"/>
    <x v="2"/>
    <x v="164"/>
    <x v="6"/>
    <s v="Percent change"/>
    <s v="Units"/>
    <x v="1"/>
    <n v="-2.3029999999999999"/>
  </r>
  <r>
    <n v="1"/>
    <x v="2"/>
    <x v="164"/>
    <x v="6"/>
    <s v="Percent change"/>
    <s v="Units"/>
    <x v="2"/>
    <n v="11.369"/>
  </r>
  <r>
    <n v="1"/>
    <x v="2"/>
    <x v="164"/>
    <x v="6"/>
    <s v="Percent change"/>
    <s v="Units"/>
    <x v="3"/>
    <n v="0.48399999999999999"/>
  </r>
  <r>
    <n v="1"/>
    <x v="2"/>
    <x v="164"/>
    <x v="6"/>
    <s v="Percent change"/>
    <s v="Units"/>
    <x v="4"/>
    <n v="4.0119999999999996"/>
  </r>
  <r>
    <n v="1"/>
    <x v="2"/>
    <x v="164"/>
    <x v="6"/>
    <s v="Percent change"/>
    <s v="Units"/>
    <x v="5"/>
    <n v="4.7610000000000001"/>
  </r>
  <r>
    <n v="1"/>
    <x v="2"/>
    <x v="164"/>
    <x v="6"/>
    <s v="Percent change"/>
    <s v="Units"/>
    <x v="6"/>
    <n v="3.762"/>
  </r>
  <r>
    <n v="603"/>
    <x v="12"/>
    <x v="164"/>
    <x v="6"/>
    <s v="Percent change"/>
    <s v="Units"/>
    <x v="0"/>
    <n v="-2.6520000000000001"/>
  </r>
  <r>
    <n v="603"/>
    <x v="12"/>
    <x v="164"/>
    <x v="6"/>
    <s v="Percent change"/>
    <s v="Units"/>
    <x v="1"/>
    <n v="-2.3029999999999999"/>
  </r>
  <r>
    <n v="603"/>
    <x v="12"/>
    <x v="164"/>
    <x v="6"/>
    <s v="Percent change"/>
    <s v="Units"/>
    <x v="2"/>
    <n v="11.369"/>
  </r>
  <r>
    <n v="603"/>
    <x v="12"/>
    <x v="164"/>
    <x v="6"/>
    <s v="Percent change"/>
    <s v="Units"/>
    <x v="3"/>
    <n v="0.48399999999999999"/>
  </r>
  <r>
    <n v="603"/>
    <x v="12"/>
    <x v="164"/>
    <x v="6"/>
    <s v="Percent change"/>
    <s v="Units"/>
    <x v="4"/>
    <n v="4.0119999999999996"/>
  </r>
  <r>
    <n v="603"/>
    <x v="12"/>
    <x v="164"/>
    <x v="6"/>
    <s v="Percent change"/>
    <s v="Units"/>
    <x v="5"/>
    <n v="4.7610000000000001"/>
  </r>
  <r>
    <n v="603"/>
    <x v="12"/>
    <x v="164"/>
    <x v="6"/>
    <s v="Percent change"/>
    <s v="Units"/>
    <x v="6"/>
    <n v="3.762"/>
  </r>
  <r>
    <n v="200"/>
    <x v="3"/>
    <x v="164"/>
    <x v="6"/>
    <s v="Percent change"/>
    <s v="Units"/>
    <x v="0"/>
    <n v="-2.6520000000000001"/>
  </r>
  <r>
    <n v="200"/>
    <x v="3"/>
    <x v="164"/>
    <x v="6"/>
    <s v="Percent change"/>
    <s v="Units"/>
    <x v="1"/>
    <n v="-2.3029999999999999"/>
  </r>
  <r>
    <n v="200"/>
    <x v="3"/>
    <x v="164"/>
    <x v="6"/>
    <s v="Percent change"/>
    <s v="Units"/>
    <x v="2"/>
    <n v="11.369"/>
  </r>
  <r>
    <n v="200"/>
    <x v="3"/>
    <x v="164"/>
    <x v="6"/>
    <s v="Percent change"/>
    <s v="Units"/>
    <x v="3"/>
    <n v="0.48399999999999999"/>
  </r>
  <r>
    <n v="200"/>
    <x v="3"/>
    <x v="164"/>
    <x v="6"/>
    <s v="Percent change"/>
    <s v="Units"/>
    <x v="4"/>
    <n v="4.0119999999999996"/>
  </r>
  <r>
    <n v="200"/>
    <x v="3"/>
    <x v="164"/>
    <x v="6"/>
    <s v="Percent change"/>
    <s v="Units"/>
    <x v="5"/>
    <n v="4.7610000000000001"/>
  </r>
  <r>
    <n v="200"/>
    <x v="3"/>
    <x v="164"/>
    <x v="6"/>
    <s v="Percent change"/>
    <s v="Units"/>
    <x v="6"/>
    <n v="3.762"/>
  </r>
  <r>
    <n v="200"/>
    <x v="3"/>
    <x v="83"/>
    <x v="1"/>
    <s v="Percent change"/>
    <s v="Units"/>
    <x v="0"/>
    <n v="1.849"/>
  </r>
  <r>
    <n v="200"/>
    <x v="3"/>
    <x v="83"/>
    <x v="1"/>
    <s v="Percent change"/>
    <s v="Units"/>
    <x v="1"/>
    <n v="1.5760000000000001"/>
  </r>
  <r>
    <n v="200"/>
    <x v="3"/>
    <x v="83"/>
    <x v="1"/>
    <s v="Percent change"/>
    <s v="Units"/>
    <x v="2"/>
    <n v="4.085"/>
  </r>
  <r>
    <n v="200"/>
    <x v="3"/>
    <x v="83"/>
    <x v="1"/>
    <s v="Percent change"/>
    <s v="Units"/>
    <x v="3"/>
    <n v="11.981999999999999"/>
  </r>
  <r>
    <n v="200"/>
    <x v="3"/>
    <x v="83"/>
    <x v="1"/>
    <s v="Percent change"/>
    <s v="Units"/>
    <x v="4"/>
    <n v="12.372"/>
  </r>
  <r>
    <n v="200"/>
    <x v="3"/>
    <x v="83"/>
    <x v="1"/>
    <s v="Percent change"/>
    <s v="Units"/>
    <x v="5"/>
    <n v="4.7590000000000003"/>
  </r>
  <r>
    <n v="200"/>
    <x v="3"/>
    <x v="83"/>
    <x v="1"/>
    <s v="Percent change"/>
    <s v="Units"/>
    <x v="6"/>
    <n v="3.0979999999999999"/>
  </r>
  <r>
    <n v="903"/>
    <x v="8"/>
    <x v="83"/>
    <x v="1"/>
    <s v="Percent change"/>
    <s v="Units"/>
    <x v="0"/>
    <n v="1.849"/>
  </r>
  <r>
    <n v="903"/>
    <x v="8"/>
    <x v="83"/>
    <x v="1"/>
    <s v="Percent change"/>
    <s v="Units"/>
    <x v="1"/>
    <n v="1.5760000000000001"/>
  </r>
  <r>
    <n v="903"/>
    <x v="8"/>
    <x v="83"/>
    <x v="1"/>
    <s v="Percent change"/>
    <s v="Units"/>
    <x v="2"/>
    <n v="4.085"/>
  </r>
  <r>
    <n v="903"/>
    <x v="8"/>
    <x v="83"/>
    <x v="1"/>
    <s v="Percent change"/>
    <s v="Units"/>
    <x v="3"/>
    <n v="11.981999999999999"/>
  </r>
  <r>
    <n v="903"/>
    <x v="8"/>
    <x v="83"/>
    <x v="1"/>
    <s v="Percent change"/>
    <s v="Units"/>
    <x v="4"/>
    <n v="12.372"/>
  </r>
  <r>
    <n v="903"/>
    <x v="8"/>
    <x v="83"/>
    <x v="1"/>
    <s v="Percent change"/>
    <s v="Units"/>
    <x v="5"/>
    <n v="4.7590000000000003"/>
  </r>
  <r>
    <n v="903"/>
    <x v="8"/>
    <x v="83"/>
    <x v="1"/>
    <s v="Percent change"/>
    <s v="Units"/>
    <x v="6"/>
    <n v="3.0979999999999999"/>
  </r>
  <r>
    <n v="1"/>
    <x v="2"/>
    <x v="83"/>
    <x v="1"/>
    <s v="Percent change"/>
    <s v="Units"/>
    <x v="0"/>
    <n v="1.849"/>
  </r>
  <r>
    <n v="1"/>
    <x v="2"/>
    <x v="83"/>
    <x v="1"/>
    <s v="Percent change"/>
    <s v="Units"/>
    <x v="1"/>
    <n v="1.5760000000000001"/>
  </r>
  <r>
    <n v="1"/>
    <x v="2"/>
    <x v="83"/>
    <x v="1"/>
    <s v="Percent change"/>
    <s v="Units"/>
    <x v="2"/>
    <n v="4.085"/>
  </r>
  <r>
    <n v="1"/>
    <x v="2"/>
    <x v="83"/>
    <x v="1"/>
    <s v="Percent change"/>
    <s v="Units"/>
    <x v="3"/>
    <n v="11.981999999999999"/>
  </r>
  <r>
    <n v="1"/>
    <x v="2"/>
    <x v="83"/>
    <x v="1"/>
    <s v="Percent change"/>
    <s v="Units"/>
    <x v="4"/>
    <n v="12.372"/>
  </r>
  <r>
    <n v="1"/>
    <x v="2"/>
    <x v="83"/>
    <x v="1"/>
    <s v="Percent change"/>
    <s v="Units"/>
    <x v="5"/>
    <n v="4.7590000000000003"/>
  </r>
  <r>
    <n v="1"/>
    <x v="2"/>
    <x v="83"/>
    <x v="1"/>
    <s v="Percent change"/>
    <s v="Units"/>
    <x v="6"/>
    <n v="3.0979999999999999"/>
  </r>
  <r>
    <n v="603"/>
    <x v="12"/>
    <x v="172"/>
    <x v="0"/>
    <s v="U.S. dollars"/>
    <s v="Billions"/>
    <x v="0"/>
    <n v="3.08"/>
  </r>
  <r>
    <n v="603"/>
    <x v="12"/>
    <x v="172"/>
    <x v="0"/>
    <s v="U.S. dollars"/>
    <s v="Billions"/>
    <x v="1"/>
    <n v="3.0369999999999999"/>
  </r>
  <r>
    <n v="603"/>
    <x v="12"/>
    <x v="172"/>
    <x v="0"/>
    <s v="U.S. dollars"/>
    <s v="Billions"/>
    <x v="2"/>
    <n v="3.5089999999999999"/>
  </r>
  <r>
    <n v="603"/>
    <x v="12"/>
    <x v="172"/>
    <x v="0"/>
    <s v="U.S. dollars"/>
    <s v="Billions"/>
    <x v="3"/>
    <n v="3.9740000000000002"/>
  </r>
  <r>
    <n v="603"/>
    <x v="12"/>
    <x v="172"/>
    <x v="0"/>
    <s v="U.S. dollars"/>
    <s v="Billions"/>
    <x v="4"/>
    <n v="4.3899999999999997"/>
  </r>
  <r>
    <n v="603"/>
    <x v="12"/>
    <x v="172"/>
    <x v="0"/>
    <s v="U.S. dollars"/>
    <s v="Billions"/>
    <x v="5"/>
    <n v="4.7539999999999996"/>
  </r>
  <r>
    <n v="603"/>
    <x v="12"/>
    <x v="172"/>
    <x v="0"/>
    <s v="U.S. dollars"/>
    <s v="Billions"/>
    <x v="6"/>
    <n v="5.0679999999999996"/>
  </r>
  <r>
    <n v="1"/>
    <x v="2"/>
    <x v="172"/>
    <x v="0"/>
    <s v="U.S. dollars"/>
    <s v="Billions"/>
    <x v="0"/>
    <n v="3.08"/>
  </r>
  <r>
    <n v="1"/>
    <x v="2"/>
    <x v="172"/>
    <x v="0"/>
    <s v="U.S. dollars"/>
    <s v="Billions"/>
    <x v="1"/>
    <n v="3.0369999999999999"/>
  </r>
  <r>
    <n v="1"/>
    <x v="2"/>
    <x v="172"/>
    <x v="0"/>
    <s v="U.S. dollars"/>
    <s v="Billions"/>
    <x v="2"/>
    <n v="3.5089999999999999"/>
  </r>
  <r>
    <n v="1"/>
    <x v="2"/>
    <x v="172"/>
    <x v="0"/>
    <s v="U.S. dollars"/>
    <s v="Billions"/>
    <x v="3"/>
    <n v="3.9740000000000002"/>
  </r>
  <r>
    <n v="1"/>
    <x v="2"/>
    <x v="172"/>
    <x v="0"/>
    <s v="U.S. dollars"/>
    <s v="Billions"/>
    <x v="4"/>
    <n v="4.3899999999999997"/>
  </r>
  <r>
    <n v="1"/>
    <x v="2"/>
    <x v="172"/>
    <x v="0"/>
    <s v="U.S. dollars"/>
    <s v="Billions"/>
    <x v="5"/>
    <n v="4.7539999999999996"/>
  </r>
  <r>
    <n v="1"/>
    <x v="2"/>
    <x v="172"/>
    <x v="0"/>
    <s v="U.S. dollars"/>
    <s v="Billions"/>
    <x v="6"/>
    <n v="5.0679999999999996"/>
  </r>
  <r>
    <n v="200"/>
    <x v="3"/>
    <x v="172"/>
    <x v="0"/>
    <s v="U.S. dollars"/>
    <s v="Billions"/>
    <x v="0"/>
    <n v="3.08"/>
  </r>
  <r>
    <n v="200"/>
    <x v="3"/>
    <x v="172"/>
    <x v="0"/>
    <s v="U.S. dollars"/>
    <s v="Billions"/>
    <x v="1"/>
    <n v="3.0369999999999999"/>
  </r>
  <r>
    <n v="200"/>
    <x v="3"/>
    <x v="172"/>
    <x v="0"/>
    <s v="U.S. dollars"/>
    <s v="Billions"/>
    <x v="2"/>
    <n v="3.5089999999999999"/>
  </r>
  <r>
    <n v="200"/>
    <x v="3"/>
    <x v="172"/>
    <x v="0"/>
    <s v="U.S. dollars"/>
    <s v="Billions"/>
    <x v="3"/>
    <n v="3.9740000000000002"/>
  </r>
  <r>
    <n v="200"/>
    <x v="3"/>
    <x v="172"/>
    <x v="0"/>
    <s v="U.S. dollars"/>
    <s v="Billions"/>
    <x v="4"/>
    <n v="4.3899999999999997"/>
  </r>
  <r>
    <n v="200"/>
    <x v="3"/>
    <x v="172"/>
    <x v="0"/>
    <s v="U.S. dollars"/>
    <s v="Billions"/>
    <x v="5"/>
    <n v="4.7539999999999996"/>
  </r>
  <r>
    <n v="200"/>
    <x v="3"/>
    <x v="172"/>
    <x v="0"/>
    <s v="U.S. dollars"/>
    <s v="Billions"/>
    <x v="6"/>
    <n v="5.0679999999999996"/>
  </r>
  <r>
    <n v="200"/>
    <x v="3"/>
    <x v="97"/>
    <x v="4"/>
    <s v="Percent change"/>
    <s v="Units"/>
    <x v="0"/>
    <n v="9.1029999999999998"/>
  </r>
  <r>
    <n v="200"/>
    <x v="3"/>
    <x v="97"/>
    <x v="4"/>
    <s v="Percent change"/>
    <s v="Units"/>
    <x v="1"/>
    <n v="-11.26"/>
  </r>
  <r>
    <n v="200"/>
    <x v="3"/>
    <x v="97"/>
    <x v="4"/>
    <s v="Percent change"/>
    <s v="Units"/>
    <x v="2"/>
    <n v="-0.38500000000000001"/>
  </r>
  <r>
    <n v="200"/>
    <x v="3"/>
    <x v="97"/>
    <x v="4"/>
    <s v="Percent change"/>
    <s v="Units"/>
    <x v="3"/>
    <n v="-5.3529999999999998"/>
  </r>
  <r>
    <n v="200"/>
    <x v="3"/>
    <x v="97"/>
    <x v="4"/>
    <s v="Percent change"/>
    <s v="Units"/>
    <x v="4"/>
    <n v="46.070999999999998"/>
  </r>
  <r>
    <n v="200"/>
    <x v="3"/>
    <x v="97"/>
    <x v="4"/>
    <s v="Percent change"/>
    <s v="Units"/>
    <x v="5"/>
    <n v="4.7489999999999997"/>
  </r>
  <r>
    <n v="200"/>
    <x v="3"/>
    <x v="97"/>
    <x v="4"/>
    <s v="Percent change"/>
    <s v="Units"/>
    <x v="6"/>
    <n v="4.2910000000000004"/>
  </r>
  <r>
    <n v="1"/>
    <x v="2"/>
    <x v="97"/>
    <x v="4"/>
    <s v="Percent change"/>
    <s v="Units"/>
    <x v="0"/>
    <n v="9.1029999999999998"/>
  </r>
  <r>
    <n v="1"/>
    <x v="2"/>
    <x v="97"/>
    <x v="4"/>
    <s v="Percent change"/>
    <s v="Units"/>
    <x v="1"/>
    <n v="-11.26"/>
  </r>
  <r>
    <n v="1"/>
    <x v="2"/>
    <x v="97"/>
    <x v="4"/>
    <s v="Percent change"/>
    <s v="Units"/>
    <x v="2"/>
    <n v="-0.38500000000000001"/>
  </r>
  <r>
    <n v="1"/>
    <x v="2"/>
    <x v="97"/>
    <x v="4"/>
    <s v="Percent change"/>
    <s v="Units"/>
    <x v="3"/>
    <n v="-5.3529999999999998"/>
  </r>
  <r>
    <n v="1"/>
    <x v="2"/>
    <x v="97"/>
    <x v="4"/>
    <s v="Percent change"/>
    <s v="Units"/>
    <x v="4"/>
    <n v="46.070999999999998"/>
  </r>
  <r>
    <n v="1"/>
    <x v="2"/>
    <x v="97"/>
    <x v="4"/>
    <s v="Percent change"/>
    <s v="Units"/>
    <x v="5"/>
    <n v="4.7489999999999997"/>
  </r>
  <r>
    <n v="1"/>
    <x v="2"/>
    <x v="97"/>
    <x v="4"/>
    <s v="Percent change"/>
    <s v="Units"/>
    <x v="6"/>
    <n v="4.2910000000000004"/>
  </r>
  <r>
    <n v="603"/>
    <x v="12"/>
    <x v="97"/>
    <x v="4"/>
    <s v="Percent change"/>
    <s v="Units"/>
    <x v="0"/>
    <n v="9.1029999999999998"/>
  </r>
  <r>
    <n v="603"/>
    <x v="12"/>
    <x v="97"/>
    <x v="4"/>
    <s v="Percent change"/>
    <s v="Units"/>
    <x v="1"/>
    <n v="-11.26"/>
  </r>
  <r>
    <n v="603"/>
    <x v="12"/>
    <x v="97"/>
    <x v="4"/>
    <s v="Percent change"/>
    <s v="Units"/>
    <x v="2"/>
    <n v="-0.38500000000000001"/>
  </r>
  <r>
    <n v="603"/>
    <x v="12"/>
    <x v="97"/>
    <x v="4"/>
    <s v="Percent change"/>
    <s v="Units"/>
    <x v="3"/>
    <n v="-5.3529999999999998"/>
  </r>
  <r>
    <n v="603"/>
    <x v="12"/>
    <x v="97"/>
    <x v="4"/>
    <s v="Percent change"/>
    <s v="Units"/>
    <x v="4"/>
    <n v="46.070999999999998"/>
  </r>
  <r>
    <n v="603"/>
    <x v="12"/>
    <x v="97"/>
    <x v="4"/>
    <s v="Percent change"/>
    <s v="Units"/>
    <x v="5"/>
    <n v="4.7489999999999997"/>
  </r>
  <r>
    <n v="603"/>
    <x v="12"/>
    <x v="97"/>
    <x v="4"/>
    <s v="Percent change"/>
    <s v="Units"/>
    <x v="6"/>
    <n v="4.2910000000000004"/>
  </r>
  <r>
    <n v="1"/>
    <x v="2"/>
    <x v="152"/>
    <x v="8"/>
    <s v="Percent change"/>
    <s v="Units"/>
    <x v="0"/>
    <n v="6.9480000000000004"/>
  </r>
  <r>
    <n v="1"/>
    <x v="2"/>
    <x v="152"/>
    <x v="8"/>
    <s v="Percent change"/>
    <s v="Units"/>
    <x v="1"/>
    <n v="-20.805"/>
  </r>
  <r>
    <n v="1"/>
    <x v="2"/>
    <x v="152"/>
    <x v="8"/>
    <s v="Percent change"/>
    <s v="Units"/>
    <x v="2"/>
    <n v="5.6150000000000002"/>
  </r>
  <r>
    <n v="1"/>
    <x v="2"/>
    <x v="152"/>
    <x v="8"/>
    <s v="Percent change"/>
    <s v="Units"/>
    <x v="3"/>
    <n v="17.117000000000001"/>
  </r>
  <r>
    <n v="1"/>
    <x v="2"/>
    <x v="152"/>
    <x v="8"/>
    <s v="Percent change"/>
    <s v="Units"/>
    <x v="4"/>
    <n v="4.7919999999999998"/>
  </r>
  <r>
    <n v="1"/>
    <x v="2"/>
    <x v="152"/>
    <x v="8"/>
    <s v="Percent change"/>
    <s v="Units"/>
    <x v="5"/>
    <n v="4.742"/>
  </r>
  <r>
    <n v="1"/>
    <x v="2"/>
    <x v="152"/>
    <x v="8"/>
    <s v="Percent change"/>
    <s v="Units"/>
    <x v="6"/>
    <n v="4.7320000000000002"/>
  </r>
  <r>
    <n v="200"/>
    <x v="3"/>
    <x v="152"/>
    <x v="8"/>
    <s v="Percent change"/>
    <s v="Units"/>
    <x v="0"/>
    <n v="6.9480000000000004"/>
  </r>
  <r>
    <n v="200"/>
    <x v="3"/>
    <x v="152"/>
    <x v="8"/>
    <s v="Percent change"/>
    <s v="Units"/>
    <x v="1"/>
    <n v="-20.805"/>
  </r>
  <r>
    <n v="200"/>
    <x v="3"/>
    <x v="152"/>
    <x v="8"/>
    <s v="Percent change"/>
    <s v="Units"/>
    <x v="2"/>
    <n v="5.6150000000000002"/>
  </r>
  <r>
    <n v="200"/>
    <x v="3"/>
    <x v="152"/>
    <x v="8"/>
    <s v="Percent change"/>
    <s v="Units"/>
    <x v="3"/>
    <n v="17.117000000000001"/>
  </r>
  <r>
    <n v="200"/>
    <x v="3"/>
    <x v="152"/>
    <x v="8"/>
    <s v="Percent change"/>
    <s v="Units"/>
    <x v="4"/>
    <n v="4.7919999999999998"/>
  </r>
  <r>
    <n v="200"/>
    <x v="3"/>
    <x v="152"/>
    <x v="8"/>
    <s v="Percent change"/>
    <s v="Units"/>
    <x v="5"/>
    <n v="4.742"/>
  </r>
  <r>
    <n v="200"/>
    <x v="3"/>
    <x v="152"/>
    <x v="8"/>
    <s v="Percent change"/>
    <s v="Units"/>
    <x v="6"/>
    <n v="4.7320000000000002"/>
  </r>
  <r>
    <n v="603"/>
    <x v="12"/>
    <x v="152"/>
    <x v="8"/>
    <s v="Percent change"/>
    <s v="Units"/>
    <x v="0"/>
    <n v="6.9480000000000004"/>
  </r>
  <r>
    <n v="603"/>
    <x v="12"/>
    <x v="152"/>
    <x v="8"/>
    <s v="Percent change"/>
    <s v="Units"/>
    <x v="1"/>
    <n v="-20.805"/>
  </r>
  <r>
    <n v="603"/>
    <x v="12"/>
    <x v="152"/>
    <x v="8"/>
    <s v="Percent change"/>
    <s v="Units"/>
    <x v="2"/>
    <n v="5.6150000000000002"/>
  </r>
  <r>
    <n v="603"/>
    <x v="12"/>
    <x v="152"/>
    <x v="8"/>
    <s v="Percent change"/>
    <s v="Units"/>
    <x v="3"/>
    <n v="17.117000000000001"/>
  </r>
  <r>
    <n v="603"/>
    <x v="12"/>
    <x v="152"/>
    <x v="8"/>
    <s v="Percent change"/>
    <s v="Units"/>
    <x v="4"/>
    <n v="4.7919999999999998"/>
  </r>
  <r>
    <n v="603"/>
    <x v="12"/>
    <x v="152"/>
    <x v="8"/>
    <s v="Percent change"/>
    <s v="Units"/>
    <x v="5"/>
    <n v="4.742"/>
  </r>
  <r>
    <n v="603"/>
    <x v="12"/>
    <x v="152"/>
    <x v="8"/>
    <s v="Percent change"/>
    <s v="Units"/>
    <x v="6"/>
    <n v="4.7320000000000002"/>
  </r>
  <r>
    <n v="1"/>
    <x v="2"/>
    <x v="84"/>
    <x v="6"/>
    <s v="Percent change"/>
    <s v="Units"/>
    <x v="0"/>
    <n v="6.0049999999999999"/>
  </r>
  <r>
    <n v="1"/>
    <x v="2"/>
    <x v="84"/>
    <x v="6"/>
    <s v="Percent change"/>
    <s v="Units"/>
    <x v="1"/>
    <n v="-4.3499999999999996"/>
  </r>
  <r>
    <n v="1"/>
    <x v="2"/>
    <x v="84"/>
    <x v="6"/>
    <s v="Percent change"/>
    <s v="Units"/>
    <x v="2"/>
    <n v="19.934000000000001"/>
  </r>
  <r>
    <n v="1"/>
    <x v="2"/>
    <x v="84"/>
    <x v="6"/>
    <s v="Percent change"/>
    <s v="Units"/>
    <x v="3"/>
    <n v="12.42"/>
  </r>
  <r>
    <n v="1"/>
    <x v="2"/>
    <x v="84"/>
    <x v="6"/>
    <s v="Percent change"/>
    <s v="Units"/>
    <x v="4"/>
    <n v="-6.6260000000000003"/>
  </r>
  <r>
    <n v="1"/>
    <x v="2"/>
    <x v="84"/>
    <x v="6"/>
    <s v="Percent change"/>
    <s v="Units"/>
    <x v="5"/>
    <n v="4.7309999999999999"/>
  </r>
  <r>
    <n v="1"/>
    <x v="2"/>
    <x v="84"/>
    <x v="6"/>
    <s v="Percent change"/>
    <s v="Units"/>
    <x v="6"/>
    <n v="4.8849999999999998"/>
  </r>
  <r>
    <n v="163"/>
    <x v="5"/>
    <x v="84"/>
    <x v="6"/>
    <s v="Percent change"/>
    <s v="Units"/>
    <x v="0"/>
    <n v="6.0049999999999999"/>
  </r>
  <r>
    <n v="163"/>
    <x v="5"/>
    <x v="84"/>
    <x v="6"/>
    <s v="Percent change"/>
    <s v="Units"/>
    <x v="1"/>
    <n v="-4.3499999999999996"/>
  </r>
  <r>
    <n v="163"/>
    <x v="5"/>
    <x v="84"/>
    <x v="6"/>
    <s v="Percent change"/>
    <s v="Units"/>
    <x v="2"/>
    <n v="19.934000000000001"/>
  </r>
  <r>
    <n v="163"/>
    <x v="5"/>
    <x v="84"/>
    <x v="6"/>
    <s v="Percent change"/>
    <s v="Units"/>
    <x v="3"/>
    <n v="12.42"/>
  </r>
  <r>
    <n v="163"/>
    <x v="5"/>
    <x v="84"/>
    <x v="6"/>
    <s v="Percent change"/>
    <s v="Units"/>
    <x v="4"/>
    <n v="-6.6260000000000003"/>
  </r>
  <r>
    <n v="163"/>
    <x v="5"/>
    <x v="84"/>
    <x v="6"/>
    <s v="Percent change"/>
    <s v="Units"/>
    <x v="5"/>
    <n v="4.7309999999999999"/>
  </r>
  <r>
    <n v="163"/>
    <x v="5"/>
    <x v="84"/>
    <x v="6"/>
    <s v="Percent change"/>
    <s v="Units"/>
    <x v="6"/>
    <n v="4.8849999999999998"/>
  </r>
  <r>
    <n v="110"/>
    <x v="0"/>
    <x v="84"/>
    <x v="6"/>
    <s v="Percent change"/>
    <s v="Units"/>
    <x v="0"/>
    <n v="6.0049999999999999"/>
  </r>
  <r>
    <n v="110"/>
    <x v="0"/>
    <x v="84"/>
    <x v="6"/>
    <s v="Percent change"/>
    <s v="Units"/>
    <x v="1"/>
    <n v="-4.3499999999999996"/>
  </r>
  <r>
    <n v="110"/>
    <x v="0"/>
    <x v="84"/>
    <x v="6"/>
    <s v="Percent change"/>
    <s v="Units"/>
    <x v="2"/>
    <n v="19.934000000000001"/>
  </r>
  <r>
    <n v="110"/>
    <x v="0"/>
    <x v="84"/>
    <x v="6"/>
    <s v="Percent change"/>
    <s v="Units"/>
    <x v="3"/>
    <n v="12.42"/>
  </r>
  <r>
    <n v="110"/>
    <x v="0"/>
    <x v="84"/>
    <x v="6"/>
    <s v="Percent change"/>
    <s v="Units"/>
    <x v="4"/>
    <n v="-6.6260000000000003"/>
  </r>
  <r>
    <n v="110"/>
    <x v="0"/>
    <x v="84"/>
    <x v="6"/>
    <s v="Percent change"/>
    <s v="Units"/>
    <x v="5"/>
    <n v="4.7309999999999999"/>
  </r>
  <r>
    <n v="110"/>
    <x v="0"/>
    <x v="84"/>
    <x v="6"/>
    <s v="Percent change"/>
    <s v="Units"/>
    <x v="6"/>
    <n v="4.8849999999999998"/>
  </r>
  <r>
    <n v="205"/>
    <x v="7"/>
    <x v="124"/>
    <x v="8"/>
    <s v="Percent change"/>
    <s v="Units"/>
    <x v="0"/>
    <n v="4.05"/>
  </r>
  <r>
    <n v="205"/>
    <x v="7"/>
    <x v="124"/>
    <x v="8"/>
    <s v="Percent change"/>
    <s v="Units"/>
    <x v="1"/>
    <n v="-14.561"/>
  </r>
  <r>
    <n v="205"/>
    <x v="7"/>
    <x v="124"/>
    <x v="8"/>
    <s v="Percent change"/>
    <s v="Units"/>
    <x v="2"/>
    <n v="-0.89100000000000001"/>
  </r>
  <r>
    <n v="205"/>
    <x v="7"/>
    <x v="124"/>
    <x v="8"/>
    <s v="Percent change"/>
    <s v="Units"/>
    <x v="3"/>
    <n v="8.8230000000000004"/>
  </r>
  <r>
    <n v="205"/>
    <x v="7"/>
    <x v="124"/>
    <x v="8"/>
    <s v="Percent change"/>
    <s v="Units"/>
    <x v="4"/>
    <n v="3.45"/>
  </r>
  <r>
    <n v="205"/>
    <x v="7"/>
    <x v="124"/>
    <x v="8"/>
    <s v="Percent change"/>
    <s v="Units"/>
    <x v="5"/>
    <n v="4.7309999999999999"/>
  </r>
  <r>
    <n v="205"/>
    <x v="7"/>
    <x v="124"/>
    <x v="8"/>
    <s v="Percent change"/>
    <s v="Units"/>
    <x v="6"/>
    <n v="4.2549999999999999"/>
  </r>
  <r>
    <n v="200"/>
    <x v="3"/>
    <x v="124"/>
    <x v="8"/>
    <s v="Percent change"/>
    <s v="Units"/>
    <x v="0"/>
    <n v="4.05"/>
  </r>
  <r>
    <n v="200"/>
    <x v="3"/>
    <x v="124"/>
    <x v="8"/>
    <s v="Percent change"/>
    <s v="Units"/>
    <x v="1"/>
    <n v="-14.561"/>
  </r>
  <r>
    <n v="200"/>
    <x v="3"/>
    <x v="124"/>
    <x v="8"/>
    <s v="Percent change"/>
    <s v="Units"/>
    <x v="2"/>
    <n v="-0.89100000000000001"/>
  </r>
  <r>
    <n v="200"/>
    <x v="3"/>
    <x v="124"/>
    <x v="8"/>
    <s v="Percent change"/>
    <s v="Units"/>
    <x v="3"/>
    <n v="8.8230000000000004"/>
  </r>
  <r>
    <n v="200"/>
    <x v="3"/>
    <x v="124"/>
    <x v="8"/>
    <s v="Percent change"/>
    <s v="Units"/>
    <x v="4"/>
    <n v="3.45"/>
  </r>
  <r>
    <n v="200"/>
    <x v="3"/>
    <x v="124"/>
    <x v="8"/>
    <s v="Percent change"/>
    <s v="Units"/>
    <x v="5"/>
    <n v="4.7309999999999999"/>
  </r>
  <r>
    <n v="200"/>
    <x v="3"/>
    <x v="124"/>
    <x v="8"/>
    <s v="Percent change"/>
    <s v="Units"/>
    <x v="6"/>
    <n v="4.2549999999999999"/>
  </r>
  <r>
    <n v="1"/>
    <x v="2"/>
    <x v="124"/>
    <x v="8"/>
    <s v="Percent change"/>
    <s v="Units"/>
    <x v="0"/>
    <n v="4.05"/>
  </r>
  <r>
    <n v="1"/>
    <x v="2"/>
    <x v="124"/>
    <x v="8"/>
    <s v="Percent change"/>
    <s v="Units"/>
    <x v="1"/>
    <n v="-14.561"/>
  </r>
  <r>
    <n v="1"/>
    <x v="2"/>
    <x v="124"/>
    <x v="8"/>
    <s v="Percent change"/>
    <s v="Units"/>
    <x v="2"/>
    <n v="-0.89100000000000001"/>
  </r>
  <r>
    <n v="1"/>
    <x v="2"/>
    <x v="124"/>
    <x v="8"/>
    <s v="Percent change"/>
    <s v="Units"/>
    <x v="3"/>
    <n v="8.8230000000000004"/>
  </r>
  <r>
    <n v="1"/>
    <x v="2"/>
    <x v="124"/>
    <x v="8"/>
    <s v="Percent change"/>
    <s v="Units"/>
    <x v="4"/>
    <n v="3.45"/>
  </r>
  <r>
    <n v="1"/>
    <x v="2"/>
    <x v="124"/>
    <x v="8"/>
    <s v="Percent change"/>
    <s v="Units"/>
    <x v="5"/>
    <n v="4.7309999999999999"/>
  </r>
  <r>
    <n v="1"/>
    <x v="2"/>
    <x v="124"/>
    <x v="8"/>
    <s v="Percent change"/>
    <s v="Units"/>
    <x v="6"/>
    <n v="4.2549999999999999"/>
  </r>
  <r>
    <n v="200"/>
    <x v="3"/>
    <x v="139"/>
    <x v="8"/>
    <s v="Percent change"/>
    <s v="Units"/>
    <x v="0"/>
    <n v="1.4410000000000001"/>
  </r>
  <r>
    <n v="200"/>
    <x v="3"/>
    <x v="139"/>
    <x v="8"/>
    <s v="Percent change"/>
    <s v="Units"/>
    <x v="1"/>
    <n v="-2.7850000000000001"/>
  </r>
  <r>
    <n v="200"/>
    <x v="3"/>
    <x v="139"/>
    <x v="8"/>
    <s v="Percent change"/>
    <s v="Units"/>
    <x v="2"/>
    <n v="6.2350000000000003"/>
  </r>
  <r>
    <n v="200"/>
    <x v="3"/>
    <x v="139"/>
    <x v="8"/>
    <s v="Percent change"/>
    <s v="Units"/>
    <x v="3"/>
    <n v="5.25"/>
  </r>
  <r>
    <n v="200"/>
    <x v="3"/>
    <x v="139"/>
    <x v="8"/>
    <s v="Percent change"/>
    <s v="Units"/>
    <x v="4"/>
    <n v="4.33"/>
  </r>
  <r>
    <n v="200"/>
    <x v="3"/>
    <x v="139"/>
    <x v="8"/>
    <s v="Percent change"/>
    <s v="Units"/>
    <x v="5"/>
    <n v="4.7149999999999999"/>
  </r>
  <r>
    <n v="200"/>
    <x v="3"/>
    <x v="139"/>
    <x v="8"/>
    <s v="Percent change"/>
    <s v="Units"/>
    <x v="6"/>
    <n v="4.8470000000000004"/>
  </r>
  <r>
    <n v="1"/>
    <x v="2"/>
    <x v="139"/>
    <x v="8"/>
    <s v="Percent change"/>
    <s v="Units"/>
    <x v="0"/>
    <n v="1.4410000000000001"/>
  </r>
  <r>
    <n v="1"/>
    <x v="2"/>
    <x v="139"/>
    <x v="8"/>
    <s v="Percent change"/>
    <s v="Units"/>
    <x v="1"/>
    <n v="-2.7850000000000001"/>
  </r>
  <r>
    <n v="1"/>
    <x v="2"/>
    <x v="139"/>
    <x v="8"/>
    <s v="Percent change"/>
    <s v="Units"/>
    <x v="2"/>
    <n v="6.2350000000000003"/>
  </r>
  <r>
    <n v="1"/>
    <x v="2"/>
    <x v="139"/>
    <x v="8"/>
    <s v="Percent change"/>
    <s v="Units"/>
    <x v="3"/>
    <n v="5.25"/>
  </r>
  <r>
    <n v="1"/>
    <x v="2"/>
    <x v="139"/>
    <x v="8"/>
    <s v="Percent change"/>
    <s v="Units"/>
    <x v="4"/>
    <n v="4.33"/>
  </r>
  <r>
    <n v="1"/>
    <x v="2"/>
    <x v="139"/>
    <x v="8"/>
    <s v="Percent change"/>
    <s v="Units"/>
    <x v="5"/>
    <n v="4.7149999999999999"/>
  </r>
  <r>
    <n v="1"/>
    <x v="2"/>
    <x v="139"/>
    <x v="8"/>
    <s v="Percent change"/>
    <s v="Units"/>
    <x v="6"/>
    <n v="4.8470000000000004"/>
  </r>
  <r>
    <n v="603"/>
    <x v="12"/>
    <x v="139"/>
    <x v="8"/>
    <s v="Percent change"/>
    <s v="Units"/>
    <x v="0"/>
    <n v="1.4410000000000001"/>
  </r>
  <r>
    <n v="603"/>
    <x v="12"/>
    <x v="139"/>
    <x v="8"/>
    <s v="Percent change"/>
    <s v="Units"/>
    <x v="1"/>
    <n v="-2.7850000000000001"/>
  </r>
  <r>
    <n v="603"/>
    <x v="12"/>
    <x v="139"/>
    <x v="8"/>
    <s v="Percent change"/>
    <s v="Units"/>
    <x v="2"/>
    <n v="6.2350000000000003"/>
  </r>
  <r>
    <n v="603"/>
    <x v="12"/>
    <x v="139"/>
    <x v="8"/>
    <s v="Percent change"/>
    <s v="Units"/>
    <x v="3"/>
    <n v="5.25"/>
  </r>
  <r>
    <n v="603"/>
    <x v="12"/>
    <x v="139"/>
    <x v="8"/>
    <s v="Percent change"/>
    <s v="Units"/>
    <x v="4"/>
    <n v="4.33"/>
  </r>
  <r>
    <n v="603"/>
    <x v="12"/>
    <x v="139"/>
    <x v="8"/>
    <s v="Percent change"/>
    <s v="Units"/>
    <x v="5"/>
    <n v="4.7149999999999999"/>
  </r>
  <r>
    <n v="603"/>
    <x v="12"/>
    <x v="139"/>
    <x v="8"/>
    <s v="Percent change"/>
    <s v="Units"/>
    <x v="6"/>
    <n v="4.8470000000000004"/>
  </r>
  <r>
    <n v="1"/>
    <x v="2"/>
    <x v="62"/>
    <x v="1"/>
    <s v="Percent change"/>
    <s v="Units"/>
    <x v="0"/>
    <n v="4.2119999999999997"/>
  </r>
  <r>
    <n v="1"/>
    <x v="2"/>
    <x v="62"/>
    <x v="1"/>
    <s v="Percent change"/>
    <s v="Units"/>
    <x v="1"/>
    <n v="1.8859999999999999"/>
  </r>
  <r>
    <n v="1"/>
    <x v="2"/>
    <x v="62"/>
    <x v="1"/>
    <s v="Percent change"/>
    <s v="Units"/>
    <x v="2"/>
    <n v="1.077"/>
  </r>
  <r>
    <n v="1"/>
    <x v="2"/>
    <x v="62"/>
    <x v="1"/>
    <s v="Percent change"/>
    <s v="Units"/>
    <x v="3"/>
    <n v="3.552"/>
  </r>
  <r>
    <n v="1"/>
    <x v="2"/>
    <x v="62"/>
    <x v="1"/>
    <s v="Percent change"/>
    <s v="Units"/>
    <x v="4"/>
    <n v="6.2030000000000003"/>
  </r>
  <r>
    <n v="1"/>
    <x v="2"/>
    <x v="62"/>
    <x v="1"/>
    <s v="Percent change"/>
    <s v="Units"/>
    <x v="5"/>
    <n v="4.7089999999999996"/>
  </r>
  <r>
    <n v="1"/>
    <x v="2"/>
    <x v="62"/>
    <x v="1"/>
    <s v="Percent change"/>
    <s v="Units"/>
    <x v="6"/>
    <n v="2.9929999999999999"/>
  </r>
  <r>
    <n v="505"/>
    <x v="4"/>
    <x v="62"/>
    <x v="1"/>
    <s v="Percent change"/>
    <s v="Units"/>
    <x v="0"/>
    <n v="4.2119999999999997"/>
  </r>
  <r>
    <n v="505"/>
    <x v="4"/>
    <x v="62"/>
    <x v="1"/>
    <s v="Percent change"/>
    <s v="Units"/>
    <x v="1"/>
    <n v="1.8859999999999999"/>
  </r>
  <r>
    <n v="505"/>
    <x v="4"/>
    <x v="62"/>
    <x v="1"/>
    <s v="Percent change"/>
    <s v="Units"/>
    <x v="2"/>
    <n v="1.077"/>
  </r>
  <r>
    <n v="505"/>
    <x v="4"/>
    <x v="62"/>
    <x v="1"/>
    <s v="Percent change"/>
    <s v="Units"/>
    <x v="3"/>
    <n v="3.552"/>
  </r>
  <r>
    <n v="505"/>
    <x v="4"/>
    <x v="62"/>
    <x v="1"/>
    <s v="Percent change"/>
    <s v="Units"/>
    <x v="4"/>
    <n v="6.2030000000000003"/>
  </r>
  <r>
    <n v="505"/>
    <x v="4"/>
    <x v="62"/>
    <x v="1"/>
    <s v="Percent change"/>
    <s v="Units"/>
    <x v="5"/>
    <n v="4.7089999999999996"/>
  </r>
  <r>
    <n v="505"/>
    <x v="4"/>
    <x v="62"/>
    <x v="1"/>
    <s v="Percent change"/>
    <s v="Units"/>
    <x v="6"/>
    <n v="2.9929999999999999"/>
  </r>
  <r>
    <n v="200"/>
    <x v="3"/>
    <x v="62"/>
    <x v="1"/>
    <s v="Percent change"/>
    <s v="Units"/>
    <x v="0"/>
    <n v="4.2119999999999997"/>
  </r>
  <r>
    <n v="200"/>
    <x v="3"/>
    <x v="62"/>
    <x v="1"/>
    <s v="Percent change"/>
    <s v="Units"/>
    <x v="1"/>
    <n v="1.8859999999999999"/>
  </r>
  <r>
    <n v="200"/>
    <x v="3"/>
    <x v="62"/>
    <x v="1"/>
    <s v="Percent change"/>
    <s v="Units"/>
    <x v="2"/>
    <n v="1.077"/>
  </r>
  <r>
    <n v="200"/>
    <x v="3"/>
    <x v="62"/>
    <x v="1"/>
    <s v="Percent change"/>
    <s v="Units"/>
    <x v="3"/>
    <n v="3.552"/>
  </r>
  <r>
    <n v="200"/>
    <x v="3"/>
    <x v="62"/>
    <x v="1"/>
    <s v="Percent change"/>
    <s v="Units"/>
    <x v="4"/>
    <n v="6.2030000000000003"/>
  </r>
  <r>
    <n v="200"/>
    <x v="3"/>
    <x v="62"/>
    <x v="1"/>
    <s v="Percent change"/>
    <s v="Units"/>
    <x v="5"/>
    <n v="4.7089999999999996"/>
  </r>
  <r>
    <n v="200"/>
    <x v="3"/>
    <x v="62"/>
    <x v="1"/>
    <s v="Percent change"/>
    <s v="Units"/>
    <x v="6"/>
    <n v="2.9929999999999999"/>
  </r>
  <r>
    <n v="200"/>
    <x v="3"/>
    <x v="186"/>
    <x v="1"/>
    <s v="Percent change"/>
    <s v="Units"/>
    <x v="0"/>
    <n v="2.7519999999999998"/>
  </r>
  <r>
    <n v="200"/>
    <x v="3"/>
    <x v="186"/>
    <x v="1"/>
    <s v="Percent change"/>
    <s v="Units"/>
    <x v="1"/>
    <n v="0.88100000000000001"/>
  </r>
  <r>
    <n v="200"/>
    <x v="3"/>
    <x v="186"/>
    <x v="1"/>
    <s v="Percent change"/>
    <s v="Units"/>
    <x v="2"/>
    <n v="4.2590000000000003"/>
  </r>
  <r>
    <n v="200"/>
    <x v="3"/>
    <x v="186"/>
    <x v="1"/>
    <s v="Percent change"/>
    <s v="Units"/>
    <x v="3"/>
    <n v="5.5789999999999997"/>
  </r>
  <r>
    <n v="200"/>
    <x v="3"/>
    <x v="186"/>
    <x v="1"/>
    <s v="Percent change"/>
    <s v="Units"/>
    <x v="4"/>
    <n v="3.1659999999999999"/>
  </r>
  <r>
    <n v="200"/>
    <x v="3"/>
    <x v="186"/>
    <x v="1"/>
    <s v="Percent change"/>
    <s v="Units"/>
    <x v="5"/>
    <n v="4.7050000000000001"/>
  </r>
  <r>
    <n v="200"/>
    <x v="3"/>
    <x v="186"/>
    <x v="1"/>
    <s v="Percent change"/>
    <s v="Units"/>
    <x v="6"/>
    <n v="4.5629999999999997"/>
  </r>
  <r>
    <n v="1"/>
    <x v="2"/>
    <x v="186"/>
    <x v="1"/>
    <s v="Percent change"/>
    <s v="Units"/>
    <x v="0"/>
    <n v="2.7519999999999998"/>
  </r>
  <r>
    <n v="1"/>
    <x v="2"/>
    <x v="186"/>
    <x v="1"/>
    <s v="Percent change"/>
    <s v="Units"/>
    <x v="1"/>
    <n v="0.88100000000000001"/>
  </r>
  <r>
    <n v="1"/>
    <x v="2"/>
    <x v="186"/>
    <x v="1"/>
    <s v="Percent change"/>
    <s v="Units"/>
    <x v="2"/>
    <n v="4.2590000000000003"/>
  </r>
  <r>
    <n v="1"/>
    <x v="2"/>
    <x v="186"/>
    <x v="1"/>
    <s v="Percent change"/>
    <s v="Units"/>
    <x v="3"/>
    <n v="5.5789999999999997"/>
  </r>
  <r>
    <n v="1"/>
    <x v="2"/>
    <x v="186"/>
    <x v="1"/>
    <s v="Percent change"/>
    <s v="Units"/>
    <x v="4"/>
    <n v="3.1659999999999999"/>
  </r>
  <r>
    <n v="1"/>
    <x v="2"/>
    <x v="186"/>
    <x v="1"/>
    <s v="Percent change"/>
    <s v="Units"/>
    <x v="5"/>
    <n v="4.7050000000000001"/>
  </r>
  <r>
    <n v="1"/>
    <x v="2"/>
    <x v="186"/>
    <x v="1"/>
    <s v="Percent change"/>
    <s v="Units"/>
    <x v="6"/>
    <n v="4.5629999999999997"/>
  </r>
  <r>
    <n v="603"/>
    <x v="12"/>
    <x v="186"/>
    <x v="1"/>
    <s v="Percent change"/>
    <s v="Units"/>
    <x v="0"/>
    <n v="2.7519999999999998"/>
  </r>
  <r>
    <n v="603"/>
    <x v="12"/>
    <x v="186"/>
    <x v="1"/>
    <s v="Percent change"/>
    <s v="Units"/>
    <x v="1"/>
    <n v="0.88100000000000001"/>
  </r>
  <r>
    <n v="603"/>
    <x v="12"/>
    <x v="186"/>
    <x v="1"/>
    <s v="Percent change"/>
    <s v="Units"/>
    <x v="2"/>
    <n v="4.2590000000000003"/>
  </r>
  <r>
    <n v="603"/>
    <x v="12"/>
    <x v="186"/>
    <x v="1"/>
    <s v="Percent change"/>
    <s v="Units"/>
    <x v="3"/>
    <n v="5.5789999999999997"/>
  </r>
  <r>
    <n v="603"/>
    <x v="12"/>
    <x v="186"/>
    <x v="1"/>
    <s v="Percent change"/>
    <s v="Units"/>
    <x v="4"/>
    <n v="3.1659999999999999"/>
  </r>
  <r>
    <n v="603"/>
    <x v="12"/>
    <x v="186"/>
    <x v="1"/>
    <s v="Percent change"/>
    <s v="Units"/>
    <x v="5"/>
    <n v="4.7050000000000001"/>
  </r>
  <r>
    <n v="603"/>
    <x v="12"/>
    <x v="186"/>
    <x v="1"/>
    <s v="Percent change"/>
    <s v="Units"/>
    <x v="6"/>
    <n v="4.5629999999999997"/>
  </r>
  <r>
    <n v="1"/>
    <x v="2"/>
    <x v="89"/>
    <x v="8"/>
    <s v="Percent change"/>
    <s v="Units"/>
    <x v="0"/>
    <n v="4.4850000000000003"/>
  </r>
  <r>
    <n v="1"/>
    <x v="2"/>
    <x v="89"/>
    <x v="8"/>
    <s v="Percent change"/>
    <s v="Units"/>
    <x v="1"/>
    <n v="1.671"/>
  </r>
  <r>
    <n v="1"/>
    <x v="2"/>
    <x v="89"/>
    <x v="8"/>
    <s v="Percent change"/>
    <s v="Units"/>
    <x v="2"/>
    <n v="6.0369999999999999"/>
  </r>
  <r>
    <n v="1"/>
    <x v="2"/>
    <x v="89"/>
    <x v="8"/>
    <s v="Percent change"/>
    <s v="Units"/>
    <x v="3"/>
    <n v="8.7739999999999991"/>
  </r>
  <r>
    <n v="1"/>
    <x v="2"/>
    <x v="89"/>
    <x v="8"/>
    <s v="Percent change"/>
    <s v="Units"/>
    <x v="4"/>
    <n v="6.14"/>
  </r>
  <r>
    <n v="1"/>
    <x v="2"/>
    <x v="89"/>
    <x v="8"/>
    <s v="Percent change"/>
    <s v="Units"/>
    <x v="5"/>
    <n v="4.6989999999999998"/>
  </r>
  <r>
    <n v="1"/>
    <x v="2"/>
    <x v="89"/>
    <x v="8"/>
    <s v="Percent change"/>
    <s v="Units"/>
    <x v="6"/>
    <n v="5.6580000000000004"/>
  </r>
  <r>
    <n v="603"/>
    <x v="12"/>
    <x v="89"/>
    <x v="8"/>
    <s v="Percent change"/>
    <s v="Units"/>
    <x v="0"/>
    <n v="4.4850000000000003"/>
  </r>
  <r>
    <n v="603"/>
    <x v="12"/>
    <x v="89"/>
    <x v="8"/>
    <s v="Percent change"/>
    <s v="Units"/>
    <x v="1"/>
    <n v="1.671"/>
  </r>
  <r>
    <n v="603"/>
    <x v="12"/>
    <x v="89"/>
    <x v="8"/>
    <s v="Percent change"/>
    <s v="Units"/>
    <x v="2"/>
    <n v="6.0369999999999999"/>
  </r>
  <r>
    <n v="603"/>
    <x v="12"/>
    <x v="89"/>
    <x v="8"/>
    <s v="Percent change"/>
    <s v="Units"/>
    <x v="3"/>
    <n v="8.7739999999999991"/>
  </r>
  <r>
    <n v="603"/>
    <x v="12"/>
    <x v="89"/>
    <x v="8"/>
    <s v="Percent change"/>
    <s v="Units"/>
    <x v="4"/>
    <n v="6.14"/>
  </r>
  <r>
    <n v="603"/>
    <x v="12"/>
    <x v="89"/>
    <x v="8"/>
    <s v="Percent change"/>
    <s v="Units"/>
    <x v="5"/>
    <n v="4.6989999999999998"/>
  </r>
  <r>
    <n v="603"/>
    <x v="12"/>
    <x v="89"/>
    <x v="8"/>
    <s v="Percent change"/>
    <s v="Units"/>
    <x v="6"/>
    <n v="5.6580000000000004"/>
  </r>
  <r>
    <n v="200"/>
    <x v="3"/>
    <x v="89"/>
    <x v="8"/>
    <s v="Percent change"/>
    <s v="Units"/>
    <x v="0"/>
    <n v="4.4850000000000003"/>
  </r>
  <r>
    <n v="200"/>
    <x v="3"/>
    <x v="89"/>
    <x v="8"/>
    <s v="Percent change"/>
    <s v="Units"/>
    <x v="1"/>
    <n v="1.671"/>
  </r>
  <r>
    <n v="200"/>
    <x v="3"/>
    <x v="89"/>
    <x v="8"/>
    <s v="Percent change"/>
    <s v="Units"/>
    <x v="2"/>
    <n v="6.0369999999999999"/>
  </r>
  <r>
    <n v="200"/>
    <x v="3"/>
    <x v="89"/>
    <x v="8"/>
    <s v="Percent change"/>
    <s v="Units"/>
    <x v="3"/>
    <n v="8.7739999999999991"/>
  </r>
  <r>
    <n v="200"/>
    <x v="3"/>
    <x v="89"/>
    <x v="8"/>
    <s v="Percent change"/>
    <s v="Units"/>
    <x v="4"/>
    <n v="6.14"/>
  </r>
  <r>
    <n v="200"/>
    <x v="3"/>
    <x v="89"/>
    <x v="8"/>
    <s v="Percent change"/>
    <s v="Units"/>
    <x v="5"/>
    <n v="4.6989999999999998"/>
  </r>
  <r>
    <n v="200"/>
    <x v="3"/>
    <x v="89"/>
    <x v="8"/>
    <s v="Percent change"/>
    <s v="Units"/>
    <x v="6"/>
    <n v="5.6580000000000004"/>
  </r>
  <r>
    <n v="205"/>
    <x v="7"/>
    <x v="140"/>
    <x v="6"/>
    <s v="Percent change"/>
    <s v="Units"/>
    <x v="0"/>
    <n v="0.92300000000000004"/>
  </r>
  <r>
    <n v="205"/>
    <x v="7"/>
    <x v="140"/>
    <x v="6"/>
    <s v="Percent change"/>
    <s v="Units"/>
    <x v="1"/>
    <n v="-11.853"/>
  </r>
  <r>
    <n v="205"/>
    <x v="7"/>
    <x v="140"/>
    <x v="6"/>
    <s v="Percent change"/>
    <s v="Units"/>
    <x v="2"/>
    <n v="29.87"/>
  </r>
  <r>
    <n v="205"/>
    <x v="7"/>
    <x v="140"/>
    <x v="6"/>
    <s v="Percent change"/>
    <s v="Units"/>
    <x v="3"/>
    <n v="0.22700000000000001"/>
  </r>
  <r>
    <n v="205"/>
    <x v="7"/>
    <x v="140"/>
    <x v="6"/>
    <s v="Percent change"/>
    <s v="Units"/>
    <x v="4"/>
    <n v="0.21099999999999999"/>
  </r>
  <r>
    <n v="205"/>
    <x v="7"/>
    <x v="140"/>
    <x v="6"/>
    <s v="Percent change"/>
    <s v="Units"/>
    <x v="5"/>
    <n v="4.6769999999999996"/>
  </r>
  <r>
    <n v="205"/>
    <x v="7"/>
    <x v="140"/>
    <x v="6"/>
    <s v="Percent change"/>
    <s v="Units"/>
    <x v="6"/>
    <n v="3.0179999999999998"/>
  </r>
  <r>
    <n v="1"/>
    <x v="2"/>
    <x v="140"/>
    <x v="6"/>
    <s v="Percent change"/>
    <s v="Units"/>
    <x v="0"/>
    <n v="0.92300000000000004"/>
  </r>
  <r>
    <n v="1"/>
    <x v="2"/>
    <x v="140"/>
    <x v="6"/>
    <s v="Percent change"/>
    <s v="Units"/>
    <x v="1"/>
    <n v="-11.853"/>
  </r>
  <r>
    <n v="1"/>
    <x v="2"/>
    <x v="140"/>
    <x v="6"/>
    <s v="Percent change"/>
    <s v="Units"/>
    <x v="2"/>
    <n v="29.87"/>
  </r>
  <r>
    <n v="1"/>
    <x v="2"/>
    <x v="140"/>
    <x v="6"/>
    <s v="Percent change"/>
    <s v="Units"/>
    <x v="3"/>
    <n v="0.22700000000000001"/>
  </r>
  <r>
    <n v="1"/>
    <x v="2"/>
    <x v="140"/>
    <x v="6"/>
    <s v="Percent change"/>
    <s v="Units"/>
    <x v="4"/>
    <n v="0.21099999999999999"/>
  </r>
  <r>
    <n v="1"/>
    <x v="2"/>
    <x v="140"/>
    <x v="6"/>
    <s v="Percent change"/>
    <s v="Units"/>
    <x v="5"/>
    <n v="4.6769999999999996"/>
  </r>
  <r>
    <n v="1"/>
    <x v="2"/>
    <x v="140"/>
    <x v="6"/>
    <s v="Percent change"/>
    <s v="Units"/>
    <x v="6"/>
    <n v="3.0179999999999998"/>
  </r>
  <r>
    <n v="200"/>
    <x v="3"/>
    <x v="140"/>
    <x v="6"/>
    <s v="Percent change"/>
    <s v="Units"/>
    <x v="0"/>
    <n v="0.92300000000000004"/>
  </r>
  <r>
    <n v="200"/>
    <x v="3"/>
    <x v="140"/>
    <x v="6"/>
    <s v="Percent change"/>
    <s v="Units"/>
    <x v="1"/>
    <n v="-11.853"/>
  </r>
  <r>
    <n v="200"/>
    <x v="3"/>
    <x v="140"/>
    <x v="6"/>
    <s v="Percent change"/>
    <s v="Units"/>
    <x v="2"/>
    <n v="29.87"/>
  </r>
  <r>
    <n v="200"/>
    <x v="3"/>
    <x v="140"/>
    <x v="6"/>
    <s v="Percent change"/>
    <s v="Units"/>
    <x v="3"/>
    <n v="0.22700000000000001"/>
  </r>
  <r>
    <n v="200"/>
    <x v="3"/>
    <x v="140"/>
    <x v="6"/>
    <s v="Percent change"/>
    <s v="Units"/>
    <x v="4"/>
    <n v="0.21099999999999999"/>
  </r>
  <r>
    <n v="200"/>
    <x v="3"/>
    <x v="140"/>
    <x v="6"/>
    <s v="Percent change"/>
    <s v="Units"/>
    <x v="5"/>
    <n v="4.6769999999999996"/>
  </r>
  <r>
    <n v="200"/>
    <x v="3"/>
    <x v="140"/>
    <x v="6"/>
    <s v="Percent change"/>
    <s v="Units"/>
    <x v="6"/>
    <n v="3.0179999999999998"/>
  </r>
  <r>
    <n v="200"/>
    <x v="3"/>
    <x v="33"/>
    <x v="4"/>
    <s v="Percent change"/>
    <s v="Units"/>
    <x v="0"/>
    <n v="6.2249999999999996"/>
  </r>
  <r>
    <n v="200"/>
    <x v="3"/>
    <x v="33"/>
    <x v="4"/>
    <s v="Percent change"/>
    <s v="Units"/>
    <x v="1"/>
    <n v="2.7919999999999998"/>
  </r>
  <r>
    <n v="200"/>
    <x v="3"/>
    <x v="33"/>
    <x v="4"/>
    <s v="Percent change"/>
    <s v="Units"/>
    <x v="2"/>
    <n v="13.634"/>
  </r>
  <r>
    <n v="200"/>
    <x v="3"/>
    <x v="33"/>
    <x v="4"/>
    <s v="Percent change"/>
    <s v="Units"/>
    <x v="3"/>
    <n v="6.4009999999999998"/>
  </r>
  <r>
    <n v="200"/>
    <x v="3"/>
    <x v="33"/>
    <x v="4"/>
    <s v="Percent change"/>
    <s v="Units"/>
    <x v="4"/>
    <n v="-3.9009999999999998"/>
  </r>
  <r>
    <n v="200"/>
    <x v="3"/>
    <x v="33"/>
    <x v="4"/>
    <s v="Percent change"/>
    <s v="Units"/>
    <x v="5"/>
    <n v="4.66"/>
  </r>
  <r>
    <n v="200"/>
    <x v="3"/>
    <x v="33"/>
    <x v="4"/>
    <s v="Percent change"/>
    <s v="Units"/>
    <x v="6"/>
    <n v="5.492"/>
  </r>
  <r>
    <n v="1"/>
    <x v="2"/>
    <x v="33"/>
    <x v="4"/>
    <s v="Percent change"/>
    <s v="Units"/>
    <x v="0"/>
    <n v="6.2249999999999996"/>
  </r>
  <r>
    <n v="1"/>
    <x v="2"/>
    <x v="33"/>
    <x v="4"/>
    <s v="Percent change"/>
    <s v="Units"/>
    <x v="1"/>
    <n v="2.7919999999999998"/>
  </r>
  <r>
    <n v="1"/>
    <x v="2"/>
    <x v="33"/>
    <x v="4"/>
    <s v="Percent change"/>
    <s v="Units"/>
    <x v="2"/>
    <n v="13.634"/>
  </r>
  <r>
    <n v="1"/>
    <x v="2"/>
    <x v="33"/>
    <x v="4"/>
    <s v="Percent change"/>
    <s v="Units"/>
    <x v="3"/>
    <n v="6.4009999999999998"/>
  </r>
  <r>
    <n v="1"/>
    <x v="2"/>
    <x v="33"/>
    <x v="4"/>
    <s v="Percent change"/>
    <s v="Units"/>
    <x v="4"/>
    <n v="-3.9009999999999998"/>
  </r>
  <r>
    <n v="1"/>
    <x v="2"/>
    <x v="33"/>
    <x v="4"/>
    <s v="Percent change"/>
    <s v="Units"/>
    <x v="5"/>
    <n v="4.66"/>
  </r>
  <r>
    <n v="1"/>
    <x v="2"/>
    <x v="33"/>
    <x v="4"/>
    <s v="Percent change"/>
    <s v="Units"/>
    <x v="6"/>
    <n v="5.492"/>
  </r>
  <r>
    <n v="505"/>
    <x v="4"/>
    <x v="33"/>
    <x v="4"/>
    <s v="Percent change"/>
    <s v="Units"/>
    <x v="0"/>
    <n v="6.2249999999999996"/>
  </r>
  <r>
    <n v="505"/>
    <x v="4"/>
    <x v="33"/>
    <x v="4"/>
    <s v="Percent change"/>
    <s v="Units"/>
    <x v="1"/>
    <n v="2.7919999999999998"/>
  </r>
  <r>
    <n v="505"/>
    <x v="4"/>
    <x v="33"/>
    <x v="4"/>
    <s v="Percent change"/>
    <s v="Units"/>
    <x v="2"/>
    <n v="13.634"/>
  </r>
  <r>
    <n v="505"/>
    <x v="4"/>
    <x v="33"/>
    <x v="4"/>
    <s v="Percent change"/>
    <s v="Units"/>
    <x v="3"/>
    <n v="6.4009999999999998"/>
  </r>
  <r>
    <n v="505"/>
    <x v="4"/>
    <x v="33"/>
    <x v="4"/>
    <s v="Percent change"/>
    <s v="Units"/>
    <x v="4"/>
    <n v="-3.9009999999999998"/>
  </r>
  <r>
    <n v="505"/>
    <x v="4"/>
    <x v="33"/>
    <x v="4"/>
    <s v="Percent change"/>
    <s v="Units"/>
    <x v="5"/>
    <n v="4.66"/>
  </r>
  <r>
    <n v="505"/>
    <x v="4"/>
    <x v="33"/>
    <x v="4"/>
    <s v="Percent change"/>
    <s v="Units"/>
    <x v="6"/>
    <n v="5.492"/>
  </r>
  <r>
    <n v="903"/>
    <x v="8"/>
    <x v="150"/>
    <x v="6"/>
    <s v="Percent change"/>
    <s v="Units"/>
    <x v="0"/>
    <n v="4.5019999999999998"/>
  </r>
  <r>
    <n v="903"/>
    <x v="8"/>
    <x v="150"/>
    <x v="6"/>
    <s v="Percent change"/>
    <s v="Units"/>
    <x v="1"/>
    <n v="-5.9909999999999997"/>
  </r>
  <r>
    <n v="903"/>
    <x v="8"/>
    <x v="150"/>
    <x v="6"/>
    <s v="Percent change"/>
    <s v="Units"/>
    <x v="2"/>
    <n v="31.427"/>
  </r>
  <r>
    <n v="903"/>
    <x v="8"/>
    <x v="150"/>
    <x v="6"/>
    <s v="Percent change"/>
    <s v="Units"/>
    <x v="3"/>
    <n v="5.6580000000000004"/>
  </r>
  <r>
    <n v="903"/>
    <x v="8"/>
    <x v="150"/>
    <x v="6"/>
    <s v="Percent change"/>
    <s v="Units"/>
    <x v="4"/>
    <n v="6.9210000000000003"/>
  </r>
  <r>
    <n v="903"/>
    <x v="8"/>
    <x v="150"/>
    <x v="6"/>
    <s v="Percent change"/>
    <s v="Units"/>
    <x v="5"/>
    <n v="4.6440000000000001"/>
  </r>
  <r>
    <n v="903"/>
    <x v="8"/>
    <x v="150"/>
    <x v="6"/>
    <s v="Percent change"/>
    <s v="Units"/>
    <x v="6"/>
    <n v="4.6539999999999999"/>
  </r>
  <r>
    <n v="200"/>
    <x v="3"/>
    <x v="48"/>
    <x v="6"/>
    <s v="Percent change"/>
    <s v="Units"/>
    <x v="0"/>
    <n v="-0.157"/>
  </r>
  <r>
    <n v="200"/>
    <x v="3"/>
    <x v="48"/>
    <x v="6"/>
    <s v="Percent change"/>
    <s v="Units"/>
    <x v="1"/>
    <n v="-11.034000000000001"/>
  </r>
  <r>
    <n v="200"/>
    <x v="3"/>
    <x v="48"/>
    <x v="6"/>
    <s v="Percent change"/>
    <s v="Units"/>
    <x v="2"/>
    <n v="18.466000000000001"/>
  </r>
  <r>
    <n v="200"/>
    <x v="3"/>
    <x v="48"/>
    <x v="6"/>
    <s v="Percent change"/>
    <s v="Units"/>
    <x v="3"/>
    <n v="2.448"/>
  </r>
  <r>
    <n v="200"/>
    <x v="3"/>
    <x v="48"/>
    <x v="6"/>
    <s v="Percent change"/>
    <s v="Units"/>
    <x v="4"/>
    <n v="-4.3550000000000004"/>
  </r>
  <r>
    <n v="200"/>
    <x v="3"/>
    <x v="48"/>
    <x v="6"/>
    <s v="Percent change"/>
    <s v="Units"/>
    <x v="5"/>
    <n v="4.6440000000000001"/>
  </r>
  <r>
    <n v="200"/>
    <x v="3"/>
    <x v="48"/>
    <x v="6"/>
    <s v="Percent change"/>
    <s v="Units"/>
    <x v="6"/>
    <n v="3.7210000000000001"/>
  </r>
  <r>
    <n v="205"/>
    <x v="7"/>
    <x v="48"/>
    <x v="6"/>
    <s v="Percent change"/>
    <s v="Units"/>
    <x v="0"/>
    <n v="-0.157"/>
  </r>
  <r>
    <n v="205"/>
    <x v="7"/>
    <x v="48"/>
    <x v="6"/>
    <s v="Percent change"/>
    <s v="Units"/>
    <x v="1"/>
    <n v="-11.034000000000001"/>
  </r>
  <r>
    <n v="205"/>
    <x v="7"/>
    <x v="48"/>
    <x v="6"/>
    <s v="Percent change"/>
    <s v="Units"/>
    <x v="2"/>
    <n v="18.466000000000001"/>
  </r>
  <r>
    <n v="205"/>
    <x v="7"/>
    <x v="48"/>
    <x v="6"/>
    <s v="Percent change"/>
    <s v="Units"/>
    <x v="3"/>
    <n v="2.448"/>
  </r>
  <r>
    <n v="205"/>
    <x v="7"/>
    <x v="48"/>
    <x v="6"/>
    <s v="Percent change"/>
    <s v="Units"/>
    <x v="4"/>
    <n v="-4.3550000000000004"/>
  </r>
  <r>
    <n v="205"/>
    <x v="7"/>
    <x v="48"/>
    <x v="6"/>
    <s v="Percent change"/>
    <s v="Units"/>
    <x v="5"/>
    <n v="4.6440000000000001"/>
  </r>
  <r>
    <n v="205"/>
    <x v="7"/>
    <x v="48"/>
    <x v="6"/>
    <s v="Percent change"/>
    <s v="Units"/>
    <x v="6"/>
    <n v="3.7210000000000001"/>
  </r>
  <r>
    <n v="1"/>
    <x v="2"/>
    <x v="150"/>
    <x v="6"/>
    <s v="Percent change"/>
    <s v="Units"/>
    <x v="0"/>
    <n v="4.5019999999999998"/>
  </r>
  <r>
    <n v="1"/>
    <x v="2"/>
    <x v="150"/>
    <x v="6"/>
    <s v="Percent change"/>
    <s v="Units"/>
    <x v="1"/>
    <n v="-5.9909999999999997"/>
  </r>
  <r>
    <n v="1"/>
    <x v="2"/>
    <x v="150"/>
    <x v="6"/>
    <s v="Percent change"/>
    <s v="Units"/>
    <x v="2"/>
    <n v="31.427"/>
  </r>
  <r>
    <n v="1"/>
    <x v="2"/>
    <x v="150"/>
    <x v="6"/>
    <s v="Percent change"/>
    <s v="Units"/>
    <x v="3"/>
    <n v="5.6580000000000004"/>
  </r>
  <r>
    <n v="1"/>
    <x v="2"/>
    <x v="150"/>
    <x v="6"/>
    <s v="Percent change"/>
    <s v="Units"/>
    <x v="4"/>
    <n v="6.9210000000000003"/>
  </r>
  <r>
    <n v="1"/>
    <x v="2"/>
    <x v="150"/>
    <x v="6"/>
    <s v="Percent change"/>
    <s v="Units"/>
    <x v="5"/>
    <n v="4.6440000000000001"/>
  </r>
  <r>
    <n v="1"/>
    <x v="2"/>
    <x v="150"/>
    <x v="6"/>
    <s v="Percent change"/>
    <s v="Units"/>
    <x v="6"/>
    <n v="4.6539999999999999"/>
  </r>
  <r>
    <n v="200"/>
    <x v="3"/>
    <x v="150"/>
    <x v="6"/>
    <s v="Percent change"/>
    <s v="Units"/>
    <x v="0"/>
    <n v="4.5019999999999998"/>
  </r>
  <r>
    <n v="200"/>
    <x v="3"/>
    <x v="150"/>
    <x v="6"/>
    <s v="Percent change"/>
    <s v="Units"/>
    <x v="1"/>
    <n v="-5.9909999999999997"/>
  </r>
  <r>
    <n v="200"/>
    <x v="3"/>
    <x v="150"/>
    <x v="6"/>
    <s v="Percent change"/>
    <s v="Units"/>
    <x v="2"/>
    <n v="31.427"/>
  </r>
  <r>
    <n v="200"/>
    <x v="3"/>
    <x v="150"/>
    <x v="6"/>
    <s v="Percent change"/>
    <s v="Units"/>
    <x v="3"/>
    <n v="5.6580000000000004"/>
  </r>
  <r>
    <n v="200"/>
    <x v="3"/>
    <x v="150"/>
    <x v="6"/>
    <s v="Percent change"/>
    <s v="Units"/>
    <x v="4"/>
    <n v="6.9210000000000003"/>
  </r>
  <r>
    <n v="200"/>
    <x v="3"/>
    <x v="150"/>
    <x v="6"/>
    <s v="Percent change"/>
    <s v="Units"/>
    <x v="5"/>
    <n v="4.6440000000000001"/>
  </r>
  <r>
    <n v="200"/>
    <x v="3"/>
    <x v="150"/>
    <x v="6"/>
    <s v="Percent change"/>
    <s v="Units"/>
    <x v="6"/>
    <n v="4.6539999999999999"/>
  </r>
  <r>
    <n v="1"/>
    <x v="2"/>
    <x v="48"/>
    <x v="6"/>
    <s v="Percent change"/>
    <s v="Units"/>
    <x v="0"/>
    <n v="-0.157"/>
  </r>
  <r>
    <n v="1"/>
    <x v="2"/>
    <x v="48"/>
    <x v="6"/>
    <s v="Percent change"/>
    <s v="Units"/>
    <x v="1"/>
    <n v="-11.034000000000001"/>
  </r>
  <r>
    <n v="1"/>
    <x v="2"/>
    <x v="48"/>
    <x v="6"/>
    <s v="Percent change"/>
    <s v="Units"/>
    <x v="2"/>
    <n v="18.466000000000001"/>
  </r>
  <r>
    <n v="1"/>
    <x v="2"/>
    <x v="48"/>
    <x v="6"/>
    <s v="Percent change"/>
    <s v="Units"/>
    <x v="3"/>
    <n v="2.448"/>
  </r>
  <r>
    <n v="1"/>
    <x v="2"/>
    <x v="48"/>
    <x v="6"/>
    <s v="Percent change"/>
    <s v="Units"/>
    <x v="4"/>
    <n v="-4.3550000000000004"/>
  </r>
  <r>
    <n v="1"/>
    <x v="2"/>
    <x v="48"/>
    <x v="6"/>
    <s v="Percent change"/>
    <s v="Units"/>
    <x v="5"/>
    <n v="4.6440000000000001"/>
  </r>
  <r>
    <n v="1"/>
    <x v="2"/>
    <x v="48"/>
    <x v="6"/>
    <s v="Percent change"/>
    <s v="Units"/>
    <x v="6"/>
    <n v="3.7210000000000001"/>
  </r>
  <r>
    <n v="505"/>
    <x v="4"/>
    <x v="1"/>
    <x v="8"/>
    <s v="Percent change"/>
    <s v="Units"/>
    <x v="0"/>
    <n v="5.9509999999999996"/>
  </r>
  <r>
    <n v="505"/>
    <x v="4"/>
    <x v="1"/>
    <x v="8"/>
    <s v="Percent change"/>
    <s v="Units"/>
    <x v="1"/>
    <n v="2.242"/>
  </r>
  <r>
    <n v="505"/>
    <x v="4"/>
    <x v="1"/>
    <x v="8"/>
    <s v="Percent change"/>
    <s v="Units"/>
    <x v="2"/>
    <n v="8.4499999999999993"/>
  </r>
  <r>
    <n v="505"/>
    <x v="4"/>
    <x v="1"/>
    <x v="8"/>
    <s v="Percent change"/>
    <s v="Units"/>
    <x v="3"/>
    <n v="2.9889999999999999"/>
  </r>
  <r>
    <n v="505"/>
    <x v="4"/>
    <x v="1"/>
    <x v="8"/>
    <s v="Percent change"/>
    <s v="Units"/>
    <x v="4"/>
    <n v="5.24"/>
  </r>
  <r>
    <n v="505"/>
    <x v="4"/>
    <x v="1"/>
    <x v="8"/>
    <s v="Percent change"/>
    <s v="Units"/>
    <x v="5"/>
    <n v="4.6420000000000003"/>
  </r>
  <r>
    <n v="505"/>
    <x v="4"/>
    <x v="1"/>
    <x v="8"/>
    <s v="Percent change"/>
    <s v="Units"/>
    <x v="6"/>
    <n v="4.0860000000000003"/>
  </r>
  <r>
    <n v="200"/>
    <x v="3"/>
    <x v="1"/>
    <x v="8"/>
    <s v="Percent change"/>
    <s v="Units"/>
    <x v="0"/>
    <n v="5.9509999999999996"/>
  </r>
  <r>
    <n v="200"/>
    <x v="3"/>
    <x v="1"/>
    <x v="8"/>
    <s v="Percent change"/>
    <s v="Units"/>
    <x v="1"/>
    <n v="2.242"/>
  </r>
  <r>
    <n v="200"/>
    <x v="3"/>
    <x v="1"/>
    <x v="8"/>
    <s v="Percent change"/>
    <s v="Units"/>
    <x v="2"/>
    <n v="8.4499999999999993"/>
  </r>
  <r>
    <n v="200"/>
    <x v="3"/>
    <x v="1"/>
    <x v="8"/>
    <s v="Percent change"/>
    <s v="Units"/>
    <x v="3"/>
    <n v="2.9889999999999999"/>
  </r>
  <r>
    <n v="200"/>
    <x v="3"/>
    <x v="1"/>
    <x v="8"/>
    <s v="Percent change"/>
    <s v="Units"/>
    <x v="4"/>
    <n v="5.24"/>
  </r>
  <r>
    <n v="200"/>
    <x v="3"/>
    <x v="1"/>
    <x v="8"/>
    <s v="Percent change"/>
    <s v="Units"/>
    <x v="5"/>
    <n v="4.6420000000000003"/>
  </r>
  <r>
    <n v="200"/>
    <x v="3"/>
    <x v="1"/>
    <x v="8"/>
    <s v="Percent change"/>
    <s v="Units"/>
    <x v="6"/>
    <n v="4.0860000000000003"/>
  </r>
  <r>
    <n v="1"/>
    <x v="2"/>
    <x v="1"/>
    <x v="8"/>
    <s v="Percent change"/>
    <s v="Units"/>
    <x v="0"/>
    <n v="5.9509999999999996"/>
  </r>
  <r>
    <n v="1"/>
    <x v="2"/>
    <x v="1"/>
    <x v="8"/>
    <s v="Percent change"/>
    <s v="Units"/>
    <x v="1"/>
    <n v="2.242"/>
  </r>
  <r>
    <n v="1"/>
    <x v="2"/>
    <x v="1"/>
    <x v="8"/>
    <s v="Percent change"/>
    <s v="Units"/>
    <x v="2"/>
    <n v="8.4499999999999993"/>
  </r>
  <r>
    <n v="1"/>
    <x v="2"/>
    <x v="1"/>
    <x v="8"/>
    <s v="Percent change"/>
    <s v="Units"/>
    <x v="3"/>
    <n v="2.9889999999999999"/>
  </r>
  <r>
    <n v="1"/>
    <x v="2"/>
    <x v="1"/>
    <x v="8"/>
    <s v="Percent change"/>
    <s v="Units"/>
    <x v="4"/>
    <n v="5.24"/>
  </r>
  <r>
    <n v="1"/>
    <x v="2"/>
    <x v="1"/>
    <x v="8"/>
    <s v="Percent change"/>
    <s v="Units"/>
    <x v="5"/>
    <n v="4.6420000000000003"/>
  </r>
  <r>
    <n v="1"/>
    <x v="2"/>
    <x v="1"/>
    <x v="8"/>
    <s v="Percent change"/>
    <s v="Units"/>
    <x v="6"/>
    <n v="4.0860000000000003"/>
  </r>
  <r>
    <n v="110"/>
    <x v="0"/>
    <x v="20"/>
    <x v="6"/>
    <s v="Percent change"/>
    <s v="Units"/>
    <x v="0"/>
    <n v="2.343"/>
  </r>
  <r>
    <n v="110"/>
    <x v="0"/>
    <x v="20"/>
    <x v="6"/>
    <s v="Percent change"/>
    <s v="Units"/>
    <x v="1"/>
    <n v="-3.2869999999999999"/>
  </r>
  <r>
    <n v="110"/>
    <x v="0"/>
    <x v="20"/>
    <x v="6"/>
    <s v="Percent change"/>
    <s v="Units"/>
    <x v="2"/>
    <n v="17.375"/>
  </r>
  <r>
    <n v="110"/>
    <x v="0"/>
    <x v="20"/>
    <x v="6"/>
    <s v="Percent change"/>
    <s v="Units"/>
    <x v="3"/>
    <n v="1.5129999999999999"/>
  </r>
  <r>
    <n v="110"/>
    <x v="0"/>
    <x v="20"/>
    <x v="6"/>
    <s v="Percent change"/>
    <s v="Units"/>
    <x v="4"/>
    <n v="-6.5110000000000001"/>
  </r>
  <r>
    <n v="110"/>
    <x v="0"/>
    <x v="20"/>
    <x v="6"/>
    <s v="Percent change"/>
    <s v="Units"/>
    <x v="5"/>
    <n v="4.63"/>
  </r>
  <r>
    <n v="110"/>
    <x v="0"/>
    <x v="20"/>
    <x v="6"/>
    <s v="Percent change"/>
    <s v="Units"/>
    <x v="6"/>
    <n v="2.85"/>
  </r>
  <r>
    <n v="123"/>
    <x v="9"/>
    <x v="20"/>
    <x v="6"/>
    <s v="Percent change"/>
    <s v="Units"/>
    <x v="0"/>
    <n v="2.343"/>
  </r>
  <r>
    <n v="123"/>
    <x v="9"/>
    <x v="20"/>
    <x v="6"/>
    <s v="Percent change"/>
    <s v="Units"/>
    <x v="1"/>
    <n v="-3.2869999999999999"/>
  </r>
  <r>
    <n v="123"/>
    <x v="9"/>
    <x v="20"/>
    <x v="6"/>
    <s v="Percent change"/>
    <s v="Units"/>
    <x v="2"/>
    <n v="17.375"/>
  </r>
  <r>
    <n v="123"/>
    <x v="9"/>
    <x v="20"/>
    <x v="6"/>
    <s v="Percent change"/>
    <s v="Units"/>
    <x v="3"/>
    <n v="1.5129999999999999"/>
  </r>
  <r>
    <n v="123"/>
    <x v="9"/>
    <x v="20"/>
    <x v="6"/>
    <s v="Percent change"/>
    <s v="Units"/>
    <x v="4"/>
    <n v="-6.5110000000000001"/>
  </r>
  <r>
    <n v="123"/>
    <x v="9"/>
    <x v="20"/>
    <x v="6"/>
    <s v="Percent change"/>
    <s v="Units"/>
    <x v="5"/>
    <n v="4.63"/>
  </r>
  <r>
    <n v="123"/>
    <x v="9"/>
    <x v="20"/>
    <x v="6"/>
    <s v="Percent change"/>
    <s v="Units"/>
    <x v="6"/>
    <n v="2.85"/>
  </r>
  <r>
    <n v="1"/>
    <x v="2"/>
    <x v="20"/>
    <x v="6"/>
    <s v="Percent change"/>
    <s v="Units"/>
    <x v="0"/>
    <n v="2.343"/>
  </r>
  <r>
    <n v="1"/>
    <x v="2"/>
    <x v="20"/>
    <x v="6"/>
    <s v="Percent change"/>
    <s v="Units"/>
    <x v="1"/>
    <n v="-3.2869999999999999"/>
  </r>
  <r>
    <n v="1"/>
    <x v="2"/>
    <x v="20"/>
    <x v="6"/>
    <s v="Percent change"/>
    <s v="Units"/>
    <x v="2"/>
    <n v="17.375"/>
  </r>
  <r>
    <n v="1"/>
    <x v="2"/>
    <x v="20"/>
    <x v="6"/>
    <s v="Percent change"/>
    <s v="Units"/>
    <x v="3"/>
    <n v="1.5129999999999999"/>
  </r>
  <r>
    <n v="1"/>
    <x v="2"/>
    <x v="20"/>
    <x v="6"/>
    <s v="Percent change"/>
    <s v="Units"/>
    <x v="4"/>
    <n v="-6.5110000000000001"/>
  </r>
  <r>
    <n v="1"/>
    <x v="2"/>
    <x v="20"/>
    <x v="6"/>
    <s v="Percent change"/>
    <s v="Units"/>
    <x v="5"/>
    <n v="4.63"/>
  </r>
  <r>
    <n v="1"/>
    <x v="2"/>
    <x v="20"/>
    <x v="6"/>
    <s v="Percent change"/>
    <s v="Units"/>
    <x v="6"/>
    <n v="2.85"/>
  </r>
  <r>
    <n v="200"/>
    <x v="3"/>
    <x v="131"/>
    <x v="6"/>
    <s v="Percent change"/>
    <s v="Units"/>
    <x v="0"/>
    <n v="-0.98299999999999998"/>
  </r>
  <r>
    <n v="200"/>
    <x v="3"/>
    <x v="131"/>
    <x v="6"/>
    <s v="Percent change"/>
    <s v="Units"/>
    <x v="1"/>
    <n v="-8.4380000000000006"/>
  </r>
  <r>
    <n v="200"/>
    <x v="3"/>
    <x v="131"/>
    <x v="6"/>
    <s v="Percent change"/>
    <s v="Units"/>
    <x v="2"/>
    <n v="22.324999999999999"/>
  </r>
  <r>
    <n v="200"/>
    <x v="3"/>
    <x v="131"/>
    <x v="6"/>
    <s v="Percent change"/>
    <s v="Units"/>
    <x v="3"/>
    <n v="4.1470000000000002"/>
  </r>
  <r>
    <n v="200"/>
    <x v="3"/>
    <x v="131"/>
    <x v="6"/>
    <s v="Percent change"/>
    <s v="Units"/>
    <x v="4"/>
    <n v="-3.3140000000000001"/>
  </r>
  <r>
    <n v="200"/>
    <x v="3"/>
    <x v="131"/>
    <x v="6"/>
    <s v="Percent change"/>
    <s v="Units"/>
    <x v="5"/>
    <n v="4.6040000000000001"/>
  </r>
  <r>
    <n v="200"/>
    <x v="3"/>
    <x v="131"/>
    <x v="6"/>
    <s v="Percent change"/>
    <s v="Units"/>
    <x v="6"/>
    <n v="4.3840000000000003"/>
  </r>
  <r>
    <n v="205"/>
    <x v="7"/>
    <x v="131"/>
    <x v="6"/>
    <s v="Percent change"/>
    <s v="Units"/>
    <x v="0"/>
    <n v="-0.98299999999999998"/>
  </r>
  <r>
    <n v="205"/>
    <x v="7"/>
    <x v="131"/>
    <x v="6"/>
    <s v="Percent change"/>
    <s v="Units"/>
    <x v="1"/>
    <n v="-8.4380000000000006"/>
  </r>
  <r>
    <n v="205"/>
    <x v="7"/>
    <x v="131"/>
    <x v="6"/>
    <s v="Percent change"/>
    <s v="Units"/>
    <x v="2"/>
    <n v="22.324999999999999"/>
  </r>
  <r>
    <n v="205"/>
    <x v="7"/>
    <x v="131"/>
    <x v="6"/>
    <s v="Percent change"/>
    <s v="Units"/>
    <x v="3"/>
    <n v="4.1470000000000002"/>
  </r>
  <r>
    <n v="205"/>
    <x v="7"/>
    <x v="131"/>
    <x v="6"/>
    <s v="Percent change"/>
    <s v="Units"/>
    <x v="4"/>
    <n v="-3.3140000000000001"/>
  </r>
  <r>
    <n v="205"/>
    <x v="7"/>
    <x v="131"/>
    <x v="6"/>
    <s v="Percent change"/>
    <s v="Units"/>
    <x v="5"/>
    <n v="4.6040000000000001"/>
  </r>
  <r>
    <n v="205"/>
    <x v="7"/>
    <x v="131"/>
    <x v="6"/>
    <s v="Percent change"/>
    <s v="Units"/>
    <x v="6"/>
    <n v="4.3840000000000003"/>
  </r>
  <r>
    <n v="1"/>
    <x v="2"/>
    <x v="131"/>
    <x v="6"/>
    <s v="Percent change"/>
    <s v="Units"/>
    <x v="0"/>
    <n v="-0.98299999999999998"/>
  </r>
  <r>
    <n v="1"/>
    <x v="2"/>
    <x v="131"/>
    <x v="6"/>
    <s v="Percent change"/>
    <s v="Units"/>
    <x v="1"/>
    <n v="-8.4380000000000006"/>
  </r>
  <r>
    <n v="1"/>
    <x v="2"/>
    <x v="131"/>
    <x v="6"/>
    <s v="Percent change"/>
    <s v="Units"/>
    <x v="2"/>
    <n v="22.324999999999999"/>
  </r>
  <r>
    <n v="1"/>
    <x v="2"/>
    <x v="131"/>
    <x v="6"/>
    <s v="Percent change"/>
    <s v="Units"/>
    <x v="3"/>
    <n v="4.1470000000000002"/>
  </r>
  <r>
    <n v="1"/>
    <x v="2"/>
    <x v="131"/>
    <x v="6"/>
    <s v="Percent change"/>
    <s v="Units"/>
    <x v="4"/>
    <n v="-3.3140000000000001"/>
  </r>
  <r>
    <n v="1"/>
    <x v="2"/>
    <x v="131"/>
    <x v="6"/>
    <s v="Percent change"/>
    <s v="Units"/>
    <x v="5"/>
    <n v="4.6040000000000001"/>
  </r>
  <r>
    <n v="1"/>
    <x v="2"/>
    <x v="131"/>
    <x v="6"/>
    <s v="Percent change"/>
    <s v="Units"/>
    <x v="6"/>
    <n v="4.3840000000000003"/>
  </r>
  <r>
    <n v="205"/>
    <x v="7"/>
    <x v="114"/>
    <x v="8"/>
    <s v="Percent change"/>
    <s v="Units"/>
    <x v="0"/>
    <n v="5.5019999999999998"/>
  </r>
  <r>
    <n v="205"/>
    <x v="7"/>
    <x v="114"/>
    <x v="8"/>
    <s v="Percent change"/>
    <s v="Units"/>
    <x v="1"/>
    <n v="-16.605"/>
  </r>
  <r>
    <n v="205"/>
    <x v="7"/>
    <x v="114"/>
    <x v="8"/>
    <s v="Percent change"/>
    <s v="Units"/>
    <x v="2"/>
    <n v="6.8920000000000003"/>
  </r>
  <r>
    <n v="205"/>
    <x v="7"/>
    <x v="114"/>
    <x v="8"/>
    <s v="Percent change"/>
    <s v="Units"/>
    <x v="3"/>
    <n v="5.6479999999999997"/>
  </r>
  <r>
    <n v="205"/>
    <x v="7"/>
    <x v="114"/>
    <x v="8"/>
    <s v="Percent change"/>
    <s v="Units"/>
    <x v="4"/>
    <n v="4.726"/>
  </r>
  <r>
    <n v="205"/>
    <x v="7"/>
    <x v="114"/>
    <x v="8"/>
    <s v="Percent change"/>
    <s v="Units"/>
    <x v="5"/>
    <n v="4.5890000000000004"/>
  </r>
  <r>
    <n v="205"/>
    <x v="7"/>
    <x v="114"/>
    <x v="8"/>
    <s v="Percent change"/>
    <s v="Units"/>
    <x v="6"/>
    <n v="4.2560000000000002"/>
  </r>
  <r>
    <n v="200"/>
    <x v="3"/>
    <x v="114"/>
    <x v="8"/>
    <s v="Percent change"/>
    <s v="Units"/>
    <x v="0"/>
    <n v="5.5019999999999998"/>
  </r>
  <r>
    <n v="200"/>
    <x v="3"/>
    <x v="114"/>
    <x v="8"/>
    <s v="Percent change"/>
    <s v="Units"/>
    <x v="1"/>
    <n v="-16.605"/>
  </r>
  <r>
    <n v="200"/>
    <x v="3"/>
    <x v="114"/>
    <x v="8"/>
    <s v="Percent change"/>
    <s v="Units"/>
    <x v="2"/>
    <n v="6.8920000000000003"/>
  </r>
  <r>
    <n v="200"/>
    <x v="3"/>
    <x v="114"/>
    <x v="8"/>
    <s v="Percent change"/>
    <s v="Units"/>
    <x v="3"/>
    <n v="5.6479999999999997"/>
  </r>
  <r>
    <n v="200"/>
    <x v="3"/>
    <x v="114"/>
    <x v="8"/>
    <s v="Percent change"/>
    <s v="Units"/>
    <x v="4"/>
    <n v="4.726"/>
  </r>
  <r>
    <n v="200"/>
    <x v="3"/>
    <x v="114"/>
    <x v="8"/>
    <s v="Percent change"/>
    <s v="Units"/>
    <x v="5"/>
    <n v="4.5890000000000004"/>
  </r>
  <r>
    <n v="200"/>
    <x v="3"/>
    <x v="114"/>
    <x v="8"/>
    <s v="Percent change"/>
    <s v="Units"/>
    <x v="6"/>
    <n v="4.2560000000000002"/>
  </r>
  <r>
    <n v="1"/>
    <x v="2"/>
    <x v="114"/>
    <x v="8"/>
    <s v="Percent change"/>
    <s v="Units"/>
    <x v="0"/>
    <n v="5.5019999999999998"/>
  </r>
  <r>
    <n v="1"/>
    <x v="2"/>
    <x v="114"/>
    <x v="8"/>
    <s v="Percent change"/>
    <s v="Units"/>
    <x v="1"/>
    <n v="-16.605"/>
  </r>
  <r>
    <n v="1"/>
    <x v="2"/>
    <x v="114"/>
    <x v="8"/>
    <s v="Percent change"/>
    <s v="Units"/>
    <x v="2"/>
    <n v="6.8920000000000003"/>
  </r>
  <r>
    <n v="1"/>
    <x v="2"/>
    <x v="114"/>
    <x v="8"/>
    <s v="Percent change"/>
    <s v="Units"/>
    <x v="3"/>
    <n v="5.6479999999999997"/>
  </r>
  <r>
    <n v="1"/>
    <x v="2"/>
    <x v="114"/>
    <x v="8"/>
    <s v="Percent change"/>
    <s v="Units"/>
    <x v="4"/>
    <n v="4.726"/>
  </r>
  <r>
    <n v="1"/>
    <x v="2"/>
    <x v="114"/>
    <x v="8"/>
    <s v="Percent change"/>
    <s v="Units"/>
    <x v="5"/>
    <n v="4.5890000000000004"/>
  </r>
  <r>
    <n v="1"/>
    <x v="2"/>
    <x v="114"/>
    <x v="8"/>
    <s v="Percent change"/>
    <s v="Units"/>
    <x v="6"/>
    <n v="4.2560000000000002"/>
  </r>
  <r>
    <n v="200"/>
    <x v="3"/>
    <x v="4"/>
    <x v="1"/>
    <s v="Percent change"/>
    <s v="Units"/>
    <x v="0"/>
    <n v="4.7690000000000001"/>
  </r>
  <r>
    <n v="200"/>
    <x v="3"/>
    <x v="4"/>
    <x v="1"/>
    <s v="Percent change"/>
    <s v="Units"/>
    <x v="1"/>
    <n v="6.165"/>
  </r>
  <r>
    <n v="200"/>
    <x v="3"/>
    <x v="4"/>
    <x v="1"/>
    <s v="Percent change"/>
    <s v="Units"/>
    <x v="2"/>
    <n v="5.5060000000000002"/>
  </r>
  <r>
    <n v="200"/>
    <x v="3"/>
    <x v="4"/>
    <x v="1"/>
    <s v="Percent change"/>
    <s v="Units"/>
    <x v="3"/>
    <n v="6.6529999999999996"/>
  </r>
  <r>
    <n v="200"/>
    <x v="3"/>
    <x v="4"/>
    <x v="1"/>
    <s v="Percent change"/>
    <s v="Units"/>
    <x v="4"/>
    <n v="5.375"/>
  </r>
  <r>
    <n v="200"/>
    <x v="3"/>
    <x v="4"/>
    <x v="1"/>
    <s v="Percent change"/>
    <s v="Units"/>
    <x v="5"/>
    <n v="4.5629999999999997"/>
  </r>
  <r>
    <n v="200"/>
    <x v="3"/>
    <x v="4"/>
    <x v="1"/>
    <s v="Percent change"/>
    <s v="Units"/>
    <x v="6"/>
    <n v="4.1669999999999998"/>
  </r>
  <r>
    <n v="505"/>
    <x v="4"/>
    <x v="4"/>
    <x v="1"/>
    <s v="Percent change"/>
    <s v="Units"/>
    <x v="0"/>
    <n v="4.7690000000000001"/>
  </r>
  <r>
    <n v="505"/>
    <x v="4"/>
    <x v="4"/>
    <x v="1"/>
    <s v="Percent change"/>
    <s v="Units"/>
    <x v="1"/>
    <n v="6.165"/>
  </r>
  <r>
    <n v="505"/>
    <x v="4"/>
    <x v="4"/>
    <x v="1"/>
    <s v="Percent change"/>
    <s v="Units"/>
    <x v="2"/>
    <n v="5.5060000000000002"/>
  </r>
  <r>
    <n v="505"/>
    <x v="4"/>
    <x v="4"/>
    <x v="1"/>
    <s v="Percent change"/>
    <s v="Units"/>
    <x v="3"/>
    <n v="6.6529999999999996"/>
  </r>
  <r>
    <n v="505"/>
    <x v="4"/>
    <x v="4"/>
    <x v="1"/>
    <s v="Percent change"/>
    <s v="Units"/>
    <x v="4"/>
    <n v="5.375"/>
  </r>
  <r>
    <n v="505"/>
    <x v="4"/>
    <x v="4"/>
    <x v="1"/>
    <s v="Percent change"/>
    <s v="Units"/>
    <x v="5"/>
    <n v="4.5629999999999997"/>
  </r>
  <r>
    <n v="505"/>
    <x v="4"/>
    <x v="4"/>
    <x v="1"/>
    <s v="Percent change"/>
    <s v="Units"/>
    <x v="6"/>
    <n v="4.1669999999999998"/>
  </r>
  <r>
    <n v="1"/>
    <x v="2"/>
    <x v="4"/>
    <x v="1"/>
    <s v="Percent change"/>
    <s v="Units"/>
    <x v="0"/>
    <n v="4.7690000000000001"/>
  </r>
  <r>
    <n v="1"/>
    <x v="2"/>
    <x v="4"/>
    <x v="1"/>
    <s v="Percent change"/>
    <s v="Units"/>
    <x v="1"/>
    <n v="6.165"/>
  </r>
  <r>
    <n v="1"/>
    <x v="2"/>
    <x v="4"/>
    <x v="1"/>
    <s v="Percent change"/>
    <s v="Units"/>
    <x v="2"/>
    <n v="5.5060000000000002"/>
  </r>
  <r>
    <n v="1"/>
    <x v="2"/>
    <x v="4"/>
    <x v="1"/>
    <s v="Percent change"/>
    <s v="Units"/>
    <x v="3"/>
    <n v="6.6529999999999996"/>
  </r>
  <r>
    <n v="1"/>
    <x v="2"/>
    <x v="4"/>
    <x v="1"/>
    <s v="Percent change"/>
    <s v="Units"/>
    <x v="4"/>
    <n v="5.375"/>
  </r>
  <r>
    <n v="1"/>
    <x v="2"/>
    <x v="4"/>
    <x v="1"/>
    <s v="Percent change"/>
    <s v="Units"/>
    <x v="5"/>
    <n v="4.5629999999999997"/>
  </r>
  <r>
    <n v="1"/>
    <x v="2"/>
    <x v="4"/>
    <x v="1"/>
    <s v="Percent change"/>
    <s v="Units"/>
    <x v="6"/>
    <n v="4.1669999999999998"/>
  </r>
  <r>
    <n v="200"/>
    <x v="3"/>
    <x v="126"/>
    <x v="0"/>
    <s v="U.S. dollars"/>
    <s v="Billions"/>
    <x v="0"/>
    <n v="4.0739999999999998"/>
  </r>
  <r>
    <n v="200"/>
    <x v="3"/>
    <x v="126"/>
    <x v="0"/>
    <s v="U.S. dollars"/>
    <s v="Billions"/>
    <x v="1"/>
    <n v="4.0590000000000002"/>
  </r>
  <r>
    <n v="200"/>
    <x v="3"/>
    <x v="126"/>
    <x v="0"/>
    <s v="U.S. dollars"/>
    <s v="Billions"/>
    <x v="2"/>
    <n v="4.1479999999999997"/>
  </r>
  <r>
    <n v="200"/>
    <x v="3"/>
    <x v="126"/>
    <x v="0"/>
    <s v="U.S. dollars"/>
    <s v="Billions"/>
    <x v="3"/>
    <n v="4.0949999999999998"/>
  </r>
  <r>
    <n v="200"/>
    <x v="3"/>
    <x v="126"/>
    <x v="0"/>
    <s v="U.S. dollars"/>
    <s v="Billions"/>
    <x v="4"/>
    <n v="3.9060000000000001"/>
  </r>
  <r>
    <n v="200"/>
    <x v="3"/>
    <x v="126"/>
    <x v="0"/>
    <s v="U.S. dollars"/>
    <s v="Billions"/>
    <x v="5"/>
    <n v="4.5579999999999998"/>
  </r>
  <r>
    <n v="200"/>
    <x v="3"/>
    <x v="126"/>
    <x v="0"/>
    <s v="U.S. dollars"/>
    <s v="Billions"/>
    <x v="6"/>
    <n v="4.5940000000000003"/>
  </r>
  <r>
    <n v="603"/>
    <x v="12"/>
    <x v="126"/>
    <x v="0"/>
    <s v="U.S. dollars"/>
    <s v="Billions"/>
    <x v="0"/>
    <n v="4.0739999999999998"/>
  </r>
  <r>
    <n v="603"/>
    <x v="12"/>
    <x v="126"/>
    <x v="0"/>
    <s v="U.S. dollars"/>
    <s v="Billions"/>
    <x v="1"/>
    <n v="4.0590000000000002"/>
  </r>
  <r>
    <n v="603"/>
    <x v="12"/>
    <x v="126"/>
    <x v="0"/>
    <s v="U.S. dollars"/>
    <s v="Billions"/>
    <x v="2"/>
    <n v="4.1479999999999997"/>
  </r>
  <r>
    <n v="603"/>
    <x v="12"/>
    <x v="126"/>
    <x v="0"/>
    <s v="U.S. dollars"/>
    <s v="Billions"/>
    <x v="3"/>
    <n v="4.0949999999999998"/>
  </r>
  <r>
    <n v="603"/>
    <x v="12"/>
    <x v="126"/>
    <x v="0"/>
    <s v="U.S. dollars"/>
    <s v="Billions"/>
    <x v="4"/>
    <n v="3.9060000000000001"/>
  </r>
  <r>
    <n v="603"/>
    <x v="12"/>
    <x v="126"/>
    <x v="0"/>
    <s v="U.S. dollars"/>
    <s v="Billions"/>
    <x v="5"/>
    <n v="4.5579999999999998"/>
  </r>
  <r>
    <n v="603"/>
    <x v="12"/>
    <x v="126"/>
    <x v="0"/>
    <s v="U.S. dollars"/>
    <s v="Billions"/>
    <x v="6"/>
    <n v="4.5940000000000003"/>
  </r>
  <r>
    <n v="1"/>
    <x v="2"/>
    <x v="126"/>
    <x v="0"/>
    <s v="U.S. dollars"/>
    <s v="Billions"/>
    <x v="0"/>
    <n v="4.0739999999999998"/>
  </r>
  <r>
    <n v="1"/>
    <x v="2"/>
    <x v="126"/>
    <x v="0"/>
    <s v="U.S. dollars"/>
    <s v="Billions"/>
    <x v="1"/>
    <n v="4.0590000000000002"/>
  </r>
  <r>
    <n v="1"/>
    <x v="2"/>
    <x v="126"/>
    <x v="0"/>
    <s v="U.S. dollars"/>
    <s v="Billions"/>
    <x v="2"/>
    <n v="4.1479999999999997"/>
  </r>
  <r>
    <n v="1"/>
    <x v="2"/>
    <x v="126"/>
    <x v="0"/>
    <s v="U.S. dollars"/>
    <s v="Billions"/>
    <x v="3"/>
    <n v="4.0949999999999998"/>
  </r>
  <r>
    <n v="1"/>
    <x v="2"/>
    <x v="126"/>
    <x v="0"/>
    <s v="U.S. dollars"/>
    <s v="Billions"/>
    <x v="4"/>
    <n v="3.9060000000000001"/>
  </r>
  <r>
    <n v="1"/>
    <x v="2"/>
    <x v="126"/>
    <x v="0"/>
    <s v="U.S. dollars"/>
    <s v="Billions"/>
    <x v="5"/>
    <n v="4.5579999999999998"/>
  </r>
  <r>
    <n v="1"/>
    <x v="2"/>
    <x v="126"/>
    <x v="0"/>
    <s v="U.S. dollars"/>
    <s v="Billions"/>
    <x v="6"/>
    <n v="4.5940000000000003"/>
  </r>
  <r>
    <n v="603"/>
    <x v="12"/>
    <x v="102"/>
    <x v="4"/>
    <s v="Percent change"/>
    <s v="Units"/>
    <x v="0"/>
    <n v="-2.2170000000000001"/>
  </r>
  <r>
    <n v="603"/>
    <x v="12"/>
    <x v="102"/>
    <x v="4"/>
    <s v="Percent change"/>
    <s v="Units"/>
    <x v="1"/>
    <n v="-6.9720000000000004"/>
  </r>
  <r>
    <n v="603"/>
    <x v="12"/>
    <x v="102"/>
    <x v="4"/>
    <s v="Percent change"/>
    <s v="Units"/>
    <x v="2"/>
    <n v="4.5970000000000004"/>
  </r>
  <r>
    <n v="603"/>
    <x v="12"/>
    <x v="102"/>
    <x v="4"/>
    <s v="Percent change"/>
    <s v="Units"/>
    <x v="3"/>
    <n v="5.74"/>
  </r>
  <r>
    <n v="603"/>
    <x v="12"/>
    <x v="102"/>
    <x v="4"/>
    <s v="Percent change"/>
    <s v="Units"/>
    <x v="4"/>
    <n v="9.3059999999999992"/>
  </r>
  <r>
    <n v="603"/>
    <x v="12"/>
    <x v="102"/>
    <x v="4"/>
    <s v="Percent change"/>
    <s v="Units"/>
    <x v="5"/>
    <n v="4.5389999999999997"/>
  </r>
  <r>
    <n v="603"/>
    <x v="12"/>
    <x v="102"/>
    <x v="4"/>
    <s v="Percent change"/>
    <s v="Units"/>
    <x v="6"/>
    <n v="7.8920000000000003"/>
  </r>
  <r>
    <n v="200"/>
    <x v="3"/>
    <x v="102"/>
    <x v="4"/>
    <s v="Percent change"/>
    <s v="Units"/>
    <x v="0"/>
    <n v="-2.2170000000000001"/>
  </r>
  <r>
    <n v="200"/>
    <x v="3"/>
    <x v="102"/>
    <x v="4"/>
    <s v="Percent change"/>
    <s v="Units"/>
    <x v="1"/>
    <n v="-6.9720000000000004"/>
  </r>
  <r>
    <n v="200"/>
    <x v="3"/>
    <x v="102"/>
    <x v="4"/>
    <s v="Percent change"/>
    <s v="Units"/>
    <x v="2"/>
    <n v="4.5970000000000004"/>
  </r>
  <r>
    <n v="200"/>
    <x v="3"/>
    <x v="102"/>
    <x v="4"/>
    <s v="Percent change"/>
    <s v="Units"/>
    <x v="3"/>
    <n v="5.74"/>
  </r>
  <r>
    <n v="200"/>
    <x v="3"/>
    <x v="102"/>
    <x v="4"/>
    <s v="Percent change"/>
    <s v="Units"/>
    <x v="4"/>
    <n v="9.3059999999999992"/>
  </r>
  <r>
    <n v="200"/>
    <x v="3"/>
    <x v="102"/>
    <x v="4"/>
    <s v="Percent change"/>
    <s v="Units"/>
    <x v="5"/>
    <n v="4.5389999999999997"/>
  </r>
  <r>
    <n v="200"/>
    <x v="3"/>
    <x v="102"/>
    <x v="4"/>
    <s v="Percent change"/>
    <s v="Units"/>
    <x v="6"/>
    <n v="7.8920000000000003"/>
  </r>
  <r>
    <n v="1"/>
    <x v="2"/>
    <x v="102"/>
    <x v="4"/>
    <s v="Percent change"/>
    <s v="Units"/>
    <x v="0"/>
    <n v="-2.2170000000000001"/>
  </r>
  <r>
    <n v="1"/>
    <x v="2"/>
    <x v="102"/>
    <x v="4"/>
    <s v="Percent change"/>
    <s v="Units"/>
    <x v="1"/>
    <n v="-6.9720000000000004"/>
  </r>
  <r>
    <n v="1"/>
    <x v="2"/>
    <x v="102"/>
    <x v="4"/>
    <s v="Percent change"/>
    <s v="Units"/>
    <x v="2"/>
    <n v="4.5970000000000004"/>
  </r>
  <r>
    <n v="1"/>
    <x v="2"/>
    <x v="102"/>
    <x v="4"/>
    <s v="Percent change"/>
    <s v="Units"/>
    <x v="3"/>
    <n v="5.74"/>
  </r>
  <r>
    <n v="1"/>
    <x v="2"/>
    <x v="102"/>
    <x v="4"/>
    <s v="Percent change"/>
    <s v="Units"/>
    <x v="4"/>
    <n v="9.3059999999999992"/>
  </r>
  <r>
    <n v="1"/>
    <x v="2"/>
    <x v="102"/>
    <x v="4"/>
    <s v="Percent change"/>
    <s v="Units"/>
    <x v="5"/>
    <n v="4.5389999999999997"/>
  </r>
  <r>
    <n v="1"/>
    <x v="2"/>
    <x v="102"/>
    <x v="4"/>
    <s v="Percent change"/>
    <s v="Units"/>
    <x v="6"/>
    <n v="7.8920000000000003"/>
  </r>
  <r>
    <n v="505"/>
    <x v="4"/>
    <x v="26"/>
    <x v="6"/>
    <s v="Percent change"/>
    <s v="Units"/>
    <x v="0"/>
    <n v="-5.1669999999999998"/>
  </r>
  <r>
    <n v="505"/>
    <x v="4"/>
    <x v="26"/>
    <x v="6"/>
    <s v="Percent change"/>
    <s v="Units"/>
    <x v="1"/>
    <n v="-13.911"/>
  </r>
  <r>
    <n v="505"/>
    <x v="4"/>
    <x v="26"/>
    <x v="6"/>
    <s v="Percent change"/>
    <s v="Units"/>
    <x v="2"/>
    <n v="17.771000000000001"/>
  </r>
  <r>
    <n v="505"/>
    <x v="4"/>
    <x v="26"/>
    <x v="6"/>
    <s v="Percent change"/>
    <s v="Units"/>
    <x v="3"/>
    <n v="3.61"/>
  </r>
  <r>
    <n v="505"/>
    <x v="4"/>
    <x v="26"/>
    <x v="6"/>
    <s v="Percent change"/>
    <s v="Units"/>
    <x v="4"/>
    <n v="-2.673"/>
  </r>
  <r>
    <n v="505"/>
    <x v="4"/>
    <x v="26"/>
    <x v="6"/>
    <s v="Percent change"/>
    <s v="Units"/>
    <x v="5"/>
    <n v="4.5339999999999998"/>
  </r>
  <r>
    <n v="505"/>
    <x v="4"/>
    <x v="26"/>
    <x v="6"/>
    <s v="Percent change"/>
    <s v="Units"/>
    <x v="6"/>
    <n v="4.2169999999999996"/>
  </r>
  <r>
    <n v="510"/>
    <x v="10"/>
    <x v="26"/>
    <x v="6"/>
    <s v="Percent change"/>
    <s v="Units"/>
    <x v="0"/>
    <n v="-5.1669999999999998"/>
  </r>
  <r>
    <n v="510"/>
    <x v="10"/>
    <x v="26"/>
    <x v="6"/>
    <s v="Percent change"/>
    <s v="Units"/>
    <x v="1"/>
    <n v="-13.911"/>
  </r>
  <r>
    <n v="510"/>
    <x v="10"/>
    <x v="26"/>
    <x v="6"/>
    <s v="Percent change"/>
    <s v="Units"/>
    <x v="2"/>
    <n v="17.771000000000001"/>
  </r>
  <r>
    <n v="510"/>
    <x v="10"/>
    <x v="26"/>
    <x v="6"/>
    <s v="Percent change"/>
    <s v="Units"/>
    <x v="3"/>
    <n v="3.61"/>
  </r>
  <r>
    <n v="510"/>
    <x v="10"/>
    <x v="26"/>
    <x v="6"/>
    <s v="Percent change"/>
    <s v="Units"/>
    <x v="4"/>
    <n v="-2.673"/>
  </r>
  <r>
    <n v="510"/>
    <x v="10"/>
    <x v="26"/>
    <x v="6"/>
    <s v="Percent change"/>
    <s v="Units"/>
    <x v="5"/>
    <n v="4.5339999999999998"/>
  </r>
  <r>
    <n v="510"/>
    <x v="10"/>
    <x v="26"/>
    <x v="6"/>
    <s v="Percent change"/>
    <s v="Units"/>
    <x v="6"/>
    <n v="4.2169999999999996"/>
  </r>
  <r>
    <n v="1"/>
    <x v="2"/>
    <x v="26"/>
    <x v="6"/>
    <s v="Percent change"/>
    <s v="Units"/>
    <x v="0"/>
    <n v="-5.1669999999999998"/>
  </r>
  <r>
    <n v="1"/>
    <x v="2"/>
    <x v="26"/>
    <x v="6"/>
    <s v="Percent change"/>
    <s v="Units"/>
    <x v="1"/>
    <n v="-13.911"/>
  </r>
  <r>
    <n v="1"/>
    <x v="2"/>
    <x v="26"/>
    <x v="6"/>
    <s v="Percent change"/>
    <s v="Units"/>
    <x v="2"/>
    <n v="17.771000000000001"/>
  </r>
  <r>
    <n v="1"/>
    <x v="2"/>
    <x v="26"/>
    <x v="6"/>
    <s v="Percent change"/>
    <s v="Units"/>
    <x v="3"/>
    <n v="3.61"/>
  </r>
  <r>
    <n v="1"/>
    <x v="2"/>
    <x v="26"/>
    <x v="6"/>
    <s v="Percent change"/>
    <s v="Units"/>
    <x v="4"/>
    <n v="-2.673"/>
  </r>
  <r>
    <n v="1"/>
    <x v="2"/>
    <x v="26"/>
    <x v="6"/>
    <s v="Percent change"/>
    <s v="Units"/>
    <x v="5"/>
    <n v="4.5339999999999998"/>
  </r>
  <r>
    <n v="1"/>
    <x v="2"/>
    <x v="26"/>
    <x v="6"/>
    <s v="Percent change"/>
    <s v="Units"/>
    <x v="6"/>
    <n v="4.2169999999999996"/>
  </r>
  <r>
    <n v="200"/>
    <x v="3"/>
    <x v="26"/>
    <x v="6"/>
    <s v="Percent change"/>
    <s v="Units"/>
    <x v="0"/>
    <n v="-5.1669999999999998"/>
  </r>
  <r>
    <n v="200"/>
    <x v="3"/>
    <x v="26"/>
    <x v="6"/>
    <s v="Percent change"/>
    <s v="Units"/>
    <x v="1"/>
    <n v="-13.911"/>
  </r>
  <r>
    <n v="200"/>
    <x v="3"/>
    <x v="26"/>
    <x v="6"/>
    <s v="Percent change"/>
    <s v="Units"/>
    <x v="2"/>
    <n v="17.771000000000001"/>
  </r>
  <r>
    <n v="200"/>
    <x v="3"/>
    <x v="26"/>
    <x v="6"/>
    <s v="Percent change"/>
    <s v="Units"/>
    <x v="3"/>
    <n v="3.61"/>
  </r>
  <r>
    <n v="200"/>
    <x v="3"/>
    <x v="26"/>
    <x v="6"/>
    <s v="Percent change"/>
    <s v="Units"/>
    <x v="4"/>
    <n v="-2.673"/>
  </r>
  <r>
    <n v="200"/>
    <x v="3"/>
    <x v="26"/>
    <x v="6"/>
    <s v="Percent change"/>
    <s v="Units"/>
    <x v="5"/>
    <n v="4.5339999999999998"/>
  </r>
  <r>
    <n v="200"/>
    <x v="3"/>
    <x v="26"/>
    <x v="6"/>
    <s v="Percent change"/>
    <s v="Units"/>
    <x v="6"/>
    <n v="4.2169999999999996"/>
  </r>
  <r>
    <n v="400"/>
    <x v="11"/>
    <x v="29"/>
    <x v="9"/>
    <s v="Percent of GDP"/>
    <s v="Units"/>
    <x v="0"/>
    <n v="2.59"/>
  </r>
  <r>
    <n v="400"/>
    <x v="11"/>
    <x v="29"/>
    <x v="9"/>
    <s v="Percent of GDP"/>
    <s v="Units"/>
    <x v="1"/>
    <n v="-2.468"/>
  </r>
  <r>
    <n v="400"/>
    <x v="11"/>
    <x v="29"/>
    <x v="9"/>
    <s v="Percent of GDP"/>
    <s v="Units"/>
    <x v="2"/>
    <n v="4.0330000000000004"/>
  </r>
  <r>
    <n v="400"/>
    <x v="11"/>
    <x v="29"/>
    <x v="9"/>
    <s v="Percent of GDP"/>
    <s v="Units"/>
    <x v="3"/>
    <n v="9.8889999999999993"/>
  </r>
  <r>
    <n v="400"/>
    <x v="11"/>
    <x v="29"/>
    <x v="9"/>
    <s v="Percent of GDP"/>
    <s v="Units"/>
    <x v="4"/>
    <n v="6.25"/>
  </r>
  <r>
    <n v="400"/>
    <x v="11"/>
    <x v="29"/>
    <x v="9"/>
    <s v="Percent of GDP"/>
    <s v="Units"/>
    <x v="5"/>
    <n v="4.5270000000000001"/>
  </r>
  <r>
    <n v="400"/>
    <x v="11"/>
    <x v="29"/>
    <x v="9"/>
    <s v="Percent of GDP"/>
    <s v="Units"/>
    <x v="6"/>
    <n v="4.0149999999999997"/>
  </r>
  <r>
    <n v="200"/>
    <x v="3"/>
    <x v="29"/>
    <x v="9"/>
    <s v="Percent of GDP"/>
    <s v="Units"/>
    <x v="0"/>
    <n v="2.59"/>
  </r>
  <r>
    <n v="200"/>
    <x v="3"/>
    <x v="29"/>
    <x v="9"/>
    <s v="Percent of GDP"/>
    <s v="Units"/>
    <x v="1"/>
    <n v="-2.468"/>
  </r>
  <r>
    <n v="200"/>
    <x v="3"/>
    <x v="29"/>
    <x v="9"/>
    <s v="Percent of GDP"/>
    <s v="Units"/>
    <x v="2"/>
    <n v="4.0330000000000004"/>
  </r>
  <r>
    <n v="200"/>
    <x v="3"/>
    <x v="29"/>
    <x v="9"/>
    <s v="Percent of GDP"/>
    <s v="Units"/>
    <x v="3"/>
    <n v="9.8889999999999993"/>
  </r>
  <r>
    <n v="200"/>
    <x v="3"/>
    <x v="29"/>
    <x v="9"/>
    <s v="Percent of GDP"/>
    <s v="Units"/>
    <x v="4"/>
    <n v="6.25"/>
  </r>
  <r>
    <n v="200"/>
    <x v="3"/>
    <x v="29"/>
    <x v="9"/>
    <s v="Percent of GDP"/>
    <s v="Units"/>
    <x v="5"/>
    <n v="4.5270000000000001"/>
  </r>
  <r>
    <n v="200"/>
    <x v="3"/>
    <x v="29"/>
    <x v="9"/>
    <s v="Percent of GDP"/>
    <s v="Units"/>
    <x v="6"/>
    <n v="4.0149999999999997"/>
  </r>
  <r>
    <n v="1"/>
    <x v="2"/>
    <x v="148"/>
    <x v="8"/>
    <s v="Percent change"/>
    <s v="Units"/>
    <x v="0"/>
    <n v="4.4800000000000004"/>
  </r>
  <r>
    <n v="1"/>
    <x v="2"/>
    <x v="148"/>
    <x v="8"/>
    <s v="Percent change"/>
    <s v="Units"/>
    <x v="1"/>
    <n v="-3.1669999999999998"/>
  </r>
  <r>
    <n v="1"/>
    <x v="2"/>
    <x v="148"/>
    <x v="8"/>
    <s v="Percent change"/>
    <s v="Units"/>
    <x v="2"/>
    <n v="-0.78"/>
  </r>
  <r>
    <n v="1"/>
    <x v="2"/>
    <x v="148"/>
    <x v="8"/>
    <s v="Percent change"/>
    <s v="Units"/>
    <x v="3"/>
    <n v="5.165"/>
  </r>
  <r>
    <n v="1"/>
    <x v="2"/>
    <x v="148"/>
    <x v="8"/>
    <s v="Percent change"/>
    <s v="Units"/>
    <x v="4"/>
    <n v="2.681"/>
  </r>
  <r>
    <n v="1"/>
    <x v="2"/>
    <x v="148"/>
    <x v="8"/>
    <s v="Percent change"/>
    <s v="Units"/>
    <x v="5"/>
    <n v="4.5199999999999996"/>
  </r>
  <r>
    <n v="1"/>
    <x v="2"/>
    <x v="148"/>
    <x v="8"/>
    <s v="Percent change"/>
    <s v="Units"/>
    <x v="6"/>
    <n v="3.698"/>
  </r>
  <r>
    <n v="200"/>
    <x v="3"/>
    <x v="148"/>
    <x v="8"/>
    <s v="Percent change"/>
    <s v="Units"/>
    <x v="0"/>
    <n v="4.4800000000000004"/>
  </r>
  <r>
    <n v="200"/>
    <x v="3"/>
    <x v="148"/>
    <x v="8"/>
    <s v="Percent change"/>
    <s v="Units"/>
    <x v="1"/>
    <n v="-3.1669999999999998"/>
  </r>
  <r>
    <n v="200"/>
    <x v="3"/>
    <x v="148"/>
    <x v="8"/>
    <s v="Percent change"/>
    <s v="Units"/>
    <x v="2"/>
    <n v="-0.78"/>
  </r>
  <r>
    <n v="200"/>
    <x v="3"/>
    <x v="148"/>
    <x v="8"/>
    <s v="Percent change"/>
    <s v="Units"/>
    <x v="3"/>
    <n v="5.165"/>
  </r>
  <r>
    <n v="200"/>
    <x v="3"/>
    <x v="148"/>
    <x v="8"/>
    <s v="Percent change"/>
    <s v="Units"/>
    <x v="4"/>
    <n v="2.681"/>
  </r>
  <r>
    <n v="200"/>
    <x v="3"/>
    <x v="148"/>
    <x v="8"/>
    <s v="Percent change"/>
    <s v="Units"/>
    <x v="5"/>
    <n v="4.5199999999999996"/>
  </r>
  <r>
    <n v="200"/>
    <x v="3"/>
    <x v="148"/>
    <x v="8"/>
    <s v="Percent change"/>
    <s v="Units"/>
    <x v="6"/>
    <n v="3.698"/>
  </r>
  <r>
    <n v="505"/>
    <x v="4"/>
    <x v="148"/>
    <x v="8"/>
    <s v="Percent change"/>
    <s v="Units"/>
    <x v="0"/>
    <n v="4.4800000000000004"/>
  </r>
  <r>
    <n v="505"/>
    <x v="4"/>
    <x v="148"/>
    <x v="8"/>
    <s v="Percent change"/>
    <s v="Units"/>
    <x v="1"/>
    <n v="-3.1669999999999998"/>
  </r>
  <r>
    <n v="505"/>
    <x v="4"/>
    <x v="148"/>
    <x v="8"/>
    <s v="Percent change"/>
    <s v="Units"/>
    <x v="2"/>
    <n v="-0.78"/>
  </r>
  <r>
    <n v="505"/>
    <x v="4"/>
    <x v="148"/>
    <x v="8"/>
    <s v="Percent change"/>
    <s v="Units"/>
    <x v="3"/>
    <n v="5.165"/>
  </r>
  <r>
    <n v="505"/>
    <x v="4"/>
    <x v="148"/>
    <x v="8"/>
    <s v="Percent change"/>
    <s v="Units"/>
    <x v="4"/>
    <n v="2.681"/>
  </r>
  <r>
    <n v="505"/>
    <x v="4"/>
    <x v="148"/>
    <x v="8"/>
    <s v="Percent change"/>
    <s v="Units"/>
    <x v="5"/>
    <n v="4.5199999999999996"/>
  </r>
  <r>
    <n v="505"/>
    <x v="4"/>
    <x v="148"/>
    <x v="8"/>
    <s v="Percent change"/>
    <s v="Units"/>
    <x v="6"/>
    <n v="3.698"/>
  </r>
  <r>
    <n v="903"/>
    <x v="8"/>
    <x v="55"/>
    <x v="6"/>
    <s v="Percent change"/>
    <s v="Units"/>
    <x v="0"/>
    <n v="8.2059999999999995"/>
  </r>
  <r>
    <n v="903"/>
    <x v="8"/>
    <x v="55"/>
    <x v="6"/>
    <s v="Percent change"/>
    <s v="Units"/>
    <x v="1"/>
    <n v="-3.855"/>
  </r>
  <r>
    <n v="903"/>
    <x v="8"/>
    <x v="55"/>
    <x v="6"/>
    <s v="Percent change"/>
    <s v="Units"/>
    <x v="2"/>
    <n v="7.3339999999999996"/>
  </r>
  <r>
    <n v="903"/>
    <x v="8"/>
    <x v="55"/>
    <x v="6"/>
    <s v="Percent change"/>
    <s v="Units"/>
    <x v="3"/>
    <n v="17.617000000000001"/>
  </r>
  <r>
    <n v="903"/>
    <x v="8"/>
    <x v="55"/>
    <x v="6"/>
    <s v="Percent change"/>
    <s v="Units"/>
    <x v="4"/>
    <n v="-3.956"/>
  </r>
  <r>
    <n v="903"/>
    <x v="8"/>
    <x v="55"/>
    <x v="6"/>
    <s v="Percent change"/>
    <s v="Units"/>
    <x v="5"/>
    <n v="4.5"/>
  </r>
  <r>
    <n v="903"/>
    <x v="8"/>
    <x v="55"/>
    <x v="6"/>
    <s v="Percent change"/>
    <s v="Units"/>
    <x v="6"/>
    <n v="5.75"/>
  </r>
  <r>
    <n v="1"/>
    <x v="2"/>
    <x v="179"/>
    <x v="8"/>
    <s v="Percent change"/>
    <s v="Units"/>
    <x v="0"/>
    <n v="4.4109999999999996"/>
  </r>
  <r>
    <n v="1"/>
    <x v="2"/>
    <x v="179"/>
    <x v="8"/>
    <s v="Percent change"/>
    <s v="Units"/>
    <x v="1"/>
    <n v="-7.1379999999999999"/>
  </r>
  <r>
    <n v="1"/>
    <x v="2"/>
    <x v="179"/>
    <x v="8"/>
    <s v="Percent change"/>
    <s v="Units"/>
    <x v="2"/>
    <n v="5.74"/>
  </r>
  <r>
    <n v="1"/>
    <x v="2"/>
    <x v="179"/>
    <x v="8"/>
    <s v="Percent change"/>
    <s v="Units"/>
    <x v="3"/>
    <n v="4"/>
  </r>
  <r>
    <n v="1"/>
    <x v="2"/>
    <x v="179"/>
    <x v="8"/>
    <s v="Percent change"/>
    <s v="Units"/>
    <x v="4"/>
    <n v="3.8"/>
  </r>
  <r>
    <n v="1"/>
    <x v="2"/>
    <x v="179"/>
    <x v="8"/>
    <s v="Percent change"/>
    <s v="Units"/>
    <x v="5"/>
    <n v="4.5"/>
  </r>
  <r>
    <n v="1"/>
    <x v="2"/>
    <x v="179"/>
    <x v="8"/>
    <s v="Percent change"/>
    <s v="Units"/>
    <x v="6"/>
    <n v="4.5999999999999996"/>
  </r>
  <r>
    <n v="200"/>
    <x v="3"/>
    <x v="55"/>
    <x v="6"/>
    <s v="Percent change"/>
    <s v="Units"/>
    <x v="0"/>
    <n v="8.2059999999999995"/>
  </r>
  <r>
    <n v="200"/>
    <x v="3"/>
    <x v="55"/>
    <x v="6"/>
    <s v="Percent change"/>
    <s v="Units"/>
    <x v="1"/>
    <n v="-3.855"/>
  </r>
  <r>
    <n v="200"/>
    <x v="3"/>
    <x v="55"/>
    <x v="6"/>
    <s v="Percent change"/>
    <s v="Units"/>
    <x v="2"/>
    <n v="7.3339999999999996"/>
  </r>
  <r>
    <n v="200"/>
    <x v="3"/>
    <x v="55"/>
    <x v="6"/>
    <s v="Percent change"/>
    <s v="Units"/>
    <x v="3"/>
    <n v="17.617000000000001"/>
  </r>
  <r>
    <n v="200"/>
    <x v="3"/>
    <x v="55"/>
    <x v="6"/>
    <s v="Percent change"/>
    <s v="Units"/>
    <x v="4"/>
    <n v="-3.956"/>
  </r>
  <r>
    <n v="200"/>
    <x v="3"/>
    <x v="55"/>
    <x v="6"/>
    <s v="Percent change"/>
    <s v="Units"/>
    <x v="5"/>
    <n v="4.5"/>
  </r>
  <r>
    <n v="200"/>
    <x v="3"/>
    <x v="55"/>
    <x v="6"/>
    <s v="Percent change"/>
    <s v="Units"/>
    <x v="6"/>
    <n v="5.75"/>
  </r>
  <r>
    <n v="1"/>
    <x v="2"/>
    <x v="55"/>
    <x v="6"/>
    <s v="Percent change"/>
    <s v="Units"/>
    <x v="0"/>
    <n v="8.2059999999999995"/>
  </r>
  <r>
    <n v="1"/>
    <x v="2"/>
    <x v="55"/>
    <x v="6"/>
    <s v="Percent change"/>
    <s v="Units"/>
    <x v="1"/>
    <n v="-3.855"/>
  </r>
  <r>
    <n v="1"/>
    <x v="2"/>
    <x v="55"/>
    <x v="6"/>
    <s v="Percent change"/>
    <s v="Units"/>
    <x v="2"/>
    <n v="7.3339999999999996"/>
  </r>
  <r>
    <n v="1"/>
    <x v="2"/>
    <x v="55"/>
    <x v="6"/>
    <s v="Percent change"/>
    <s v="Units"/>
    <x v="3"/>
    <n v="17.617000000000001"/>
  </r>
  <r>
    <n v="1"/>
    <x v="2"/>
    <x v="55"/>
    <x v="6"/>
    <s v="Percent change"/>
    <s v="Units"/>
    <x v="4"/>
    <n v="-3.956"/>
  </r>
  <r>
    <n v="1"/>
    <x v="2"/>
    <x v="55"/>
    <x v="6"/>
    <s v="Percent change"/>
    <s v="Units"/>
    <x v="5"/>
    <n v="4.5"/>
  </r>
  <r>
    <n v="1"/>
    <x v="2"/>
    <x v="55"/>
    <x v="6"/>
    <s v="Percent change"/>
    <s v="Units"/>
    <x v="6"/>
    <n v="5.75"/>
  </r>
  <r>
    <n v="200"/>
    <x v="3"/>
    <x v="179"/>
    <x v="8"/>
    <s v="Percent change"/>
    <s v="Units"/>
    <x v="0"/>
    <n v="4.4109999999999996"/>
  </r>
  <r>
    <n v="200"/>
    <x v="3"/>
    <x v="179"/>
    <x v="8"/>
    <s v="Percent change"/>
    <s v="Units"/>
    <x v="1"/>
    <n v="-7.1379999999999999"/>
  </r>
  <r>
    <n v="200"/>
    <x v="3"/>
    <x v="179"/>
    <x v="8"/>
    <s v="Percent change"/>
    <s v="Units"/>
    <x v="2"/>
    <n v="5.74"/>
  </r>
  <r>
    <n v="200"/>
    <x v="3"/>
    <x v="179"/>
    <x v="8"/>
    <s v="Percent change"/>
    <s v="Units"/>
    <x v="3"/>
    <n v="4"/>
  </r>
  <r>
    <n v="200"/>
    <x v="3"/>
    <x v="179"/>
    <x v="8"/>
    <s v="Percent change"/>
    <s v="Units"/>
    <x v="4"/>
    <n v="3.8"/>
  </r>
  <r>
    <n v="200"/>
    <x v="3"/>
    <x v="179"/>
    <x v="8"/>
    <s v="Percent change"/>
    <s v="Units"/>
    <x v="5"/>
    <n v="4.5"/>
  </r>
  <r>
    <n v="200"/>
    <x v="3"/>
    <x v="179"/>
    <x v="8"/>
    <s v="Percent change"/>
    <s v="Units"/>
    <x v="6"/>
    <n v="4.5999999999999996"/>
  </r>
  <r>
    <n v="603"/>
    <x v="12"/>
    <x v="179"/>
    <x v="8"/>
    <s v="Percent change"/>
    <s v="Units"/>
    <x v="0"/>
    <n v="4.4109999999999996"/>
  </r>
  <r>
    <n v="603"/>
    <x v="12"/>
    <x v="179"/>
    <x v="8"/>
    <s v="Percent change"/>
    <s v="Units"/>
    <x v="1"/>
    <n v="-7.1379999999999999"/>
  </r>
  <r>
    <n v="603"/>
    <x v="12"/>
    <x v="179"/>
    <x v="8"/>
    <s v="Percent change"/>
    <s v="Units"/>
    <x v="2"/>
    <n v="5.74"/>
  </r>
  <r>
    <n v="603"/>
    <x v="12"/>
    <x v="179"/>
    <x v="8"/>
    <s v="Percent change"/>
    <s v="Units"/>
    <x v="3"/>
    <n v="4"/>
  </r>
  <r>
    <n v="603"/>
    <x v="12"/>
    <x v="179"/>
    <x v="8"/>
    <s v="Percent change"/>
    <s v="Units"/>
    <x v="4"/>
    <n v="3.8"/>
  </r>
  <r>
    <n v="603"/>
    <x v="12"/>
    <x v="179"/>
    <x v="8"/>
    <s v="Percent change"/>
    <s v="Units"/>
    <x v="5"/>
    <n v="4.5"/>
  </r>
  <r>
    <n v="603"/>
    <x v="12"/>
    <x v="179"/>
    <x v="8"/>
    <s v="Percent change"/>
    <s v="Units"/>
    <x v="6"/>
    <n v="4.5999999999999996"/>
  </r>
  <r>
    <n v="205"/>
    <x v="7"/>
    <x v="106"/>
    <x v="1"/>
    <s v="Percent change"/>
    <s v="Units"/>
    <x v="0"/>
    <n v="1.839"/>
  </r>
  <r>
    <n v="205"/>
    <x v="7"/>
    <x v="106"/>
    <x v="1"/>
    <s v="Percent change"/>
    <s v="Units"/>
    <x v="1"/>
    <n v="0.94199999999999995"/>
  </r>
  <r>
    <n v="205"/>
    <x v="7"/>
    <x v="106"/>
    <x v="1"/>
    <s v="Percent change"/>
    <s v="Units"/>
    <x v="2"/>
    <n v="0.73599999999999999"/>
  </r>
  <r>
    <n v="205"/>
    <x v="7"/>
    <x v="106"/>
    <x v="1"/>
    <s v="Percent change"/>
    <s v="Units"/>
    <x v="3"/>
    <n v="1.7470000000000001"/>
  </r>
  <r>
    <n v="205"/>
    <x v="7"/>
    <x v="106"/>
    <x v="1"/>
    <s v="Percent change"/>
    <s v="Units"/>
    <x v="4"/>
    <n v="2.577"/>
  </r>
  <r>
    <n v="205"/>
    <x v="7"/>
    <x v="106"/>
    <x v="1"/>
    <s v="Percent change"/>
    <s v="Units"/>
    <x v="5"/>
    <n v="4.484"/>
  </r>
  <r>
    <n v="205"/>
    <x v="7"/>
    <x v="106"/>
    <x v="1"/>
    <s v="Percent change"/>
    <s v="Units"/>
    <x v="6"/>
    <n v="4.1660000000000004"/>
  </r>
  <r>
    <n v="1"/>
    <x v="2"/>
    <x v="106"/>
    <x v="1"/>
    <s v="Percent change"/>
    <s v="Units"/>
    <x v="0"/>
    <n v="1.839"/>
  </r>
  <r>
    <n v="1"/>
    <x v="2"/>
    <x v="106"/>
    <x v="1"/>
    <s v="Percent change"/>
    <s v="Units"/>
    <x v="1"/>
    <n v="0.94199999999999995"/>
  </r>
  <r>
    <n v="1"/>
    <x v="2"/>
    <x v="106"/>
    <x v="1"/>
    <s v="Percent change"/>
    <s v="Units"/>
    <x v="2"/>
    <n v="0.73599999999999999"/>
  </r>
  <r>
    <n v="1"/>
    <x v="2"/>
    <x v="106"/>
    <x v="1"/>
    <s v="Percent change"/>
    <s v="Units"/>
    <x v="3"/>
    <n v="1.7470000000000001"/>
  </r>
  <r>
    <n v="1"/>
    <x v="2"/>
    <x v="106"/>
    <x v="1"/>
    <s v="Percent change"/>
    <s v="Units"/>
    <x v="4"/>
    <n v="2.577"/>
  </r>
  <r>
    <n v="1"/>
    <x v="2"/>
    <x v="106"/>
    <x v="1"/>
    <s v="Percent change"/>
    <s v="Units"/>
    <x v="5"/>
    <n v="4.484"/>
  </r>
  <r>
    <n v="1"/>
    <x v="2"/>
    <x v="106"/>
    <x v="1"/>
    <s v="Percent change"/>
    <s v="Units"/>
    <x v="6"/>
    <n v="4.1660000000000004"/>
  </r>
  <r>
    <n v="200"/>
    <x v="3"/>
    <x v="106"/>
    <x v="1"/>
    <s v="Percent change"/>
    <s v="Units"/>
    <x v="0"/>
    <n v="1.839"/>
  </r>
  <r>
    <n v="200"/>
    <x v="3"/>
    <x v="106"/>
    <x v="1"/>
    <s v="Percent change"/>
    <s v="Units"/>
    <x v="1"/>
    <n v="0.94199999999999995"/>
  </r>
  <r>
    <n v="200"/>
    <x v="3"/>
    <x v="106"/>
    <x v="1"/>
    <s v="Percent change"/>
    <s v="Units"/>
    <x v="2"/>
    <n v="0.73599999999999999"/>
  </r>
  <r>
    <n v="200"/>
    <x v="3"/>
    <x v="106"/>
    <x v="1"/>
    <s v="Percent change"/>
    <s v="Units"/>
    <x v="3"/>
    <n v="1.7470000000000001"/>
  </r>
  <r>
    <n v="200"/>
    <x v="3"/>
    <x v="106"/>
    <x v="1"/>
    <s v="Percent change"/>
    <s v="Units"/>
    <x v="4"/>
    <n v="2.577"/>
  </r>
  <r>
    <n v="200"/>
    <x v="3"/>
    <x v="106"/>
    <x v="1"/>
    <s v="Percent change"/>
    <s v="Units"/>
    <x v="5"/>
    <n v="4.484"/>
  </r>
  <r>
    <n v="200"/>
    <x v="3"/>
    <x v="106"/>
    <x v="1"/>
    <s v="Percent change"/>
    <s v="Units"/>
    <x v="6"/>
    <n v="4.1660000000000004"/>
  </r>
  <r>
    <n v="200"/>
    <x v="3"/>
    <x v="64"/>
    <x v="1"/>
    <s v="Percent change"/>
    <s v="Units"/>
    <x v="0"/>
    <n v="-1.8129999999999999"/>
  </r>
  <r>
    <n v="200"/>
    <x v="3"/>
    <x v="64"/>
    <x v="1"/>
    <s v="Percent change"/>
    <s v="Units"/>
    <x v="1"/>
    <n v="2.5529999999999999"/>
  </r>
  <r>
    <n v="200"/>
    <x v="3"/>
    <x v="64"/>
    <x v="1"/>
    <s v="Percent change"/>
    <s v="Units"/>
    <x v="2"/>
    <n v="2.0539999999999998"/>
  </r>
  <r>
    <n v="200"/>
    <x v="3"/>
    <x v="64"/>
    <x v="1"/>
    <s v="Percent change"/>
    <s v="Units"/>
    <x v="3"/>
    <n v="5.3460000000000001"/>
  </r>
  <r>
    <n v="200"/>
    <x v="3"/>
    <x v="64"/>
    <x v="1"/>
    <s v="Percent change"/>
    <s v="Units"/>
    <x v="4"/>
    <n v="9.2769999999999992"/>
  </r>
  <r>
    <n v="200"/>
    <x v="3"/>
    <x v="64"/>
    <x v="1"/>
    <s v="Percent change"/>
    <s v="Units"/>
    <x v="5"/>
    <n v="4.4690000000000003"/>
  </r>
  <r>
    <n v="200"/>
    <x v="3"/>
    <x v="64"/>
    <x v="1"/>
    <s v="Percent change"/>
    <s v="Units"/>
    <x v="6"/>
    <n v="3"/>
  </r>
  <r>
    <n v="1"/>
    <x v="2"/>
    <x v="64"/>
    <x v="1"/>
    <s v="Percent change"/>
    <s v="Units"/>
    <x v="0"/>
    <n v="-1.8129999999999999"/>
  </r>
  <r>
    <n v="1"/>
    <x v="2"/>
    <x v="64"/>
    <x v="1"/>
    <s v="Percent change"/>
    <s v="Units"/>
    <x v="1"/>
    <n v="2.5529999999999999"/>
  </r>
  <r>
    <n v="1"/>
    <x v="2"/>
    <x v="64"/>
    <x v="1"/>
    <s v="Percent change"/>
    <s v="Units"/>
    <x v="2"/>
    <n v="2.0539999999999998"/>
  </r>
  <r>
    <n v="1"/>
    <x v="2"/>
    <x v="64"/>
    <x v="1"/>
    <s v="Percent change"/>
    <s v="Units"/>
    <x v="3"/>
    <n v="5.3460000000000001"/>
  </r>
  <r>
    <n v="1"/>
    <x v="2"/>
    <x v="64"/>
    <x v="1"/>
    <s v="Percent change"/>
    <s v="Units"/>
    <x v="4"/>
    <n v="9.2769999999999992"/>
  </r>
  <r>
    <n v="1"/>
    <x v="2"/>
    <x v="64"/>
    <x v="1"/>
    <s v="Percent change"/>
    <s v="Units"/>
    <x v="5"/>
    <n v="4.4690000000000003"/>
  </r>
  <r>
    <n v="1"/>
    <x v="2"/>
    <x v="64"/>
    <x v="1"/>
    <s v="Percent change"/>
    <s v="Units"/>
    <x v="6"/>
    <n v="3"/>
  </r>
  <r>
    <n v="505"/>
    <x v="4"/>
    <x v="64"/>
    <x v="1"/>
    <s v="Percent change"/>
    <s v="Units"/>
    <x v="0"/>
    <n v="-1.8129999999999999"/>
  </r>
  <r>
    <n v="505"/>
    <x v="4"/>
    <x v="64"/>
    <x v="1"/>
    <s v="Percent change"/>
    <s v="Units"/>
    <x v="1"/>
    <n v="2.5529999999999999"/>
  </r>
  <r>
    <n v="505"/>
    <x v="4"/>
    <x v="64"/>
    <x v="1"/>
    <s v="Percent change"/>
    <s v="Units"/>
    <x v="2"/>
    <n v="2.0539999999999998"/>
  </r>
  <r>
    <n v="505"/>
    <x v="4"/>
    <x v="64"/>
    <x v="1"/>
    <s v="Percent change"/>
    <s v="Units"/>
    <x v="3"/>
    <n v="5.3460000000000001"/>
  </r>
  <r>
    <n v="505"/>
    <x v="4"/>
    <x v="64"/>
    <x v="1"/>
    <s v="Percent change"/>
    <s v="Units"/>
    <x v="4"/>
    <n v="9.2769999999999992"/>
  </r>
  <r>
    <n v="505"/>
    <x v="4"/>
    <x v="64"/>
    <x v="1"/>
    <s v="Percent change"/>
    <s v="Units"/>
    <x v="5"/>
    <n v="4.4690000000000003"/>
  </r>
  <r>
    <n v="505"/>
    <x v="4"/>
    <x v="64"/>
    <x v="1"/>
    <s v="Percent change"/>
    <s v="Units"/>
    <x v="6"/>
    <n v="3"/>
  </r>
  <r>
    <n v="1"/>
    <x v="2"/>
    <x v="119"/>
    <x v="8"/>
    <s v="Percent change"/>
    <s v="Units"/>
    <x v="0"/>
    <n v="4.601"/>
  </r>
  <r>
    <n v="1"/>
    <x v="2"/>
    <x v="119"/>
    <x v="8"/>
    <s v="Percent change"/>
    <s v="Units"/>
    <x v="1"/>
    <n v="-7.149"/>
  </r>
  <r>
    <n v="1"/>
    <x v="2"/>
    <x v="119"/>
    <x v="8"/>
    <s v="Percent change"/>
    <s v="Units"/>
    <x v="2"/>
    <n v="5.5069999999999997"/>
  </r>
  <r>
    <n v="1"/>
    <x v="2"/>
    <x v="119"/>
    <x v="8"/>
    <s v="Percent change"/>
    <s v="Units"/>
    <x v="3"/>
    <n v="6.3319999999999999"/>
  </r>
  <r>
    <n v="1"/>
    <x v="2"/>
    <x v="119"/>
    <x v="8"/>
    <s v="Percent change"/>
    <s v="Units"/>
    <x v="4"/>
    <n v="4.1959999999999997"/>
  </r>
  <r>
    <n v="1"/>
    <x v="2"/>
    <x v="119"/>
    <x v="8"/>
    <s v="Percent change"/>
    <s v="Units"/>
    <x v="5"/>
    <n v="4.4459999999999997"/>
  </r>
  <r>
    <n v="1"/>
    <x v="2"/>
    <x v="119"/>
    <x v="8"/>
    <s v="Percent change"/>
    <s v="Units"/>
    <x v="6"/>
    <n v="4.1790000000000003"/>
  </r>
  <r>
    <n v="400"/>
    <x v="11"/>
    <x v="119"/>
    <x v="8"/>
    <s v="Percent change"/>
    <s v="Units"/>
    <x v="0"/>
    <n v="4.601"/>
  </r>
  <r>
    <n v="400"/>
    <x v="11"/>
    <x v="119"/>
    <x v="8"/>
    <s v="Percent change"/>
    <s v="Units"/>
    <x v="1"/>
    <n v="-7.149"/>
  </r>
  <r>
    <n v="400"/>
    <x v="11"/>
    <x v="119"/>
    <x v="8"/>
    <s v="Percent change"/>
    <s v="Units"/>
    <x v="2"/>
    <n v="5.5069999999999997"/>
  </r>
  <r>
    <n v="400"/>
    <x v="11"/>
    <x v="119"/>
    <x v="8"/>
    <s v="Percent change"/>
    <s v="Units"/>
    <x v="3"/>
    <n v="6.3319999999999999"/>
  </r>
  <r>
    <n v="400"/>
    <x v="11"/>
    <x v="119"/>
    <x v="8"/>
    <s v="Percent change"/>
    <s v="Units"/>
    <x v="4"/>
    <n v="4.1959999999999997"/>
  </r>
  <r>
    <n v="400"/>
    <x v="11"/>
    <x v="119"/>
    <x v="8"/>
    <s v="Percent change"/>
    <s v="Units"/>
    <x v="5"/>
    <n v="4.4459999999999997"/>
  </r>
  <r>
    <n v="400"/>
    <x v="11"/>
    <x v="119"/>
    <x v="8"/>
    <s v="Percent change"/>
    <s v="Units"/>
    <x v="6"/>
    <n v="4.1790000000000003"/>
  </r>
  <r>
    <n v="200"/>
    <x v="3"/>
    <x v="119"/>
    <x v="8"/>
    <s v="Percent change"/>
    <s v="Units"/>
    <x v="0"/>
    <n v="4.601"/>
  </r>
  <r>
    <n v="200"/>
    <x v="3"/>
    <x v="119"/>
    <x v="8"/>
    <s v="Percent change"/>
    <s v="Units"/>
    <x v="1"/>
    <n v="-7.149"/>
  </r>
  <r>
    <n v="200"/>
    <x v="3"/>
    <x v="119"/>
    <x v="8"/>
    <s v="Percent change"/>
    <s v="Units"/>
    <x v="2"/>
    <n v="5.5069999999999997"/>
  </r>
  <r>
    <n v="200"/>
    <x v="3"/>
    <x v="119"/>
    <x v="8"/>
    <s v="Percent change"/>
    <s v="Units"/>
    <x v="3"/>
    <n v="6.3319999999999999"/>
  </r>
  <r>
    <n v="200"/>
    <x v="3"/>
    <x v="119"/>
    <x v="8"/>
    <s v="Percent change"/>
    <s v="Units"/>
    <x v="4"/>
    <n v="4.1959999999999997"/>
  </r>
  <r>
    <n v="200"/>
    <x v="3"/>
    <x v="119"/>
    <x v="8"/>
    <s v="Percent change"/>
    <s v="Units"/>
    <x v="5"/>
    <n v="4.4459999999999997"/>
  </r>
  <r>
    <n v="200"/>
    <x v="3"/>
    <x v="119"/>
    <x v="8"/>
    <s v="Percent change"/>
    <s v="Units"/>
    <x v="6"/>
    <n v="4.1790000000000003"/>
  </r>
  <r>
    <n v="200"/>
    <x v="3"/>
    <x v="104"/>
    <x v="1"/>
    <s v="Percent change"/>
    <s v="Units"/>
    <x v="0"/>
    <n v="2.7810000000000001"/>
  </r>
  <r>
    <n v="200"/>
    <x v="3"/>
    <x v="104"/>
    <x v="1"/>
    <s v="Percent change"/>
    <s v="Units"/>
    <x v="1"/>
    <n v="3.1419999999999999"/>
  </r>
  <r>
    <n v="200"/>
    <x v="3"/>
    <x v="104"/>
    <x v="1"/>
    <s v="Percent change"/>
    <s v="Units"/>
    <x v="2"/>
    <n v="5.6879999999999997"/>
  </r>
  <r>
    <n v="200"/>
    <x v="3"/>
    <x v="104"/>
    <x v="1"/>
    <s v="Percent change"/>
    <s v="Units"/>
    <x v="3"/>
    <n v="9.77"/>
  </r>
  <r>
    <n v="200"/>
    <x v="3"/>
    <x v="104"/>
    <x v="1"/>
    <s v="Percent change"/>
    <s v="Units"/>
    <x v="4"/>
    <n v="6.14"/>
  </r>
  <r>
    <n v="200"/>
    <x v="3"/>
    <x v="104"/>
    <x v="1"/>
    <s v="Percent change"/>
    <s v="Units"/>
    <x v="5"/>
    <n v="4.4390000000000001"/>
  </r>
  <r>
    <n v="200"/>
    <x v="3"/>
    <x v="104"/>
    <x v="1"/>
    <s v="Percent change"/>
    <s v="Units"/>
    <x v="6"/>
    <n v="5.5380000000000003"/>
  </r>
  <r>
    <n v="1"/>
    <x v="2"/>
    <x v="104"/>
    <x v="1"/>
    <s v="Percent change"/>
    <s v="Units"/>
    <x v="0"/>
    <n v="2.7810000000000001"/>
  </r>
  <r>
    <n v="1"/>
    <x v="2"/>
    <x v="104"/>
    <x v="1"/>
    <s v="Percent change"/>
    <s v="Units"/>
    <x v="1"/>
    <n v="3.1419999999999999"/>
  </r>
  <r>
    <n v="1"/>
    <x v="2"/>
    <x v="104"/>
    <x v="1"/>
    <s v="Percent change"/>
    <s v="Units"/>
    <x v="2"/>
    <n v="5.6879999999999997"/>
  </r>
  <r>
    <n v="1"/>
    <x v="2"/>
    <x v="104"/>
    <x v="1"/>
    <s v="Percent change"/>
    <s v="Units"/>
    <x v="3"/>
    <n v="9.77"/>
  </r>
  <r>
    <n v="1"/>
    <x v="2"/>
    <x v="104"/>
    <x v="1"/>
    <s v="Percent change"/>
    <s v="Units"/>
    <x v="4"/>
    <n v="6.14"/>
  </r>
  <r>
    <n v="1"/>
    <x v="2"/>
    <x v="104"/>
    <x v="1"/>
    <s v="Percent change"/>
    <s v="Units"/>
    <x v="5"/>
    <n v="4.4390000000000001"/>
  </r>
  <r>
    <n v="1"/>
    <x v="2"/>
    <x v="104"/>
    <x v="1"/>
    <s v="Percent change"/>
    <s v="Units"/>
    <x v="6"/>
    <n v="5.5380000000000003"/>
  </r>
  <r>
    <n v="603"/>
    <x v="12"/>
    <x v="104"/>
    <x v="1"/>
    <s v="Percent change"/>
    <s v="Units"/>
    <x v="0"/>
    <n v="2.7810000000000001"/>
  </r>
  <r>
    <n v="603"/>
    <x v="12"/>
    <x v="104"/>
    <x v="1"/>
    <s v="Percent change"/>
    <s v="Units"/>
    <x v="1"/>
    <n v="3.1419999999999999"/>
  </r>
  <r>
    <n v="603"/>
    <x v="12"/>
    <x v="104"/>
    <x v="1"/>
    <s v="Percent change"/>
    <s v="Units"/>
    <x v="2"/>
    <n v="5.6879999999999997"/>
  </r>
  <r>
    <n v="603"/>
    <x v="12"/>
    <x v="104"/>
    <x v="1"/>
    <s v="Percent change"/>
    <s v="Units"/>
    <x v="3"/>
    <n v="9.77"/>
  </r>
  <r>
    <n v="603"/>
    <x v="12"/>
    <x v="104"/>
    <x v="1"/>
    <s v="Percent change"/>
    <s v="Units"/>
    <x v="4"/>
    <n v="6.14"/>
  </r>
  <r>
    <n v="603"/>
    <x v="12"/>
    <x v="104"/>
    <x v="1"/>
    <s v="Percent change"/>
    <s v="Units"/>
    <x v="5"/>
    <n v="4.4390000000000001"/>
  </r>
  <r>
    <n v="603"/>
    <x v="12"/>
    <x v="104"/>
    <x v="1"/>
    <s v="Percent change"/>
    <s v="Units"/>
    <x v="6"/>
    <n v="5.5380000000000003"/>
  </r>
  <r>
    <n v="200"/>
    <x v="3"/>
    <x v="153"/>
    <x v="8"/>
    <s v="Percent change"/>
    <s v="Units"/>
    <x v="0"/>
    <n v="1.1240000000000001"/>
  </r>
  <r>
    <n v="200"/>
    <x v="3"/>
    <x v="153"/>
    <x v="8"/>
    <s v="Percent change"/>
    <s v="Units"/>
    <x v="1"/>
    <n v="-6.2679999999999998"/>
  </r>
  <r>
    <n v="200"/>
    <x v="3"/>
    <x v="153"/>
    <x v="8"/>
    <s v="Percent change"/>
    <s v="Units"/>
    <x v="2"/>
    <n v="1.0569999999999999"/>
  </r>
  <r>
    <n v="200"/>
    <x v="3"/>
    <x v="153"/>
    <x v="8"/>
    <s v="Percent change"/>
    <s v="Units"/>
    <x v="3"/>
    <n v="1.75"/>
  </r>
  <r>
    <n v="200"/>
    <x v="3"/>
    <x v="153"/>
    <x v="8"/>
    <s v="Percent change"/>
    <s v="Units"/>
    <x v="4"/>
    <n v="4.0330000000000004"/>
  </r>
  <r>
    <n v="200"/>
    <x v="3"/>
    <x v="153"/>
    <x v="8"/>
    <s v="Percent change"/>
    <s v="Units"/>
    <x v="5"/>
    <n v="4.4320000000000004"/>
  </r>
  <r>
    <n v="200"/>
    <x v="3"/>
    <x v="153"/>
    <x v="8"/>
    <s v="Percent change"/>
    <s v="Units"/>
    <x v="6"/>
    <n v="3.234"/>
  </r>
  <r>
    <n v="603"/>
    <x v="12"/>
    <x v="153"/>
    <x v="8"/>
    <s v="Percent change"/>
    <s v="Units"/>
    <x v="0"/>
    <n v="1.1240000000000001"/>
  </r>
  <r>
    <n v="603"/>
    <x v="12"/>
    <x v="153"/>
    <x v="8"/>
    <s v="Percent change"/>
    <s v="Units"/>
    <x v="1"/>
    <n v="-6.2679999999999998"/>
  </r>
  <r>
    <n v="603"/>
    <x v="12"/>
    <x v="153"/>
    <x v="8"/>
    <s v="Percent change"/>
    <s v="Units"/>
    <x v="2"/>
    <n v="1.0569999999999999"/>
  </r>
  <r>
    <n v="603"/>
    <x v="12"/>
    <x v="153"/>
    <x v="8"/>
    <s v="Percent change"/>
    <s v="Units"/>
    <x v="3"/>
    <n v="1.75"/>
  </r>
  <r>
    <n v="603"/>
    <x v="12"/>
    <x v="153"/>
    <x v="8"/>
    <s v="Percent change"/>
    <s v="Units"/>
    <x v="4"/>
    <n v="4.0330000000000004"/>
  </r>
  <r>
    <n v="603"/>
    <x v="12"/>
    <x v="153"/>
    <x v="8"/>
    <s v="Percent change"/>
    <s v="Units"/>
    <x v="5"/>
    <n v="4.4320000000000004"/>
  </r>
  <r>
    <n v="603"/>
    <x v="12"/>
    <x v="153"/>
    <x v="8"/>
    <s v="Percent change"/>
    <s v="Units"/>
    <x v="6"/>
    <n v="3.234"/>
  </r>
  <r>
    <n v="1"/>
    <x v="2"/>
    <x v="153"/>
    <x v="8"/>
    <s v="Percent change"/>
    <s v="Units"/>
    <x v="0"/>
    <n v="1.1240000000000001"/>
  </r>
  <r>
    <n v="1"/>
    <x v="2"/>
    <x v="153"/>
    <x v="8"/>
    <s v="Percent change"/>
    <s v="Units"/>
    <x v="1"/>
    <n v="-6.2679999999999998"/>
  </r>
  <r>
    <n v="1"/>
    <x v="2"/>
    <x v="153"/>
    <x v="8"/>
    <s v="Percent change"/>
    <s v="Units"/>
    <x v="2"/>
    <n v="1.0569999999999999"/>
  </r>
  <r>
    <n v="1"/>
    <x v="2"/>
    <x v="153"/>
    <x v="8"/>
    <s v="Percent change"/>
    <s v="Units"/>
    <x v="3"/>
    <n v="1.75"/>
  </r>
  <r>
    <n v="1"/>
    <x v="2"/>
    <x v="153"/>
    <x v="8"/>
    <s v="Percent change"/>
    <s v="Units"/>
    <x v="4"/>
    <n v="4.0330000000000004"/>
  </r>
  <r>
    <n v="1"/>
    <x v="2"/>
    <x v="153"/>
    <x v="8"/>
    <s v="Percent change"/>
    <s v="Units"/>
    <x v="5"/>
    <n v="4.4320000000000004"/>
  </r>
  <r>
    <n v="1"/>
    <x v="2"/>
    <x v="153"/>
    <x v="8"/>
    <s v="Percent change"/>
    <s v="Units"/>
    <x v="6"/>
    <n v="3.234"/>
  </r>
  <r>
    <n v="505"/>
    <x v="4"/>
    <x v="1"/>
    <x v="6"/>
    <s v="Percent change"/>
    <s v="Units"/>
    <x v="0"/>
    <n v="-1.74"/>
  </r>
  <r>
    <n v="505"/>
    <x v="4"/>
    <x v="1"/>
    <x v="6"/>
    <s v="Percent change"/>
    <s v="Units"/>
    <x v="1"/>
    <n v="-6.6849999999999996"/>
  </r>
  <r>
    <n v="505"/>
    <x v="4"/>
    <x v="1"/>
    <x v="6"/>
    <s v="Percent change"/>
    <s v="Units"/>
    <x v="2"/>
    <n v="10.452"/>
  </r>
  <r>
    <n v="505"/>
    <x v="4"/>
    <x v="1"/>
    <x v="6"/>
    <s v="Percent change"/>
    <s v="Units"/>
    <x v="3"/>
    <n v="-2.6389999999999998"/>
  </r>
  <r>
    <n v="505"/>
    <x v="4"/>
    <x v="1"/>
    <x v="6"/>
    <s v="Percent change"/>
    <s v="Units"/>
    <x v="4"/>
    <n v="3.0009999999999999"/>
  </r>
  <r>
    <n v="505"/>
    <x v="4"/>
    <x v="1"/>
    <x v="6"/>
    <s v="Percent change"/>
    <s v="Units"/>
    <x v="5"/>
    <n v="4.4290000000000003"/>
  </r>
  <r>
    <n v="505"/>
    <x v="4"/>
    <x v="1"/>
    <x v="6"/>
    <s v="Percent change"/>
    <s v="Units"/>
    <x v="6"/>
    <n v="1.5880000000000001"/>
  </r>
  <r>
    <n v="200"/>
    <x v="3"/>
    <x v="1"/>
    <x v="6"/>
    <s v="Percent change"/>
    <s v="Units"/>
    <x v="0"/>
    <n v="-1.74"/>
  </r>
  <r>
    <n v="200"/>
    <x v="3"/>
    <x v="1"/>
    <x v="6"/>
    <s v="Percent change"/>
    <s v="Units"/>
    <x v="1"/>
    <n v="-6.6849999999999996"/>
  </r>
  <r>
    <n v="200"/>
    <x v="3"/>
    <x v="1"/>
    <x v="6"/>
    <s v="Percent change"/>
    <s v="Units"/>
    <x v="2"/>
    <n v="10.452"/>
  </r>
  <r>
    <n v="200"/>
    <x v="3"/>
    <x v="1"/>
    <x v="6"/>
    <s v="Percent change"/>
    <s v="Units"/>
    <x v="3"/>
    <n v="-2.6389999999999998"/>
  </r>
  <r>
    <n v="200"/>
    <x v="3"/>
    <x v="1"/>
    <x v="6"/>
    <s v="Percent change"/>
    <s v="Units"/>
    <x v="4"/>
    <n v="3.0009999999999999"/>
  </r>
  <r>
    <n v="200"/>
    <x v="3"/>
    <x v="1"/>
    <x v="6"/>
    <s v="Percent change"/>
    <s v="Units"/>
    <x v="5"/>
    <n v="4.4290000000000003"/>
  </r>
  <r>
    <n v="200"/>
    <x v="3"/>
    <x v="1"/>
    <x v="6"/>
    <s v="Percent change"/>
    <s v="Units"/>
    <x v="6"/>
    <n v="1.5880000000000001"/>
  </r>
  <r>
    <n v="200"/>
    <x v="3"/>
    <x v="41"/>
    <x v="4"/>
    <s v="Percent change"/>
    <s v="Units"/>
    <x v="0"/>
    <n v="5.008"/>
  </r>
  <r>
    <n v="200"/>
    <x v="3"/>
    <x v="41"/>
    <x v="4"/>
    <s v="Percent change"/>
    <s v="Units"/>
    <x v="1"/>
    <n v="-9.3140000000000001"/>
  </r>
  <r>
    <n v="200"/>
    <x v="3"/>
    <x v="41"/>
    <x v="4"/>
    <s v="Percent change"/>
    <s v="Units"/>
    <x v="2"/>
    <n v="12.488"/>
  </r>
  <r>
    <n v="200"/>
    <x v="3"/>
    <x v="41"/>
    <x v="4"/>
    <s v="Percent change"/>
    <s v="Units"/>
    <x v="3"/>
    <n v="9.27"/>
  </r>
  <r>
    <n v="200"/>
    <x v="3"/>
    <x v="41"/>
    <x v="4"/>
    <s v="Percent change"/>
    <s v="Units"/>
    <x v="4"/>
    <n v="-0.254"/>
  </r>
  <r>
    <n v="200"/>
    <x v="3"/>
    <x v="41"/>
    <x v="4"/>
    <s v="Percent change"/>
    <s v="Units"/>
    <x v="5"/>
    <n v="4.4290000000000003"/>
  </r>
  <r>
    <n v="200"/>
    <x v="3"/>
    <x v="41"/>
    <x v="4"/>
    <s v="Percent change"/>
    <s v="Units"/>
    <x v="6"/>
    <n v="6.9219999999999997"/>
  </r>
  <r>
    <n v="1"/>
    <x v="2"/>
    <x v="41"/>
    <x v="4"/>
    <s v="Percent change"/>
    <s v="Units"/>
    <x v="0"/>
    <n v="5.008"/>
  </r>
  <r>
    <n v="1"/>
    <x v="2"/>
    <x v="41"/>
    <x v="4"/>
    <s v="Percent change"/>
    <s v="Units"/>
    <x v="1"/>
    <n v="-9.3140000000000001"/>
  </r>
  <r>
    <n v="1"/>
    <x v="2"/>
    <x v="41"/>
    <x v="4"/>
    <s v="Percent change"/>
    <s v="Units"/>
    <x v="2"/>
    <n v="12.488"/>
  </r>
  <r>
    <n v="1"/>
    <x v="2"/>
    <x v="41"/>
    <x v="4"/>
    <s v="Percent change"/>
    <s v="Units"/>
    <x v="3"/>
    <n v="9.27"/>
  </r>
  <r>
    <n v="1"/>
    <x v="2"/>
    <x v="41"/>
    <x v="4"/>
    <s v="Percent change"/>
    <s v="Units"/>
    <x v="4"/>
    <n v="-0.254"/>
  </r>
  <r>
    <n v="1"/>
    <x v="2"/>
    <x v="41"/>
    <x v="4"/>
    <s v="Percent change"/>
    <s v="Units"/>
    <x v="5"/>
    <n v="4.4290000000000003"/>
  </r>
  <r>
    <n v="1"/>
    <x v="2"/>
    <x v="41"/>
    <x v="4"/>
    <s v="Percent change"/>
    <s v="Units"/>
    <x v="6"/>
    <n v="6.9219999999999997"/>
  </r>
  <r>
    <n v="903"/>
    <x v="8"/>
    <x v="41"/>
    <x v="4"/>
    <s v="Percent change"/>
    <s v="Units"/>
    <x v="0"/>
    <n v="5.008"/>
  </r>
  <r>
    <n v="903"/>
    <x v="8"/>
    <x v="41"/>
    <x v="4"/>
    <s v="Percent change"/>
    <s v="Units"/>
    <x v="1"/>
    <n v="-9.3140000000000001"/>
  </r>
  <r>
    <n v="903"/>
    <x v="8"/>
    <x v="41"/>
    <x v="4"/>
    <s v="Percent change"/>
    <s v="Units"/>
    <x v="2"/>
    <n v="12.488"/>
  </r>
  <r>
    <n v="903"/>
    <x v="8"/>
    <x v="41"/>
    <x v="4"/>
    <s v="Percent change"/>
    <s v="Units"/>
    <x v="3"/>
    <n v="9.27"/>
  </r>
  <r>
    <n v="903"/>
    <x v="8"/>
    <x v="41"/>
    <x v="4"/>
    <s v="Percent change"/>
    <s v="Units"/>
    <x v="4"/>
    <n v="-0.254"/>
  </r>
  <r>
    <n v="903"/>
    <x v="8"/>
    <x v="41"/>
    <x v="4"/>
    <s v="Percent change"/>
    <s v="Units"/>
    <x v="5"/>
    <n v="4.4290000000000003"/>
  </r>
  <r>
    <n v="903"/>
    <x v="8"/>
    <x v="41"/>
    <x v="4"/>
    <s v="Percent change"/>
    <s v="Units"/>
    <x v="6"/>
    <n v="6.9219999999999997"/>
  </r>
  <r>
    <n v="1"/>
    <x v="2"/>
    <x v="1"/>
    <x v="6"/>
    <s v="Percent change"/>
    <s v="Units"/>
    <x v="0"/>
    <n v="-1.74"/>
  </r>
  <r>
    <n v="1"/>
    <x v="2"/>
    <x v="1"/>
    <x v="6"/>
    <s v="Percent change"/>
    <s v="Units"/>
    <x v="1"/>
    <n v="-6.6849999999999996"/>
  </r>
  <r>
    <n v="1"/>
    <x v="2"/>
    <x v="1"/>
    <x v="6"/>
    <s v="Percent change"/>
    <s v="Units"/>
    <x v="2"/>
    <n v="10.452"/>
  </r>
  <r>
    <n v="1"/>
    <x v="2"/>
    <x v="1"/>
    <x v="6"/>
    <s v="Percent change"/>
    <s v="Units"/>
    <x v="3"/>
    <n v="-2.6389999999999998"/>
  </r>
  <r>
    <n v="1"/>
    <x v="2"/>
    <x v="1"/>
    <x v="6"/>
    <s v="Percent change"/>
    <s v="Units"/>
    <x v="4"/>
    <n v="3.0009999999999999"/>
  </r>
  <r>
    <n v="1"/>
    <x v="2"/>
    <x v="1"/>
    <x v="6"/>
    <s v="Percent change"/>
    <s v="Units"/>
    <x v="5"/>
    <n v="4.4290000000000003"/>
  </r>
  <r>
    <n v="1"/>
    <x v="2"/>
    <x v="1"/>
    <x v="6"/>
    <s v="Percent change"/>
    <s v="Units"/>
    <x v="6"/>
    <n v="1.5880000000000001"/>
  </r>
  <r>
    <n v="200"/>
    <x v="3"/>
    <x v="36"/>
    <x v="8"/>
    <s v="Percent change"/>
    <s v="Units"/>
    <x v="0"/>
    <n v="4.4130000000000003"/>
  </r>
  <r>
    <n v="200"/>
    <x v="3"/>
    <x v="36"/>
    <x v="8"/>
    <s v="Percent change"/>
    <s v="Units"/>
    <x v="1"/>
    <n v="-5.4569999999999999"/>
  </r>
  <r>
    <n v="200"/>
    <x v="3"/>
    <x v="36"/>
    <x v="8"/>
    <s v="Percent change"/>
    <s v="Units"/>
    <x v="2"/>
    <n v="3.298"/>
  </r>
  <r>
    <n v="200"/>
    <x v="3"/>
    <x v="36"/>
    <x v="8"/>
    <s v="Percent change"/>
    <s v="Units"/>
    <x v="3"/>
    <n v="8.65"/>
  </r>
  <r>
    <n v="200"/>
    <x v="3"/>
    <x v="36"/>
    <x v="8"/>
    <s v="Percent change"/>
    <s v="Units"/>
    <x v="4"/>
    <n v="3.68"/>
  </r>
  <r>
    <n v="200"/>
    <x v="3"/>
    <x v="36"/>
    <x v="8"/>
    <s v="Percent change"/>
    <s v="Units"/>
    <x v="5"/>
    <n v="4.4210000000000003"/>
  </r>
  <r>
    <n v="200"/>
    <x v="3"/>
    <x v="36"/>
    <x v="8"/>
    <s v="Percent change"/>
    <s v="Units"/>
    <x v="6"/>
    <n v="4.3949999999999996"/>
  </r>
  <r>
    <n v="505"/>
    <x v="4"/>
    <x v="36"/>
    <x v="8"/>
    <s v="Percent change"/>
    <s v="Units"/>
    <x v="0"/>
    <n v="4.4130000000000003"/>
  </r>
  <r>
    <n v="505"/>
    <x v="4"/>
    <x v="36"/>
    <x v="8"/>
    <s v="Percent change"/>
    <s v="Units"/>
    <x v="1"/>
    <n v="-5.4569999999999999"/>
  </r>
  <r>
    <n v="505"/>
    <x v="4"/>
    <x v="36"/>
    <x v="8"/>
    <s v="Percent change"/>
    <s v="Units"/>
    <x v="2"/>
    <n v="3.298"/>
  </r>
  <r>
    <n v="505"/>
    <x v="4"/>
    <x v="36"/>
    <x v="8"/>
    <s v="Percent change"/>
    <s v="Units"/>
    <x v="3"/>
    <n v="8.65"/>
  </r>
  <r>
    <n v="505"/>
    <x v="4"/>
    <x v="36"/>
    <x v="8"/>
    <s v="Percent change"/>
    <s v="Units"/>
    <x v="4"/>
    <n v="3.68"/>
  </r>
  <r>
    <n v="505"/>
    <x v="4"/>
    <x v="36"/>
    <x v="8"/>
    <s v="Percent change"/>
    <s v="Units"/>
    <x v="5"/>
    <n v="4.4210000000000003"/>
  </r>
  <r>
    <n v="505"/>
    <x v="4"/>
    <x v="36"/>
    <x v="8"/>
    <s v="Percent change"/>
    <s v="Units"/>
    <x v="6"/>
    <n v="4.3949999999999996"/>
  </r>
  <r>
    <n v="1"/>
    <x v="2"/>
    <x v="36"/>
    <x v="8"/>
    <s v="Percent change"/>
    <s v="Units"/>
    <x v="0"/>
    <n v="4.4130000000000003"/>
  </r>
  <r>
    <n v="1"/>
    <x v="2"/>
    <x v="36"/>
    <x v="8"/>
    <s v="Percent change"/>
    <s v="Units"/>
    <x v="1"/>
    <n v="-5.4569999999999999"/>
  </r>
  <r>
    <n v="1"/>
    <x v="2"/>
    <x v="36"/>
    <x v="8"/>
    <s v="Percent change"/>
    <s v="Units"/>
    <x v="2"/>
    <n v="3.298"/>
  </r>
  <r>
    <n v="1"/>
    <x v="2"/>
    <x v="36"/>
    <x v="8"/>
    <s v="Percent change"/>
    <s v="Units"/>
    <x v="3"/>
    <n v="8.65"/>
  </r>
  <r>
    <n v="1"/>
    <x v="2"/>
    <x v="36"/>
    <x v="8"/>
    <s v="Percent change"/>
    <s v="Units"/>
    <x v="4"/>
    <n v="3.68"/>
  </r>
  <r>
    <n v="1"/>
    <x v="2"/>
    <x v="36"/>
    <x v="8"/>
    <s v="Percent change"/>
    <s v="Units"/>
    <x v="5"/>
    <n v="4.4210000000000003"/>
  </r>
  <r>
    <n v="1"/>
    <x v="2"/>
    <x v="36"/>
    <x v="8"/>
    <s v="Percent change"/>
    <s v="Units"/>
    <x v="6"/>
    <n v="4.3949999999999996"/>
  </r>
  <r>
    <n v="510"/>
    <x v="10"/>
    <x v="36"/>
    <x v="8"/>
    <s v="Percent change"/>
    <s v="Units"/>
    <x v="0"/>
    <n v="4.4130000000000003"/>
  </r>
  <r>
    <n v="510"/>
    <x v="10"/>
    <x v="36"/>
    <x v="8"/>
    <s v="Percent change"/>
    <s v="Units"/>
    <x v="1"/>
    <n v="-5.4569999999999999"/>
  </r>
  <r>
    <n v="510"/>
    <x v="10"/>
    <x v="36"/>
    <x v="8"/>
    <s v="Percent change"/>
    <s v="Units"/>
    <x v="2"/>
    <n v="3.298"/>
  </r>
  <r>
    <n v="510"/>
    <x v="10"/>
    <x v="36"/>
    <x v="8"/>
    <s v="Percent change"/>
    <s v="Units"/>
    <x v="3"/>
    <n v="8.65"/>
  </r>
  <r>
    <n v="510"/>
    <x v="10"/>
    <x v="36"/>
    <x v="8"/>
    <s v="Percent change"/>
    <s v="Units"/>
    <x v="4"/>
    <n v="3.68"/>
  </r>
  <r>
    <n v="510"/>
    <x v="10"/>
    <x v="36"/>
    <x v="8"/>
    <s v="Percent change"/>
    <s v="Units"/>
    <x v="5"/>
    <n v="4.4210000000000003"/>
  </r>
  <r>
    <n v="510"/>
    <x v="10"/>
    <x v="36"/>
    <x v="8"/>
    <s v="Percent change"/>
    <s v="Units"/>
    <x v="6"/>
    <n v="4.3949999999999996"/>
  </r>
  <r>
    <n v="1"/>
    <x v="2"/>
    <x v="172"/>
    <x v="4"/>
    <s v="Percent change"/>
    <s v="Units"/>
    <x v="0"/>
    <n v="-7.2779999999999996"/>
  </r>
  <r>
    <n v="1"/>
    <x v="2"/>
    <x v="172"/>
    <x v="4"/>
    <s v="Percent change"/>
    <s v="Units"/>
    <x v="1"/>
    <n v="-13.337"/>
  </r>
  <r>
    <n v="1"/>
    <x v="2"/>
    <x v="172"/>
    <x v="4"/>
    <s v="Percent change"/>
    <s v="Units"/>
    <x v="2"/>
    <n v="12.215999999999999"/>
  </r>
  <r>
    <n v="1"/>
    <x v="2"/>
    <x v="172"/>
    <x v="4"/>
    <s v="Percent change"/>
    <s v="Units"/>
    <x v="3"/>
    <n v="21.783999999999999"/>
  </r>
  <r>
    <n v="1"/>
    <x v="2"/>
    <x v="172"/>
    <x v="4"/>
    <s v="Percent change"/>
    <s v="Units"/>
    <x v="4"/>
    <n v="12.929"/>
  </r>
  <r>
    <n v="1"/>
    <x v="2"/>
    <x v="172"/>
    <x v="4"/>
    <s v="Percent change"/>
    <s v="Units"/>
    <x v="5"/>
    <n v="4.4180000000000001"/>
  </r>
  <r>
    <n v="1"/>
    <x v="2"/>
    <x v="172"/>
    <x v="4"/>
    <s v="Percent change"/>
    <s v="Units"/>
    <x v="6"/>
    <n v="12.436999999999999"/>
  </r>
  <r>
    <n v="200"/>
    <x v="3"/>
    <x v="172"/>
    <x v="4"/>
    <s v="Percent change"/>
    <s v="Units"/>
    <x v="0"/>
    <n v="-7.2779999999999996"/>
  </r>
  <r>
    <n v="200"/>
    <x v="3"/>
    <x v="172"/>
    <x v="4"/>
    <s v="Percent change"/>
    <s v="Units"/>
    <x v="1"/>
    <n v="-13.337"/>
  </r>
  <r>
    <n v="200"/>
    <x v="3"/>
    <x v="172"/>
    <x v="4"/>
    <s v="Percent change"/>
    <s v="Units"/>
    <x v="2"/>
    <n v="12.215999999999999"/>
  </r>
  <r>
    <n v="200"/>
    <x v="3"/>
    <x v="172"/>
    <x v="4"/>
    <s v="Percent change"/>
    <s v="Units"/>
    <x v="3"/>
    <n v="21.783999999999999"/>
  </r>
  <r>
    <n v="200"/>
    <x v="3"/>
    <x v="172"/>
    <x v="4"/>
    <s v="Percent change"/>
    <s v="Units"/>
    <x v="4"/>
    <n v="12.929"/>
  </r>
  <r>
    <n v="200"/>
    <x v="3"/>
    <x v="172"/>
    <x v="4"/>
    <s v="Percent change"/>
    <s v="Units"/>
    <x v="5"/>
    <n v="4.4180000000000001"/>
  </r>
  <r>
    <n v="200"/>
    <x v="3"/>
    <x v="172"/>
    <x v="4"/>
    <s v="Percent change"/>
    <s v="Units"/>
    <x v="6"/>
    <n v="12.436999999999999"/>
  </r>
  <r>
    <n v="603"/>
    <x v="12"/>
    <x v="172"/>
    <x v="4"/>
    <s v="Percent change"/>
    <s v="Units"/>
    <x v="0"/>
    <n v="-7.2779999999999996"/>
  </r>
  <r>
    <n v="603"/>
    <x v="12"/>
    <x v="172"/>
    <x v="4"/>
    <s v="Percent change"/>
    <s v="Units"/>
    <x v="1"/>
    <n v="-13.337"/>
  </r>
  <r>
    <n v="603"/>
    <x v="12"/>
    <x v="172"/>
    <x v="4"/>
    <s v="Percent change"/>
    <s v="Units"/>
    <x v="2"/>
    <n v="12.215999999999999"/>
  </r>
  <r>
    <n v="603"/>
    <x v="12"/>
    <x v="172"/>
    <x v="4"/>
    <s v="Percent change"/>
    <s v="Units"/>
    <x v="3"/>
    <n v="21.783999999999999"/>
  </r>
  <r>
    <n v="603"/>
    <x v="12"/>
    <x v="172"/>
    <x v="4"/>
    <s v="Percent change"/>
    <s v="Units"/>
    <x v="4"/>
    <n v="12.929"/>
  </r>
  <r>
    <n v="603"/>
    <x v="12"/>
    <x v="172"/>
    <x v="4"/>
    <s v="Percent change"/>
    <s v="Units"/>
    <x v="5"/>
    <n v="4.4180000000000001"/>
  </r>
  <r>
    <n v="603"/>
    <x v="12"/>
    <x v="172"/>
    <x v="4"/>
    <s v="Percent change"/>
    <s v="Units"/>
    <x v="6"/>
    <n v="12.436999999999999"/>
  </r>
  <r>
    <n v="603"/>
    <x v="12"/>
    <x v="171"/>
    <x v="1"/>
    <s v="Percent change"/>
    <s v="Units"/>
    <x v="0"/>
    <n v="1.244"/>
  </r>
  <r>
    <n v="603"/>
    <x v="12"/>
    <x v="171"/>
    <x v="1"/>
    <s v="Percent change"/>
    <s v="Units"/>
    <x v="1"/>
    <n v="4.766"/>
  </r>
  <r>
    <n v="603"/>
    <x v="12"/>
    <x v="171"/>
    <x v="1"/>
    <s v="Percent change"/>
    <s v="Units"/>
    <x v="2"/>
    <n v="-9.4E-2"/>
  </r>
  <r>
    <n v="603"/>
    <x v="12"/>
    <x v="171"/>
    <x v="1"/>
    <s v="Percent change"/>
    <s v="Units"/>
    <x v="3"/>
    <n v="4.8689999999999998"/>
  </r>
  <r>
    <n v="603"/>
    <x v="12"/>
    <x v="171"/>
    <x v="1"/>
    <s v="Percent change"/>
    <s v="Units"/>
    <x v="4"/>
    <n v="2.4990000000000001"/>
  </r>
  <r>
    <n v="603"/>
    <x v="12"/>
    <x v="171"/>
    <x v="1"/>
    <s v="Percent change"/>
    <s v="Units"/>
    <x v="5"/>
    <n v="4.4000000000000004"/>
  </r>
  <r>
    <n v="603"/>
    <x v="12"/>
    <x v="171"/>
    <x v="1"/>
    <s v="Percent change"/>
    <s v="Units"/>
    <x v="6"/>
    <n v="1.7629999999999999"/>
  </r>
  <r>
    <n v="200"/>
    <x v="3"/>
    <x v="171"/>
    <x v="1"/>
    <s v="Percent change"/>
    <s v="Units"/>
    <x v="0"/>
    <n v="1.244"/>
  </r>
  <r>
    <n v="200"/>
    <x v="3"/>
    <x v="171"/>
    <x v="1"/>
    <s v="Percent change"/>
    <s v="Units"/>
    <x v="1"/>
    <n v="4.766"/>
  </r>
  <r>
    <n v="200"/>
    <x v="3"/>
    <x v="171"/>
    <x v="1"/>
    <s v="Percent change"/>
    <s v="Units"/>
    <x v="2"/>
    <n v="-9.4E-2"/>
  </r>
  <r>
    <n v="200"/>
    <x v="3"/>
    <x v="171"/>
    <x v="1"/>
    <s v="Percent change"/>
    <s v="Units"/>
    <x v="3"/>
    <n v="4.8689999999999998"/>
  </r>
  <r>
    <n v="200"/>
    <x v="3"/>
    <x v="171"/>
    <x v="1"/>
    <s v="Percent change"/>
    <s v="Units"/>
    <x v="4"/>
    <n v="2.4990000000000001"/>
  </r>
  <r>
    <n v="200"/>
    <x v="3"/>
    <x v="171"/>
    <x v="1"/>
    <s v="Percent change"/>
    <s v="Units"/>
    <x v="5"/>
    <n v="4.4000000000000004"/>
  </r>
  <r>
    <n v="200"/>
    <x v="3"/>
    <x v="171"/>
    <x v="1"/>
    <s v="Percent change"/>
    <s v="Units"/>
    <x v="6"/>
    <n v="1.7629999999999999"/>
  </r>
  <r>
    <n v="1"/>
    <x v="2"/>
    <x v="171"/>
    <x v="1"/>
    <s v="Percent change"/>
    <s v="Units"/>
    <x v="0"/>
    <n v="1.244"/>
  </r>
  <r>
    <n v="1"/>
    <x v="2"/>
    <x v="171"/>
    <x v="1"/>
    <s v="Percent change"/>
    <s v="Units"/>
    <x v="1"/>
    <n v="4.766"/>
  </r>
  <r>
    <n v="1"/>
    <x v="2"/>
    <x v="171"/>
    <x v="1"/>
    <s v="Percent change"/>
    <s v="Units"/>
    <x v="2"/>
    <n v="-9.4E-2"/>
  </r>
  <r>
    <n v="1"/>
    <x v="2"/>
    <x v="171"/>
    <x v="1"/>
    <s v="Percent change"/>
    <s v="Units"/>
    <x v="3"/>
    <n v="4.8689999999999998"/>
  </r>
  <r>
    <n v="1"/>
    <x v="2"/>
    <x v="171"/>
    <x v="1"/>
    <s v="Percent change"/>
    <s v="Units"/>
    <x v="4"/>
    <n v="2.4990000000000001"/>
  </r>
  <r>
    <n v="1"/>
    <x v="2"/>
    <x v="171"/>
    <x v="1"/>
    <s v="Percent change"/>
    <s v="Units"/>
    <x v="5"/>
    <n v="4.4000000000000004"/>
  </r>
  <r>
    <n v="1"/>
    <x v="2"/>
    <x v="171"/>
    <x v="1"/>
    <s v="Percent change"/>
    <s v="Units"/>
    <x v="6"/>
    <n v="1.7629999999999999"/>
  </r>
  <r>
    <n v="1"/>
    <x v="2"/>
    <x v="70"/>
    <x v="6"/>
    <s v="Percent change"/>
    <s v="Units"/>
    <x v="0"/>
    <n v="5.2240000000000002"/>
  </r>
  <r>
    <n v="1"/>
    <x v="2"/>
    <x v="70"/>
    <x v="6"/>
    <s v="Percent change"/>
    <s v="Units"/>
    <x v="1"/>
    <n v="-4.9329999999999998"/>
  </r>
  <r>
    <n v="1"/>
    <x v="2"/>
    <x v="70"/>
    <x v="6"/>
    <s v="Percent change"/>
    <s v="Units"/>
    <x v="2"/>
    <n v="9.1280000000000001"/>
  </r>
  <r>
    <n v="1"/>
    <x v="2"/>
    <x v="70"/>
    <x v="6"/>
    <s v="Percent change"/>
    <s v="Units"/>
    <x v="3"/>
    <n v="13.301"/>
  </r>
  <r>
    <n v="1"/>
    <x v="2"/>
    <x v="70"/>
    <x v="6"/>
    <s v="Percent change"/>
    <s v="Units"/>
    <x v="4"/>
    <n v="2.024"/>
  </r>
  <r>
    <n v="1"/>
    <x v="2"/>
    <x v="70"/>
    <x v="6"/>
    <s v="Percent change"/>
    <s v="Units"/>
    <x v="5"/>
    <n v="4.3979999999999997"/>
  </r>
  <r>
    <n v="1"/>
    <x v="2"/>
    <x v="70"/>
    <x v="6"/>
    <s v="Percent change"/>
    <s v="Units"/>
    <x v="6"/>
    <n v="6.4729999999999999"/>
  </r>
  <r>
    <n v="903"/>
    <x v="8"/>
    <x v="70"/>
    <x v="6"/>
    <s v="Percent change"/>
    <s v="Units"/>
    <x v="0"/>
    <n v="5.2240000000000002"/>
  </r>
  <r>
    <n v="903"/>
    <x v="8"/>
    <x v="70"/>
    <x v="6"/>
    <s v="Percent change"/>
    <s v="Units"/>
    <x v="1"/>
    <n v="-4.9329999999999998"/>
  </r>
  <r>
    <n v="903"/>
    <x v="8"/>
    <x v="70"/>
    <x v="6"/>
    <s v="Percent change"/>
    <s v="Units"/>
    <x v="2"/>
    <n v="9.1280000000000001"/>
  </r>
  <r>
    <n v="903"/>
    <x v="8"/>
    <x v="70"/>
    <x v="6"/>
    <s v="Percent change"/>
    <s v="Units"/>
    <x v="3"/>
    <n v="13.301"/>
  </r>
  <r>
    <n v="903"/>
    <x v="8"/>
    <x v="70"/>
    <x v="6"/>
    <s v="Percent change"/>
    <s v="Units"/>
    <x v="4"/>
    <n v="2.024"/>
  </r>
  <r>
    <n v="903"/>
    <x v="8"/>
    <x v="70"/>
    <x v="6"/>
    <s v="Percent change"/>
    <s v="Units"/>
    <x v="5"/>
    <n v="4.3979999999999997"/>
  </r>
  <r>
    <n v="903"/>
    <x v="8"/>
    <x v="70"/>
    <x v="6"/>
    <s v="Percent change"/>
    <s v="Units"/>
    <x v="6"/>
    <n v="6.4729999999999999"/>
  </r>
  <r>
    <n v="200"/>
    <x v="3"/>
    <x v="70"/>
    <x v="6"/>
    <s v="Percent change"/>
    <s v="Units"/>
    <x v="0"/>
    <n v="5.2240000000000002"/>
  </r>
  <r>
    <n v="200"/>
    <x v="3"/>
    <x v="70"/>
    <x v="6"/>
    <s v="Percent change"/>
    <s v="Units"/>
    <x v="1"/>
    <n v="-4.9329999999999998"/>
  </r>
  <r>
    <n v="200"/>
    <x v="3"/>
    <x v="70"/>
    <x v="6"/>
    <s v="Percent change"/>
    <s v="Units"/>
    <x v="2"/>
    <n v="9.1280000000000001"/>
  </r>
  <r>
    <n v="200"/>
    <x v="3"/>
    <x v="70"/>
    <x v="6"/>
    <s v="Percent change"/>
    <s v="Units"/>
    <x v="3"/>
    <n v="13.301"/>
  </r>
  <r>
    <n v="200"/>
    <x v="3"/>
    <x v="70"/>
    <x v="6"/>
    <s v="Percent change"/>
    <s v="Units"/>
    <x v="4"/>
    <n v="2.024"/>
  </r>
  <r>
    <n v="200"/>
    <x v="3"/>
    <x v="70"/>
    <x v="6"/>
    <s v="Percent change"/>
    <s v="Units"/>
    <x v="5"/>
    <n v="4.3979999999999997"/>
  </r>
  <r>
    <n v="200"/>
    <x v="3"/>
    <x v="70"/>
    <x v="6"/>
    <s v="Percent change"/>
    <s v="Units"/>
    <x v="6"/>
    <n v="6.4729999999999999"/>
  </r>
  <r>
    <n v="205"/>
    <x v="7"/>
    <x v="131"/>
    <x v="1"/>
    <s v="Percent change"/>
    <s v="Units"/>
    <x v="0"/>
    <n v="4.3659999999999997"/>
  </r>
  <r>
    <n v="205"/>
    <x v="7"/>
    <x v="131"/>
    <x v="1"/>
    <s v="Percent change"/>
    <s v="Units"/>
    <x v="1"/>
    <n v="3.468"/>
  </r>
  <r>
    <n v="205"/>
    <x v="7"/>
    <x v="131"/>
    <x v="1"/>
    <s v="Percent change"/>
    <s v="Units"/>
    <x v="2"/>
    <n v="4.4809999999999999"/>
  </r>
  <r>
    <n v="205"/>
    <x v="7"/>
    <x v="131"/>
    <x v="1"/>
    <s v="Percent change"/>
    <s v="Units"/>
    <x v="3"/>
    <n v="9.09"/>
  </r>
  <r>
    <n v="205"/>
    <x v="7"/>
    <x v="131"/>
    <x v="1"/>
    <s v="Percent change"/>
    <s v="Units"/>
    <x v="4"/>
    <n v="6.6630000000000003"/>
  </r>
  <r>
    <n v="205"/>
    <x v="7"/>
    <x v="131"/>
    <x v="1"/>
    <s v="Percent change"/>
    <s v="Units"/>
    <x v="5"/>
    <n v="4.3899999999999997"/>
  </r>
  <r>
    <n v="205"/>
    <x v="7"/>
    <x v="131"/>
    <x v="1"/>
    <s v="Percent change"/>
    <s v="Units"/>
    <x v="6"/>
    <n v="4.1470000000000002"/>
  </r>
  <r>
    <n v="200"/>
    <x v="3"/>
    <x v="131"/>
    <x v="1"/>
    <s v="Percent change"/>
    <s v="Units"/>
    <x v="0"/>
    <n v="4.3659999999999997"/>
  </r>
  <r>
    <n v="200"/>
    <x v="3"/>
    <x v="131"/>
    <x v="1"/>
    <s v="Percent change"/>
    <s v="Units"/>
    <x v="1"/>
    <n v="3.468"/>
  </r>
  <r>
    <n v="200"/>
    <x v="3"/>
    <x v="131"/>
    <x v="1"/>
    <s v="Percent change"/>
    <s v="Units"/>
    <x v="2"/>
    <n v="4.4809999999999999"/>
  </r>
  <r>
    <n v="200"/>
    <x v="3"/>
    <x v="131"/>
    <x v="1"/>
    <s v="Percent change"/>
    <s v="Units"/>
    <x v="3"/>
    <n v="9.09"/>
  </r>
  <r>
    <n v="200"/>
    <x v="3"/>
    <x v="131"/>
    <x v="1"/>
    <s v="Percent change"/>
    <s v="Units"/>
    <x v="4"/>
    <n v="6.6630000000000003"/>
  </r>
  <r>
    <n v="200"/>
    <x v="3"/>
    <x v="131"/>
    <x v="1"/>
    <s v="Percent change"/>
    <s v="Units"/>
    <x v="5"/>
    <n v="4.3899999999999997"/>
  </r>
  <r>
    <n v="200"/>
    <x v="3"/>
    <x v="131"/>
    <x v="1"/>
    <s v="Percent change"/>
    <s v="Units"/>
    <x v="6"/>
    <n v="4.1470000000000002"/>
  </r>
  <r>
    <n v="1"/>
    <x v="2"/>
    <x v="131"/>
    <x v="1"/>
    <s v="Percent change"/>
    <s v="Units"/>
    <x v="0"/>
    <n v="4.3659999999999997"/>
  </r>
  <r>
    <n v="1"/>
    <x v="2"/>
    <x v="131"/>
    <x v="1"/>
    <s v="Percent change"/>
    <s v="Units"/>
    <x v="1"/>
    <n v="3.468"/>
  </r>
  <r>
    <n v="1"/>
    <x v="2"/>
    <x v="131"/>
    <x v="1"/>
    <s v="Percent change"/>
    <s v="Units"/>
    <x v="2"/>
    <n v="4.4809999999999999"/>
  </r>
  <r>
    <n v="1"/>
    <x v="2"/>
    <x v="131"/>
    <x v="1"/>
    <s v="Percent change"/>
    <s v="Units"/>
    <x v="3"/>
    <n v="9.09"/>
  </r>
  <r>
    <n v="1"/>
    <x v="2"/>
    <x v="131"/>
    <x v="1"/>
    <s v="Percent change"/>
    <s v="Units"/>
    <x v="4"/>
    <n v="6.6630000000000003"/>
  </r>
  <r>
    <n v="1"/>
    <x v="2"/>
    <x v="131"/>
    <x v="1"/>
    <s v="Percent change"/>
    <s v="Units"/>
    <x v="5"/>
    <n v="4.3899999999999997"/>
  </r>
  <r>
    <n v="1"/>
    <x v="2"/>
    <x v="131"/>
    <x v="1"/>
    <s v="Percent change"/>
    <s v="Units"/>
    <x v="6"/>
    <n v="4.1470000000000002"/>
  </r>
  <r>
    <n v="110"/>
    <x v="0"/>
    <x v="24"/>
    <x v="11"/>
    <s v="Percent of total labor force"/>
    <s v="Units"/>
    <x v="0"/>
    <n v="5"/>
  </r>
  <r>
    <n v="110"/>
    <x v="0"/>
    <x v="24"/>
    <x v="11"/>
    <s v="Percent of total labor force"/>
    <s v="Units"/>
    <x v="1"/>
    <n v="5.8419999999999996"/>
  </r>
  <r>
    <n v="110"/>
    <x v="0"/>
    <x v="24"/>
    <x v="11"/>
    <s v="Percent of total labor force"/>
    <s v="Units"/>
    <x v="2"/>
    <n v="6.242"/>
  </r>
  <r>
    <n v="110"/>
    <x v="0"/>
    <x v="24"/>
    <x v="11"/>
    <s v="Percent of total labor force"/>
    <s v="Units"/>
    <x v="3"/>
    <n v="4.45"/>
  </r>
  <r>
    <n v="110"/>
    <x v="0"/>
    <x v="24"/>
    <x v="11"/>
    <s v="Percent of total labor force"/>
    <s v="Units"/>
    <x v="4"/>
    <n v="4.3170000000000002"/>
  </r>
  <r>
    <n v="110"/>
    <x v="0"/>
    <x v="24"/>
    <x v="11"/>
    <s v="Percent of total labor force"/>
    <s v="Units"/>
    <x v="5"/>
    <n v="4.3849999999999998"/>
  </r>
  <r>
    <n v="110"/>
    <x v="0"/>
    <x v="24"/>
    <x v="11"/>
    <s v="Percent of total labor force"/>
    <s v="Units"/>
    <x v="6"/>
    <n v="4.4539999999999997"/>
  </r>
  <r>
    <n v="163"/>
    <x v="5"/>
    <x v="24"/>
    <x v="11"/>
    <s v="Percent of total labor force"/>
    <s v="Units"/>
    <x v="0"/>
    <n v="5"/>
  </r>
  <r>
    <n v="163"/>
    <x v="5"/>
    <x v="24"/>
    <x v="11"/>
    <s v="Percent of total labor force"/>
    <s v="Units"/>
    <x v="1"/>
    <n v="5.8419999999999996"/>
  </r>
  <r>
    <n v="163"/>
    <x v="5"/>
    <x v="24"/>
    <x v="11"/>
    <s v="Percent of total labor force"/>
    <s v="Units"/>
    <x v="2"/>
    <n v="6.242"/>
  </r>
  <r>
    <n v="163"/>
    <x v="5"/>
    <x v="24"/>
    <x v="11"/>
    <s v="Percent of total labor force"/>
    <s v="Units"/>
    <x v="3"/>
    <n v="4.45"/>
  </r>
  <r>
    <n v="163"/>
    <x v="5"/>
    <x v="24"/>
    <x v="11"/>
    <s v="Percent of total labor force"/>
    <s v="Units"/>
    <x v="4"/>
    <n v="4.3170000000000002"/>
  </r>
  <r>
    <n v="163"/>
    <x v="5"/>
    <x v="24"/>
    <x v="11"/>
    <s v="Percent of total labor force"/>
    <s v="Units"/>
    <x v="5"/>
    <n v="4.3849999999999998"/>
  </r>
  <r>
    <n v="163"/>
    <x v="5"/>
    <x v="24"/>
    <x v="11"/>
    <s v="Percent of total labor force"/>
    <s v="Units"/>
    <x v="6"/>
    <n v="4.4539999999999997"/>
  </r>
  <r>
    <n v="603"/>
    <x v="12"/>
    <x v="103"/>
    <x v="6"/>
    <s v="Percent change"/>
    <s v="Units"/>
    <x v="0"/>
    <n v="0.47099999999999997"/>
  </r>
  <r>
    <n v="603"/>
    <x v="12"/>
    <x v="103"/>
    <x v="6"/>
    <s v="Percent change"/>
    <s v="Units"/>
    <x v="1"/>
    <n v="-3.14"/>
  </r>
  <r>
    <n v="603"/>
    <x v="12"/>
    <x v="103"/>
    <x v="6"/>
    <s v="Percent change"/>
    <s v="Units"/>
    <x v="2"/>
    <n v="-1.7250000000000001"/>
  </r>
  <r>
    <n v="603"/>
    <x v="12"/>
    <x v="103"/>
    <x v="6"/>
    <s v="Percent change"/>
    <s v="Units"/>
    <x v="3"/>
    <n v="8.5000000000000006E-2"/>
  </r>
  <r>
    <n v="603"/>
    <x v="12"/>
    <x v="103"/>
    <x v="6"/>
    <s v="Percent change"/>
    <s v="Units"/>
    <x v="4"/>
    <n v="5.5460000000000003"/>
  </r>
  <r>
    <n v="603"/>
    <x v="12"/>
    <x v="103"/>
    <x v="6"/>
    <s v="Percent change"/>
    <s v="Units"/>
    <x v="5"/>
    <n v="4.3659999999999997"/>
  </r>
  <r>
    <n v="603"/>
    <x v="12"/>
    <x v="103"/>
    <x v="6"/>
    <s v="Percent change"/>
    <s v="Units"/>
    <x v="6"/>
    <n v="2.8149999999999999"/>
  </r>
  <r>
    <n v="1"/>
    <x v="2"/>
    <x v="103"/>
    <x v="6"/>
    <s v="Percent change"/>
    <s v="Units"/>
    <x v="0"/>
    <n v="0.47099999999999997"/>
  </r>
  <r>
    <n v="1"/>
    <x v="2"/>
    <x v="103"/>
    <x v="6"/>
    <s v="Percent change"/>
    <s v="Units"/>
    <x v="1"/>
    <n v="-3.14"/>
  </r>
  <r>
    <n v="1"/>
    <x v="2"/>
    <x v="103"/>
    <x v="6"/>
    <s v="Percent change"/>
    <s v="Units"/>
    <x v="2"/>
    <n v="-1.7250000000000001"/>
  </r>
  <r>
    <n v="1"/>
    <x v="2"/>
    <x v="103"/>
    <x v="6"/>
    <s v="Percent change"/>
    <s v="Units"/>
    <x v="3"/>
    <n v="8.5000000000000006E-2"/>
  </r>
  <r>
    <n v="1"/>
    <x v="2"/>
    <x v="103"/>
    <x v="6"/>
    <s v="Percent change"/>
    <s v="Units"/>
    <x v="4"/>
    <n v="5.5460000000000003"/>
  </r>
  <r>
    <n v="1"/>
    <x v="2"/>
    <x v="103"/>
    <x v="6"/>
    <s v="Percent change"/>
    <s v="Units"/>
    <x v="5"/>
    <n v="4.3659999999999997"/>
  </r>
  <r>
    <n v="1"/>
    <x v="2"/>
    <x v="103"/>
    <x v="6"/>
    <s v="Percent change"/>
    <s v="Units"/>
    <x v="6"/>
    <n v="2.8149999999999999"/>
  </r>
  <r>
    <n v="200"/>
    <x v="3"/>
    <x v="103"/>
    <x v="6"/>
    <s v="Percent change"/>
    <s v="Units"/>
    <x v="0"/>
    <n v="0.47099999999999997"/>
  </r>
  <r>
    <n v="200"/>
    <x v="3"/>
    <x v="103"/>
    <x v="6"/>
    <s v="Percent change"/>
    <s v="Units"/>
    <x v="1"/>
    <n v="-3.14"/>
  </r>
  <r>
    <n v="200"/>
    <x v="3"/>
    <x v="103"/>
    <x v="6"/>
    <s v="Percent change"/>
    <s v="Units"/>
    <x v="2"/>
    <n v="-1.7250000000000001"/>
  </r>
  <r>
    <n v="200"/>
    <x v="3"/>
    <x v="103"/>
    <x v="6"/>
    <s v="Percent change"/>
    <s v="Units"/>
    <x v="3"/>
    <n v="8.5000000000000006E-2"/>
  </r>
  <r>
    <n v="200"/>
    <x v="3"/>
    <x v="103"/>
    <x v="6"/>
    <s v="Percent change"/>
    <s v="Units"/>
    <x v="4"/>
    <n v="5.5460000000000003"/>
  </r>
  <r>
    <n v="200"/>
    <x v="3"/>
    <x v="103"/>
    <x v="6"/>
    <s v="Percent change"/>
    <s v="Units"/>
    <x v="5"/>
    <n v="4.3659999999999997"/>
  </r>
  <r>
    <n v="200"/>
    <x v="3"/>
    <x v="103"/>
    <x v="6"/>
    <s v="Percent change"/>
    <s v="Units"/>
    <x v="6"/>
    <n v="2.8149999999999999"/>
  </r>
  <r>
    <n v="1"/>
    <x v="2"/>
    <x v="183"/>
    <x v="0"/>
    <s v="U.S. dollars"/>
    <s v="Billions"/>
    <x v="0"/>
    <n v="3.089"/>
  </r>
  <r>
    <n v="1"/>
    <x v="2"/>
    <x v="183"/>
    <x v="0"/>
    <s v="U.S. dollars"/>
    <s v="Billions"/>
    <x v="1"/>
    <n v="3.1850000000000001"/>
  </r>
  <r>
    <n v="1"/>
    <x v="2"/>
    <x v="183"/>
    <x v="0"/>
    <s v="U.S. dollars"/>
    <s v="Billions"/>
    <x v="2"/>
    <n v="3.3860000000000001"/>
  </r>
  <r>
    <n v="1"/>
    <x v="2"/>
    <x v="183"/>
    <x v="0"/>
    <s v="U.S. dollars"/>
    <s v="Billions"/>
    <x v="3"/>
    <n v="3.726"/>
  </r>
  <r>
    <n v="1"/>
    <x v="2"/>
    <x v="183"/>
    <x v="0"/>
    <s v="U.S. dollars"/>
    <s v="Billions"/>
    <x v="4"/>
    <n v="4.0229999999999997"/>
  </r>
  <r>
    <n v="1"/>
    <x v="2"/>
    <x v="183"/>
    <x v="0"/>
    <s v="U.S. dollars"/>
    <s v="Billions"/>
    <x v="5"/>
    <n v="4.3639999999999999"/>
  </r>
  <r>
    <n v="1"/>
    <x v="2"/>
    <x v="183"/>
    <x v="0"/>
    <s v="U.S. dollars"/>
    <s v="Billions"/>
    <x v="6"/>
    <n v="4.7149999999999999"/>
  </r>
  <r>
    <n v="400"/>
    <x v="11"/>
    <x v="183"/>
    <x v="0"/>
    <s v="U.S. dollars"/>
    <s v="Billions"/>
    <x v="0"/>
    <n v="3.089"/>
  </r>
  <r>
    <n v="400"/>
    <x v="11"/>
    <x v="183"/>
    <x v="0"/>
    <s v="U.S. dollars"/>
    <s v="Billions"/>
    <x v="1"/>
    <n v="3.1850000000000001"/>
  </r>
  <r>
    <n v="400"/>
    <x v="11"/>
    <x v="183"/>
    <x v="0"/>
    <s v="U.S. dollars"/>
    <s v="Billions"/>
    <x v="2"/>
    <n v="3.3860000000000001"/>
  </r>
  <r>
    <n v="400"/>
    <x v="11"/>
    <x v="183"/>
    <x v="0"/>
    <s v="U.S. dollars"/>
    <s v="Billions"/>
    <x v="3"/>
    <n v="3.726"/>
  </r>
  <r>
    <n v="400"/>
    <x v="11"/>
    <x v="183"/>
    <x v="0"/>
    <s v="U.S. dollars"/>
    <s v="Billions"/>
    <x v="4"/>
    <n v="4.0229999999999997"/>
  </r>
  <r>
    <n v="400"/>
    <x v="11"/>
    <x v="183"/>
    <x v="0"/>
    <s v="U.S. dollars"/>
    <s v="Billions"/>
    <x v="5"/>
    <n v="4.3639999999999999"/>
  </r>
  <r>
    <n v="400"/>
    <x v="11"/>
    <x v="183"/>
    <x v="0"/>
    <s v="U.S. dollars"/>
    <s v="Billions"/>
    <x v="6"/>
    <n v="4.7149999999999999"/>
  </r>
  <r>
    <n v="200"/>
    <x v="3"/>
    <x v="183"/>
    <x v="0"/>
    <s v="U.S. dollars"/>
    <s v="Billions"/>
    <x v="0"/>
    <n v="3.089"/>
  </r>
  <r>
    <n v="200"/>
    <x v="3"/>
    <x v="183"/>
    <x v="0"/>
    <s v="U.S. dollars"/>
    <s v="Billions"/>
    <x v="1"/>
    <n v="3.1850000000000001"/>
  </r>
  <r>
    <n v="200"/>
    <x v="3"/>
    <x v="183"/>
    <x v="0"/>
    <s v="U.S. dollars"/>
    <s v="Billions"/>
    <x v="2"/>
    <n v="3.3860000000000001"/>
  </r>
  <r>
    <n v="200"/>
    <x v="3"/>
    <x v="183"/>
    <x v="0"/>
    <s v="U.S. dollars"/>
    <s v="Billions"/>
    <x v="3"/>
    <n v="3.726"/>
  </r>
  <r>
    <n v="200"/>
    <x v="3"/>
    <x v="183"/>
    <x v="0"/>
    <s v="U.S. dollars"/>
    <s v="Billions"/>
    <x v="4"/>
    <n v="4.0229999999999997"/>
  </r>
  <r>
    <n v="200"/>
    <x v="3"/>
    <x v="183"/>
    <x v="0"/>
    <s v="U.S. dollars"/>
    <s v="Billions"/>
    <x v="5"/>
    <n v="4.3639999999999999"/>
  </r>
  <r>
    <n v="200"/>
    <x v="3"/>
    <x v="183"/>
    <x v="0"/>
    <s v="U.S. dollars"/>
    <s v="Billions"/>
    <x v="6"/>
    <n v="4.7149999999999999"/>
  </r>
  <r>
    <n v="200"/>
    <x v="3"/>
    <x v="105"/>
    <x v="4"/>
    <s v="Percent change"/>
    <s v="Units"/>
    <x v="0"/>
    <n v="-3.9729999999999999"/>
  </r>
  <r>
    <n v="200"/>
    <x v="3"/>
    <x v="105"/>
    <x v="4"/>
    <s v="Percent change"/>
    <s v="Units"/>
    <x v="1"/>
    <n v="-10.991"/>
  </r>
  <r>
    <n v="200"/>
    <x v="3"/>
    <x v="105"/>
    <x v="4"/>
    <s v="Percent change"/>
    <s v="Units"/>
    <x v="2"/>
    <n v="-11.938000000000001"/>
  </r>
  <r>
    <n v="200"/>
    <x v="3"/>
    <x v="105"/>
    <x v="4"/>
    <s v="Percent change"/>
    <s v="Units"/>
    <x v="3"/>
    <n v="7.7510000000000003"/>
  </r>
  <r>
    <n v="200"/>
    <x v="3"/>
    <x v="105"/>
    <x v="4"/>
    <s v="Percent change"/>
    <s v="Units"/>
    <x v="4"/>
    <n v="8.1340000000000003"/>
  </r>
  <r>
    <n v="200"/>
    <x v="3"/>
    <x v="105"/>
    <x v="4"/>
    <s v="Percent change"/>
    <s v="Units"/>
    <x v="5"/>
    <n v="4.3620000000000001"/>
  </r>
  <r>
    <n v="200"/>
    <x v="3"/>
    <x v="105"/>
    <x v="4"/>
    <s v="Percent change"/>
    <s v="Units"/>
    <x v="6"/>
    <n v="2.9319999999999999"/>
  </r>
  <r>
    <n v="1"/>
    <x v="2"/>
    <x v="105"/>
    <x v="4"/>
    <s v="Percent change"/>
    <s v="Units"/>
    <x v="0"/>
    <n v="-3.9729999999999999"/>
  </r>
  <r>
    <n v="1"/>
    <x v="2"/>
    <x v="105"/>
    <x v="4"/>
    <s v="Percent change"/>
    <s v="Units"/>
    <x v="1"/>
    <n v="-10.991"/>
  </r>
  <r>
    <n v="1"/>
    <x v="2"/>
    <x v="105"/>
    <x v="4"/>
    <s v="Percent change"/>
    <s v="Units"/>
    <x v="2"/>
    <n v="-11.938000000000001"/>
  </r>
  <r>
    <n v="1"/>
    <x v="2"/>
    <x v="105"/>
    <x v="4"/>
    <s v="Percent change"/>
    <s v="Units"/>
    <x v="3"/>
    <n v="7.7510000000000003"/>
  </r>
  <r>
    <n v="1"/>
    <x v="2"/>
    <x v="105"/>
    <x v="4"/>
    <s v="Percent change"/>
    <s v="Units"/>
    <x v="4"/>
    <n v="8.1340000000000003"/>
  </r>
  <r>
    <n v="1"/>
    <x v="2"/>
    <x v="105"/>
    <x v="4"/>
    <s v="Percent change"/>
    <s v="Units"/>
    <x v="5"/>
    <n v="4.3620000000000001"/>
  </r>
  <r>
    <n v="1"/>
    <x v="2"/>
    <x v="105"/>
    <x v="4"/>
    <s v="Percent change"/>
    <s v="Units"/>
    <x v="6"/>
    <n v="2.9319999999999999"/>
  </r>
  <r>
    <n v="205"/>
    <x v="7"/>
    <x v="105"/>
    <x v="4"/>
    <s v="Percent change"/>
    <s v="Units"/>
    <x v="0"/>
    <n v="-3.9729999999999999"/>
  </r>
  <r>
    <n v="205"/>
    <x v="7"/>
    <x v="105"/>
    <x v="4"/>
    <s v="Percent change"/>
    <s v="Units"/>
    <x v="1"/>
    <n v="-10.991"/>
  </r>
  <r>
    <n v="205"/>
    <x v="7"/>
    <x v="105"/>
    <x v="4"/>
    <s v="Percent change"/>
    <s v="Units"/>
    <x v="2"/>
    <n v="-11.938000000000001"/>
  </r>
  <r>
    <n v="205"/>
    <x v="7"/>
    <x v="105"/>
    <x v="4"/>
    <s v="Percent change"/>
    <s v="Units"/>
    <x v="3"/>
    <n v="7.7510000000000003"/>
  </r>
  <r>
    <n v="205"/>
    <x v="7"/>
    <x v="105"/>
    <x v="4"/>
    <s v="Percent change"/>
    <s v="Units"/>
    <x v="4"/>
    <n v="8.1340000000000003"/>
  </r>
  <r>
    <n v="205"/>
    <x v="7"/>
    <x v="105"/>
    <x v="4"/>
    <s v="Percent change"/>
    <s v="Units"/>
    <x v="5"/>
    <n v="4.3620000000000001"/>
  </r>
  <r>
    <n v="205"/>
    <x v="7"/>
    <x v="105"/>
    <x v="4"/>
    <s v="Percent change"/>
    <s v="Units"/>
    <x v="6"/>
    <n v="2.9319999999999999"/>
  </r>
  <r>
    <n v="205"/>
    <x v="7"/>
    <x v="105"/>
    <x v="0"/>
    <s v="U.S. dollars"/>
    <s v="Billions"/>
    <x v="0"/>
    <n v="4.016"/>
  </r>
  <r>
    <n v="205"/>
    <x v="7"/>
    <x v="105"/>
    <x v="0"/>
    <s v="U.S. dollars"/>
    <s v="Billions"/>
    <x v="1"/>
    <n v="2.9119999999999999"/>
  </r>
  <r>
    <n v="205"/>
    <x v="7"/>
    <x v="105"/>
    <x v="0"/>
    <s v="U.S. dollars"/>
    <s v="Billions"/>
    <x v="2"/>
    <n v="3.0840000000000001"/>
  </r>
  <r>
    <n v="205"/>
    <x v="7"/>
    <x v="105"/>
    <x v="0"/>
    <s v="U.S. dollars"/>
    <s v="Billions"/>
    <x v="3"/>
    <n v="3.6309999999999998"/>
  </r>
  <r>
    <n v="205"/>
    <x v="7"/>
    <x v="105"/>
    <x v="0"/>
    <s v="U.S. dollars"/>
    <s v="Billions"/>
    <x v="4"/>
    <n v="3.7509999999999999"/>
  </r>
  <r>
    <n v="205"/>
    <x v="7"/>
    <x v="105"/>
    <x v="0"/>
    <s v="U.S. dollars"/>
    <s v="Billions"/>
    <x v="5"/>
    <n v="4.3369999999999997"/>
  </r>
  <r>
    <n v="205"/>
    <x v="7"/>
    <x v="105"/>
    <x v="0"/>
    <s v="U.S. dollars"/>
    <s v="Billions"/>
    <x v="6"/>
    <n v="4.5999999999999996"/>
  </r>
  <r>
    <n v="200"/>
    <x v="3"/>
    <x v="105"/>
    <x v="0"/>
    <s v="U.S. dollars"/>
    <s v="Billions"/>
    <x v="0"/>
    <n v="4.016"/>
  </r>
  <r>
    <n v="200"/>
    <x v="3"/>
    <x v="105"/>
    <x v="0"/>
    <s v="U.S. dollars"/>
    <s v="Billions"/>
    <x v="1"/>
    <n v="2.9119999999999999"/>
  </r>
  <r>
    <n v="200"/>
    <x v="3"/>
    <x v="105"/>
    <x v="0"/>
    <s v="U.S. dollars"/>
    <s v="Billions"/>
    <x v="2"/>
    <n v="3.0840000000000001"/>
  </r>
  <r>
    <n v="200"/>
    <x v="3"/>
    <x v="105"/>
    <x v="0"/>
    <s v="U.S. dollars"/>
    <s v="Billions"/>
    <x v="3"/>
    <n v="3.6309999999999998"/>
  </r>
  <r>
    <n v="200"/>
    <x v="3"/>
    <x v="105"/>
    <x v="0"/>
    <s v="U.S. dollars"/>
    <s v="Billions"/>
    <x v="4"/>
    <n v="3.7509999999999999"/>
  </r>
  <r>
    <n v="200"/>
    <x v="3"/>
    <x v="105"/>
    <x v="0"/>
    <s v="U.S. dollars"/>
    <s v="Billions"/>
    <x v="5"/>
    <n v="4.3369999999999997"/>
  </r>
  <r>
    <n v="200"/>
    <x v="3"/>
    <x v="105"/>
    <x v="0"/>
    <s v="U.S. dollars"/>
    <s v="Billions"/>
    <x v="6"/>
    <n v="4.5999999999999996"/>
  </r>
  <r>
    <n v="1"/>
    <x v="2"/>
    <x v="105"/>
    <x v="0"/>
    <s v="U.S. dollars"/>
    <s v="Billions"/>
    <x v="0"/>
    <n v="4.016"/>
  </r>
  <r>
    <n v="1"/>
    <x v="2"/>
    <x v="105"/>
    <x v="0"/>
    <s v="U.S. dollars"/>
    <s v="Billions"/>
    <x v="1"/>
    <n v="2.9119999999999999"/>
  </r>
  <r>
    <n v="1"/>
    <x v="2"/>
    <x v="105"/>
    <x v="0"/>
    <s v="U.S. dollars"/>
    <s v="Billions"/>
    <x v="2"/>
    <n v="3.0840000000000001"/>
  </r>
  <r>
    <n v="1"/>
    <x v="2"/>
    <x v="105"/>
    <x v="0"/>
    <s v="U.S. dollars"/>
    <s v="Billions"/>
    <x v="3"/>
    <n v="3.6309999999999998"/>
  </r>
  <r>
    <n v="1"/>
    <x v="2"/>
    <x v="105"/>
    <x v="0"/>
    <s v="U.S. dollars"/>
    <s v="Billions"/>
    <x v="4"/>
    <n v="3.7509999999999999"/>
  </r>
  <r>
    <n v="1"/>
    <x v="2"/>
    <x v="105"/>
    <x v="0"/>
    <s v="U.S. dollars"/>
    <s v="Billions"/>
    <x v="5"/>
    <n v="4.3369999999999997"/>
  </r>
  <r>
    <n v="1"/>
    <x v="2"/>
    <x v="105"/>
    <x v="0"/>
    <s v="U.S. dollars"/>
    <s v="Billions"/>
    <x v="6"/>
    <n v="4.5999999999999996"/>
  </r>
  <r>
    <n v="1"/>
    <x v="2"/>
    <x v="178"/>
    <x v="6"/>
    <s v="Percent change"/>
    <s v="Units"/>
    <x v="0"/>
    <n v="-7.5999999999999998E-2"/>
  </r>
  <r>
    <n v="1"/>
    <x v="2"/>
    <x v="178"/>
    <x v="6"/>
    <s v="Percent change"/>
    <s v="Units"/>
    <x v="1"/>
    <n v="-21.853000000000002"/>
  </r>
  <r>
    <n v="1"/>
    <x v="2"/>
    <x v="178"/>
    <x v="6"/>
    <s v="Percent change"/>
    <s v="Units"/>
    <x v="2"/>
    <n v="3.3029999999999999"/>
  </r>
  <r>
    <n v="1"/>
    <x v="2"/>
    <x v="178"/>
    <x v="6"/>
    <s v="Percent change"/>
    <s v="Units"/>
    <x v="3"/>
    <n v="15.8"/>
  </r>
  <r>
    <n v="1"/>
    <x v="2"/>
    <x v="178"/>
    <x v="6"/>
    <s v="Percent change"/>
    <s v="Units"/>
    <x v="4"/>
    <n v="23.225999999999999"/>
  </r>
  <r>
    <n v="1"/>
    <x v="2"/>
    <x v="178"/>
    <x v="6"/>
    <s v="Percent change"/>
    <s v="Units"/>
    <x v="5"/>
    <n v="4.3170000000000002"/>
  </r>
  <r>
    <n v="1"/>
    <x v="2"/>
    <x v="178"/>
    <x v="6"/>
    <s v="Percent change"/>
    <s v="Units"/>
    <x v="6"/>
    <n v="4.6669999999999998"/>
  </r>
  <r>
    <n v="205"/>
    <x v="7"/>
    <x v="178"/>
    <x v="6"/>
    <s v="Percent change"/>
    <s v="Units"/>
    <x v="0"/>
    <n v="-7.5999999999999998E-2"/>
  </r>
  <r>
    <n v="205"/>
    <x v="7"/>
    <x v="178"/>
    <x v="6"/>
    <s v="Percent change"/>
    <s v="Units"/>
    <x v="1"/>
    <n v="-21.853000000000002"/>
  </r>
  <r>
    <n v="205"/>
    <x v="7"/>
    <x v="178"/>
    <x v="6"/>
    <s v="Percent change"/>
    <s v="Units"/>
    <x v="2"/>
    <n v="3.3029999999999999"/>
  </r>
  <r>
    <n v="205"/>
    <x v="7"/>
    <x v="178"/>
    <x v="6"/>
    <s v="Percent change"/>
    <s v="Units"/>
    <x v="3"/>
    <n v="15.8"/>
  </r>
  <r>
    <n v="205"/>
    <x v="7"/>
    <x v="178"/>
    <x v="6"/>
    <s v="Percent change"/>
    <s v="Units"/>
    <x v="4"/>
    <n v="23.225999999999999"/>
  </r>
  <r>
    <n v="205"/>
    <x v="7"/>
    <x v="178"/>
    <x v="6"/>
    <s v="Percent change"/>
    <s v="Units"/>
    <x v="5"/>
    <n v="4.3170000000000002"/>
  </r>
  <r>
    <n v="205"/>
    <x v="7"/>
    <x v="178"/>
    <x v="6"/>
    <s v="Percent change"/>
    <s v="Units"/>
    <x v="6"/>
    <n v="4.6669999999999998"/>
  </r>
  <r>
    <n v="200"/>
    <x v="3"/>
    <x v="178"/>
    <x v="6"/>
    <s v="Percent change"/>
    <s v="Units"/>
    <x v="0"/>
    <n v="-7.5999999999999998E-2"/>
  </r>
  <r>
    <n v="200"/>
    <x v="3"/>
    <x v="178"/>
    <x v="6"/>
    <s v="Percent change"/>
    <s v="Units"/>
    <x v="1"/>
    <n v="-21.853000000000002"/>
  </r>
  <r>
    <n v="200"/>
    <x v="3"/>
    <x v="178"/>
    <x v="6"/>
    <s v="Percent change"/>
    <s v="Units"/>
    <x v="2"/>
    <n v="3.3029999999999999"/>
  </r>
  <r>
    <n v="200"/>
    <x v="3"/>
    <x v="178"/>
    <x v="6"/>
    <s v="Percent change"/>
    <s v="Units"/>
    <x v="3"/>
    <n v="15.8"/>
  </r>
  <r>
    <n v="200"/>
    <x v="3"/>
    <x v="178"/>
    <x v="6"/>
    <s v="Percent change"/>
    <s v="Units"/>
    <x v="4"/>
    <n v="23.225999999999999"/>
  </r>
  <r>
    <n v="200"/>
    <x v="3"/>
    <x v="178"/>
    <x v="6"/>
    <s v="Percent change"/>
    <s v="Units"/>
    <x v="5"/>
    <n v="4.3170000000000002"/>
  </r>
  <r>
    <n v="200"/>
    <x v="3"/>
    <x v="178"/>
    <x v="6"/>
    <s v="Percent change"/>
    <s v="Units"/>
    <x v="6"/>
    <n v="4.6669999999999998"/>
  </r>
  <r>
    <n v="200"/>
    <x v="3"/>
    <x v="130"/>
    <x v="8"/>
    <s v="Percent change"/>
    <s v="Units"/>
    <x v="0"/>
    <n v="4.6479999999999997"/>
  </r>
  <r>
    <n v="200"/>
    <x v="3"/>
    <x v="130"/>
    <x v="8"/>
    <s v="Percent change"/>
    <s v="Units"/>
    <x v="1"/>
    <n v="-2.4550000000000001"/>
  </r>
  <r>
    <n v="200"/>
    <x v="3"/>
    <x v="130"/>
    <x v="8"/>
    <s v="Percent change"/>
    <s v="Units"/>
    <x v="2"/>
    <n v="-3.2930000000000001"/>
  </r>
  <r>
    <n v="200"/>
    <x v="3"/>
    <x v="130"/>
    <x v="8"/>
    <s v="Percent change"/>
    <s v="Units"/>
    <x v="3"/>
    <n v="4.8259999999999996"/>
  </r>
  <r>
    <n v="200"/>
    <x v="3"/>
    <x v="130"/>
    <x v="8"/>
    <s v="Percent change"/>
    <s v="Units"/>
    <x v="4"/>
    <n v="4.6440000000000001"/>
  </r>
  <r>
    <n v="200"/>
    <x v="3"/>
    <x v="130"/>
    <x v="8"/>
    <s v="Percent change"/>
    <s v="Units"/>
    <x v="5"/>
    <n v="4.2949999999999999"/>
  </r>
  <r>
    <n v="200"/>
    <x v="3"/>
    <x v="130"/>
    <x v="8"/>
    <s v="Percent change"/>
    <s v="Units"/>
    <x v="6"/>
    <n v="4.9690000000000003"/>
  </r>
  <r>
    <n v="1"/>
    <x v="2"/>
    <x v="130"/>
    <x v="8"/>
    <s v="Percent change"/>
    <s v="Units"/>
    <x v="0"/>
    <n v="4.6479999999999997"/>
  </r>
  <r>
    <n v="1"/>
    <x v="2"/>
    <x v="130"/>
    <x v="8"/>
    <s v="Percent change"/>
    <s v="Units"/>
    <x v="1"/>
    <n v="-2.4550000000000001"/>
  </r>
  <r>
    <n v="1"/>
    <x v="2"/>
    <x v="130"/>
    <x v="8"/>
    <s v="Percent change"/>
    <s v="Units"/>
    <x v="2"/>
    <n v="-3.2930000000000001"/>
  </r>
  <r>
    <n v="1"/>
    <x v="2"/>
    <x v="130"/>
    <x v="8"/>
    <s v="Percent change"/>
    <s v="Units"/>
    <x v="3"/>
    <n v="4.8259999999999996"/>
  </r>
  <r>
    <n v="1"/>
    <x v="2"/>
    <x v="130"/>
    <x v="8"/>
    <s v="Percent change"/>
    <s v="Units"/>
    <x v="4"/>
    <n v="4.6440000000000001"/>
  </r>
  <r>
    <n v="1"/>
    <x v="2"/>
    <x v="130"/>
    <x v="8"/>
    <s v="Percent change"/>
    <s v="Units"/>
    <x v="5"/>
    <n v="4.2949999999999999"/>
  </r>
  <r>
    <n v="1"/>
    <x v="2"/>
    <x v="130"/>
    <x v="8"/>
    <s v="Percent change"/>
    <s v="Units"/>
    <x v="6"/>
    <n v="4.9690000000000003"/>
  </r>
  <r>
    <n v="505"/>
    <x v="4"/>
    <x v="130"/>
    <x v="8"/>
    <s v="Percent change"/>
    <s v="Units"/>
    <x v="0"/>
    <n v="4.6479999999999997"/>
  </r>
  <r>
    <n v="505"/>
    <x v="4"/>
    <x v="130"/>
    <x v="8"/>
    <s v="Percent change"/>
    <s v="Units"/>
    <x v="1"/>
    <n v="-2.4550000000000001"/>
  </r>
  <r>
    <n v="505"/>
    <x v="4"/>
    <x v="130"/>
    <x v="8"/>
    <s v="Percent change"/>
    <s v="Units"/>
    <x v="2"/>
    <n v="-3.2930000000000001"/>
  </r>
  <r>
    <n v="505"/>
    <x v="4"/>
    <x v="130"/>
    <x v="8"/>
    <s v="Percent change"/>
    <s v="Units"/>
    <x v="3"/>
    <n v="4.8259999999999996"/>
  </r>
  <r>
    <n v="505"/>
    <x v="4"/>
    <x v="130"/>
    <x v="8"/>
    <s v="Percent change"/>
    <s v="Units"/>
    <x v="4"/>
    <n v="4.6440000000000001"/>
  </r>
  <r>
    <n v="505"/>
    <x v="4"/>
    <x v="130"/>
    <x v="8"/>
    <s v="Percent change"/>
    <s v="Units"/>
    <x v="5"/>
    <n v="4.2949999999999999"/>
  </r>
  <r>
    <n v="505"/>
    <x v="4"/>
    <x v="130"/>
    <x v="8"/>
    <s v="Percent change"/>
    <s v="Units"/>
    <x v="6"/>
    <n v="4.9690000000000003"/>
  </r>
  <r>
    <n v="200"/>
    <x v="3"/>
    <x v="148"/>
    <x v="4"/>
    <s v="Percent change"/>
    <s v="Units"/>
    <x v="0"/>
    <n v="9.2710000000000008"/>
  </r>
  <r>
    <n v="200"/>
    <x v="3"/>
    <x v="148"/>
    <x v="4"/>
    <s v="Percent change"/>
    <s v="Units"/>
    <x v="1"/>
    <n v="-1.4890000000000001"/>
  </r>
  <r>
    <n v="200"/>
    <x v="3"/>
    <x v="148"/>
    <x v="4"/>
    <s v="Percent change"/>
    <s v="Units"/>
    <x v="2"/>
    <n v="12.237"/>
  </r>
  <r>
    <n v="200"/>
    <x v="3"/>
    <x v="148"/>
    <x v="4"/>
    <s v="Percent change"/>
    <s v="Units"/>
    <x v="3"/>
    <n v="-10.401999999999999"/>
  </r>
  <r>
    <n v="200"/>
    <x v="3"/>
    <x v="148"/>
    <x v="4"/>
    <s v="Percent change"/>
    <s v="Units"/>
    <x v="4"/>
    <n v="8.76"/>
  </r>
  <r>
    <n v="200"/>
    <x v="3"/>
    <x v="148"/>
    <x v="4"/>
    <s v="Percent change"/>
    <s v="Units"/>
    <x v="5"/>
    <n v="4.2910000000000004"/>
  </r>
  <r>
    <n v="200"/>
    <x v="3"/>
    <x v="148"/>
    <x v="4"/>
    <s v="Percent change"/>
    <s v="Units"/>
    <x v="6"/>
    <n v="3.9809999999999999"/>
  </r>
  <r>
    <n v="505"/>
    <x v="4"/>
    <x v="148"/>
    <x v="4"/>
    <s v="Percent change"/>
    <s v="Units"/>
    <x v="0"/>
    <n v="9.2710000000000008"/>
  </r>
  <r>
    <n v="505"/>
    <x v="4"/>
    <x v="148"/>
    <x v="4"/>
    <s v="Percent change"/>
    <s v="Units"/>
    <x v="1"/>
    <n v="-1.4890000000000001"/>
  </r>
  <r>
    <n v="505"/>
    <x v="4"/>
    <x v="148"/>
    <x v="4"/>
    <s v="Percent change"/>
    <s v="Units"/>
    <x v="2"/>
    <n v="12.237"/>
  </r>
  <r>
    <n v="505"/>
    <x v="4"/>
    <x v="148"/>
    <x v="4"/>
    <s v="Percent change"/>
    <s v="Units"/>
    <x v="3"/>
    <n v="-10.401999999999999"/>
  </r>
  <r>
    <n v="505"/>
    <x v="4"/>
    <x v="148"/>
    <x v="4"/>
    <s v="Percent change"/>
    <s v="Units"/>
    <x v="4"/>
    <n v="8.76"/>
  </r>
  <r>
    <n v="505"/>
    <x v="4"/>
    <x v="148"/>
    <x v="4"/>
    <s v="Percent change"/>
    <s v="Units"/>
    <x v="5"/>
    <n v="4.2910000000000004"/>
  </r>
  <r>
    <n v="505"/>
    <x v="4"/>
    <x v="148"/>
    <x v="4"/>
    <s v="Percent change"/>
    <s v="Units"/>
    <x v="6"/>
    <n v="3.9809999999999999"/>
  </r>
  <r>
    <n v="1"/>
    <x v="2"/>
    <x v="148"/>
    <x v="4"/>
    <s v="Percent change"/>
    <s v="Units"/>
    <x v="0"/>
    <n v="9.2710000000000008"/>
  </r>
  <r>
    <n v="1"/>
    <x v="2"/>
    <x v="148"/>
    <x v="4"/>
    <s v="Percent change"/>
    <s v="Units"/>
    <x v="1"/>
    <n v="-1.4890000000000001"/>
  </r>
  <r>
    <n v="1"/>
    <x v="2"/>
    <x v="148"/>
    <x v="4"/>
    <s v="Percent change"/>
    <s v="Units"/>
    <x v="2"/>
    <n v="12.237"/>
  </r>
  <r>
    <n v="1"/>
    <x v="2"/>
    <x v="148"/>
    <x v="4"/>
    <s v="Percent change"/>
    <s v="Units"/>
    <x v="3"/>
    <n v="-10.401999999999999"/>
  </r>
  <r>
    <n v="1"/>
    <x v="2"/>
    <x v="148"/>
    <x v="4"/>
    <s v="Percent change"/>
    <s v="Units"/>
    <x v="4"/>
    <n v="8.76"/>
  </r>
  <r>
    <n v="1"/>
    <x v="2"/>
    <x v="148"/>
    <x v="4"/>
    <s v="Percent change"/>
    <s v="Units"/>
    <x v="5"/>
    <n v="4.2910000000000004"/>
  </r>
  <r>
    <n v="1"/>
    <x v="2"/>
    <x v="148"/>
    <x v="4"/>
    <s v="Percent change"/>
    <s v="Units"/>
    <x v="6"/>
    <n v="3.9809999999999999"/>
  </r>
  <r>
    <n v="603"/>
    <x v="12"/>
    <x v="129"/>
    <x v="8"/>
    <s v="Percent change"/>
    <s v="Units"/>
    <x v="0"/>
    <n v="1.8420000000000001"/>
  </r>
  <r>
    <n v="603"/>
    <x v="12"/>
    <x v="129"/>
    <x v="8"/>
    <s v="Percent change"/>
    <s v="Units"/>
    <x v="1"/>
    <n v="0.33500000000000002"/>
  </r>
  <r>
    <n v="603"/>
    <x v="12"/>
    <x v="129"/>
    <x v="8"/>
    <s v="Percent change"/>
    <s v="Units"/>
    <x v="2"/>
    <n v="3.1190000000000002"/>
  </r>
  <r>
    <n v="603"/>
    <x v="12"/>
    <x v="129"/>
    <x v="8"/>
    <s v="Percent change"/>
    <s v="Units"/>
    <x v="3"/>
    <n v="1.827"/>
  </r>
  <r>
    <n v="603"/>
    <x v="12"/>
    <x v="129"/>
    <x v="8"/>
    <s v="Percent change"/>
    <s v="Units"/>
    <x v="4"/>
    <n v="2.6589999999999998"/>
  </r>
  <r>
    <n v="603"/>
    <x v="12"/>
    <x v="129"/>
    <x v="8"/>
    <s v="Percent change"/>
    <s v="Units"/>
    <x v="5"/>
    <n v="4.282"/>
  </r>
  <r>
    <n v="603"/>
    <x v="12"/>
    <x v="129"/>
    <x v="8"/>
    <s v="Percent change"/>
    <s v="Units"/>
    <x v="6"/>
    <n v="5.35"/>
  </r>
  <r>
    <n v="200"/>
    <x v="3"/>
    <x v="129"/>
    <x v="8"/>
    <s v="Percent change"/>
    <s v="Units"/>
    <x v="0"/>
    <n v="1.8420000000000001"/>
  </r>
  <r>
    <n v="200"/>
    <x v="3"/>
    <x v="129"/>
    <x v="8"/>
    <s v="Percent change"/>
    <s v="Units"/>
    <x v="1"/>
    <n v="0.33500000000000002"/>
  </r>
  <r>
    <n v="200"/>
    <x v="3"/>
    <x v="129"/>
    <x v="8"/>
    <s v="Percent change"/>
    <s v="Units"/>
    <x v="2"/>
    <n v="3.1190000000000002"/>
  </r>
  <r>
    <n v="200"/>
    <x v="3"/>
    <x v="129"/>
    <x v="8"/>
    <s v="Percent change"/>
    <s v="Units"/>
    <x v="3"/>
    <n v="1.827"/>
  </r>
  <r>
    <n v="200"/>
    <x v="3"/>
    <x v="129"/>
    <x v="8"/>
    <s v="Percent change"/>
    <s v="Units"/>
    <x v="4"/>
    <n v="2.6589999999999998"/>
  </r>
  <r>
    <n v="200"/>
    <x v="3"/>
    <x v="129"/>
    <x v="8"/>
    <s v="Percent change"/>
    <s v="Units"/>
    <x v="5"/>
    <n v="4.282"/>
  </r>
  <r>
    <n v="200"/>
    <x v="3"/>
    <x v="129"/>
    <x v="8"/>
    <s v="Percent change"/>
    <s v="Units"/>
    <x v="6"/>
    <n v="5.35"/>
  </r>
  <r>
    <n v="1"/>
    <x v="2"/>
    <x v="129"/>
    <x v="8"/>
    <s v="Percent change"/>
    <s v="Units"/>
    <x v="0"/>
    <n v="1.8420000000000001"/>
  </r>
  <r>
    <n v="1"/>
    <x v="2"/>
    <x v="129"/>
    <x v="8"/>
    <s v="Percent change"/>
    <s v="Units"/>
    <x v="1"/>
    <n v="0.33500000000000002"/>
  </r>
  <r>
    <n v="1"/>
    <x v="2"/>
    <x v="129"/>
    <x v="8"/>
    <s v="Percent change"/>
    <s v="Units"/>
    <x v="2"/>
    <n v="3.1190000000000002"/>
  </r>
  <r>
    <n v="1"/>
    <x v="2"/>
    <x v="129"/>
    <x v="8"/>
    <s v="Percent change"/>
    <s v="Units"/>
    <x v="3"/>
    <n v="1.827"/>
  </r>
  <r>
    <n v="1"/>
    <x v="2"/>
    <x v="129"/>
    <x v="8"/>
    <s v="Percent change"/>
    <s v="Units"/>
    <x v="4"/>
    <n v="2.6589999999999998"/>
  </r>
  <r>
    <n v="1"/>
    <x v="2"/>
    <x v="129"/>
    <x v="8"/>
    <s v="Percent change"/>
    <s v="Units"/>
    <x v="5"/>
    <n v="4.282"/>
  </r>
  <r>
    <n v="1"/>
    <x v="2"/>
    <x v="129"/>
    <x v="8"/>
    <s v="Percent change"/>
    <s v="Units"/>
    <x v="6"/>
    <n v="5.35"/>
  </r>
  <r>
    <n v="110"/>
    <x v="0"/>
    <x v="127"/>
    <x v="1"/>
    <s v="Percent change"/>
    <s v="Units"/>
    <x v="0"/>
    <n v="0.53"/>
  </r>
  <r>
    <n v="110"/>
    <x v="0"/>
    <x v="127"/>
    <x v="1"/>
    <s v="Percent change"/>
    <s v="Units"/>
    <x v="1"/>
    <n v="9.1999999999999998E-2"/>
  </r>
  <r>
    <n v="110"/>
    <x v="0"/>
    <x v="127"/>
    <x v="1"/>
    <s v="Percent change"/>
    <s v="Units"/>
    <x v="2"/>
    <n v="1.677"/>
  </r>
  <r>
    <n v="110"/>
    <x v="0"/>
    <x v="127"/>
    <x v="1"/>
    <s v="Percent change"/>
    <s v="Units"/>
    <x v="3"/>
    <n v="6.2030000000000003"/>
  </r>
  <r>
    <n v="110"/>
    <x v="0"/>
    <x v="127"/>
    <x v="1"/>
    <s v="Percent change"/>
    <s v="Units"/>
    <x v="4"/>
    <n v="5.6070000000000002"/>
  </r>
  <r>
    <n v="110"/>
    <x v="0"/>
    <x v="127"/>
    <x v="1"/>
    <s v="Percent change"/>
    <s v="Units"/>
    <x v="5"/>
    <n v="4.266"/>
  </r>
  <r>
    <n v="110"/>
    <x v="0"/>
    <x v="127"/>
    <x v="1"/>
    <s v="Percent change"/>
    <s v="Units"/>
    <x v="6"/>
    <n v="2.44"/>
  </r>
  <r>
    <n v="123"/>
    <x v="9"/>
    <x v="127"/>
    <x v="1"/>
    <s v="Percent change"/>
    <s v="Units"/>
    <x v="0"/>
    <n v="0.53"/>
  </r>
  <r>
    <n v="123"/>
    <x v="9"/>
    <x v="127"/>
    <x v="1"/>
    <s v="Percent change"/>
    <s v="Units"/>
    <x v="1"/>
    <n v="9.1999999999999998E-2"/>
  </r>
  <r>
    <n v="123"/>
    <x v="9"/>
    <x v="127"/>
    <x v="1"/>
    <s v="Percent change"/>
    <s v="Units"/>
    <x v="2"/>
    <n v="1.677"/>
  </r>
  <r>
    <n v="123"/>
    <x v="9"/>
    <x v="127"/>
    <x v="1"/>
    <s v="Percent change"/>
    <s v="Units"/>
    <x v="3"/>
    <n v="6.2030000000000003"/>
  </r>
  <r>
    <n v="123"/>
    <x v="9"/>
    <x v="127"/>
    <x v="1"/>
    <s v="Percent change"/>
    <s v="Units"/>
    <x v="4"/>
    <n v="5.6070000000000002"/>
  </r>
  <r>
    <n v="123"/>
    <x v="9"/>
    <x v="127"/>
    <x v="1"/>
    <s v="Percent change"/>
    <s v="Units"/>
    <x v="5"/>
    <n v="4.266"/>
  </r>
  <r>
    <n v="123"/>
    <x v="9"/>
    <x v="127"/>
    <x v="1"/>
    <s v="Percent change"/>
    <s v="Units"/>
    <x v="6"/>
    <n v="2.44"/>
  </r>
  <r>
    <n v="1"/>
    <x v="2"/>
    <x v="127"/>
    <x v="1"/>
    <s v="Percent change"/>
    <s v="Units"/>
    <x v="0"/>
    <n v="0.53"/>
  </r>
  <r>
    <n v="1"/>
    <x v="2"/>
    <x v="127"/>
    <x v="1"/>
    <s v="Percent change"/>
    <s v="Units"/>
    <x v="1"/>
    <n v="9.1999999999999998E-2"/>
  </r>
  <r>
    <n v="1"/>
    <x v="2"/>
    <x v="127"/>
    <x v="1"/>
    <s v="Percent change"/>
    <s v="Units"/>
    <x v="2"/>
    <n v="1.677"/>
  </r>
  <r>
    <n v="1"/>
    <x v="2"/>
    <x v="127"/>
    <x v="1"/>
    <s v="Percent change"/>
    <s v="Units"/>
    <x v="3"/>
    <n v="6.2030000000000003"/>
  </r>
  <r>
    <n v="1"/>
    <x v="2"/>
    <x v="127"/>
    <x v="1"/>
    <s v="Percent change"/>
    <s v="Units"/>
    <x v="4"/>
    <n v="5.6070000000000002"/>
  </r>
  <r>
    <n v="1"/>
    <x v="2"/>
    <x v="127"/>
    <x v="1"/>
    <s v="Percent change"/>
    <s v="Units"/>
    <x v="5"/>
    <n v="4.266"/>
  </r>
  <r>
    <n v="1"/>
    <x v="2"/>
    <x v="127"/>
    <x v="1"/>
    <s v="Percent change"/>
    <s v="Units"/>
    <x v="6"/>
    <n v="2.44"/>
  </r>
  <r>
    <n v="1"/>
    <x v="2"/>
    <x v="102"/>
    <x v="8"/>
    <s v="Percent change"/>
    <s v="Units"/>
    <x v="0"/>
    <n v="3.4220000000000002"/>
  </r>
  <r>
    <n v="1"/>
    <x v="2"/>
    <x v="102"/>
    <x v="8"/>
    <s v="Percent change"/>
    <s v="Units"/>
    <x v="1"/>
    <n v="0.53900000000000003"/>
  </r>
  <r>
    <n v="1"/>
    <x v="2"/>
    <x v="102"/>
    <x v="8"/>
    <s v="Percent change"/>
    <s v="Units"/>
    <x v="2"/>
    <n v="3.649"/>
  </r>
  <r>
    <n v="1"/>
    <x v="2"/>
    <x v="102"/>
    <x v="8"/>
    <s v="Percent change"/>
    <s v="Units"/>
    <x v="3"/>
    <n v="3.5950000000000002"/>
  </r>
  <r>
    <n v="1"/>
    <x v="2"/>
    <x v="102"/>
    <x v="8"/>
    <s v="Percent change"/>
    <s v="Units"/>
    <x v="4"/>
    <n v="3.9689999999999999"/>
  </r>
  <r>
    <n v="1"/>
    <x v="2"/>
    <x v="102"/>
    <x v="8"/>
    <s v="Percent change"/>
    <s v="Units"/>
    <x v="5"/>
    <n v="4.2530000000000001"/>
  </r>
  <r>
    <n v="1"/>
    <x v="2"/>
    <x v="102"/>
    <x v="8"/>
    <s v="Percent change"/>
    <s v="Units"/>
    <x v="6"/>
    <n v="4.468"/>
  </r>
  <r>
    <n v="603"/>
    <x v="12"/>
    <x v="102"/>
    <x v="8"/>
    <s v="Percent change"/>
    <s v="Units"/>
    <x v="0"/>
    <n v="3.4220000000000002"/>
  </r>
  <r>
    <n v="603"/>
    <x v="12"/>
    <x v="102"/>
    <x v="8"/>
    <s v="Percent change"/>
    <s v="Units"/>
    <x v="1"/>
    <n v="0.53900000000000003"/>
  </r>
  <r>
    <n v="603"/>
    <x v="12"/>
    <x v="102"/>
    <x v="8"/>
    <s v="Percent change"/>
    <s v="Units"/>
    <x v="2"/>
    <n v="3.649"/>
  </r>
  <r>
    <n v="603"/>
    <x v="12"/>
    <x v="102"/>
    <x v="8"/>
    <s v="Percent change"/>
    <s v="Units"/>
    <x v="3"/>
    <n v="3.5950000000000002"/>
  </r>
  <r>
    <n v="603"/>
    <x v="12"/>
    <x v="102"/>
    <x v="8"/>
    <s v="Percent change"/>
    <s v="Units"/>
    <x v="4"/>
    <n v="3.9689999999999999"/>
  </r>
  <r>
    <n v="603"/>
    <x v="12"/>
    <x v="102"/>
    <x v="8"/>
    <s v="Percent change"/>
    <s v="Units"/>
    <x v="5"/>
    <n v="4.2530000000000001"/>
  </r>
  <r>
    <n v="603"/>
    <x v="12"/>
    <x v="102"/>
    <x v="8"/>
    <s v="Percent change"/>
    <s v="Units"/>
    <x v="6"/>
    <n v="4.468"/>
  </r>
  <r>
    <n v="200"/>
    <x v="3"/>
    <x v="102"/>
    <x v="8"/>
    <s v="Percent change"/>
    <s v="Units"/>
    <x v="0"/>
    <n v="3.4220000000000002"/>
  </r>
  <r>
    <n v="200"/>
    <x v="3"/>
    <x v="102"/>
    <x v="8"/>
    <s v="Percent change"/>
    <s v="Units"/>
    <x v="1"/>
    <n v="0.53900000000000003"/>
  </r>
  <r>
    <n v="200"/>
    <x v="3"/>
    <x v="102"/>
    <x v="8"/>
    <s v="Percent change"/>
    <s v="Units"/>
    <x v="2"/>
    <n v="3.649"/>
  </r>
  <r>
    <n v="200"/>
    <x v="3"/>
    <x v="102"/>
    <x v="8"/>
    <s v="Percent change"/>
    <s v="Units"/>
    <x v="3"/>
    <n v="3.5950000000000002"/>
  </r>
  <r>
    <n v="200"/>
    <x v="3"/>
    <x v="102"/>
    <x v="8"/>
    <s v="Percent change"/>
    <s v="Units"/>
    <x v="4"/>
    <n v="3.9689999999999999"/>
  </r>
  <r>
    <n v="200"/>
    <x v="3"/>
    <x v="102"/>
    <x v="8"/>
    <s v="Percent change"/>
    <s v="Units"/>
    <x v="5"/>
    <n v="4.2530000000000001"/>
  </r>
  <r>
    <n v="200"/>
    <x v="3"/>
    <x v="102"/>
    <x v="8"/>
    <s v="Percent change"/>
    <s v="Units"/>
    <x v="6"/>
    <n v="4.468"/>
  </r>
  <r>
    <n v="505"/>
    <x v="4"/>
    <x v="92"/>
    <x v="1"/>
    <s v="Percent change"/>
    <s v="Units"/>
    <x v="0"/>
    <n v="-0.11"/>
  </r>
  <r>
    <n v="505"/>
    <x v="4"/>
    <x v="92"/>
    <x v="1"/>
    <s v="Percent change"/>
    <s v="Units"/>
    <x v="1"/>
    <n v="-0.65800000000000003"/>
  </r>
  <r>
    <n v="505"/>
    <x v="4"/>
    <x v="92"/>
    <x v="1"/>
    <s v="Percent change"/>
    <s v="Units"/>
    <x v="2"/>
    <n v="2.2469999999999999"/>
  </r>
  <r>
    <n v="505"/>
    <x v="4"/>
    <x v="92"/>
    <x v="1"/>
    <s v="Percent change"/>
    <s v="Units"/>
    <x v="3"/>
    <n v="3.234"/>
  </r>
  <r>
    <n v="505"/>
    <x v="4"/>
    <x v="92"/>
    <x v="1"/>
    <s v="Percent change"/>
    <s v="Units"/>
    <x v="4"/>
    <n v="6.7530000000000001"/>
  </r>
  <r>
    <n v="505"/>
    <x v="4"/>
    <x v="92"/>
    <x v="1"/>
    <s v="Percent change"/>
    <s v="Units"/>
    <x v="5"/>
    <n v="4.25"/>
  </r>
  <r>
    <n v="505"/>
    <x v="4"/>
    <x v="92"/>
    <x v="1"/>
    <s v="Percent change"/>
    <s v="Units"/>
    <x v="6"/>
    <n v="2.2959999999999998"/>
  </r>
  <r>
    <n v="200"/>
    <x v="3"/>
    <x v="92"/>
    <x v="1"/>
    <s v="Percent change"/>
    <s v="Units"/>
    <x v="0"/>
    <n v="-0.11"/>
  </r>
  <r>
    <n v="200"/>
    <x v="3"/>
    <x v="92"/>
    <x v="1"/>
    <s v="Percent change"/>
    <s v="Units"/>
    <x v="1"/>
    <n v="-0.65800000000000003"/>
  </r>
  <r>
    <n v="200"/>
    <x v="3"/>
    <x v="92"/>
    <x v="1"/>
    <s v="Percent change"/>
    <s v="Units"/>
    <x v="2"/>
    <n v="2.2469999999999999"/>
  </r>
  <r>
    <n v="200"/>
    <x v="3"/>
    <x v="92"/>
    <x v="1"/>
    <s v="Percent change"/>
    <s v="Units"/>
    <x v="3"/>
    <n v="3.234"/>
  </r>
  <r>
    <n v="200"/>
    <x v="3"/>
    <x v="92"/>
    <x v="1"/>
    <s v="Percent change"/>
    <s v="Units"/>
    <x v="4"/>
    <n v="6.7530000000000001"/>
  </r>
  <r>
    <n v="200"/>
    <x v="3"/>
    <x v="92"/>
    <x v="1"/>
    <s v="Percent change"/>
    <s v="Units"/>
    <x v="5"/>
    <n v="4.25"/>
  </r>
  <r>
    <n v="200"/>
    <x v="3"/>
    <x v="92"/>
    <x v="1"/>
    <s v="Percent change"/>
    <s v="Units"/>
    <x v="6"/>
    <n v="2.2959999999999998"/>
  </r>
  <r>
    <n v="1"/>
    <x v="2"/>
    <x v="92"/>
    <x v="1"/>
    <s v="Percent change"/>
    <s v="Units"/>
    <x v="0"/>
    <n v="-0.11"/>
  </r>
  <r>
    <n v="1"/>
    <x v="2"/>
    <x v="92"/>
    <x v="1"/>
    <s v="Percent change"/>
    <s v="Units"/>
    <x v="1"/>
    <n v="-0.65800000000000003"/>
  </r>
  <r>
    <n v="1"/>
    <x v="2"/>
    <x v="92"/>
    <x v="1"/>
    <s v="Percent change"/>
    <s v="Units"/>
    <x v="2"/>
    <n v="2.2469999999999999"/>
  </r>
  <r>
    <n v="1"/>
    <x v="2"/>
    <x v="92"/>
    <x v="1"/>
    <s v="Percent change"/>
    <s v="Units"/>
    <x v="3"/>
    <n v="3.234"/>
  </r>
  <r>
    <n v="1"/>
    <x v="2"/>
    <x v="92"/>
    <x v="1"/>
    <s v="Percent change"/>
    <s v="Units"/>
    <x v="4"/>
    <n v="6.7530000000000001"/>
  </r>
  <r>
    <n v="1"/>
    <x v="2"/>
    <x v="92"/>
    <x v="1"/>
    <s v="Percent change"/>
    <s v="Units"/>
    <x v="5"/>
    <n v="4.25"/>
  </r>
  <r>
    <n v="1"/>
    <x v="2"/>
    <x v="92"/>
    <x v="1"/>
    <s v="Percent change"/>
    <s v="Units"/>
    <x v="6"/>
    <n v="2.2959999999999998"/>
  </r>
  <r>
    <n v="505"/>
    <x v="4"/>
    <x v="112"/>
    <x v="4"/>
    <s v="Percent change"/>
    <s v="Units"/>
    <x v="0"/>
    <n v="13.852"/>
  </r>
  <r>
    <n v="505"/>
    <x v="4"/>
    <x v="112"/>
    <x v="4"/>
    <s v="Percent change"/>
    <s v="Units"/>
    <x v="1"/>
    <n v="-1.1319999999999999"/>
  </r>
  <r>
    <n v="505"/>
    <x v="4"/>
    <x v="112"/>
    <x v="4"/>
    <s v="Percent change"/>
    <s v="Units"/>
    <x v="2"/>
    <n v="-6.73"/>
  </r>
  <r>
    <n v="505"/>
    <x v="4"/>
    <x v="112"/>
    <x v="4"/>
    <s v="Percent change"/>
    <s v="Units"/>
    <x v="3"/>
    <n v="15.747"/>
  </r>
  <r>
    <n v="505"/>
    <x v="4"/>
    <x v="112"/>
    <x v="4"/>
    <s v="Percent change"/>
    <s v="Units"/>
    <x v="4"/>
    <n v="11.624000000000001"/>
  </r>
  <r>
    <n v="505"/>
    <x v="4"/>
    <x v="112"/>
    <x v="4"/>
    <s v="Percent change"/>
    <s v="Units"/>
    <x v="5"/>
    <n v="4.2409999999999997"/>
  </r>
  <r>
    <n v="505"/>
    <x v="4"/>
    <x v="112"/>
    <x v="4"/>
    <s v="Percent change"/>
    <s v="Units"/>
    <x v="6"/>
    <n v="6.3819999999999997"/>
  </r>
  <r>
    <n v="1"/>
    <x v="2"/>
    <x v="112"/>
    <x v="4"/>
    <s v="Percent change"/>
    <s v="Units"/>
    <x v="0"/>
    <n v="13.852"/>
  </r>
  <r>
    <n v="1"/>
    <x v="2"/>
    <x v="112"/>
    <x v="4"/>
    <s v="Percent change"/>
    <s v="Units"/>
    <x v="1"/>
    <n v="-1.1319999999999999"/>
  </r>
  <r>
    <n v="1"/>
    <x v="2"/>
    <x v="112"/>
    <x v="4"/>
    <s v="Percent change"/>
    <s v="Units"/>
    <x v="2"/>
    <n v="-6.73"/>
  </r>
  <r>
    <n v="1"/>
    <x v="2"/>
    <x v="112"/>
    <x v="4"/>
    <s v="Percent change"/>
    <s v="Units"/>
    <x v="3"/>
    <n v="15.747"/>
  </r>
  <r>
    <n v="1"/>
    <x v="2"/>
    <x v="112"/>
    <x v="4"/>
    <s v="Percent change"/>
    <s v="Units"/>
    <x v="4"/>
    <n v="11.624000000000001"/>
  </r>
  <r>
    <n v="1"/>
    <x v="2"/>
    <x v="112"/>
    <x v="4"/>
    <s v="Percent change"/>
    <s v="Units"/>
    <x v="5"/>
    <n v="4.2409999999999997"/>
  </r>
  <r>
    <n v="1"/>
    <x v="2"/>
    <x v="112"/>
    <x v="4"/>
    <s v="Percent change"/>
    <s v="Units"/>
    <x v="6"/>
    <n v="6.3819999999999997"/>
  </r>
  <r>
    <n v="200"/>
    <x v="3"/>
    <x v="112"/>
    <x v="4"/>
    <s v="Percent change"/>
    <s v="Units"/>
    <x v="0"/>
    <n v="13.852"/>
  </r>
  <r>
    <n v="200"/>
    <x v="3"/>
    <x v="112"/>
    <x v="4"/>
    <s v="Percent change"/>
    <s v="Units"/>
    <x v="1"/>
    <n v="-1.1319999999999999"/>
  </r>
  <r>
    <n v="200"/>
    <x v="3"/>
    <x v="112"/>
    <x v="4"/>
    <s v="Percent change"/>
    <s v="Units"/>
    <x v="2"/>
    <n v="-6.73"/>
  </r>
  <r>
    <n v="200"/>
    <x v="3"/>
    <x v="112"/>
    <x v="4"/>
    <s v="Percent change"/>
    <s v="Units"/>
    <x v="3"/>
    <n v="15.747"/>
  </r>
  <r>
    <n v="200"/>
    <x v="3"/>
    <x v="112"/>
    <x v="4"/>
    <s v="Percent change"/>
    <s v="Units"/>
    <x v="4"/>
    <n v="11.624000000000001"/>
  </r>
  <r>
    <n v="200"/>
    <x v="3"/>
    <x v="112"/>
    <x v="4"/>
    <s v="Percent change"/>
    <s v="Units"/>
    <x v="5"/>
    <n v="4.2409999999999997"/>
  </r>
  <r>
    <n v="200"/>
    <x v="3"/>
    <x v="112"/>
    <x v="4"/>
    <s v="Percent change"/>
    <s v="Units"/>
    <x v="6"/>
    <n v="6.3819999999999997"/>
  </r>
  <r>
    <n v="603"/>
    <x v="12"/>
    <x v="104"/>
    <x v="5"/>
    <s v="Percent of GDP"/>
    <s v="Units"/>
    <x v="0"/>
    <n v="21.855"/>
  </r>
  <r>
    <n v="603"/>
    <x v="12"/>
    <x v="104"/>
    <x v="5"/>
    <s v="Percent of GDP"/>
    <s v="Units"/>
    <x v="1"/>
    <n v="17.428000000000001"/>
  </r>
  <r>
    <n v="603"/>
    <x v="12"/>
    <x v="104"/>
    <x v="5"/>
    <s v="Percent of GDP"/>
    <s v="Units"/>
    <x v="2"/>
    <n v="17.725999999999999"/>
  </r>
  <r>
    <n v="603"/>
    <x v="12"/>
    <x v="104"/>
    <x v="5"/>
    <s v="Percent of GDP"/>
    <s v="Units"/>
    <x v="3"/>
    <n v="3.9020000000000001"/>
  </r>
  <r>
    <n v="603"/>
    <x v="12"/>
    <x v="104"/>
    <x v="5"/>
    <s v="Percent of GDP"/>
    <s v="Units"/>
    <x v="4"/>
    <n v="7.7009999999999996"/>
  </r>
  <r>
    <n v="603"/>
    <x v="12"/>
    <x v="104"/>
    <x v="5"/>
    <s v="Percent of GDP"/>
    <s v="Units"/>
    <x v="5"/>
    <n v="4.24"/>
  </r>
  <r>
    <n v="603"/>
    <x v="12"/>
    <x v="104"/>
    <x v="5"/>
    <s v="Percent of GDP"/>
    <s v="Units"/>
    <x v="6"/>
    <n v="4.8460000000000001"/>
  </r>
  <r>
    <n v="200"/>
    <x v="3"/>
    <x v="104"/>
    <x v="5"/>
    <s v="Percent of GDP"/>
    <s v="Units"/>
    <x v="0"/>
    <n v="21.855"/>
  </r>
  <r>
    <n v="200"/>
    <x v="3"/>
    <x v="104"/>
    <x v="5"/>
    <s v="Percent of GDP"/>
    <s v="Units"/>
    <x v="1"/>
    <n v="17.428000000000001"/>
  </r>
  <r>
    <n v="200"/>
    <x v="3"/>
    <x v="104"/>
    <x v="5"/>
    <s v="Percent of GDP"/>
    <s v="Units"/>
    <x v="2"/>
    <n v="17.725999999999999"/>
  </r>
  <r>
    <n v="200"/>
    <x v="3"/>
    <x v="104"/>
    <x v="5"/>
    <s v="Percent of GDP"/>
    <s v="Units"/>
    <x v="3"/>
    <n v="3.9020000000000001"/>
  </r>
  <r>
    <n v="200"/>
    <x v="3"/>
    <x v="104"/>
    <x v="5"/>
    <s v="Percent of GDP"/>
    <s v="Units"/>
    <x v="4"/>
    <n v="7.7009999999999996"/>
  </r>
  <r>
    <n v="200"/>
    <x v="3"/>
    <x v="104"/>
    <x v="5"/>
    <s v="Percent of GDP"/>
    <s v="Units"/>
    <x v="5"/>
    <n v="4.24"/>
  </r>
  <r>
    <n v="200"/>
    <x v="3"/>
    <x v="104"/>
    <x v="5"/>
    <s v="Percent of GDP"/>
    <s v="Units"/>
    <x v="6"/>
    <n v="4.8460000000000001"/>
  </r>
  <r>
    <n v="1"/>
    <x v="2"/>
    <x v="104"/>
    <x v="5"/>
    <s v="Percent of GDP"/>
    <s v="Units"/>
    <x v="0"/>
    <n v="21.855"/>
  </r>
  <r>
    <n v="1"/>
    <x v="2"/>
    <x v="104"/>
    <x v="5"/>
    <s v="Percent of GDP"/>
    <s v="Units"/>
    <x v="1"/>
    <n v="17.428000000000001"/>
  </r>
  <r>
    <n v="1"/>
    <x v="2"/>
    <x v="104"/>
    <x v="5"/>
    <s v="Percent of GDP"/>
    <s v="Units"/>
    <x v="2"/>
    <n v="17.725999999999999"/>
  </r>
  <r>
    <n v="1"/>
    <x v="2"/>
    <x v="104"/>
    <x v="5"/>
    <s v="Percent of GDP"/>
    <s v="Units"/>
    <x v="3"/>
    <n v="3.9020000000000001"/>
  </r>
  <r>
    <n v="1"/>
    <x v="2"/>
    <x v="104"/>
    <x v="5"/>
    <s v="Percent of GDP"/>
    <s v="Units"/>
    <x v="4"/>
    <n v="7.7009999999999996"/>
  </r>
  <r>
    <n v="1"/>
    <x v="2"/>
    <x v="104"/>
    <x v="5"/>
    <s v="Percent of GDP"/>
    <s v="Units"/>
    <x v="5"/>
    <n v="4.24"/>
  </r>
  <r>
    <n v="1"/>
    <x v="2"/>
    <x v="104"/>
    <x v="5"/>
    <s v="Percent of GDP"/>
    <s v="Units"/>
    <x v="6"/>
    <n v="4.8460000000000001"/>
  </r>
  <r>
    <n v="205"/>
    <x v="7"/>
    <x v="63"/>
    <x v="1"/>
    <s v="Percent change"/>
    <s v="Units"/>
    <x v="0"/>
    <n v="1.8109999999999999"/>
  </r>
  <r>
    <n v="205"/>
    <x v="7"/>
    <x v="63"/>
    <x v="1"/>
    <s v="Percent change"/>
    <s v="Units"/>
    <x v="1"/>
    <n v="3.7810000000000001"/>
  </r>
  <r>
    <n v="205"/>
    <x v="7"/>
    <x v="63"/>
    <x v="1"/>
    <s v="Percent change"/>
    <s v="Units"/>
    <x v="2"/>
    <n v="8.2430000000000003"/>
  </r>
  <r>
    <n v="205"/>
    <x v="7"/>
    <x v="63"/>
    <x v="1"/>
    <s v="Percent change"/>
    <s v="Units"/>
    <x v="3"/>
    <n v="8.8119999999999994"/>
  </r>
  <r>
    <n v="205"/>
    <x v="7"/>
    <x v="63"/>
    <x v="1"/>
    <s v="Percent change"/>
    <s v="Units"/>
    <x v="4"/>
    <n v="4.7859999999999996"/>
  </r>
  <r>
    <n v="205"/>
    <x v="7"/>
    <x v="63"/>
    <x v="1"/>
    <s v="Percent change"/>
    <s v="Units"/>
    <x v="5"/>
    <n v="4.2290000000000001"/>
  </r>
  <r>
    <n v="205"/>
    <x v="7"/>
    <x v="63"/>
    <x v="1"/>
    <s v="Percent change"/>
    <s v="Units"/>
    <x v="6"/>
    <n v="3.9729999999999999"/>
  </r>
  <r>
    <n v="200"/>
    <x v="3"/>
    <x v="63"/>
    <x v="1"/>
    <s v="Percent change"/>
    <s v="Units"/>
    <x v="0"/>
    <n v="1.8109999999999999"/>
  </r>
  <r>
    <n v="200"/>
    <x v="3"/>
    <x v="63"/>
    <x v="1"/>
    <s v="Percent change"/>
    <s v="Units"/>
    <x v="1"/>
    <n v="3.7810000000000001"/>
  </r>
  <r>
    <n v="200"/>
    <x v="3"/>
    <x v="63"/>
    <x v="1"/>
    <s v="Percent change"/>
    <s v="Units"/>
    <x v="2"/>
    <n v="8.2430000000000003"/>
  </r>
  <r>
    <n v="200"/>
    <x v="3"/>
    <x v="63"/>
    <x v="1"/>
    <s v="Percent change"/>
    <s v="Units"/>
    <x v="3"/>
    <n v="8.8119999999999994"/>
  </r>
  <r>
    <n v="200"/>
    <x v="3"/>
    <x v="63"/>
    <x v="1"/>
    <s v="Percent change"/>
    <s v="Units"/>
    <x v="4"/>
    <n v="4.7859999999999996"/>
  </r>
  <r>
    <n v="200"/>
    <x v="3"/>
    <x v="63"/>
    <x v="1"/>
    <s v="Percent change"/>
    <s v="Units"/>
    <x v="5"/>
    <n v="4.2290000000000001"/>
  </r>
  <r>
    <n v="200"/>
    <x v="3"/>
    <x v="63"/>
    <x v="1"/>
    <s v="Percent change"/>
    <s v="Units"/>
    <x v="6"/>
    <n v="3.9729999999999999"/>
  </r>
  <r>
    <n v="1"/>
    <x v="2"/>
    <x v="63"/>
    <x v="1"/>
    <s v="Percent change"/>
    <s v="Units"/>
    <x v="0"/>
    <n v="1.8109999999999999"/>
  </r>
  <r>
    <n v="1"/>
    <x v="2"/>
    <x v="63"/>
    <x v="1"/>
    <s v="Percent change"/>
    <s v="Units"/>
    <x v="1"/>
    <n v="3.7810000000000001"/>
  </r>
  <r>
    <n v="1"/>
    <x v="2"/>
    <x v="63"/>
    <x v="1"/>
    <s v="Percent change"/>
    <s v="Units"/>
    <x v="2"/>
    <n v="8.2430000000000003"/>
  </r>
  <r>
    <n v="1"/>
    <x v="2"/>
    <x v="63"/>
    <x v="1"/>
    <s v="Percent change"/>
    <s v="Units"/>
    <x v="3"/>
    <n v="8.8119999999999994"/>
  </r>
  <r>
    <n v="1"/>
    <x v="2"/>
    <x v="63"/>
    <x v="1"/>
    <s v="Percent change"/>
    <s v="Units"/>
    <x v="4"/>
    <n v="4.7859999999999996"/>
  </r>
  <r>
    <n v="1"/>
    <x v="2"/>
    <x v="63"/>
    <x v="1"/>
    <s v="Percent change"/>
    <s v="Units"/>
    <x v="5"/>
    <n v="4.2290000000000001"/>
  </r>
  <r>
    <n v="1"/>
    <x v="2"/>
    <x v="63"/>
    <x v="1"/>
    <s v="Percent change"/>
    <s v="Units"/>
    <x v="6"/>
    <n v="3.9729999999999999"/>
  </r>
  <r>
    <n v="110"/>
    <x v="0"/>
    <x v="12"/>
    <x v="11"/>
    <s v="Percent of total labor force"/>
    <s v="Units"/>
    <x v="0"/>
    <n v="5.173"/>
  </r>
  <r>
    <n v="110"/>
    <x v="0"/>
    <x v="12"/>
    <x v="11"/>
    <s v="Percent of total labor force"/>
    <s v="Units"/>
    <x v="1"/>
    <n v="6.5"/>
  </r>
  <r>
    <n v="110"/>
    <x v="0"/>
    <x v="12"/>
    <x v="11"/>
    <s v="Percent of total labor force"/>
    <s v="Units"/>
    <x v="2"/>
    <n v="5.0940000000000003"/>
  </r>
  <r>
    <n v="110"/>
    <x v="0"/>
    <x v="12"/>
    <x v="11"/>
    <s v="Percent of total labor force"/>
    <s v="Units"/>
    <x v="3"/>
    <n v="3.6970000000000001"/>
  </r>
  <r>
    <n v="110"/>
    <x v="0"/>
    <x v="12"/>
    <x v="11"/>
    <s v="Percent of total labor force"/>
    <s v="Units"/>
    <x v="4"/>
    <n v="3.669"/>
  </r>
  <r>
    <n v="110"/>
    <x v="0"/>
    <x v="12"/>
    <x v="11"/>
    <s v="Percent of total labor force"/>
    <s v="Units"/>
    <x v="5"/>
    <n v="4.21"/>
  </r>
  <r>
    <n v="110"/>
    <x v="0"/>
    <x v="12"/>
    <x v="11"/>
    <s v="Percent of total labor force"/>
    <s v="Units"/>
    <x v="6"/>
    <n v="4.5019999999999998"/>
  </r>
  <r>
    <n v="123"/>
    <x v="9"/>
    <x v="12"/>
    <x v="11"/>
    <s v="Percent of total labor force"/>
    <s v="Units"/>
    <x v="0"/>
    <n v="5.173"/>
  </r>
  <r>
    <n v="123"/>
    <x v="9"/>
    <x v="12"/>
    <x v="11"/>
    <s v="Percent of total labor force"/>
    <s v="Units"/>
    <x v="1"/>
    <n v="6.5"/>
  </r>
  <r>
    <n v="123"/>
    <x v="9"/>
    <x v="12"/>
    <x v="11"/>
    <s v="Percent of total labor force"/>
    <s v="Units"/>
    <x v="2"/>
    <n v="5.0940000000000003"/>
  </r>
  <r>
    <n v="123"/>
    <x v="9"/>
    <x v="12"/>
    <x v="11"/>
    <s v="Percent of total labor force"/>
    <s v="Units"/>
    <x v="3"/>
    <n v="3.6970000000000001"/>
  </r>
  <r>
    <n v="123"/>
    <x v="9"/>
    <x v="12"/>
    <x v="11"/>
    <s v="Percent of total labor force"/>
    <s v="Units"/>
    <x v="4"/>
    <n v="3.669"/>
  </r>
  <r>
    <n v="123"/>
    <x v="9"/>
    <x v="12"/>
    <x v="11"/>
    <s v="Percent of total labor force"/>
    <s v="Units"/>
    <x v="5"/>
    <n v="4.21"/>
  </r>
  <r>
    <n v="123"/>
    <x v="9"/>
    <x v="12"/>
    <x v="11"/>
    <s v="Percent of total labor force"/>
    <s v="Units"/>
    <x v="6"/>
    <n v="4.5019999999999998"/>
  </r>
  <r>
    <n v="505"/>
    <x v="4"/>
    <x v="148"/>
    <x v="1"/>
    <s v="Percent change"/>
    <s v="Units"/>
    <x v="0"/>
    <n v="3.8919999999999999"/>
  </r>
  <r>
    <n v="505"/>
    <x v="4"/>
    <x v="148"/>
    <x v="1"/>
    <s v="Percent change"/>
    <s v="Units"/>
    <x v="1"/>
    <n v="4.8719999999999999"/>
  </r>
  <r>
    <n v="505"/>
    <x v="4"/>
    <x v="148"/>
    <x v="1"/>
    <s v="Percent change"/>
    <s v="Units"/>
    <x v="2"/>
    <n v="4.4829999999999997"/>
  </r>
  <r>
    <n v="505"/>
    <x v="4"/>
    <x v="148"/>
    <x v="1"/>
    <s v="Percent change"/>
    <s v="Units"/>
    <x v="3"/>
    <n v="5.2530000000000001"/>
  </r>
  <r>
    <n v="505"/>
    <x v="4"/>
    <x v="148"/>
    <x v="1"/>
    <s v="Percent change"/>
    <s v="Units"/>
    <x v="4"/>
    <n v="2.33"/>
  </r>
  <r>
    <n v="505"/>
    <x v="4"/>
    <x v="148"/>
    <x v="1"/>
    <s v="Percent change"/>
    <s v="Units"/>
    <x v="5"/>
    <n v="4.2"/>
  </r>
  <r>
    <n v="505"/>
    <x v="4"/>
    <x v="148"/>
    <x v="1"/>
    <s v="Percent change"/>
    <s v="Units"/>
    <x v="6"/>
    <n v="4.8"/>
  </r>
  <r>
    <n v="200"/>
    <x v="3"/>
    <x v="148"/>
    <x v="1"/>
    <s v="Percent change"/>
    <s v="Units"/>
    <x v="0"/>
    <n v="3.8919999999999999"/>
  </r>
  <r>
    <n v="200"/>
    <x v="3"/>
    <x v="148"/>
    <x v="1"/>
    <s v="Percent change"/>
    <s v="Units"/>
    <x v="1"/>
    <n v="4.8719999999999999"/>
  </r>
  <r>
    <n v="200"/>
    <x v="3"/>
    <x v="148"/>
    <x v="1"/>
    <s v="Percent change"/>
    <s v="Units"/>
    <x v="2"/>
    <n v="4.4829999999999997"/>
  </r>
  <r>
    <n v="200"/>
    <x v="3"/>
    <x v="148"/>
    <x v="1"/>
    <s v="Percent change"/>
    <s v="Units"/>
    <x v="3"/>
    <n v="5.2530000000000001"/>
  </r>
  <r>
    <n v="200"/>
    <x v="3"/>
    <x v="148"/>
    <x v="1"/>
    <s v="Percent change"/>
    <s v="Units"/>
    <x v="4"/>
    <n v="2.33"/>
  </r>
  <r>
    <n v="200"/>
    <x v="3"/>
    <x v="148"/>
    <x v="1"/>
    <s v="Percent change"/>
    <s v="Units"/>
    <x v="5"/>
    <n v="4.2"/>
  </r>
  <r>
    <n v="200"/>
    <x v="3"/>
    <x v="148"/>
    <x v="1"/>
    <s v="Percent change"/>
    <s v="Units"/>
    <x v="6"/>
    <n v="4.8"/>
  </r>
  <r>
    <n v="1"/>
    <x v="2"/>
    <x v="148"/>
    <x v="1"/>
    <s v="Percent change"/>
    <s v="Units"/>
    <x v="0"/>
    <n v="3.8919999999999999"/>
  </r>
  <r>
    <n v="1"/>
    <x v="2"/>
    <x v="148"/>
    <x v="1"/>
    <s v="Percent change"/>
    <s v="Units"/>
    <x v="1"/>
    <n v="4.8719999999999999"/>
  </r>
  <r>
    <n v="1"/>
    <x v="2"/>
    <x v="148"/>
    <x v="1"/>
    <s v="Percent change"/>
    <s v="Units"/>
    <x v="2"/>
    <n v="4.4829999999999997"/>
  </r>
  <r>
    <n v="1"/>
    <x v="2"/>
    <x v="148"/>
    <x v="1"/>
    <s v="Percent change"/>
    <s v="Units"/>
    <x v="3"/>
    <n v="5.2530000000000001"/>
  </r>
  <r>
    <n v="1"/>
    <x v="2"/>
    <x v="148"/>
    <x v="1"/>
    <s v="Percent change"/>
    <s v="Units"/>
    <x v="4"/>
    <n v="2.33"/>
  </r>
  <r>
    <n v="1"/>
    <x v="2"/>
    <x v="148"/>
    <x v="1"/>
    <s v="Percent change"/>
    <s v="Units"/>
    <x v="5"/>
    <n v="4.2"/>
  </r>
  <r>
    <n v="1"/>
    <x v="2"/>
    <x v="148"/>
    <x v="1"/>
    <s v="Percent change"/>
    <s v="Units"/>
    <x v="6"/>
    <n v="4.8"/>
  </r>
  <r>
    <n v="903"/>
    <x v="8"/>
    <x v="116"/>
    <x v="1"/>
    <s v="Percent change"/>
    <s v="Units"/>
    <x v="0"/>
    <n v="0.36599999999999999"/>
  </r>
  <r>
    <n v="903"/>
    <x v="8"/>
    <x v="116"/>
    <x v="1"/>
    <s v="Percent change"/>
    <s v="Units"/>
    <x v="1"/>
    <n v="-0.23799999999999999"/>
  </r>
  <r>
    <n v="903"/>
    <x v="8"/>
    <x v="116"/>
    <x v="1"/>
    <s v="Percent change"/>
    <s v="Units"/>
    <x v="2"/>
    <n v="2.399"/>
  </r>
  <r>
    <n v="903"/>
    <x v="8"/>
    <x v="116"/>
    <x v="1"/>
    <s v="Percent change"/>
    <s v="Units"/>
    <x v="3"/>
    <n v="13.05"/>
  </r>
  <r>
    <n v="903"/>
    <x v="8"/>
    <x v="116"/>
    <x v="1"/>
    <s v="Percent change"/>
    <s v="Units"/>
    <x v="4"/>
    <n v="8.5649999999999995"/>
  </r>
  <r>
    <n v="903"/>
    <x v="8"/>
    <x v="116"/>
    <x v="1"/>
    <s v="Percent change"/>
    <s v="Units"/>
    <x v="5"/>
    <n v="4.1639999999999997"/>
  </r>
  <r>
    <n v="903"/>
    <x v="8"/>
    <x v="116"/>
    <x v="1"/>
    <s v="Percent change"/>
    <s v="Units"/>
    <x v="6"/>
    <n v="2.7210000000000001"/>
  </r>
  <r>
    <n v="200"/>
    <x v="3"/>
    <x v="116"/>
    <x v="1"/>
    <s v="Percent change"/>
    <s v="Units"/>
    <x v="0"/>
    <n v="0.36599999999999999"/>
  </r>
  <r>
    <n v="200"/>
    <x v="3"/>
    <x v="116"/>
    <x v="1"/>
    <s v="Percent change"/>
    <s v="Units"/>
    <x v="1"/>
    <n v="-0.23799999999999999"/>
  </r>
  <r>
    <n v="200"/>
    <x v="3"/>
    <x v="116"/>
    <x v="1"/>
    <s v="Percent change"/>
    <s v="Units"/>
    <x v="2"/>
    <n v="2.399"/>
  </r>
  <r>
    <n v="200"/>
    <x v="3"/>
    <x v="116"/>
    <x v="1"/>
    <s v="Percent change"/>
    <s v="Units"/>
    <x v="3"/>
    <n v="13.05"/>
  </r>
  <r>
    <n v="200"/>
    <x v="3"/>
    <x v="116"/>
    <x v="1"/>
    <s v="Percent change"/>
    <s v="Units"/>
    <x v="4"/>
    <n v="8.5649999999999995"/>
  </r>
  <r>
    <n v="200"/>
    <x v="3"/>
    <x v="116"/>
    <x v="1"/>
    <s v="Percent change"/>
    <s v="Units"/>
    <x v="5"/>
    <n v="4.1639999999999997"/>
  </r>
  <r>
    <n v="200"/>
    <x v="3"/>
    <x v="116"/>
    <x v="1"/>
    <s v="Percent change"/>
    <s v="Units"/>
    <x v="6"/>
    <n v="2.7210000000000001"/>
  </r>
  <r>
    <n v="1"/>
    <x v="2"/>
    <x v="116"/>
    <x v="1"/>
    <s v="Percent change"/>
    <s v="Units"/>
    <x v="0"/>
    <n v="0.36599999999999999"/>
  </r>
  <r>
    <n v="1"/>
    <x v="2"/>
    <x v="116"/>
    <x v="1"/>
    <s v="Percent change"/>
    <s v="Units"/>
    <x v="1"/>
    <n v="-0.23799999999999999"/>
  </r>
  <r>
    <n v="1"/>
    <x v="2"/>
    <x v="116"/>
    <x v="1"/>
    <s v="Percent change"/>
    <s v="Units"/>
    <x v="2"/>
    <n v="2.399"/>
  </r>
  <r>
    <n v="1"/>
    <x v="2"/>
    <x v="116"/>
    <x v="1"/>
    <s v="Percent change"/>
    <s v="Units"/>
    <x v="3"/>
    <n v="13.05"/>
  </r>
  <r>
    <n v="1"/>
    <x v="2"/>
    <x v="116"/>
    <x v="1"/>
    <s v="Percent change"/>
    <s v="Units"/>
    <x v="4"/>
    <n v="8.5649999999999995"/>
  </r>
  <r>
    <n v="1"/>
    <x v="2"/>
    <x v="116"/>
    <x v="1"/>
    <s v="Percent change"/>
    <s v="Units"/>
    <x v="5"/>
    <n v="4.1639999999999997"/>
  </r>
  <r>
    <n v="1"/>
    <x v="2"/>
    <x v="116"/>
    <x v="1"/>
    <s v="Percent change"/>
    <s v="Units"/>
    <x v="6"/>
    <n v="2.7210000000000001"/>
  </r>
  <r>
    <n v="110"/>
    <x v="0"/>
    <x v="115"/>
    <x v="1"/>
    <s v="Percent change"/>
    <s v="Units"/>
    <x v="0"/>
    <n v="2.2679999999999998"/>
  </r>
  <r>
    <n v="110"/>
    <x v="0"/>
    <x v="115"/>
    <x v="1"/>
    <s v="Percent change"/>
    <s v="Units"/>
    <x v="1"/>
    <n v="-0.63400000000000001"/>
  </r>
  <r>
    <n v="110"/>
    <x v="0"/>
    <x v="115"/>
    <x v="1"/>
    <s v="Percent change"/>
    <s v="Units"/>
    <x v="2"/>
    <n v="4.4870000000000001"/>
  </r>
  <r>
    <n v="110"/>
    <x v="0"/>
    <x v="115"/>
    <x v="1"/>
    <s v="Percent change"/>
    <s v="Units"/>
    <x v="3"/>
    <n v="19.446999999999999"/>
  </r>
  <r>
    <n v="110"/>
    <x v="0"/>
    <x v="115"/>
    <x v="1"/>
    <s v="Percent change"/>
    <s v="Units"/>
    <x v="4"/>
    <n v="9.1159999999999997"/>
  </r>
  <r>
    <n v="110"/>
    <x v="0"/>
    <x v="115"/>
    <x v="1"/>
    <s v="Percent change"/>
    <s v="Units"/>
    <x v="5"/>
    <n v="4.1589999999999998"/>
  </r>
  <r>
    <n v="110"/>
    <x v="0"/>
    <x v="115"/>
    <x v="1"/>
    <s v="Percent change"/>
    <s v="Units"/>
    <x v="6"/>
    <n v="2.4860000000000002"/>
  </r>
  <r>
    <n v="1"/>
    <x v="2"/>
    <x v="115"/>
    <x v="1"/>
    <s v="Percent change"/>
    <s v="Units"/>
    <x v="0"/>
    <n v="2.2679999999999998"/>
  </r>
  <r>
    <n v="1"/>
    <x v="2"/>
    <x v="115"/>
    <x v="1"/>
    <s v="Percent change"/>
    <s v="Units"/>
    <x v="1"/>
    <n v="-0.63400000000000001"/>
  </r>
  <r>
    <n v="1"/>
    <x v="2"/>
    <x v="115"/>
    <x v="1"/>
    <s v="Percent change"/>
    <s v="Units"/>
    <x v="2"/>
    <n v="4.4870000000000001"/>
  </r>
  <r>
    <n v="1"/>
    <x v="2"/>
    <x v="115"/>
    <x v="1"/>
    <s v="Percent change"/>
    <s v="Units"/>
    <x v="3"/>
    <n v="19.446999999999999"/>
  </r>
  <r>
    <n v="1"/>
    <x v="2"/>
    <x v="115"/>
    <x v="1"/>
    <s v="Percent change"/>
    <s v="Units"/>
    <x v="4"/>
    <n v="9.1159999999999997"/>
  </r>
  <r>
    <n v="1"/>
    <x v="2"/>
    <x v="115"/>
    <x v="1"/>
    <s v="Percent change"/>
    <s v="Units"/>
    <x v="5"/>
    <n v="4.1589999999999998"/>
  </r>
  <r>
    <n v="1"/>
    <x v="2"/>
    <x v="115"/>
    <x v="1"/>
    <s v="Percent change"/>
    <s v="Units"/>
    <x v="6"/>
    <n v="2.4860000000000002"/>
  </r>
  <r>
    <n v="998"/>
    <x v="6"/>
    <x v="115"/>
    <x v="1"/>
    <s v="Percent change"/>
    <s v="Units"/>
    <x v="0"/>
    <n v="2.2679999999999998"/>
  </r>
  <r>
    <n v="998"/>
    <x v="6"/>
    <x v="115"/>
    <x v="1"/>
    <s v="Percent change"/>
    <s v="Units"/>
    <x v="1"/>
    <n v="-0.63400000000000001"/>
  </r>
  <r>
    <n v="998"/>
    <x v="6"/>
    <x v="115"/>
    <x v="1"/>
    <s v="Percent change"/>
    <s v="Units"/>
    <x v="2"/>
    <n v="4.4870000000000001"/>
  </r>
  <r>
    <n v="998"/>
    <x v="6"/>
    <x v="115"/>
    <x v="1"/>
    <s v="Percent change"/>
    <s v="Units"/>
    <x v="3"/>
    <n v="19.446999999999999"/>
  </r>
  <r>
    <n v="998"/>
    <x v="6"/>
    <x v="115"/>
    <x v="1"/>
    <s v="Percent change"/>
    <s v="Units"/>
    <x v="4"/>
    <n v="9.1159999999999997"/>
  </r>
  <r>
    <n v="998"/>
    <x v="6"/>
    <x v="115"/>
    <x v="1"/>
    <s v="Percent change"/>
    <s v="Units"/>
    <x v="5"/>
    <n v="4.1589999999999998"/>
  </r>
  <r>
    <n v="998"/>
    <x v="6"/>
    <x v="115"/>
    <x v="1"/>
    <s v="Percent change"/>
    <s v="Units"/>
    <x v="6"/>
    <n v="2.4860000000000002"/>
  </r>
  <r>
    <n v="163"/>
    <x v="5"/>
    <x v="115"/>
    <x v="1"/>
    <s v="Percent change"/>
    <s v="Units"/>
    <x v="0"/>
    <n v="2.2679999999999998"/>
  </r>
  <r>
    <n v="163"/>
    <x v="5"/>
    <x v="115"/>
    <x v="1"/>
    <s v="Percent change"/>
    <s v="Units"/>
    <x v="1"/>
    <n v="-0.63400000000000001"/>
  </r>
  <r>
    <n v="163"/>
    <x v="5"/>
    <x v="115"/>
    <x v="1"/>
    <s v="Percent change"/>
    <s v="Units"/>
    <x v="2"/>
    <n v="4.4870000000000001"/>
  </r>
  <r>
    <n v="163"/>
    <x v="5"/>
    <x v="115"/>
    <x v="1"/>
    <s v="Percent change"/>
    <s v="Units"/>
    <x v="3"/>
    <n v="19.446999999999999"/>
  </r>
  <r>
    <n v="163"/>
    <x v="5"/>
    <x v="115"/>
    <x v="1"/>
    <s v="Percent change"/>
    <s v="Units"/>
    <x v="4"/>
    <n v="9.1159999999999997"/>
  </r>
  <r>
    <n v="163"/>
    <x v="5"/>
    <x v="115"/>
    <x v="1"/>
    <s v="Percent change"/>
    <s v="Units"/>
    <x v="5"/>
    <n v="4.1589999999999998"/>
  </r>
  <r>
    <n v="163"/>
    <x v="5"/>
    <x v="115"/>
    <x v="1"/>
    <s v="Percent change"/>
    <s v="Units"/>
    <x v="6"/>
    <n v="2.4860000000000002"/>
  </r>
  <r>
    <n v="1"/>
    <x v="2"/>
    <x v="36"/>
    <x v="4"/>
    <s v="Percent change"/>
    <s v="Units"/>
    <x v="0"/>
    <n v="-0.81200000000000006"/>
  </r>
  <r>
    <n v="1"/>
    <x v="2"/>
    <x v="36"/>
    <x v="4"/>
    <s v="Percent change"/>
    <s v="Units"/>
    <x v="1"/>
    <n v="0.40100000000000002"/>
  </r>
  <r>
    <n v="1"/>
    <x v="2"/>
    <x v="36"/>
    <x v="4"/>
    <s v="Percent change"/>
    <s v="Units"/>
    <x v="2"/>
    <n v="17.419"/>
  </r>
  <r>
    <n v="1"/>
    <x v="2"/>
    <x v="36"/>
    <x v="4"/>
    <s v="Percent change"/>
    <s v="Units"/>
    <x v="3"/>
    <n v="9.0749999999999993"/>
  </r>
  <r>
    <n v="1"/>
    <x v="2"/>
    <x v="36"/>
    <x v="4"/>
    <s v="Percent change"/>
    <s v="Units"/>
    <x v="4"/>
    <n v="-4.7210000000000001"/>
  </r>
  <r>
    <n v="1"/>
    <x v="2"/>
    <x v="36"/>
    <x v="4"/>
    <s v="Percent change"/>
    <s v="Units"/>
    <x v="5"/>
    <n v="4.1559999999999997"/>
  </r>
  <r>
    <n v="1"/>
    <x v="2"/>
    <x v="36"/>
    <x v="4"/>
    <s v="Percent change"/>
    <s v="Units"/>
    <x v="6"/>
    <n v="5.77"/>
  </r>
  <r>
    <n v="200"/>
    <x v="3"/>
    <x v="36"/>
    <x v="4"/>
    <s v="Percent change"/>
    <s v="Units"/>
    <x v="0"/>
    <n v="-0.81200000000000006"/>
  </r>
  <r>
    <n v="200"/>
    <x v="3"/>
    <x v="36"/>
    <x v="4"/>
    <s v="Percent change"/>
    <s v="Units"/>
    <x v="1"/>
    <n v="0.40100000000000002"/>
  </r>
  <r>
    <n v="200"/>
    <x v="3"/>
    <x v="36"/>
    <x v="4"/>
    <s v="Percent change"/>
    <s v="Units"/>
    <x v="2"/>
    <n v="17.419"/>
  </r>
  <r>
    <n v="200"/>
    <x v="3"/>
    <x v="36"/>
    <x v="4"/>
    <s v="Percent change"/>
    <s v="Units"/>
    <x v="3"/>
    <n v="9.0749999999999993"/>
  </r>
  <r>
    <n v="200"/>
    <x v="3"/>
    <x v="36"/>
    <x v="4"/>
    <s v="Percent change"/>
    <s v="Units"/>
    <x v="4"/>
    <n v="-4.7210000000000001"/>
  </r>
  <r>
    <n v="200"/>
    <x v="3"/>
    <x v="36"/>
    <x v="4"/>
    <s v="Percent change"/>
    <s v="Units"/>
    <x v="5"/>
    <n v="4.1559999999999997"/>
  </r>
  <r>
    <n v="200"/>
    <x v="3"/>
    <x v="36"/>
    <x v="4"/>
    <s v="Percent change"/>
    <s v="Units"/>
    <x v="6"/>
    <n v="5.77"/>
  </r>
  <r>
    <n v="510"/>
    <x v="10"/>
    <x v="36"/>
    <x v="4"/>
    <s v="Percent change"/>
    <s v="Units"/>
    <x v="0"/>
    <n v="-0.81200000000000006"/>
  </r>
  <r>
    <n v="510"/>
    <x v="10"/>
    <x v="36"/>
    <x v="4"/>
    <s v="Percent change"/>
    <s v="Units"/>
    <x v="1"/>
    <n v="0.40100000000000002"/>
  </r>
  <r>
    <n v="510"/>
    <x v="10"/>
    <x v="36"/>
    <x v="4"/>
    <s v="Percent change"/>
    <s v="Units"/>
    <x v="2"/>
    <n v="17.419"/>
  </r>
  <r>
    <n v="510"/>
    <x v="10"/>
    <x v="36"/>
    <x v="4"/>
    <s v="Percent change"/>
    <s v="Units"/>
    <x v="3"/>
    <n v="9.0749999999999993"/>
  </r>
  <r>
    <n v="510"/>
    <x v="10"/>
    <x v="36"/>
    <x v="4"/>
    <s v="Percent change"/>
    <s v="Units"/>
    <x v="4"/>
    <n v="-4.7210000000000001"/>
  </r>
  <r>
    <n v="510"/>
    <x v="10"/>
    <x v="36"/>
    <x v="4"/>
    <s v="Percent change"/>
    <s v="Units"/>
    <x v="5"/>
    <n v="4.1559999999999997"/>
  </r>
  <r>
    <n v="510"/>
    <x v="10"/>
    <x v="36"/>
    <x v="4"/>
    <s v="Percent change"/>
    <s v="Units"/>
    <x v="6"/>
    <n v="5.77"/>
  </r>
  <r>
    <n v="505"/>
    <x v="4"/>
    <x v="36"/>
    <x v="4"/>
    <s v="Percent change"/>
    <s v="Units"/>
    <x v="0"/>
    <n v="-0.81200000000000006"/>
  </r>
  <r>
    <n v="505"/>
    <x v="4"/>
    <x v="36"/>
    <x v="4"/>
    <s v="Percent change"/>
    <s v="Units"/>
    <x v="1"/>
    <n v="0.40100000000000002"/>
  </r>
  <r>
    <n v="505"/>
    <x v="4"/>
    <x v="36"/>
    <x v="4"/>
    <s v="Percent change"/>
    <s v="Units"/>
    <x v="2"/>
    <n v="17.419"/>
  </r>
  <r>
    <n v="505"/>
    <x v="4"/>
    <x v="36"/>
    <x v="4"/>
    <s v="Percent change"/>
    <s v="Units"/>
    <x v="3"/>
    <n v="9.0749999999999993"/>
  </r>
  <r>
    <n v="505"/>
    <x v="4"/>
    <x v="36"/>
    <x v="4"/>
    <s v="Percent change"/>
    <s v="Units"/>
    <x v="4"/>
    <n v="-4.7210000000000001"/>
  </r>
  <r>
    <n v="505"/>
    <x v="4"/>
    <x v="36"/>
    <x v="4"/>
    <s v="Percent change"/>
    <s v="Units"/>
    <x v="5"/>
    <n v="4.1559999999999997"/>
  </r>
  <r>
    <n v="505"/>
    <x v="4"/>
    <x v="36"/>
    <x v="4"/>
    <s v="Percent change"/>
    <s v="Units"/>
    <x v="6"/>
    <n v="5.77"/>
  </r>
  <r>
    <n v="119"/>
    <x v="1"/>
    <x v="5"/>
    <x v="11"/>
    <s v="Percent of total labor force"/>
    <s v="Units"/>
    <x v="0"/>
    <n v="3.9249999999999998"/>
  </r>
  <r>
    <n v="119"/>
    <x v="1"/>
    <x v="5"/>
    <x v="11"/>
    <s v="Percent of total labor force"/>
    <s v="Units"/>
    <x v="1"/>
    <n v="4.6500000000000004"/>
  </r>
  <r>
    <n v="119"/>
    <x v="1"/>
    <x v="5"/>
    <x v="11"/>
    <s v="Percent of total labor force"/>
    <s v="Units"/>
    <x v="2"/>
    <n v="4.625"/>
  </r>
  <r>
    <n v="119"/>
    <x v="1"/>
    <x v="5"/>
    <x v="11"/>
    <s v="Percent of total labor force"/>
    <s v="Units"/>
    <x v="3"/>
    <n v="3.875"/>
  </r>
  <r>
    <n v="119"/>
    <x v="1"/>
    <x v="5"/>
    <x v="11"/>
    <s v="Percent of total labor force"/>
    <s v="Units"/>
    <x v="4"/>
    <n v="4.0250000000000004"/>
  </r>
  <r>
    <n v="119"/>
    <x v="1"/>
    <x v="5"/>
    <x v="11"/>
    <s v="Percent of total labor force"/>
    <s v="Units"/>
    <x v="5"/>
    <n v="4.1500000000000004"/>
  </r>
  <r>
    <n v="119"/>
    <x v="1"/>
    <x v="5"/>
    <x v="11"/>
    <s v="Percent of total labor force"/>
    <s v="Units"/>
    <x v="6"/>
    <n v="4.05"/>
  </r>
  <r>
    <n v="110"/>
    <x v="0"/>
    <x v="5"/>
    <x v="11"/>
    <s v="Percent of total labor force"/>
    <s v="Units"/>
    <x v="0"/>
    <n v="3.9249999999999998"/>
  </r>
  <r>
    <n v="110"/>
    <x v="0"/>
    <x v="5"/>
    <x v="11"/>
    <s v="Percent of total labor force"/>
    <s v="Units"/>
    <x v="1"/>
    <n v="4.6500000000000004"/>
  </r>
  <r>
    <n v="110"/>
    <x v="0"/>
    <x v="5"/>
    <x v="11"/>
    <s v="Percent of total labor force"/>
    <s v="Units"/>
    <x v="2"/>
    <n v="4.625"/>
  </r>
  <r>
    <n v="110"/>
    <x v="0"/>
    <x v="5"/>
    <x v="11"/>
    <s v="Percent of total labor force"/>
    <s v="Units"/>
    <x v="3"/>
    <n v="3.875"/>
  </r>
  <r>
    <n v="110"/>
    <x v="0"/>
    <x v="5"/>
    <x v="11"/>
    <s v="Percent of total labor force"/>
    <s v="Units"/>
    <x v="4"/>
    <n v="4.0250000000000004"/>
  </r>
  <r>
    <n v="110"/>
    <x v="0"/>
    <x v="5"/>
    <x v="11"/>
    <s v="Percent of total labor force"/>
    <s v="Units"/>
    <x v="5"/>
    <n v="4.1500000000000004"/>
  </r>
  <r>
    <n v="110"/>
    <x v="0"/>
    <x v="5"/>
    <x v="11"/>
    <s v="Percent of total labor force"/>
    <s v="Units"/>
    <x v="6"/>
    <n v="4.05"/>
  </r>
  <r>
    <n v="200"/>
    <x v="3"/>
    <x v="43"/>
    <x v="6"/>
    <s v="Percent change"/>
    <s v="Units"/>
    <x v="0"/>
    <n v="-1.9179999999999999"/>
  </r>
  <r>
    <n v="200"/>
    <x v="3"/>
    <x v="43"/>
    <x v="6"/>
    <s v="Percent change"/>
    <s v="Units"/>
    <x v="1"/>
    <n v="-12.579000000000001"/>
  </r>
  <r>
    <n v="200"/>
    <x v="3"/>
    <x v="43"/>
    <x v="6"/>
    <s v="Percent change"/>
    <s v="Units"/>
    <x v="2"/>
    <n v="31.626000000000001"/>
  </r>
  <r>
    <n v="200"/>
    <x v="3"/>
    <x v="43"/>
    <x v="6"/>
    <s v="Percent change"/>
    <s v="Units"/>
    <x v="3"/>
    <n v="2.0270000000000001"/>
  </r>
  <r>
    <n v="200"/>
    <x v="3"/>
    <x v="43"/>
    <x v="6"/>
    <s v="Percent change"/>
    <s v="Units"/>
    <x v="4"/>
    <n v="-11.694000000000001"/>
  </r>
  <r>
    <n v="200"/>
    <x v="3"/>
    <x v="43"/>
    <x v="6"/>
    <s v="Percent change"/>
    <s v="Units"/>
    <x v="5"/>
    <n v="4.1479999999999997"/>
  </r>
  <r>
    <n v="200"/>
    <x v="3"/>
    <x v="43"/>
    <x v="6"/>
    <s v="Percent change"/>
    <s v="Units"/>
    <x v="6"/>
    <n v="4.4980000000000002"/>
  </r>
  <r>
    <n v="205"/>
    <x v="7"/>
    <x v="43"/>
    <x v="6"/>
    <s v="Percent change"/>
    <s v="Units"/>
    <x v="0"/>
    <n v="-1.9179999999999999"/>
  </r>
  <r>
    <n v="205"/>
    <x v="7"/>
    <x v="43"/>
    <x v="6"/>
    <s v="Percent change"/>
    <s v="Units"/>
    <x v="1"/>
    <n v="-12.579000000000001"/>
  </r>
  <r>
    <n v="205"/>
    <x v="7"/>
    <x v="43"/>
    <x v="6"/>
    <s v="Percent change"/>
    <s v="Units"/>
    <x v="2"/>
    <n v="31.626000000000001"/>
  </r>
  <r>
    <n v="205"/>
    <x v="7"/>
    <x v="43"/>
    <x v="6"/>
    <s v="Percent change"/>
    <s v="Units"/>
    <x v="3"/>
    <n v="2.0270000000000001"/>
  </r>
  <r>
    <n v="205"/>
    <x v="7"/>
    <x v="43"/>
    <x v="6"/>
    <s v="Percent change"/>
    <s v="Units"/>
    <x v="4"/>
    <n v="-11.694000000000001"/>
  </r>
  <r>
    <n v="205"/>
    <x v="7"/>
    <x v="43"/>
    <x v="6"/>
    <s v="Percent change"/>
    <s v="Units"/>
    <x v="5"/>
    <n v="4.1479999999999997"/>
  </r>
  <r>
    <n v="205"/>
    <x v="7"/>
    <x v="43"/>
    <x v="6"/>
    <s v="Percent change"/>
    <s v="Units"/>
    <x v="6"/>
    <n v="4.4980000000000002"/>
  </r>
  <r>
    <n v="1"/>
    <x v="2"/>
    <x v="43"/>
    <x v="6"/>
    <s v="Percent change"/>
    <s v="Units"/>
    <x v="0"/>
    <n v="-1.9179999999999999"/>
  </r>
  <r>
    <n v="1"/>
    <x v="2"/>
    <x v="43"/>
    <x v="6"/>
    <s v="Percent change"/>
    <s v="Units"/>
    <x v="1"/>
    <n v="-12.579000000000001"/>
  </r>
  <r>
    <n v="1"/>
    <x v="2"/>
    <x v="43"/>
    <x v="6"/>
    <s v="Percent change"/>
    <s v="Units"/>
    <x v="2"/>
    <n v="31.626000000000001"/>
  </r>
  <r>
    <n v="1"/>
    <x v="2"/>
    <x v="43"/>
    <x v="6"/>
    <s v="Percent change"/>
    <s v="Units"/>
    <x v="3"/>
    <n v="2.0270000000000001"/>
  </r>
  <r>
    <n v="1"/>
    <x v="2"/>
    <x v="43"/>
    <x v="6"/>
    <s v="Percent change"/>
    <s v="Units"/>
    <x v="4"/>
    <n v="-11.694000000000001"/>
  </r>
  <r>
    <n v="1"/>
    <x v="2"/>
    <x v="43"/>
    <x v="6"/>
    <s v="Percent change"/>
    <s v="Units"/>
    <x v="5"/>
    <n v="4.1479999999999997"/>
  </r>
  <r>
    <n v="1"/>
    <x v="2"/>
    <x v="43"/>
    <x v="6"/>
    <s v="Percent change"/>
    <s v="Units"/>
    <x v="6"/>
    <n v="4.4980000000000002"/>
  </r>
  <r>
    <n v="205"/>
    <x v="7"/>
    <x v="111"/>
    <x v="8"/>
    <s v="Percent change"/>
    <s v="Units"/>
    <x v="0"/>
    <n v="0.67700000000000005"/>
  </r>
  <r>
    <n v="205"/>
    <x v="7"/>
    <x v="111"/>
    <x v="8"/>
    <s v="Percent change"/>
    <s v="Units"/>
    <x v="1"/>
    <n v="-13.757"/>
  </r>
  <r>
    <n v="205"/>
    <x v="7"/>
    <x v="111"/>
    <x v="8"/>
    <s v="Percent change"/>
    <s v="Units"/>
    <x v="2"/>
    <n v="4.6870000000000003"/>
  </r>
  <r>
    <n v="205"/>
    <x v="7"/>
    <x v="111"/>
    <x v="8"/>
    <s v="Percent change"/>
    <s v="Units"/>
    <x v="3"/>
    <n v="7.3209999999999997"/>
  </r>
  <r>
    <n v="205"/>
    <x v="7"/>
    <x v="111"/>
    <x v="8"/>
    <s v="Percent change"/>
    <s v="Units"/>
    <x v="4"/>
    <n v="4.7910000000000004"/>
  </r>
  <r>
    <n v="205"/>
    <x v="7"/>
    <x v="111"/>
    <x v="8"/>
    <s v="Percent change"/>
    <s v="Units"/>
    <x v="5"/>
    <n v="4.141"/>
  </r>
  <r>
    <n v="205"/>
    <x v="7"/>
    <x v="111"/>
    <x v="8"/>
    <s v="Percent change"/>
    <s v="Units"/>
    <x v="6"/>
    <n v="3.6720000000000002"/>
  </r>
  <r>
    <n v="200"/>
    <x v="3"/>
    <x v="119"/>
    <x v="6"/>
    <s v="Percent change"/>
    <s v="Units"/>
    <x v="0"/>
    <n v="-0.83799999999999997"/>
  </r>
  <r>
    <n v="200"/>
    <x v="3"/>
    <x v="119"/>
    <x v="6"/>
    <s v="Percent change"/>
    <s v="Units"/>
    <x v="1"/>
    <n v="-23.265000000000001"/>
  </r>
  <r>
    <n v="200"/>
    <x v="3"/>
    <x v="119"/>
    <x v="6"/>
    <s v="Percent change"/>
    <s v="Units"/>
    <x v="2"/>
    <n v="17.236999999999998"/>
  </r>
  <r>
    <n v="200"/>
    <x v="3"/>
    <x v="119"/>
    <x v="6"/>
    <s v="Percent change"/>
    <s v="Units"/>
    <x v="3"/>
    <n v="50.284999999999997"/>
  </r>
  <r>
    <n v="200"/>
    <x v="3"/>
    <x v="119"/>
    <x v="6"/>
    <s v="Percent change"/>
    <s v="Units"/>
    <x v="4"/>
    <n v="22.117000000000001"/>
  </r>
  <r>
    <n v="200"/>
    <x v="3"/>
    <x v="119"/>
    <x v="6"/>
    <s v="Percent change"/>
    <s v="Units"/>
    <x v="5"/>
    <n v="4.141"/>
  </r>
  <r>
    <n v="200"/>
    <x v="3"/>
    <x v="119"/>
    <x v="6"/>
    <s v="Percent change"/>
    <s v="Units"/>
    <x v="6"/>
    <n v="4.3689999999999998"/>
  </r>
  <r>
    <n v="1"/>
    <x v="2"/>
    <x v="119"/>
    <x v="6"/>
    <s v="Percent change"/>
    <s v="Units"/>
    <x v="0"/>
    <n v="-0.83799999999999997"/>
  </r>
  <r>
    <n v="1"/>
    <x v="2"/>
    <x v="119"/>
    <x v="6"/>
    <s v="Percent change"/>
    <s v="Units"/>
    <x v="1"/>
    <n v="-23.265000000000001"/>
  </r>
  <r>
    <n v="1"/>
    <x v="2"/>
    <x v="119"/>
    <x v="6"/>
    <s v="Percent change"/>
    <s v="Units"/>
    <x v="2"/>
    <n v="17.236999999999998"/>
  </r>
  <r>
    <n v="1"/>
    <x v="2"/>
    <x v="119"/>
    <x v="6"/>
    <s v="Percent change"/>
    <s v="Units"/>
    <x v="3"/>
    <n v="50.284999999999997"/>
  </r>
  <r>
    <n v="1"/>
    <x v="2"/>
    <x v="119"/>
    <x v="6"/>
    <s v="Percent change"/>
    <s v="Units"/>
    <x v="4"/>
    <n v="22.117000000000001"/>
  </r>
  <r>
    <n v="1"/>
    <x v="2"/>
    <x v="119"/>
    <x v="6"/>
    <s v="Percent change"/>
    <s v="Units"/>
    <x v="5"/>
    <n v="4.141"/>
  </r>
  <r>
    <n v="1"/>
    <x v="2"/>
    <x v="119"/>
    <x v="6"/>
    <s v="Percent change"/>
    <s v="Units"/>
    <x v="6"/>
    <n v="4.3689999999999998"/>
  </r>
  <r>
    <n v="200"/>
    <x v="3"/>
    <x v="111"/>
    <x v="8"/>
    <s v="Percent change"/>
    <s v="Units"/>
    <x v="0"/>
    <n v="0.67700000000000005"/>
  </r>
  <r>
    <n v="200"/>
    <x v="3"/>
    <x v="111"/>
    <x v="8"/>
    <s v="Percent change"/>
    <s v="Units"/>
    <x v="1"/>
    <n v="-13.757"/>
  </r>
  <r>
    <n v="200"/>
    <x v="3"/>
    <x v="111"/>
    <x v="8"/>
    <s v="Percent change"/>
    <s v="Units"/>
    <x v="2"/>
    <n v="4.6870000000000003"/>
  </r>
  <r>
    <n v="200"/>
    <x v="3"/>
    <x v="111"/>
    <x v="8"/>
    <s v="Percent change"/>
    <s v="Units"/>
    <x v="3"/>
    <n v="7.3209999999999997"/>
  </r>
  <r>
    <n v="200"/>
    <x v="3"/>
    <x v="111"/>
    <x v="8"/>
    <s v="Percent change"/>
    <s v="Units"/>
    <x v="4"/>
    <n v="4.7910000000000004"/>
  </r>
  <r>
    <n v="200"/>
    <x v="3"/>
    <x v="111"/>
    <x v="8"/>
    <s v="Percent change"/>
    <s v="Units"/>
    <x v="5"/>
    <n v="4.141"/>
  </r>
  <r>
    <n v="200"/>
    <x v="3"/>
    <x v="111"/>
    <x v="8"/>
    <s v="Percent change"/>
    <s v="Units"/>
    <x v="6"/>
    <n v="3.6720000000000002"/>
  </r>
  <r>
    <n v="1"/>
    <x v="2"/>
    <x v="111"/>
    <x v="8"/>
    <s v="Percent change"/>
    <s v="Units"/>
    <x v="0"/>
    <n v="0.67700000000000005"/>
  </r>
  <r>
    <n v="1"/>
    <x v="2"/>
    <x v="111"/>
    <x v="8"/>
    <s v="Percent change"/>
    <s v="Units"/>
    <x v="1"/>
    <n v="-13.757"/>
  </r>
  <r>
    <n v="1"/>
    <x v="2"/>
    <x v="111"/>
    <x v="8"/>
    <s v="Percent change"/>
    <s v="Units"/>
    <x v="2"/>
    <n v="4.6870000000000003"/>
  </r>
  <r>
    <n v="1"/>
    <x v="2"/>
    <x v="111"/>
    <x v="8"/>
    <s v="Percent change"/>
    <s v="Units"/>
    <x v="3"/>
    <n v="7.3209999999999997"/>
  </r>
  <r>
    <n v="1"/>
    <x v="2"/>
    <x v="111"/>
    <x v="8"/>
    <s v="Percent change"/>
    <s v="Units"/>
    <x v="4"/>
    <n v="4.7910000000000004"/>
  </r>
  <r>
    <n v="1"/>
    <x v="2"/>
    <x v="111"/>
    <x v="8"/>
    <s v="Percent change"/>
    <s v="Units"/>
    <x v="5"/>
    <n v="4.141"/>
  </r>
  <r>
    <n v="1"/>
    <x v="2"/>
    <x v="111"/>
    <x v="8"/>
    <s v="Percent change"/>
    <s v="Units"/>
    <x v="6"/>
    <n v="3.6720000000000002"/>
  </r>
  <r>
    <n v="400"/>
    <x v="11"/>
    <x v="119"/>
    <x v="6"/>
    <s v="Percent change"/>
    <s v="Units"/>
    <x v="0"/>
    <n v="-0.83799999999999997"/>
  </r>
  <r>
    <n v="400"/>
    <x v="11"/>
    <x v="119"/>
    <x v="6"/>
    <s v="Percent change"/>
    <s v="Units"/>
    <x v="1"/>
    <n v="-23.265000000000001"/>
  </r>
  <r>
    <n v="400"/>
    <x v="11"/>
    <x v="119"/>
    <x v="6"/>
    <s v="Percent change"/>
    <s v="Units"/>
    <x v="2"/>
    <n v="17.236999999999998"/>
  </r>
  <r>
    <n v="400"/>
    <x v="11"/>
    <x v="119"/>
    <x v="6"/>
    <s v="Percent change"/>
    <s v="Units"/>
    <x v="3"/>
    <n v="50.284999999999997"/>
  </r>
  <r>
    <n v="400"/>
    <x v="11"/>
    <x v="119"/>
    <x v="6"/>
    <s v="Percent change"/>
    <s v="Units"/>
    <x v="4"/>
    <n v="22.117000000000001"/>
  </r>
  <r>
    <n v="400"/>
    <x v="11"/>
    <x v="119"/>
    <x v="6"/>
    <s v="Percent change"/>
    <s v="Units"/>
    <x v="5"/>
    <n v="4.141"/>
  </r>
  <r>
    <n v="400"/>
    <x v="11"/>
    <x v="119"/>
    <x v="6"/>
    <s v="Percent change"/>
    <s v="Units"/>
    <x v="6"/>
    <n v="4.3689999999999998"/>
  </r>
  <r>
    <n v="1"/>
    <x v="2"/>
    <x v="65"/>
    <x v="1"/>
    <s v="Percent change"/>
    <s v="Units"/>
    <x v="0"/>
    <n v="3.492"/>
  </r>
  <r>
    <n v="1"/>
    <x v="2"/>
    <x v="65"/>
    <x v="1"/>
    <s v="Percent change"/>
    <s v="Units"/>
    <x v="1"/>
    <n v="1.859"/>
  </r>
  <r>
    <n v="1"/>
    <x v="2"/>
    <x v="65"/>
    <x v="1"/>
    <s v="Percent change"/>
    <s v="Units"/>
    <x v="2"/>
    <n v="6.2169999999999996"/>
  </r>
  <r>
    <n v="1"/>
    <x v="2"/>
    <x v="65"/>
    <x v="1"/>
    <s v="Percent change"/>
    <s v="Units"/>
    <x v="3"/>
    <n v="11.54"/>
  </r>
  <r>
    <n v="1"/>
    <x v="2"/>
    <x v="65"/>
    <x v="1"/>
    <s v="Percent change"/>
    <s v="Units"/>
    <x v="4"/>
    <n v="6.2050000000000001"/>
  </r>
  <r>
    <n v="1"/>
    <x v="2"/>
    <x v="65"/>
    <x v="1"/>
    <s v="Percent change"/>
    <s v="Units"/>
    <x v="5"/>
    <n v="4.1310000000000002"/>
  </r>
  <r>
    <n v="1"/>
    <x v="2"/>
    <x v="65"/>
    <x v="1"/>
    <s v="Percent change"/>
    <s v="Units"/>
    <x v="6"/>
    <n v="3.5590000000000002"/>
  </r>
  <r>
    <n v="200"/>
    <x v="3"/>
    <x v="65"/>
    <x v="1"/>
    <s v="Percent change"/>
    <s v="Units"/>
    <x v="0"/>
    <n v="3.492"/>
  </r>
  <r>
    <n v="200"/>
    <x v="3"/>
    <x v="65"/>
    <x v="1"/>
    <s v="Percent change"/>
    <s v="Units"/>
    <x v="1"/>
    <n v="1.859"/>
  </r>
  <r>
    <n v="200"/>
    <x v="3"/>
    <x v="65"/>
    <x v="1"/>
    <s v="Percent change"/>
    <s v="Units"/>
    <x v="2"/>
    <n v="6.2169999999999996"/>
  </r>
  <r>
    <n v="200"/>
    <x v="3"/>
    <x v="65"/>
    <x v="1"/>
    <s v="Percent change"/>
    <s v="Units"/>
    <x v="3"/>
    <n v="11.54"/>
  </r>
  <r>
    <n v="200"/>
    <x v="3"/>
    <x v="65"/>
    <x v="1"/>
    <s v="Percent change"/>
    <s v="Units"/>
    <x v="4"/>
    <n v="6.2050000000000001"/>
  </r>
  <r>
    <n v="200"/>
    <x v="3"/>
    <x v="65"/>
    <x v="1"/>
    <s v="Percent change"/>
    <s v="Units"/>
    <x v="5"/>
    <n v="4.1310000000000002"/>
  </r>
  <r>
    <n v="200"/>
    <x v="3"/>
    <x v="65"/>
    <x v="1"/>
    <s v="Percent change"/>
    <s v="Units"/>
    <x v="6"/>
    <n v="3.5590000000000002"/>
  </r>
  <r>
    <n v="505"/>
    <x v="4"/>
    <x v="65"/>
    <x v="1"/>
    <s v="Percent change"/>
    <s v="Units"/>
    <x v="0"/>
    <n v="3.492"/>
  </r>
  <r>
    <n v="505"/>
    <x v="4"/>
    <x v="65"/>
    <x v="1"/>
    <s v="Percent change"/>
    <s v="Units"/>
    <x v="1"/>
    <n v="1.859"/>
  </r>
  <r>
    <n v="505"/>
    <x v="4"/>
    <x v="65"/>
    <x v="1"/>
    <s v="Percent change"/>
    <s v="Units"/>
    <x v="2"/>
    <n v="6.2169999999999996"/>
  </r>
  <r>
    <n v="505"/>
    <x v="4"/>
    <x v="65"/>
    <x v="1"/>
    <s v="Percent change"/>
    <s v="Units"/>
    <x v="3"/>
    <n v="11.54"/>
  </r>
  <r>
    <n v="505"/>
    <x v="4"/>
    <x v="65"/>
    <x v="1"/>
    <s v="Percent change"/>
    <s v="Units"/>
    <x v="4"/>
    <n v="6.2050000000000001"/>
  </r>
  <r>
    <n v="505"/>
    <x v="4"/>
    <x v="65"/>
    <x v="1"/>
    <s v="Percent change"/>
    <s v="Units"/>
    <x v="5"/>
    <n v="4.1310000000000002"/>
  </r>
  <r>
    <n v="505"/>
    <x v="4"/>
    <x v="65"/>
    <x v="1"/>
    <s v="Percent change"/>
    <s v="Units"/>
    <x v="6"/>
    <n v="3.5590000000000002"/>
  </r>
  <r>
    <n v="200"/>
    <x v="3"/>
    <x v="7"/>
    <x v="1"/>
    <s v="Percent change"/>
    <s v="Units"/>
    <x v="0"/>
    <n v="3.7330000000000001"/>
  </r>
  <r>
    <n v="200"/>
    <x v="3"/>
    <x v="7"/>
    <x v="1"/>
    <s v="Percent change"/>
    <s v="Units"/>
    <x v="1"/>
    <n v="3.2120000000000002"/>
  </r>
  <r>
    <n v="200"/>
    <x v="3"/>
    <x v="7"/>
    <x v="1"/>
    <s v="Percent change"/>
    <s v="Units"/>
    <x v="2"/>
    <n v="8.3019999999999996"/>
  </r>
  <r>
    <n v="200"/>
    <x v="3"/>
    <x v="7"/>
    <x v="1"/>
    <s v="Percent change"/>
    <s v="Units"/>
    <x v="3"/>
    <n v="9.2799999999999994"/>
  </r>
  <r>
    <n v="200"/>
    <x v="3"/>
    <x v="7"/>
    <x v="1"/>
    <s v="Percent change"/>
    <s v="Units"/>
    <x v="4"/>
    <n v="4.5940000000000003"/>
  </r>
  <r>
    <n v="200"/>
    <x v="3"/>
    <x v="7"/>
    <x v="1"/>
    <s v="Percent change"/>
    <s v="Units"/>
    <x v="5"/>
    <n v="4.1130000000000004"/>
  </r>
  <r>
    <n v="200"/>
    <x v="3"/>
    <x v="7"/>
    <x v="1"/>
    <s v="Percent change"/>
    <s v="Units"/>
    <x v="6"/>
    <n v="3.0390000000000001"/>
  </r>
  <r>
    <n v="205"/>
    <x v="7"/>
    <x v="7"/>
    <x v="1"/>
    <s v="Percent change"/>
    <s v="Units"/>
    <x v="0"/>
    <n v="3.7330000000000001"/>
  </r>
  <r>
    <n v="205"/>
    <x v="7"/>
    <x v="7"/>
    <x v="1"/>
    <s v="Percent change"/>
    <s v="Units"/>
    <x v="1"/>
    <n v="3.2120000000000002"/>
  </r>
  <r>
    <n v="205"/>
    <x v="7"/>
    <x v="7"/>
    <x v="1"/>
    <s v="Percent change"/>
    <s v="Units"/>
    <x v="2"/>
    <n v="8.3019999999999996"/>
  </r>
  <r>
    <n v="205"/>
    <x v="7"/>
    <x v="7"/>
    <x v="1"/>
    <s v="Percent change"/>
    <s v="Units"/>
    <x v="3"/>
    <n v="9.2799999999999994"/>
  </r>
  <r>
    <n v="205"/>
    <x v="7"/>
    <x v="7"/>
    <x v="1"/>
    <s v="Percent change"/>
    <s v="Units"/>
    <x v="4"/>
    <n v="4.5940000000000003"/>
  </r>
  <r>
    <n v="205"/>
    <x v="7"/>
    <x v="7"/>
    <x v="1"/>
    <s v="Percent change"/>
    <s v="Units"/>
    <x v="5"/>
    <n v="4.1130000000000004"/>
  </r>
  <r>
    <n v="205"/>
    <x v="7"/>
    <x v="7"/>
    <x v="1"/>
    <s v="Percent change"/>
    <s v="Units"/>
    <x v="6"/>
    <n v="3.0390000000000001"/>
  </r>
  <r>
    <n v="1"/>
    <x v="2"/>
    <x v="7"/>
    <x v="1"/>
    <s v="Percent change"/>
    <s v="Units"/>
    <x v="0"/>
    <n v="3.7330000000000001"/>
  </r>
  <r>
    <n v="1"/>
    <x v="2"/>
    <x v="7"/>
    <x v="1"/>
    <s v="Percent change"/>
    <s v="Units"/>
    <x v="1"/>
    <n v="3.2120000000000002"/>
  </r>
  <r>
    <n v="1"/>
    <x v="2"/>
    <x v="7"/>
    <x v="1"/>
    <s v="Percent change"/>
    <s v="Units"/>
    <x v="2"/>
    <n v="8.3019999999999996"/>
  </r>
  <r>
    <n v="1"/>
    <x v="2"/>
    <x v="7"/>
    <x v="1"/>
    <s v="Percent change"/>
    <s v="Units"/>
    <x v="3"/>
    <n v="9.2799999999999994"/>
  </r>
  <r>
    <n v="1"/>
    <x v="2"/>
    <x v="7"/>
    <x v="1"/>
    <s v="Percent change"/>
    <s v="Units"/>
    <x v="4"/>
    <n v="4.5940000000000003"/>
  </r>
  <r>
    <n v="1"/>
    <x v="2"/>
    <x v="7"/>
    <x v="1"/>
    <s v="Percent change"/>
    <s v="Units"/>
    <x v="5"/>
    <n v="4.1130000000000004"/>
  </r>
  <r>
    <n v="1"/>
    <x v="2"/>
    <x v="7"/>
    <x v="1"/>
    <s v="Percent change"/>
    <s v="Units"/>
    <x v="6"/>
    <n v="3.0390000000000001"/>
  </r>
  <r>
    <n v="200"/>
    <x v="3"/>
    <x v="35"/>
    <x v="6"/>
    <s v="Percent change"/>
    <s v="Units"/>
    <x v="0"/>
    <n v="4.7450000000000001"/>
  </r>
  <r>
    <n v="200"/>
    <x v="3"/>
    <x v="35"/>
    <x v="6"/>
    <s v="Percent change"/>
    <s v="Units"/>
    <x v="1"/>
    <n v="-2.72"/>
  </r>
  <r>
    <n v="200"/>
    <x v="3"/>
    <x v="35"/>
    <x v="6"/>
    <s v="Percent change"/>
    <s v="Units"/>
    <x v="2"/>
    <n v="5.0860000000000003"/>
  </r>
  <r>
    <n v="200"/>
    <x v="3"/>
    <x v="35"/>
    <x v="6"/>
    <s v="Percent change"/>
    <s v="Units"/>
    <x v="3"/>
    <n v="19.693000000000001"/>
  </r>
  <r>
    <n v="200"/>
    <x v="3"/>
    <x v="35"/>
    <x v="6"/>
    <s v="Percent change"/>
    <s v="Units"/>
    <x v="4"/>
    <n v="-11.47"/>
  </r>
  <r>
    <n v="200"/>
    <x v="3"/>
    <x v="35"/>
    <x v="6"/>
    <s v="Percent change"/>
    <s v="Units"/>
    <x v="5"/>
    <n v="4.1109999999999998"/>
  </r>
  <r>
    <n v="200"/>
    <x v="3"/>
    <x v="35"/>
    <x v="6"/>
    <s v="Percent change"/>
    <s v="Units"/>
    <x v="6"/>
    <n v="17.972000000000001"/>
  </r>
  <r>
    <n v="505"/>
    <x v="4"/>
    <x v="35"/>
    <x v="6"/>
    <s v="Percent change"/>
    <s v="Units"/>
    <x v="0"/>
    <n v="4.7450000000000001"/>
  </r>
  <r>
    <n v="505"/>
    <x v="4"/>
    <x v="35"/>
    <x v="6"/>
    <s v="Percent change"/>
    <s v="Units"/>
    <x v="1"/>
    <n v="-2.72"/>
  </r>
  <r>
    <n v="505"/>
    <x v="4"/>
    <x v="35"/>
    <x v="6"/>
    <s v="Percent change"/>
    <s v="Units"/>
    <x v="2"/>
    <n v="5.0860000000000003"/>
  </r>
  <r>
    <n v="505"/>
    <x v="4"/>
    <x v="35"/>
    <x v="6"/>
    <s v="Percent change"/>
    <s v="Units"/>
    <x v="3"/>
    <n v="19.693000000000001"/>
  </r>
  <r>
    <n v="505"/>
    <x v="4"/>
    <x v="35"/>
    <x v="6"/>
    <s v="Percent change"/>
    <s v="Units"/>
    <x v="4"/>
    <n v="-11.47"/>
  </r>
  <r>
    <n v="505"/>
    <x v="4"/>
    <x v="35"/>
    <x v="6"/>
    <s v="Percent change"/>
    <s v="Units"/>
    <x v="5"/>
    <n v="4.1109999999999998"/>
  </r>
  <r>
    <n v="505"/>
    <x v="4"/>
    <x v="35"/>
    <x v="6"/>
    <s v="Percent change"/>
    <s v="Units"/>
    <x v="6"/>
    <n v="17.972000000000001"/>
  </r>
  <r>
    <n v="1"/>
    <x v="2"/>
    <x v="35"/>
    <x v="6"/>
    <s v="Percent change"/>
    <s v="Units"/>
    <x v="0"/>
    <n v="4.7450000000000001"/>
  </r>
  <r>
    <n v="1"/>
    <x v="2"/>
    <x v="35"/>
    <x v="6"/>
    <s v="Percent change"/>
    <s v="Units"/>
    <x v="1"/>
    <n v="-2.72"/>
  </r>
  <r>
    <n v="1"/>
    <x v="2"/>
    <x v="35"/>
    <x v="6"/>
    <s v="Percent change"/>
    <s v="Units"/>
    <x v="2"/>
    <n v="5.0860000000000003"/>
  </r>
  <r>
    <n v="1"/>
    <x v="2"/>
    <x v="35"/>
    <x v="6"/>
    <s v="Percent change"/>
    <s v="Units"/>
    <x v="3"/>
    <n v="19.693000000000001"/>
  </r>
  <r>
    <n v="1"/>
    <x v="2"/>
    <x v="35"/>
    <x v="6"/>
    <s v="Percent change"/>
    <s v="Units"/>
    <x v="4"/>
    <n v="-11.47"/>
  </r>
  <r>
    <n v="1"/>
    <x v="2"/>
    <x v="35"/>
    <x v="6"/>
    <s v="Percent change"/>
    <s v="Units"/>
    <x v="5"/>
    <n v="4.1109999999999998"/>
  </r>
  <r>
    <n v="1"/>
    <x v="2"/>
    <x v="35"/>
    <x v="6"/>
    <s v="Percent change"/>
    <s v="Units"/>
    <x v="6"/>
    <n v="17.972000000000001"/>
  </r>
  <r>
    <n v="200"/>
    <x v="3"/>
    <x v="98"/>
    <x v="9"/>
    <s v="Percent of GDP"/>
    <s v="Units"/>
    <x v="0"/>
    <n v="4.2000000000000003E-2"/>
  </r>
  <r>
    <n v="200"/>
    <x v="3"/>
    <x v="98"/>
    <x v="9"/>
    <s v="Percent of GDP"/>
    <s v="Units"/>
    <x v="1"/>
    <n v="-5.4989999999999997"/>
  </r>
  <r>
    <n v="200"/>
    <x v="3"/>
    <x v="98"/>
    <x v="9"/>
    <s v="Percent of GDP"/>
    <s v="Units"/>
    <x v="2"/>
    <n v="-9.298"/>
  </r>
  <r>
    <n v="200"/>
    <x v="3"/>
    <x v="98"/>
    <x v="9"/>
    <s v="Percent of GDP"/>
    <s v="Units"/>
    <x v="3"/>
    <n v="4.1959999999999997"/>
  </r>
  <r>
    <n v="200"/>
    <x v="3"/>
    <x v="98"/>
    <x v="9"/>
    <s v="Percent of GDP"/>
    <s v="Units"/>
    <x v="4"/>
    <n v="7.9790000000000001"/>
  </r>
  <r>
    <n v="200"/>
    <x v="3"/>
    <x v="98"/>
    <x v="9"/>
    <s v="Percent of GDP"/>
    <s v="Units"/>
    <x v="5"/>
    <n v="4.085"/>
  </r>
  <r>
    <n v="200"/>
    <x v="3"/>
    <x v="98"/>
    <x v="9"/>
    <s v="Percent of GDP"/>
    <s v="Units"/>
    <x v="6"/>
    <n v="3.7930000000000001"/>
  </r>
  <r>
    <n v="603"/>
    <x v="12"/>
    <x v="98"/>
    <x v="9"/>
    <s v="Percent of GDP"/>
    <s v="Units"/>
    <x v="0"/>
    <n v="4.2000000000000003E-2"/>
  </r>
  <r>
    <n v="603"/>
    <x v="12"/>
    <x v="98"/>
    <x v="9"/>
    <s v="Percent of GDP"/>
    <s v="Units"/>
    <x v="1"/>
    <n v="-5.4989999999999997"/>
  </r>
  <r>
    <n v="603"/>
    <x v="12"/>
    <x v="98"/>
    <x v="9"/>
    <s v="Percent of GDP"/>
    <s v="Units"/>
    <x v="2"/>
    <n v="-9.298"/>
  </r>
  <r>
    <n v="603"/>
    <x v="12"/>
    <x v="98"/>
    <x v="9"/>
    <s v="Percent of GDP"/>
    <s v="Units"/>
    <x v="3"/>
    <n v="4.1959999999999997"/>
  </r>
  <r>
    <n v="603"/>
    <x v="12"/>
    <x v="98"/>
    <x v="9"/>
    <s v="Percent of GDP"/>
    <s v="Units"/>
    <x v="4"/>
    <n v="7.9790000000000001"/>
  </r>
  <r>
    <n v="603"/>
    <x v="12"/>
    <x v="98"/>
    <x v="9"/>
    <s v="Percent of GDP"/>
    <s v="Units"/>
    <x v="5"/>
    <n v="4.085"/>
  </r>
  <r>
    <n v="603"/>
    <x v="12"/>
    <x v="98"/>
    <x v="9"/>
    <s v="Percent of GDP"/>
    <s v="Units"/>
    <x v="6"/>
    <n v="3.7930000000000001"/>
  </r>
  <r>
    <n v="603"/>
    <x v="12"/>
    <x v="173"/>
    <x v="8"/>
    <s v="Percent change"/>
    <s v="Units"/>
    <x v="0"/>
    <n v="5.617"/>
  </r>
  <r>
    <n v="603"/>
    <x v="12"/>
    <x v="173"/>
    <x v="8"/>
    <s v="Percent change"/>
    <s v="Units"/>
    <x v="1"/>
    <n v="4.7039999999999997"/>
  </r>
  <r>
    <n v="603"/>
    <x v="12"/>
    <x v="173"/>
    <x v="8"/>
    <s v="Percent change"/>
    <s v="Units"/>
    <x v="2"/>
    <n v="5.5830000000000002"/>
  </r>
  <r>
    <n v="603"/>
    <x v="12"/>
    <x v="173"/>
    <x v="8"/>
    <s v="Percent change"/>
    <s v="Units"/>
    <x v="3"/>
    <n v="3.972"/>
  </r>
  <r>
    <n v="603"/>
    <x v="12"/>
    <x v="173"/>
    <x v="8"/>
    <s v="Percent change"/>
    <s v="Units"/>
    <x v="4"/>
    <n v="5.7"/>
  </r>
  <r>
    <n v="603"/>
    <x v="12"/>
    <x v="173"/>
    <x v="8"/>
    <s v="Percent change"/>
    <s v="Units"/>
    <x v="5"/>
    <n v="4.0739999999999998"/>
  </r>
  <r>
    <n v="603"/>
    <x v="12"/>
    <x v="173"/>
    <x v="8"/>
    <s v="Percent change"/>
    <s v="Units"/>
    <x v="6"/>
    <n v="5.6"/>
  </r>
  <r>
    <n v="1"/>
    <x v="2"/>
    <x v="173"/>
    <x v="8"/>
    <s v="Percent change"/>
    <s v="Units"/>
    <x v="0"/>
    <n v="5.617"/>
  </r>
  <r>
    <n v="1"/>
    <x v="2"/>
    <x v="173"/>
    <x v="8"/>
    <s v="Percent change"/>
    <s v="Units"/>
    <x v="1"/>
    <n v="4.7039999999999997"/>
  </r>
  <r>
    <n v="1"/>
    <x v="2"/>
    <x v="173"/>
    <x v="8"/>
    <s v="Percent change"/>
    <s v="Units"/>
    <x v="2"/>
    <n v="5.5830000000000002"/>
  </r>
  <r>
    <n v="1"/>
    <x v="2"/>
    <x v="173"/>
    <x v="8"/>
    <s v="Percent change"/>
    <s v="Units"/>
    <x v="3"/>
    <n v="3.972"/>
  </r>
  <r>
    <n v="1"/>
    <x v="2"/>
    <x v="173"/>
    <x v="8"/>
    <s v="Percent change"/>
    <s v="Units"/>
    <x v="4"/>
    <n v="5.7"/>
  </r>
  <r>
    <n v="1"/>
    <x v="2"/>
    <x v="173"/>
    <x v="8"/>
    <s v="Percent change"/>
    <s v="Units"/>
    <x v="5"/>
    <n v="4.0739999999999998"/>
  </r>
  <r>
    <n v="1"/>
    <x v="2"/>
    <x v="173"/>
    <x v="8"/>
    <s v="Percent change"/>
    <s v="Units"/>
    <x v="6"/>
    <n v="5.6"/>
  </r>
  <r>
    <n v="200"/>
    <x v="3"/>
    <x v="173"/>
    <x v="8"/>
    <s v="Percent change"/>
    <s v="Units"/>
    <x v="0"/>
    <n v="5.617"/>
  </r>
  <r>
    <n v="200"/>
    <x v="3"/>
    <x v="173"/>
    <x v="8"/>
    <s v="Percent change"/>
    <s v="Units"/>
    <x v="1"/>
    <n v="4.7039999999999997"/>
  </r>
  <r>
    <n v="200"/>
    <x v="3"/>
    <x v="173"/>
    <x v="8"/>
    <s v="Percent change"/>
    <s v="Units"/>
    <x v="2"/>
    <n v="5.5830000000000002"/>
  </r>
  <r>
    <n v="200"/>
    <x v="3"/>
    <x v="173"/>
    <x v="8"/>
    <s v="Percent change"/>
    <s v="Units"/>
    <x v="3"/>
    <n v="3.972"/>
  </r>
  <r>
    <n v="200"/>
    <x v="3"/>
    <x v="173"/>
    <x v="8"/>
    <s v="Percent change"/>
    <s v="Units"/>
    <x v="4"/>
    <n v="5.7"/>
  </r>
  <r>
    <n v="200"/>
    <x v="3"/>
    <x v="173"/>
    <x v="8"/>
    <s v="Percent change"/>
    <s v="Units"/>
    <x v="5"/>
    <n v="4.0739999999999998"/>
  </r>
  <r>
    <n v="200"/>
    <x v="3"/>
    <x v="173"/>
    <x v="8"/>
    <s v="Percent change"/>
    <s v="Units"/>
    <x v="6"/>
    <n v="5.6"/>
  </r>
  <r>
    <n v="205"/>
    <x v="7"/>
    <x v="169"/>
    <x v="0"/>
    <s v="U.S. dollars"/>
    <s v="Billions"/>
    <x v="0"/>
    <n v="3.3959999999999999"/>
  </r>
  <r>
    <n v="205"/>
    <x v="7"/>
    <x v="169"/>
    <x v="0"/>
    <s v="U.S. dollars"/>
    <s v="Billions"/>
    <x v="1"/>
    <n v="2.5590000000000002"/>
  </r>
  <r>
    <n v="205"/>
    <x v="7"/>
    <x v="169"/>
    <x v="0"/>
    <s v="U.S. dollars"/>
    <s v="Billions"/>
    <x v="2"/>
    <n v="3.1030000000000002"/>
  </r>
  <r>
    <n v="205"/>
    <x v="7"/>
    <x v="169"/>
    <x v="0"/>
    <s v="U.S. dollars"/>
    <s v="Billions"/>
    <x v="3"/>
    <n v="3.5449999999999999"/>
  </r>
  <r>
    <n v="205"/>
    <x v="7"/>
    <x v="169"/>
    <x v="0"/>
    <s v="U.S. dollars"/>
    <s v="Billions"/>
    <x v="4"/>
    <n v="3.9369999999999998"/>
  </r>
  <r>
    <n v="205"/>
    <x v="7"/>
    <x v="169"/>
    <x v="0"/>
    <s v="U.S. dollars"/>
    <s v="Billions"/>
    <x v="5"/>
    <n v="4.069"/>
  </r>
  <r>
    <n v="205"/>
    <x v="7"/>
    <x v="169"/>
    <x v="0"/>
    <s v="U.S. dollars"/>
    <s v="Billions"/>
    <x v="6"/>
    <n v="4.181"/>
  </r>
  <r>
    <n v="200"/>
    <x v="3"/>
    <x v="169"/>
    <x v="0"/>
    <s v="U.S. dollars"/>
    <s v="Billions"/>
    <x v="0"/>
    <n v="3.3959999999999999"/>
  </r>
  <r>
    <n v="200"/>
    <x v="3"/>
    <x v="169"/>
    <x v="0"/>
    <s v="U.S. dollars"/>
    <s v="Billions"/>
    <x v="1"/>
    <n v="2.5590000000000002"/>
  </r>
  <r>
    <n v="200"/>
    <x v="3"/>
    <x v="169"/>
    <x v="0"/>
    <s v="U.S. dollars"/>
    <s v="Billions"/>
    <x v="2"/>
    <n v="3.1030000000000002"/>
  </r>
  <r>
    <n v="200"/>
    <x v="3"/>
    <x v="169"/>
    <x v="0"/>
    <s v="U.S. dollars"/>
    <s v="Billions"/>
    <x v="3"/>
    <n v="3.5449999999999999"/>
  </r>
  <r>
    <n v="200"/>
    <x v="3"/>
    <x v="169"/>
    <x v="0"/>
    <s v="U.S. dollars"/>
    <s v="Billions"/>
    <x v="4"/>
    <n v="3.9369999999999998"/>
  </r>
  <r>
    <n v="200"/>
    <x v="3"/>
    <x v="169"/>
    <x v="0"/>
    <s v="U.S. dollars"/>
    <s v="Billions"/>
    <x v="5"/>
    <n v="4.069"/>
  </r>
  <r>
    <n v="200"/>
    <x v="3"/>
    <x v="169"/>
    <x v="0"/>
    <s v="U.S. dollars"/>
    <s v="Billions"/>
    <x v="6"/>
    <n v="4.181"/>
  </r>
  <r>
    <n v="1"/>
    <x v="2"/>
    <x v="169"/>
    <x v="0"/>
    <s v="U.S. dollars"/>
    <s v="Billions"/>
    <x v="0"/>
    <n v="3.3959999999999999"/>
  </r>
  <r>
    <n v="1"/>
    <x v="2"/>
    <x v="169"/>
    <x v="0"/>
    <s v="U.S. dollars"/>
    <s v="Billions"/>
    <x v="1"/>
    <n v="2.5590000000000002"/>
  </r>
  <r>
    <n v="1"/>
    <x v="2"/>
    <x v="169"/>
    <x v="0"/>
    <s v="U.S. dollars"/>
    <s v="Billions"/>
    <x v="2"/>
    <n v="3.1030000000000002"/>
  </r>
  <r>
    <n v="1"/>
    <x v="2"/>
    <x v="169"/>
    <x v="0"/>
    <s v="U.S. dollars"/>
    <s v="Billions"/>
    <x v="3"/>
    <n v="3.5449999999999999"/>
  </r>
  <r>
    <n v="1"/>
    <x v="2"/>
    <x v="169"/>
    <x v="0"/>
    <s v="U.S. dollars"/>
    <s v="Billions"/>
    <x v="4"/>
    <n v="3.9369999999999998"/>
  </r>
  <r>
    <n v="1"/>
    <x v="2"/>
    <x v="169"/>
    <x v="0"/>
    <s v="U.S. dollars"/>
    <s v="Billions"/>
    <x v="5"/>
    <n v="4.069"/>
  </r>
  <r>
    <n v="1"/>
    <x v="2"/>
    <x v="169"/>
    <x v="0"/>
    <s v="U.S. dollars"/>
    <s v="Billions"/>
    <x v="6"/>
    <n v="4.181"/>
  </r>
  <r>
    <n v="1"/>
    <x v="2"/>
    <x v="20"/>
    <x v="4"/>
    <s v="Percent change"/>
    <s v="Units"/>
    <x v="0"/>
    <n v="2.0680000000000001"/>
  </r>
  <r>
    <n v="1"/>
    <x v="2"/>
    <x v="20"/>
    <x v="4"/>
    <s v="Percent change"/>
    <s v="Units"/>
    <x v="1"/>
    <n v="0.06"/>
  </r>
  <r>
    <n v="1"/>
    <x v="2"/>
    <x v="20"/>
    <x v="4"/>
    <s v="Percent change"/>
    <s v="Units"/>
    <x v="2"/>
    <n v="18.437000000000001"/>
  </r>
  <r>
    <n v="1"/>
    <x v="2"/>
    <x v="20"/>
    <x v="4"/>
    <s v="Percent change"/>
    <s v="Units"/>
    <x v="3"/>
    <n v="-0.88"/>
  </r>
  <r>
    <n v="1"/>
    <x v="2"/>
    <x v="20"/>
    <x v="4"/>
    <s v="Percent change"/>
    <s v="Units"/>
    <x v="4"/>
    <n v="-2.7429999999999999"/>
  </r>
  <r>
    <n v="1"/>
    <x v="2"/>
    <x v="20"/>
    <x v="4"/>
    <s v="Percent change"/>
    <s v="Units"/>
    <x v="5"/>
    <n v="4.05"/>
  </r>
  <r>
    <n v="1"/>
    <x v="2"/>
    <x v="20"/>
    <x v="4"/>
    <s v="Percent change"/>
    <s v="Units"/>
    <x v="6"/>
    <n v="3.1"/>
  </r>
  <r>
    <n v="110"/>
    <x v="0"/>
    <x v="20"/>
    <x v="4"/>
    <s v="Percent change"/>
    <s v="Units"/>
    <x v="0"/>
    <n v="2.0680000000000001"/>
  </r>
  <r>
    <n v="110"/>
    <x v="0"/>
    <x v="20"/>
    <x v="4"/>
    <s v="Percent change"/>
    <s v="Units"/>
    <x v="1"/>
    <n v="0.06"/>
  </r>
  <r>
    <n v="110"/>
    <x v="0"/>
    <x v="20"/>
    <x v="4"/>
    <s v="Percent change"/>
    <s v="Units"/>
    <x v="2"/>
    <n v="18.437000000000001"/>
  </r>
  <r>
    <n v="110"/>
    <x v="0"/>
    <x v="20"/>
    <x v="4"/>
    <s v="Percent change"/>
    <s v="Units"/>
    <x v="3"/>
    <n v="-0.88"/>
  </r>
  <r>
    <n v="110"/>
    <x v="0"/>
    <x v="20"/>
    <x v="4"/>
    <s v="Percent change"/>
    <s v="Units"/>
    <x v="4"/>
    <n v="-2.7429999999999999"/>
  </r>
  <r>
    <n v="110"/>
    <x v="0"/>
    <x v="20"/>
    <x v="4"/>
    <s v="Percent change"/>
    <s v="Units"/>
    <x v="5"/>
    <n v="4.05"/>
  </r>
  <r>
    <n v="110"/>
    <x v="0"/>
    <x v="20"/>
    <x v="4"/>
    <s v="Percent change"/>
    <s v="Units"/>
    <x v="6"/>
    <n v="3.1"/>
  </r>
  <r>
    <n v="123"/>
    <x v="9"/>
    <x v="20"/>
    <x v="4"/>
    <s v="Percent change"/>
    <s v="Units"/>
    <x v="0"/>
    <n v="2.0680000000000001"/>
  </r>
  <r>
    <n v="123"/>
    <x v="9"/>
    <x v="20"/>
    <x v="4"/>
    <s v="Percent change"/>
    <s v="Units"/>
    <x v="1"/>
    <n v="0.06"/>
  </r>
  <r>
    <n v="123"/>
    <x v="9"/>
    <x v="20"/>
    <x v="4"/>
    <s v="Percent change"/>
    <s v="Units"/>
    <x v="2"/>
    <n v="18.437000000000001"/>
  </r>
  <r>
    <n v="123"/>
    <x v="9"/>
    <x v="20"/>
    <x v="4"/>
    <s v="Percent change"/>
    <s v="Units"/>
    <x v="3"/>
    <n v="-0.88"/>
  </r>
  <r>
    <n v="123"/>
    <x v="9"/>
    <x v="20"/>
    <x v="4"/>
    <s v="Percent change"/>
    <s v="Units"/>
    <x v="4"/>
    <n v="-2.7429999999999999"/>
  </r>
  <r>
    <n v="123"/>
    <x v="9"/>
    <x v="20"/>
    <x v="4"/>
    <s v="Percent change"/>
    <s v="Units"/>
    <x v="5"/>
    <n v="4.05"/>
  </r>
  <r>
    <n v="123"/>
    <x v="9"/>
    <x v="20"/>
    <x v="4"/>
    <s v="Percent change"/>
    <s v="Units"/>
    <x v="6"/>
    <n v="3.1"/>
  </r>
  <r>
    <n v="1"/>
    <x v="2"/>
    <x v="134"/>
    <x v="4"/>
    <s v="Percent change"/>
    <s v="Units"/>
    <x v="0"/>
    <n v="12.045"/>
  </r>
  <r>
    <n v="1"/>
    <x v="2"/>
    <x v="134"/>
    <x v="4"/>
    <s v="Percent change"/>
    <s v="Units"/>
    <x v="1"/>
    <n v="1.867"/>
  </r>
  <r>
    <n v="1"/>
    <x v="2"/>
    <x v="134"/>
    <x v="4"/>
    <s v="Percent change"/>
    <s v="Units"/>
    <x v="2"/>
    <n v="-9.6560000000000006"/>
  </r>
  <r>
    <n v="1"/>
    <x v="2"/>
    <x v="134"/>
    <x v="4"/>
    <s v="Percent change"/>
    <s v="Units"/>
    <x v="3"/>
    <n v="15.516"/>
  </r>
  <r>
    <n v="1"/>
    <x v="2"/>
    <x v="134"/>
    <x v="4"/>
    <s v="Percent change"/>
    <s v="Units"/>
    <x v="4"/>
    <n v="9.3689999999999998"/>
  </r>
  <r>
    <n v="1"/>
    <x v="2"/>
    <x v="134"/>
    <x v="4"/>
    <s v="Percent change"/>
    <s v="Units"/>
    <x v="5"/>
    <n v="4.0469999999999997"/>
  </r>
  <r>
    <n v="1"/>
    <x v="2"/>
    <x v="134"/>
    <x v="4"/>
    <s v="Percent change"/>
    <s v="Units"/>
    <x v="6"/>
    <n v="3.2759999999999998"/>
  </r>
  <r>
    <n v="200"/>
    <x v="3"/>
    <x v="134"/>
    <x v="4"/>
    <s v="Percent change"/>
    <s v="Units"/>
    <x v="0"/>
    <n v="12.045"/>
  </r>
  <r>
    <n v="200"/>
    <x v="3"/>
    <x v="134"/>
    <x v="4"/>
    <s v="Percent change"/>
    <s v="Units"/>
    <x v="1"/>
    <n v="1.867"/>
  </r>
  <r>
    <n v="200"/>
    <x v="3"/>
    <x v="134"/>
    <x v="4"/>
    <s v="Percent change"/>
    <s v="Units"/>
    <x v="2"/>
    <n v="-9.6560000000000006"/>
  </r>
  <r>
    <n v="200"/>
    <x v="3"/>
    <x v="134"/>
    <x v="4"/>
    <s v="Percent change"/>
    <s v="Units"/>
    <x v="3"/>
    <n v="15.516"/>
  </r>
  <r>
    <n v="200"/>
    <x v="3"/>
    <x v="134"/>
    <x v="4"/>
    <s v="Percent change"/>
    <s v="Units"/>
    <x v="4"/>
    <n v="9.3689999999999998"/>
  </r>
  <r>
    <n v="200"/>
    <x v="3"/>
    <x v="134"/>
    <x v="4"/>
    <s v="Percent change"/>
    <s v="Units"/>
    <x v="5"/>
    <n v="4.0469999999999997"/>
  </r>
  <r>
    <n v="200"/>
    <x v="3"/>
    <x v="134"/>
    <x v="4"/>
    <s v="Percent change"/>
    <s v="Units"/>
    <x v="6"/>
    <n v="3.2759999999999998"/>
  </r>
  <r>
    <n v="400"/>
    <x v="11"/>
    <x v="134"/>
    <x v="4"/>
    <s v="Percent change"/>
    <s v="Units"/>
    <x v="0"/>
    <n v="12.045"/>
  </r>
  <r>
    <n v="400"/>
    <x v="11"/>
    <x v="134"/>
    <x v="4"/>
    <s v="Percent change"/>
    <s v="Units"/>
    <x v="1"/>
    <n v="1.867"/>
  </r>
  <r>
    <n v="400"/>
    <x v="11"/>
    <x v="134"/>
    <x v="4"/>
    <s v="Percent change"/>
    <s v="Units"/>
    <x v="2"/>
    <n v="-9.6560000000000006"/>
  </r>
  <r>
    <n v="400"/>
    <x v="11"/>
    <x v="134"/>
    <x v="4"/>
    <s v="Percent change"/>
    <s v="Units"/>
    <x v="3"/>
    <n v="15.516"/>
  </r>
  <r>
    <n v="400"/>
    <x v="11"/>
    <x v="134"/>
    <x v="4"/>
    <s v="Percent change"/>
    <s v="Units"/>
    <x v="4"/>
    <n v="9.3689999999999998"/>
  </r>
  <r>
    <n v="400"/>
    <x v="11"/>
    <x v="134"/>
    <x v="4"/>
    <s v="Percent change"/>
    <s v="Units"/>
    <x v="5"/>
    <n v="4.0469999999999997"/>
  </r>
  <r>
    <n v="400"/>
    <x v="11"/>
    <x v="134"/>
    <x v="4"/>
    <s v="Percent change"/>
    <s v="Units"/>
    <x v="6"/>
    <n v="3.2759999999999998"/>
  </r>
  <r>
    <n v="200"/>
    <x v="3"/>
    <x v="85"/>
    <x v="1"/>
    <s v="Percent change"/>
    <s v="Units"/>
    <x v="0"/>
    <n v="3.448"/>
  </r>
  <r>
    <n v="200"/>
    <x v="3"/>
    <x v="85"/>
    <x v="1"/>
    <s v="Percent change"/>
    <s v="Units"/>
    <x v="1"/>
    <n v="3.2890000000000001"/>
  </r>
  <r>
    <n v="200"/>
    <x v="3"/>
    <x v="85"/>
    <x v="1"/>
    <s v="Percent change"/>
    <s v="Units"/>
    <x v="2"/>
    <n v="3.69"/>
  </r>
  <r>
    <n v="200"/>
    <x v="3"/>
    <x v="85"/>
    <x v="1"/>
    <s v="Percent change"/>
    <s v="Units"/>
    <x v="3"/>
    <n v="4.3499999999999996"/>
  </r>
  <r>
    <n v="200"/>
    <x v="3"/>
    <x v="85"/>
    <x v="1"/>
    <s v="Percent change"/>
    <s v="Units"/>
    <x v="4"/>
    <n v="4.0359999999999996"/>
  </r>
  <r>
    <n v="200"/>
    <x v="3"/>
    <x v="85"/>
    <x v="1"/>
    <s v="Percent change"/>
    <s v="Units"/>
    <x v="5"/>
    <n v="4.0380000000000003"/>
  </r>
  <r>
    <n v="200"/>
    <x v="3"/>
    <x v="85"/>
    <x v="1"/>
    <s v="Percent change"/>
    <s v="Units"/>
    <x v="6"/>
    <n v="4.0259999999999998"/>
  </r>
  <r>
    <n v="603"/>
    <x v="12"/>
    <x v="85"/>
    <x v="1"/>
    <s v="Percent change"/>
    <s v="Units"/>
    <x v="0"/>
    <n v="3.448"/>
  </r>
  <r>
    <n v="603"/>
    <x v="12"/>
    <x v="85"/>
    <x v="1"/>
    <s v="Percent change"/>
    <s v="Units"/>
    <x v="1"/>
    <n v="3.2890000000000001"/>
  </r>
  <r>
    <n v="603"/>
    <x v="12"/>
    <x v="85"/>
    <x v="1"/>
    <s v="Percent change"/>
    <s v="Units"/>
    <x v="2"/>
    <n v="3.69"/>
  </r>
  <r>
    <n v="603"/>
    <x v="12"/>
    <x v="85"/>
    <x v="1"/>
    <s v="Percent change"/>
    <s v="Units"/>
    <x v="3"/>
    <n v="4.3499999999999996"/>
  </r>
  <r>
    <n v="603"/>
    <x v="12"/>
    <x v="85"/>
    <x v="1"/>
    <s v="Percent change"/>
    <s v="Units"/>
    <x v="4"/>
    <n v="4.0359999999999996"/>
  </r>
  <r>
    <n v="603"/>
    <x v="12"/>
    <x v="85"/>
    <x v="1"/>
    <s v="Percent change"/>
    <s v="Units"/>
    <x v="5"/>
    <n v="4.0380000000000003"/>
  </r>
  <r>
    <n v="603"/>
    <x v="12"/>
    <x v="85"/>
    <x v="1"/>
    <s v="Percent change"/>
    <s v="Units"/>
    <x v="6"/>
    <n v="4.0259999999999998"/>
  </r>
  <r>
    <n v="1"/>
    <x v="2"/>
    <x v="85"/>
    <x v="1"/>
    <s v="Percent change"/>
    <s v="Units"/>
    <x v="0"/>
    <n v="3.448"/>
  </r>
  <r>
    <n v="1"/>
    <x v="2"/>
    <x v="85"/>
    <x v="1"/>
    <s v="Percent change"/>
    <s v="Units"/>
    <x v="1"/>
    <n v="3.2890000000000001"/>
  </r>
  <r>
    <n v="1"/>
    <x v="2"/>
    <x v="85"/>
    <x v="1"/>
    <s v="Percent change"/>
    <s v="Units"/>
    <x v="2"/>
    <n v="3.69"/>
  </r>
  <r>
    <n v="1"/>
    <x v="2"/>
    <x v="85"/>
    <x v="1"/>
    <s v="Percent change"/>
    <s v="Units"/>
    <x v="3"/>
    <n v="4.3499999999999996"/>
  </r>
  <r>
    <n v="1"/>
    <x v="2"/>
    <x v="85"/>
    <x v="1"/>
    <s v="Percent change"/>
    <s v="Units"/>
    <x v="4"/>
    <n v="4.0359999999999996"/>
  </r>
  <r>
    <n v="1"/>
    <x v="2"/>
    <x v="85"/>
    <x v="1"/>
    <s v="Percent change"/>
    <s v="Units"/>
    <x v="5"/>
    <n v="4.0380000000000003"/>
  </r>
  <r>
    <n v="1"/>
    <x v="2"/>
    <x v="85"/>
    <x v="1"/>
    <s v="Percent change"/>
    <s v="Units"/>
    <x v="6"/>
    <n v="4.0259999999999998"/>
  </r>
  <r>
    <n v="200"/>
    <x v="3"/>
    <x v="124"/>
    <x v="6"/>
    <s v="Percent change"/>
    <s v="Units"/>
    <x v="0"/>
    <n v="3.9060000000000001"/>
  </r>
  <r>
    <n v="200"/>
    <x v="3"/>
    <x v="124"/>
    <x v="6"/>
    <s v="Percent change"/>
    <s v="Units"/>
    <x v="1"/>
    <n v="-23.584"/>
  </r>
  <r>
    <n v="200"/>
    <x v="3"/>
    <x v="124"/>
    <x v="6"/>
    <s v="Percent change"/>
    <s v="Units"/>
    <x v="2"/>
    <n v="-16.196999999999999"/>
  </r>
  <r>
    <n v="200"/>
    <x v="3"/>
    <x v="124"/>
    <x v="6"/>
    <s v="Percent change"/>
    <s v="Units"/>
    <x v="3"/>
    <n v="31.405000000000001"/>
  </r>
  <r>
    <n v="200"/>
    <x v="3"/>
    <x v="124"/>
    <x v="6"/>
    <s v="Percent change"/>
    <s v="Units"/>
    <x v="4"/>
    <n v="6.7309999999999999"/>
  </r>
  <r>
    <n v="200"/>
    <x v="3"/>
    <x v="124"/>
    <x v="6"/>
    <s v="Percent change"/>
    <s v="Units"/>
    <x v="5"/>
    <n v="4.0330000000000004"/>
  </r>
  <r>
    <n v="200"/>
    <x v="3"/>
    <x v="124"/>
    <x v="6"/>
    <s v="Percent change"/>
    <s v="Units"/>
    <x v="6"/>
    <n v="6.1980000000000004"/>
  </r>
  <r>
    <n v="205"/>
    <x v="7"/>
    <x v="124"/>
    <x v="6"/>
    <s v="Percent change"/>
    <s v="Units"/>
    <x v="0"/>
    <n v="3.9060000000000001"/>
  </r>
  <r>
    <n v="205"/>
    <x v="7"/>
    <x v="124"/>
    <x v="6"/>
    <s v="Percent change"/>
    <s v="Units"/>
    <x v="1"/>
    <n v="-23.584"/>
  </r>
  <r>
    <n v="205"/>
    <x v="7"/>
    <x v="124"/>
    <x v="6"/>
    <s v="Percent change"/>
    <s v="Units"/>
    <x v="2"/>
    <n v="-16.196999999999999"/>
  </r>
  <r>
    <n v="205"/>
    <x v="7"/>
    <x v="124"/>
    <x v="6"/>
    <s v="Percent change"/>
    <s v="Units"/>
    <x v="3"/>
    <n v="31.405000000000001"/>
  </r>
  <r>
    <n v="205"/>
    <x v="7"/>
    <x v="124"/>
    <x v="6"/>
    <s v="Percent change"/>
    <s v="Units"/>
    <x v="4"/>
    <n v="6.7309999999999999"/>
  </r>
  <r>
    <n v="205"/>
    <x v="7"/>
    <x v="124"/>
    <x v="6"/>
    <s v="Percent change"/>
    <s v="Units"/>
    <x v="5"/>
    <n v="4.0330000000000004"/>
  </r>
  <r>
    <n v="205"/>
    <x v="7"/>
    <x v="124"/>
    <x v="6"/>
    <s v="Percent change"/>
    <s v="Units"/>
    <x v="6"/>
    <n v="6.1980000000000004"/>
  </r>
  <r>
    <n v="1"/>
    <x v="2"/>
    <x v="124"/>
    <x v="6"/>
    <s v="Percent change"/>
    <s v="Units"/>
    <x v="0"/>
    <n v="3.9060000000000001"/>
  </r>
  <r>
    <n v="1"/>
    <x v="2"/>
    <x v="124"/>
    <x v="6"/>
    <s v="Percent change"/>
    <s v="Units"/>
    <x v="1"/>
    <n v="-23.584"/>
  </r>
  <r>
    <n v="1"/>
    <x v="2"/>
    <x v="124"/>
    <x v="6"/>
    <s v="Percent change"/>
    <s v="Units"/>
    <x v="2"/>
    <n v="-16.196999999999999"/>
  </r>
  <r>
    <n v="1"/>
    <x v="2"/>
    <x v="124"/>
    <x v="6"/>
    <s v="Percent change"/>
    <s v="Units"/>
    <x v="3"/>
    <n v="31.405000000000001"/>
  </r>
  <r>
    <n v="1"/>
    <x v="2"/>
    <x v="124"/>
    <x v="6"/>
    <s v="Percent change"/>
    <s v="Units"/>
    <x v="4"/>
    <n v="6.7309999999999999"/>
  </r>
  <r>
    <n v="1"/>
    <x v="2"/>
    <x v="124"/>
    <x v="6"/>
    <s v="Percent change"/>
    <s v="Units"/>
    <x v="5"/>
    <n v="4.0330000000000004"/>
  </r>
  <r>
    <n v="1"/>
    <x v="2"/>
    <x v="124"/>
    <x v="6"/>
    <s v="Percent change"/>
    <s v="Units"/>
    <x v="6"/>
    <n v="6.1980000000000004"/>
  </r>
  <r>
    <n v="205"/>
    <x v="7"/>
    <x v="68"/>
    <x v="1"/>
    <s v="Percent change"/>
    <s v="Units"/>
    <x v="0"/>
    <n v="3.7040000000000002"/>
  </r>
  <r>
    <n v="205"/>
    <x v="7"/>
    <x v="68"/>
    <x v="1"/>
    <s v="Percent change"/>
    <s v="Units"/>
    <x v="1"/>
    <n v="3.2109999999999999"/>
  </r>
  <r>
    <n v="205"/>
    <x v="7"/>
    <x v="68"/>
    <x v="1"/>
    <s v="Percent change"/>
    <s v="Units"/>
    <x v="2"/>
    <n v="4.2629999999999999"/>
  </r>
  <r>
    <n v="205"/>
    <x v="7"/>
    <x v="68"/>
    <x v="1"/>
    <s v="Percent change"/>
    <s v="Units"/>
    <x v="3"/>
    <n v="6.8819999999999997"/>
  </r>
  <r>
    <n v="205"/>
    <x v="7"/>
    <x v="68"/>
    <x v="1"/>
    <s v="Percent change"/>
    <s v="Units"/>
    <x v="4"/>
    <n v="6.2089999999999996"/>
  </r>
  <r>
    <n v="205"/>
    <x v="7"/>
    <x v="68"/>
    <x v="1"/>
    <s v="Percent change"/>
    <s v="Units"/>
    <x v="5"/>
    <n v="4.0250000000000004"/>
  </r>
  <r>
    <n v="205"/>
    <x v="7"/>
    <x v="68"/>
    <x v="1"/>
    <s v="Percent change"/>
    <s v="Units"/>
    <x v="6"/>
    <n v="3.9620000000000002"/>
  </r>
  <r>
    <n v="1"/>
    <x v="2"/>
    <x v="68"/>
    <x v="1"/>
    <s v="Percent change"/>
    <s v="Units"/>
    <x v="0"/>
    <n v="3.7040000000000002"/>
  </r>
  <r>
    <n v="1"/>
    <x v="2"/>
    <x v="68"/>
    <x v="1"/>
    <s v="Percent change"/>
    <s v="Units"/>
    <x v="1"/>
    <n v="3.2109999999999999"/>
  </r>
  <r>
    <n v="1"/>
    <x v="2"/>
    <x v="68"/>
    <x v="1"/>
    <s v="Percent change"/>
    <s v="Units"/>
    <x v="2"/>
    <n v="4.2629999999999999"/>
  </r>
  <r>
    <n v="1"/>
    <x v="2"/>
    <x v="68"/>
    <x v="1"/>
    <s v="Percent change"/>
    <s v="Units"/>
    <x v="3"/>
    <n v="6.8819999999999997"/>
  </r>
  <r>
    <n v="1"/>
    <x v="2"/>
    <x v="68"/>
    <x v="1"/>
    <s v="Percent change"/>
    <s v="Units"/>
    <x v="4"/>
    <n v="6.2089999999999996"/>
  </r>
  <r>
    <n v="1"/>
    <x v="2"/>
    <x v="68"/>
    <x v="1"/>
    <s v="Percent change"/>
    <s v="Units"/>
    <x v="5"/>
    <n v="4.0250000000000004"/>
  </r>
  <r>
    <n v="1"/>
    <x v="2"/>
    <x v="68"/>
    <x v="1"/>
    <s v="Percent change"/>
    <s v="Units"/>
    <x v="6"/>
    <n v="3.9620000000000002"/>
  </r>
  <r>
    <n v="200"/>
    <x v="3"/>
    <x v="68"/>
    <x v="1"/>
    <s v="Percent change"/>
    <s v="Units"/>
    <x v="0"/>
    <n v="3.7040000000000002"/>
  </r>
  <r>
    <n v="200"/>
    <x v="3"/>
    <x v="68"/>
    <x v="1"/>
    <s v="Percent change"/>
    <s v="Units"/>
    <x v="1"/>
    <n v="3.2109999999999999"/>
  </r>
  <r>
    <n v="200"/>
    <x v="3"/>
    <x v="68"/>
    <x v="1"/>
    <s v="Percent change"/>
    <s v="Units"/>
    <x v="2"/>
    <n v="4.2629999999999999"/>
  </r>
  <r>
    <n v="200"/>
    <x v="3"/>
    <x v="68"/>
    <x v="1"/>
    <s v="Percent change"/>
    <s v="Units"/>
    <x v="3"/>
    <n v="6.8819999999999997"/>
  </r>
  <r>
    <n v="200"/>
    <x v="3"/>
    <x v="68"/>
    <x v="1"/>
    <s v="Percent change"/>
    <s v="Units"/>
    <x v="4"/>
    <n v="6.2089999999999996"/>
  </r>
  <r>
    <n v="200"/>
    <x v="3"/>
    <x v="68"/>
    <x v="1"/>
    <s v="Percent change"/>
    <s v="Units"/>
    <x v="5"/>
    <n v="4.0250000000000004"/>
  </r>
  <r>
    <n v="200"/>
    <x v="3"/>
    <x v="68"/>
    <x v="1"/>
    <s v="Percent change"/>
    <s v="Units"/>
    <x v="6"/>
    <n v="3.9620000000000002"/>
  </r>
  <r>
    <n v="1"/>
    <x v="2"/>
    <x v="168"/>
    <x v="6"/>
    <s v="Percent change"/>
    <s v="Units"/>
    <x v="0"/>
    <n v="11.125999999999999"/>
  </r>
  <r>
    <n v="1"/>
    <x v="2"/>
    <x v="168"/>
    <x v="6"/>
    <s v="Percent change"/>
    <s v="Units"/>
    <x v="1"/>
    <n v="2.8140000000000001"/>
  </r>
  <r>
    <n v="1"/>
    <x v="2"/>
    <x v="168"/>
    <x v="6"/>
    <s v="Percent change"/>
    <s v="Units"/>
    <x v="2"/>
    <n v="0.502"/>
  </r>
  <r>
    <n v="1"/>
    <x v="2"/>
    <x v="168"/>
    <x v="6"/>
    <s v="Percent change"/>
    <s v="Units"/>
    <x v="3"/>
    <n v="11.304"/>
  </r>
  <r>
    <n v="1"/>
    <x v="2"/>
    <x v="168"/>
    <x v="6"/>
    <s v="Percent change"/>
    <s v="Units"/>
    <x v="4"/>
    <n v="17.196999999999999"/>
  </r>
  <r>
    <n v="1"/>
    <x v="2"/>
    <x v="168"/>
    <x v="6"/>
    <s v="Percent change"/>
    <s v="Units"/>
    <x v="5"/>
    <n v="4.0229999999999997"/>
  </r>
  <r>
    <n v="1"/>
    <x v="2"/>
    <x v="168"/>
    <x v="6"/>
    <s v="Percent change"/>
    <s v="Units"/>
    <x v="6"/>
    <n v="-2.6819999999999999"/>
  </r>
  <r>
    <n v="200"/>
    <x v="3"/>
    <x v="168"/>
    <x v="6"/>
    <s v="Percent change"/>
    <s v="Units"/>
    <x v="0"/>
    <n v="11.125999999999999"/>
  </r>
  <r>
    <n v="200"/>
    <x v="3"/>
    <x v="168"/>
    <x v="6"/>
    <s v="Percent change"/>
    <s v="Units"/>
    <x v="1"/>
    <n v="2.8140000000000001"/>
  </r>
  <r>
    <n v="200"/>
    <x v="3"/>
    <x v="168"/>
    <x v="6"/>
    <s v="Percent change"/>
    <s v="Units"/>
    <x v="2"/>
    <n v="0.502"/>
  </r>
  <r>
    <n v="200"/>
    <x v="3"/>
    <x v="168"/>
    <x v="6"/>
    <s v="Percent change"/>
    <s v="Units"/>
    <x v="3"/>
    <n v="11.304"/>
  </r>
  <r>
    <n v="200"/>
    <x v="3"/>
    <x v="168"/>
    <x v="6"/>
    <s v="Percent change"/>
    <s v="Units"/>
    <x v="4"/>
    <n v="17.196999999999999"/>
  </r>
  <r>
    <n v="200"/>
    <x v="3"/>
    <x v="168"/>
    <x v="6"/>
    <s v="Percent change"/>
    <s v="Units"/>
    <x v="5"/>
    <n v="4.0229999999999997"/>
  </r>
  <r>
    <n v="200"/>
    <x v="3"/>
    <x v="168"/>
    <x v="6"/>
    <s v="Percent change"/>
    <s v="Units"/>
    <x v="6"/>
    <n v="-2.6819999999999999"/>
  </r>
  <r>
    <n v="603"/>
    <x v="12"/>
    <x v="168"/>
    <x v="6"/>
    <s v="Percent change"/>
    <s v="Units"/>
    <x v="0"/>
    <n v="11.125999999999999"/>
  </r>
  <r>
    <n v="603"/>
    <x v="12"/>
    <x v="168"/>
    <x v="6"/>
    <s v="Percent change"/>
    <s v="Units"/>
    <x v="1"/>
    <n v="2.8140000000000001"/>
  </r>
  <r>
    <n v="603"/>
    <x v="12"/>
    <x v="168"/>
    <x v="6"/>
    <s v="Percent change"/>
    <s v="Units"/>
    <x v="2"/>
    <n v="0.502"/>
  </r>
  <r>
    <n v="603"/>
    <x v="12"/>
    <x v="168"/>
    <x v="6"/>
    <s v="Percent change"/>
    <s v="Units"/>
    <x v="3"/>
    <n v="11.304"/>
  </r>
  <r>
    <n v="603"/>
    <x v="12"/>
    <x v="168"/>
    <x v="6"/>
    <s v="Percent change"/>
    <s v="Units"/>
    <x v="4"/>
    <n v="17.196999999999999"/>
  </r>
  <r>
    <n v="603"/>
    <x v="12"/>
    <x v="168"/>
    <x v="6"/>
    <s v="Percent change"/>
    <s v="Units"/>
    <x v="5"/>
    <n v="4.0229999999999997"/>
  </r>
  <r>
    <n v="603"/>
    <x v="12"/>
    <x v="168"/>
    <x v="6"/>
    <s v="Percent change"/>
    <s v="Units"/>
    <x v="6"/>
    <n v="-2.6819999999999999"/>
  </r>
  <r>
    <n v="1"/>
    <x v="2"/>
    <x v="146"/>
    <x v="1"/>
    <s v="Percent change"/>
    <s v="Units"/>
    <x v="0"/>
    <n v="2.7450000000000001"/>
  </r>
  <r>
    <n v="1"/>
    <x v="2"/>
    <x v="146"/>
    <x v="1"/>
    <s v="Percent change"/>
    <s v="Units"/>
    <x v="1"/>
    <n v="1.89"/>
  </r>
  <r>
    <n v="1"/>
    <x v="2"/>
    <x v="146"/>
    <x v="1"/>
    <s v="Percent change"/>
    <s v="Units"/>
    <x v="2"/>
    <n v="6.6790000000000003"/>
  </r>
  <r>
    <n v="1"/>
    <x v="2"/>
    <x v="146"/>
    <x v="1"/>
    <s v="Percent change"/>
    <s v="Units"/>
    <x v="3"/>
    <n v="12.166"/>
  </r>
  <r>
    <n v="1"/>
    <x v="2"/>
    <x v="146"/>
    <x v="1"/>
    <s v="Percent change"/>
    <s v="Units"/>
    <x v="4"/>
    <n v="5.1440000000000001"/>
  </r>
  <r>
    <n v="1"/>
    <x v="2"/>
    <x v="146"/>
    <x v="1"/>
    <s v="Percent change"/>
    <s v="Units"/>
    <x v="5"/>
    <n v="4.0199999999999996"/>
  </r>
  <r>
    <n v="1"/>
    <x v="2"/>
    <x v="146"/>
    <x v="1"/>
    <s v="Percent change"/>
    <s v="Units"/>
    <x v="6"/>
    <n v="4.5"/>
  </r>
  <r>
    <n v="200"/>
    <x v="3"/>
    <x v="11"/>
    <x v="1"/>
    <s v="Percent change"/>
    <s v="Units"/>
    <x v="0"/>
    <n v="3.6349999999999998"/>
  </r>
  <r>
    <n v="200"/>
    <x v="3"/>
    <x v="11"/>
    <x v="1"/>
    <s v="Percent change"/>
    <s v="Units"/>
    <x v="1"/>
    <n v="3.3980000000000001"/>
  </r>
  <r>
    <n v="200"/>
    <x v="3"/>
    <x v="11"/>
    <x v="1"/>
    <s v="Percent change"/>
    <s v="Units"/>
    <x v="2"/>
    <n v="5.6929999999999996"/>
  </r>
  <r>
    <n v="200"/>
    <x v="3"/>
    <x v="11"/>
    <x v="1"/>
    <s v="Percent change"/>
    <s v="Units"/>
    <x v="3"/>
    <n v="7.8979999999999997"/>
  </r>
  <r>
    <n v="200"/>
    <x v="3"/>
    <x v="11"/>
    <x v="1"/>
    <s v="Percent change"/>
    <s v="Units"/>
    <x v="4"/>
    <n v="5.5250000000000004"/>
  </r>
  <r>
    <n v="200"/>
    <x v="3"/>
    <x v="11"/>
    <x v="1"/>
    <s v="Percent change"/>
    <s v="Units"/>
    <x v="5"/>
    <n v="4.0199999999999996"/>
  </r>
  <r>
    <n v="200"/>
    <x v="3"/>
    <x v="11"/>
    <x v="1"/>
    <s v="Percent change"/>
    <s v="Units"/>
    <x v="6"/>
    <n v="3.2890000000000001"/>
  </r>
  <r>
    <n v="205"/>
    <x v="7"/>
    <x v="11"/>
    <x v="1"/>
    <s v="Percent change"/>
    <s v="Units"/>
    <x v="0"/>
    <n v="3.6349999999999998"/>
  </r>
  <r>
    <n v="205"/>
    <x v="7"/>
    <x v="11"/>
    <x v="1"/>
    <s v="Percent change"/>
    <s v="Units"/>
    <x v="1"/>
    <n v="3.3980000000000001"/>
  </r>
  <r>
    <n v="205"/>
    <x v="7"/>
    <x v="11"/>
    <x v="1"/>
    <s v="Percent change"/>
    <s v="Units"/>
    <x v="2"/>
    <n v="5.6929999999999996"/>
  </r>
  <r>
    <n v="205"/>
    <x v="7"/>
    <x v="11"/>
    <x v="1"/>
    <s v="Percent change"/>
    <s v="Units"/>
    <x v="3"/>
    <n v="7.8979999999999997"/>
  </r>
  <r>
    <n v="205"/>
    <x v="7"/>
    <x v="11"/>
    <x v="1"/>
    <s v="Percent change"/>
    <s v="Units"/>
    <x v="4"/>
    <n v="5.5250000000000004"/>
  </r>
  <r>
    <n v="205"/>
    <x v="7"/>
    <x v="11"/>
    <x v="1"/>
    <s v="Percent change"/>
    <s v="Units"/>
    <x v="5"/>
    <n v="4.0199999999999996"/>
  </r>
  <r>
    <n v="205"/>
    <x v="7"/>
    <x v="11"/>
    <x v="1"/>
    <s v="Percent change"/>
    <s v="Units"/>
    <x v="6"/>
    <n v="3.2890000000000001"/>
  </r>
  <r>
    <n v="1"/>
    <x v="2"/>
    <x v="11"/>
    <x v="1"/>
    <s v="Percent change"/>
    <s v="Units"/>
    <x v="0"/>
    <n v="3.6349999999999998"/>
  </r>
  <r>
    <n v="1"/>
    <x v="2"/>
    <x v="11"/>
    <x v="1"/>
    <s v="Percent change"/>
    <s v="Units"/>
    <x v="1"/>
    <n v="3.3980000000000001"/>
  </r>
  <r>
    <n v="1"/>
    <x v="2"/>
    <x v="11"/>
    <x v="1"/>
    <s v="Percent change"/>
    <s v="Units"/>
    <x v="2"/>
    <n v="5.6929999999999996"/>
  </r>
  <r>
    <n v="1"/>
    <x v="2"/>
    <x v="11"/>
    <x v="1"/>
    <s v="Percent change"/>
    <s v="Units"/>
    <x v="3"/>
    <n v="7.8979999999999997"/>
  </r>
  <r>
    <n v="1"/>
    <x v="2"/>
    <x v="11"/>
    <x v="1"/>
    <s v="Percent change"/>
    <s v="Units"/>
    <x v="4"/>
    <n v="5.5250000000000004"/>
  </r>
  <r>
    <n v="1"/>
    <x v="2"/>
    <x v="11"/>
    <x v="1"/>
    <s v="Percent change"/>
    <s v="Units"/>
    <x v="5"/>
    <n v="4.0199999999999996"/>
  </r>
  <r>
    <n v="1"/>
    <x v="2"/>
    <x v="11"/>
    <x v="1"/>
    <s v="Percent change"/>
    <s v="Units"/>
    <x v="6"/>
    <n v="3.2890000000000001"/>
  </r>
  <r>
    <n v="200"/>
    <x v="3"/>
    <x v="146"/>
    <x v="1"/>
    <s v="Percent change"/>
    <s v="Units"/>
    <x v="0"/>
    <n v="2.7450000000000001"/>
  </r>
  <r>
    <n v="200"/>
    <x v="3"/>
    <x v="146"/>
    <x v="1"/>
    <s v="Percent change"/>
    <s v="Units"/>
    <x v="1"/>
    <n v="1.89"/>
  </r>
  <r>
    <n v="200"/>
    <x v="3"/>
    <x v="146"/>
    <x v="1"/>
    <s v="Percent change"/>
    <s v="Units"/>
    <x v="2"/>
    <n v="6.6790000000000003"/>
  </r>
  <r>
    <n v="200"/>
    <x v="3"/>
    <x v="146"/>
    <x v="1"/>
    <s v="Percent change"/>
    <s v="Units"/>
    <x v="3"/>
    <n v="12.166"/>
  </r>
  <r>
    <n v="200"/>
    <x v="3"/>
    <x v="146"/>
    <x v="1"/>
    <s v="Percent change"/>
    <s v="Units"/>
    <x v="4"/>
    <n v="5.1440000000000001"/>
  </r>
  <r>
    <n v="200"/>
    <x v="3"/>
    <x v="146"/>
    <x v="1"/>
    <s v="Percent change"/>
    <s v="Units"/>
    <x v="5"/>
    <n v="4.0199999999999996"/>
  </r>
  <r>
    <n v="200"/>
    <x v="3"/>
    <x v="146"/>
    <x v="1"/>
    <s v="Percent change"/>
    <s v="Units"/>
    <x v="6"/>
    <n v="4.5"/>
  </r>
  <r>
    <n v="603"/>
    <x v="12"/>
    <x v="146"/>
    <x v="1"/>
    <s v="Percent change"/>
    <s v="Units"/>
    <x v="0"/>
    <n v="2.7450000000000001"/>
  </r>
  <r>
    <n v="603"/>
    <x v="12"/>
    <x v="146"/>
    <x v="1"/>
    <s v="Percent change"/>
    <s v="Units"/>
    <x v="1"/>
    <n v="1.89"/>
  </r>
  <r>
    <n v="603"/>
    <x v="12"/>
    <x v="146"/>
    <x v="1"/>
    <s v="Percent change"/>
    <s v="Units"/>
    <x v="2"/>
    <n v="6.6790000000000003"/>
  </r>
  <r>
    <n v="603"/>
    <x v="12"/>
    <x v="146"/>
    <x v="1"/>
    <s v="Percent change"/>
    <s v="Units"/>
    <x v="3"/>
    <n v="12.166"/>
  </r>
  <r>
    <n v="603"/>
    <x v="12"/>
    <x v="146"/>
    <x v="1"/>
    <s v="Percent change"/>
    <s v="Units"/>
    <x v="4"/>
    <n v="5.1440000000000001"/>
  </r>
  <r>
    <n v="603"/>
    <x v="12"/>
    <x v="146"/>
    <x v="1"/>
    <s v="Percent change"/>
    <s v="Units"/>
    <x v="5"/>
    <n v="4.0199999999999996"/>
  </r>
  <r>
    <n v="603"/>
    <x v="12"/>
    <x v="146"/>
    <x v="1"/>
    <s v="Percent change"/>
    <s v="Units"/>
    <x v="6"/>
    <n v="4.5"/>
  </r>
  <r>
    <n v="505"/>
    <x v="4"/>
    <x v="96"/>
    <x v="1"/>
    <s v="Percent change"/>
    <s v="Units"/>
    <x v="0"/>
    <n v="2.2090000000000001"/>
  </r>
  <r>
    <n v="505"/>
    <x v="4"/>
    <x v="96"/>
    <x v="1"/>
    <s v="Percent change"/>
    <s v="Units"/>
    <x v="1"/>
    <n v="0.96399999999999997"/>
  </r>
  <r>
    <n v="505"/>
    <x v="4"/>
    <x v="96"/>
    <x v="1"/>
    <s v="Percent change"/>
    <s v="Units"/>
    <x v="2"/>
    <n v="1.772"/>
  </r>
  <r>
    <n v="505"/>
    <x v="4"/>
    <x v="96"/>
    <x v="1"/>
    <s v="Percent change"/>
    <s v="Units"/>
    <x v="3"/>
    <n v="5.0199999999999996"/>
  </r>
  <r>
    <n v="505"/>
    <x v="4"/>
    <x v="96"/>
    <x v="1"/>
    <s v="Percent change"/>
    <s v="Units"/>
    <x v="4"/>
    <n v="6.21"/>
  </r>
  <r>
    <n v="505"/>
    <x v="4"/>
    <x v="96"/>
    <x v="1"/>
    <s v="Percent change"/>
    <s v="Units"/>
    <x v="5"/>
    <n v="4.0179999999999998"/>
  </r>
  <r>
    <n v="505"/>
    <x v="4"/>
    <x v="96"/>
    <x v="1"/>
    <s v="Percent change"/>
    <s v="Units"/>
    <x v="6"/>
    <n v="2.988"/>
  </r>
  <r>
    <n v="1"/>
    <x v="2"/>
    <x v="96"/>
    <x v="1"/>
    <s v="Percent change"/>
    <s v="Units"/>
    <x v="0"/>
    <n v="2.2090000000000001"/>
  </r>
  <r>
    <n v="1"/>
    <x v="2"/>
    <x v="96"/>
    <x v="1"/>
    <s v="Percent change"/>
    <s v="Units"/>
    <x v="1"/>
    <n v="0.96399999999999997"/>
  </r>
  <r>
    <n v="1"/>
    <x v="2"/>
    <x v="96"/>
    <x v="1"/>
    <s v="Percent change"/>
    <s v="Units"/>
    <x v="2"/>
    <n v="1.772"/>
  </r>
  <r>
    <n v="1"/>
    <x v="2"/>
    <x v="96"/>
    <x v="1"/>
    <s v="Percent change"/>
    <s v="Units"/>
    <x v="3"/>
    <n v="5.0199999999999996"/>
  </r>
  <r>
    <n v="1"/>
    <x v="2"/>
    <x v="96"/>
    <x v="1"/>
    <s v="Percent change"/>
    <s v="Units"/>
    <x v="4"/>
    <n v="6.21"/>
  </r>
  <r>
    <n v="1"/>
    <x v="2"/>
    <x v="96"/>
    <x v="1"/>
    <s v="Percent change"/>
    <s v="Units"/>
    <x v="5"/>
    <n v="4.0179999999999998"/>
  </r>
  <r>
    <n v="1"/>
    <x v="2"/>
    <x v="96"/>
    <x v="1"/>
    <s v="Percent change"/>
    <s v="Units"/>
    <x v="6"/>
    <n v="2.988"/>
  </r>
  <r>
    <n v="200"/>
    <x v="3"/>
    <x v="96"/>
    <x v="1"/>
    <s v="Percent change"/>
    <s v="Units"/>
    <x v="0"/>
    <n v="2.2090000000000001"/>
  </r>
  <r>
    <n v="200"/>
    <x v="3"/>
    <x v="96"/>
    <x v="1"/>
    <s v="Percent change"/>
    <s v="Units"/>
    <x v="1"/>
    <n v="0.96399999999999997"/>
  </r>
  <r>
    <n v="200"/>
    <x v="3"/>
    <x v="96"/>
    <x v="1"/>
    <s v="Percent change"/>
    <s v="Units"/>
    <x v="2"/>
    <n v="1.772"/>
  </r>
  <r>
    <n v="200"/>
    <x v="3"/>
    <x v="96"/>
    <x v="1"/>
    <s v="Percent change"/>
    <s v="Units"/>
    <x v="3"/>
    <n v="5.0199999999999996"/>
  </r>
  <r>
    <n v="200"/>
    <x v="3"/>
    <x v="96"/>
    <x v="1"/>
    <s v="Percent change"/>
    <s v="Units"/>
    <x v="4"/>
    <n v="6.21"/>
  </r>
  <r>
    <n v="200"/>
    <x v="3"/>
    <x v="96"/>
    <x v="1"/>
    <s v="Percent change"/>
    <s v="Units"/>
    <x v="5"/>
    <n v="4.0179999999999998"/>
  </r>
  <r>
    <n v="200"/>
    <x v="3"/>
    <x v="96"/>
    <x v="1"/>
    <s v="Percent change"/>
    <s v="Units"/>
    <x v="6"/>
    <n v="2.988"/>
  </r>
  <r>
    <n v="200"/>
    <x v="3"/>
    <x v="162"/>
    <x v="4"/>
    <s v="Percent change"/>
    <s v="Units"/>
    <x v="0"/>
    <n v="8.0920000000000005"/>
  </r>
  <r>
    <n v="200"/>
    <x v="3"/>
    <x v="162"/>
    <x v="4"/>
    <s v="Percent change"/>
    <s v="Units"/>
    <x v="1"/>
    <n v="-19.881"/>
  </r>
  <r>
    <n v="200"/>
    <x v="3"/>
    <x v="162"/>
    <x v="4"/>
    <s v="Percent change"/>
    <s v="Units"/>
    <x v="2"/>
    <n v="27.452999999999999"/>
  </r>
  <r>
    <n v="200"/>
    <x v="3"/>
    <x v="162"/>
    <x v="4"/>
    <s v="Percent change"/>
    <s v="Units"/>
    <x v="3"/>
    <n v="-16.007000000000001"/>
  </r>
  <r>
    <n v="200"/>
    <x v="3"/>
    <x v="162"/>
    <x v="4"/>
    <s v="Percent change"/>
    <s v="Units"/>
    <x v="4"/>
    <n v="23.562000000000001"/>
  </r>
  <r>
    <n v="200"/>
    <x v="3"/>
    <x v="162"/>
    <x v="4"/>
    <s v="Percent change"/>
    <s v="Units"/>
    <x v="5"/>
    <n v="4.0090000000000003"/>
  </r>
  <r>
    <n v="200"/>
    <x v="3"/>
    <x v="162"/>
    <x v="4"/>
    <s v="Percent change"/>
    <s v="Units"/>
    <x v="6"/>
    <n v="8.0340000000000007"/>
  </r>
  <r>
    <n v="1"/>
    <x v="2"/>
    <x v="162"/>
    <x v="4"/>
    <s v="Percent change"/>
    <s v="Units"/>
    <x v="0"/>
    <n v="8.0920000000000005"/>
  </r>
  <r>
    <n v="1"/>
    <x v="2"/>
    <x v="162"/>
    <x v="4"/>
    <s v="Percent change"/>
    <s v="Units"/>
    <x v="1"/>
    <n v="-19.881"/>
  </r>
  <r>
    <n v="1"/>
    <x v="2"/>
    <x v="162"/>
    <x v="4"/>
    <s v="Percent change"/>
    <s v="Units"/>
    <x v="2"/>
    <n v="27.452999999999999"/>
  </r>
  <r>
    <n v="1"/>
    <x v="2"/>
    <x v="162"/>
    <x v="4"/>
    <s v="Percent change"/>
    <s v="Units"/>
    <x v="3"/>
    <n v="-16.007000000000001"/>
  </r>
  <r>
    <n v="1"/>
    <x v="2"/>
    <x v="162"/>
    <x v="4"/>
    <s v="Percent change"/>
    <s v="Units"/>
    <x v="4"/>
    <n v="23.562000000000001"/>
  </r>
  <r>
    <n v="1"/>
    <x v="2"/>
    <x v="162"/>
    <x v="4"/>
    <s v="Percent change"/>
    <s v="Units"/>
    <x v="5"/>
    <n v="4.0090000000000003"/>
  </r>
  <r>
    <n v="1"/>
    <x v="2"/>
    <x v="162"/>
    <x v="4"/>
    <s v="Percent change"/>
    <s v="Units"/>
    <x v="6"/>
    <n v="8.0340000000000007"/>
  </r>
  <r>
    <n v="603"/>
    <x v="12"/>
    <x v="162"/>
    <x v="4"/>
    <s v="Percent change"/>
    <s v="Units"/>
    <x v="0"/>
    <n v="8.0920000000000005"/>
  </r>
  <r>
    <n v="603"/>
    <x v="12"/>
    <x v="162"/>
    <x v="4"/>
    <s v="Percent change"/>
    <s v="Units"/>
    <x v="1"/>
    <n v="-19.881"/>
  </r>
  <r>
    <n v="603"/>
    <x v="12"/>
    <x v="162"/>
    <x v="4"/>
    <s v="Percent change"/>
    <s v="Units"/>
    <x v="2"/>
    <n v="27.452999999999999"/>
  </r>
  <r>
    <n v="603"/>
    <x v="12"/>
    <x v="162"/>
    <x v="4"/>
    <s v="Percent change"/>
    <s v="Units"/>
    <x v="3"/>
    <n v="-16.007000000000001"/>
  </r>
  <r>
    <n v="603"/>
    <x v="12"/>
    <x v="162"/>
    <x v="4"/>
    <s v="Percent change"/>
    <s v="Units"/>
    <x v="4"/>
    <n v="23.562000000000001"/>
  </r>
  <r>
    <n v="603"/>
    <x v="12"/>
    <x v="162"/>
    <x v="4"/>
    <s v="Percent change"/>
    <s v="Units"/>
    <x v="5"/>
    <n v="4.0090000000000003"/>
  </r>
  <r>
    <n v="603"/>
    <x v="12"/>
    <x v="162"/>
    <x v="4"/>
    <s v="Percent change"/>
    <s v="Units"/>
    <x v="6"/>
    <n v="8.0340000000000007"/>
  </r>
  <r>
    <n v="1"/>
    <x v="2"/>
    <x v="126"/>
    <x v="8"/>
    <s v="Percent change"/>
    <s v="Units"/>
    <x v="0"/>
    <n v="5.2539999999999996"/>
  </r>
  <r>
    <n v="1"/>
    <x v="2"/>
    <x v="126"/>
    <x v="8"/>
    <s v="Percent change"/>
    <s v="Units"/>
    <x v="1"/>
    <n v="-1.9690000000000001"/>
  </r>
  <r>
    <n v="1"/>
    <x v="2"/>
    <x v="126"/>
    <x v="8"/>
    <s v="Percent change"/>
    <s v="Units"/>
    <x v="2"/>
    <n v="4.1050000000000004"/>
  </r>
  <r>
    <n v="1"/>
    <x v="2"/>
    <x v="126"/>
    <x v="8"/>
    <s v="Percent change"/>
    <s v="Units"/>
    <x v="3"/>
    <n v="3.4580000000000002"/>
  </r>
  <r>
    <n v="1"/>
    <x v="2"/>
    <x v="126"/>
    <x v="8"/>
    <s v="Percent change"/>
    <s v="Units"/>
    <x v="4"/>
    <n v="3.3919999999999999"/>
  </r>
  <r>
    <n v="1"/>
    <x v="2"/>
    <x v="126"/>
    <x v="8"/>
    <s v="Percent change"/>
    <s v="Units"/>
    <x v="5"/>
    <n v="4.0049999999999999"/>
  </r>
  <r>
    <n v="1"/>
    <x v="2"/>
    <x v="126"/>
    <x v="8"/>
    <s v="Percent change"/>
    <s v="Units"/>
    <x v="6"/>
    <n v="4.5199999999999996"/>
  </r>
  <r>
    <n v="603"/>
    <x v="12"/>
    <x v="40"/>
    <x v="6"/>
    <s v="Percent change"/>
    <s v="Units"/>
    <x v="0"/>
    <n v="0.55300000000000005"/>
  </r>
  <r>
    <n v="603"/>
    <x v="12"/>
    <x v="40"/>
    <x v="6"/>
    <s v="Percent change"/>
    <s v="Units"/>
    <x v="1"/>
    <n v="-17.577000000000002"/>
  </r>
  <r>
    <n v="603"/>
    <x v="12"/>
    <x v="40"/>
    <x v="6"/>
    <s v="Percent change"/>
    <s v="Units"/>
    <x v="2"/>
    <n v="9.58"/>
  </r>
  <r>
    <n v="603"/>
    <x v="12"/>
    <x v="40"/>
    <x v="6"/>
    <s v="Percent change"/>
    <s v="Units"/>
    <x v="3"/>
    <n v="14.893000000000001"/>
  </r>
  <r>
    <n v="603"/>
    <x v="12"/>
    <x v="40"/>
    <x v="6"/>
    <s v="Percent change"/>
    <s v="Units"/>
    <x v="4"/>
    <n v="4.1040000000000001"/>
  </r>
  <r>
    <n v="603"/>
    <x v="12"/>
    <x v="40"/>
    <x v="6"/>
    <s v="Percent change"/>
    <s v="Units"/>
    <x v="5"/>
    <n v="4.0049999999999999"/>
  </r>
  <r>
    <n v="603"/>
    <x v="12"/>
    <x v="40"/>
    <x v="6"/>
    <s v="Percent change"/>
    <s v="Units"/>
    <x v="6"/>
    <n v="3.89"/>
  </r>
  <r>
    <n v="603"/>
    <x v="12"/>
    <x v="126"/>
    <x v="8"/>
    <s v="Percent change"/>
    <s v="Units"/>
    <x v="0"/>
    <n v="5.2539999999999996"/>
  </r>
  <r>
    <n v="603"/>
    <x v="12"/>
    <x v="126"/>
    <x v="8"/>
    <s v="Percent change"/>
    <s v="Units"/>
    <x v="1"/>
    <n v="-1.9690000000000001"/>
  </r>
  <r>
    <n v="603"/>
    <x v="12"/>
    <x v="126"/>
    <x v="8"/>
    <s v="Percent change"/>
    <s v="Units"/>
    <x v="2"/>
    <n v="4.1050000000000004"/>
  </r>
  <r>
    <n v="603"/>
    <x v="12"/>
    <x v="126"/>
    <x v="8"/>
    <s v="Percent change"/>
    <s v="Units"/>
    <x v="3"/>
    <n v="3.4580000000000002"/>
  </r>
  <r>
    <n v="603"/>
    <x v="12"/>
    <x v="126"/>
    <x v="8"/>
    <s v="Percent change"/>
    <s v="Units"/>
    <x v="4"/>
    <n v="3.3919999999999999"/>
  </r>
  <r>
    <n v="603"/>
    <x v="12"/>
    <x v="126"/>
    <x v="8"/>
    <s v="Percent change"/>
    <s v="Units"/>
    <x v="5"/>
    <n v="4.0049999999999999"/>
  </r>
  <r>
    <n v="603"/>
    <x v="12"/>
    <x v="126"/>
    <x v="8"/>
    <s v="Percent change"/>
    <s v="Units"/>
    <x v="6"/>
    <n v="4.5199999999999996"/>
  </r>
  <r>
    <n v="200"/>
    <x v="3"/>
    <x v="126"/>
    <x v="8"/>
    <s v="Percent change"/>
    <s v="Units"/>
    <x v="0"/>
    <n v="5.2539999999999996"/>
  </r>
  <r>
    <n v="200"/>
    <x v="3"/>
    <x v="126"/>
    <x v="8"/>
    <s v="Percent change"/>
    <s v="Units"/>
    <x v="1"/>
    <n v="-1.9690000000000001"/>
  </r>
  <r>
    <n v="200"/>
    <x v="3"/>
    <x v="126"/>
    <x v="8"/>
    <s v="Percent change"/>
    <s v="Units"/>
    <x v="2"/>
    <n v="4.1050000000000004"/>
  </r>
  <r>
    <n v="200"/>
    <x v="3"/>
    <x v="126"/>
    <x v="8"/>
    <s v="Percent change"/>
    <s v="Units"/>
    <x v="3"/>
    <n v="3.4580000000000002"/>
  </r>
  <r>
    <n v="200"/>
    <x v="3"/>
    <x v="126"/>
    <x v="8"/>
    <s v="Percent change"/>
    <s v="Units"/>
    <x v="4"/>
    <n v="3.3919999999999999"/>
  </r>
  <r>
    <n v="200"/>
    <x v="3"/>
    <x v="126"/>
    <x v="8"/>
    <s v="Percent change"/>
    <s v="Units"/>
    <x v="5"/>
    <n v="4.0049999999999999"/>
  </r>
  <r>
    <n v="200"/>
    <x v="3"/>
    <x v="126"/>
    <x v="8"/>
    <s v="Percent change"/>
    <s v="Units"/>
    <x v="6"/>
    <n v="4.5199999999999996"/>
  </r>
  <r>
    <n v="200"/>
    <x v="3"/>
    <x v="40"/>
    <x v="6"/>
    <s v="Percent change"/>
    <s v="Units"/>
    <x v="0"/>
    <n v="0.55300000000000005"/>
  </r>
  <r>
    <n v="200"/>
    <x v="3"/>
    <x v="40"/>
    <x v="6"/>
    <s v="Percent change"/>
    <s v="Units"/>
    <x v="1"/>
    <n v="-17.577000000000002"/>
  </r>
  <r>
    <n v="200"/>
    <x v="3"/>
    <x v="40"/>
    <x v="6"/>
    <s v="Percent change"/>
    <s v="Units"/>
    <x v="2"/>
    <n v="9.58"/>
  </r>
  <r>
    <n v="200"/>
    <x v="3"/>
    <x v="40"/>
    <x v="6"/>
    <s v="Percent change"/>
    <s v="Units"/>
    <x v="3"/>
    <n v="14.893000000000001"/>
  </r>
  <r>
    <n v="200"/>
    <x v="3"/>
    <x v="40"/>
    <x v="6"/>
    <s v="Percent change"/>
    <s v="Units"/>
    <x v="4"/>
    <n v="4.1040000000000001"/>
  </r>
  <r>
    <n v="200"/>
    <x v="3"/>
    <x v="40"/>
    <x v="6"/>
    <s v="Percent change"/>
    <s v="Units"/>
    <x v="5"/>
    <n v="4.0049999999999999"/>
  </r>
  <r>
    <n v="200"/>
    <x v="3"/>
    <x v="40"/>
    <x v="6"/>
    <s v="Percent change"/>
    <s v="Units"/>
    <x v="6"/>
    <n v="3.89"/>
  </r>
  <r>
    <n v="1"/>
    <x v="2"/>
    <x v="40"/>
    <x v="6"/>
    <s v="Percent change"/>
    <s v="Units"/>
    <x v="0"/>
    <n v="0.55300000000000005"/>
  </r>
  <r>
    <n v="1"/>
    <x v="2"/>
    <x v="40"/>
    <x v="6"/>
    <s v="Percent change"/>
    <s v="Units"/>
    <x v="1"/>
    <n v="-17.577000000000002"/>
  </r>
  <r>
    <n v="1"/>
    <x v="2"/>
    <x v="40"/>
    <x v="6"/>
    <s v="Percent change"/>
    <s v="Units"/>
    <x v="2"/>
    <n v="9.58"/>
  </r>
  <r>
    <n v="1"/>
    <x v="2"/>
    <x v="40"/>
    <x v="6"/>
    <s v="Percent change"/>
    <s v="Units"/>
    <x v="3"/>
    <n v="14.893000000000001"/>
  </r>
  <r>
    <n v="1"/>
    <x v="2"/>
    <x v="40"/>
    <x v="6"/>
    <s v="Percent change"/>
    <s v="Units"/>
    <x v="4"/>
    <n v="4.1040000000000001"/>
  </r>
  <r>
    <n v="1"/>
    <x v="2"/>
    <x v="40"/>
    <x v="6"/>
    <s v="Percent change"/>
    <s v="Units"/>
    <x v="5"/>
    <n v="4.0049999999999999"/>
  </r>
  <r>
    <n v="1"/>
    <x v="2"/>
    <x v="40"/>
    <x v="6"/>
    <s v="Percent change"/>
    <s v="Units"/>
    <x v="6"/>
    <n v="3.89"/>
  </r>
  <r>
    <n v="200"/>
    <x v="3"/>
    <x v="72"/>
    <x v="8"/>
    <s v="Percent change"/>
    <s v="Units"/>
    <x v="0"/>
    <n v="-27.67"/>
  </r>
  <r>
    <n v="200"/>
    <x v="3"/>
    <x v="72"/>
    <x v="8"/>
    <s v="Percent change"/>
    <s v="Units"/>
    <x v="1"/>
    <n v="-29.995000000000001"/>
  </r>
  <r>
    <n v="200"/>
    <x v="3"/>
    <x v="72"/>
    <x v="8"/>
    <s v="Percent change"/>
    <s v="Units"/>
    <x v="2"/>
    <n v="1"/>
  </r>
  <r>
    <n v="200"/>
    <x v="3"/>
    <x v="72"/>
    <x v="8"/>
    <s v="Percent change"/>
    <s v="Units"/>
    <x v="3"/>
    <n v="8"/>
  </r>
  <r>
    <n v="200"/>
    <x v="3"/>
    <x v="72"/>
    <x v="8"/>
    <s v="Percent change"/>
    <s v="Units"/>
    <x v="4"/>
    <n v="4"/>
  </r>
  <r>
    <n v="200"/>
    <x v="3"/>
    <x v="72"/>
    <x v="8"/>
    <s v="Percent change"/>
    <s v="Units"/>
    <x v="5"/>
    <n v="4"/>
  </r>
  <r>
    <n v="200"/>
    <x v="3"/>
    <x v="72"/>
    <x v="8"/>
    <s v="Percent change"/>
    <s v="Units"/>
    <x v="6"/>
    <n v="3"/>
  </r>
  <r>
    <n v="903"/>
    <x v="8"/>
    <x v="135"/>
    <x v="1"/>
    <s v="Percent change"/>
    <s v="Units"/>
    <x v="0"/>
    <n v="0.76600000000000001"/>
  </r>
  <r>
    <n v="903"/>
    <x v="8"/>
    <x v="135"/>
    <x v="1"/>
    <s v="Percent change"/>
    <s v="Units"/>
    <x v="1"/>
    <n v="1.2"/>
  </r>
  <r>
    <n v="903"/>
    <x v="8"/>
    <x v="135"/>
    <x v="1"/>
    <s v="Percent change"/>
    <s v="Units"/>
    <x v="2"/>
    <n v="3.2309999999999999"/>
  </r>
  <r>
    <n v="903"/>
    <x v="8"/>
    <x v="135"/>
    <x v="1"/>
    <s v="Percent change"/>
    <s v="Units"/>
    <x v="3"/>
    <n v="14.205"/>
  </r>
  <r>
    <n v="903"/>
    <x v="8"/>
    <x v="135"/>
    <x v="1"/>
    <s v="Percent change"/>
    <s v="Units"/>
    <x v="4"/>
    <n v="9.3620000000000001"/>
  </r>
  <r>
    <n v="903"/>
    <x v="8"/>
    <x v="135"/>
    <x v="1"/>
    <s v="Percent change"/>
    <s v="Units"/>
    <x v="5"/>
    <n v="4"/>
  </r>
  <r>
    <n v="903"/>
    <x v="8"/>
    <x v="135"/>
    <x v="1"/>
    <s v="Percent change"/>
    <s v="Units"/>
    <x v="6"/>
    <n v="2.5"/>
  </r>
  <r>
    <n v="1"/>
    <x v="2"/>
    <x v="135"/>
    <x v="1"/>
    <s v="Percent change"/>
    <s v="Units"/>
    <x v="0"/>
    <n v="0.76600000000000001"/>
  </r>
  <r>
    <n v="1"/>
    <x v="2"/>
    <x v="135"/>
    <x v="1"/>
    <s v="Percent change"/>
    <s v="Units"/>
    <x v="1"/>
    <n v="1.2"/>
  </r>
  <r>
    <n v="1"/>
    <x v="2"/>
    <x v="135"/>
    <x v="1"/>
    <s v="Percent change"/>
    <s v="Units"/>
    <x v="2"/>
    <n v="3.2309999999999999"/>
  </r>
  <r>
    <n v="1"/>
    <x v="2"/>
    <x v="135"/>
    <x v="1"/>
    <s v="Percent change"/>
    <s v="Units"/>
    <x v="3"/>
    <n v="14.205"/>
  </r>
  <r>
    <n v="1"/>
    <x v="2"/>
    <x v="135"/>
    <x v="1"/>
    <s v="Percent change"/>
    <s v="Units"/>
    <x v="4"/>
    <n v="9.3620000000000001"/>
  </r>
  <r>
    <n v="1"/>
    <x v="2"/>
    <x v="135"/>
    <x v="1"/>
    <s v="Percent change"/>
    <s v="Units"/>
    <x v="5"/>
    <n v="4"/>
  </r>
  <r>
    <n v="1"/>
    <x v="2"/>
    <x v="135"/>
    <x v="1"/>
    <s v="Percent change"/>
    <s v="Units"/>
    <x v="6"/>
    <n v="2.5"/>
  </r>
  <r>
    <n v="205"/>
    <x v="7"/>
    <x v="72"/>
    <x v="8"/>
    <s v="Percent change"/>
    <s v="Units"/>
    <x v="0"/>
    <n v="-27.67"/>
  </r>
  <r>
    <n v="205"/>
    <x v="7"/>
    <x v="72"/>
    <x v="8"/>
    <s v="Percent change"/>
    <s v="Units"/>
    <x v="1"/>
    <n v="-29.995000000000001"/>
  </r>
  <r>
    <n v="205"/>
    <x v="7"/>
    <x v="72"/>
    <x v="8"/>
    <s v="Percent change"/>
    <s v="Units"/>
    <x v="2"/>
    <n v="1"/>
  </r>
  <r>
    <n v="205"/>
    <x v="7"/>
    <x v="72"/>
    <x v="8"/>
    <s v="Percent change"/>
    <s v="Units"/>
    <x v="3"/>
    <n v="8"/>
  </r>
  <r>
    <n v="205"/>
    <x v="7"/>
    <x v="72"/>
    <x v="8"/>
    <s v="Percent change"/>
    <s v="Units"/>
    <x v="4"/>
    <n v="4"/>
  </r>
  <r>
    <n v="205"/>
    <x v="7"/>
    <x v="72"/>
    <x v="8"/>
    <s v="Percent change"/>
    <s v="Units"/>
    <x v="5"/>
    <n v="4"/>
  </r>
  <r>
    <n v="205"/>
    <x v="7"/>
    <x v="72"/>
    <x v="8"/>
    <s v="Percent change"/>
    <s v="Units"/>
    <x v="6"/>
    <n v="3"/>
  </r>
  <r>
    <n v="1"/>
    <x v="2"/>
    <x v="50"/>
    <x v="1"/>
    <s v="Percent change"/>
    <s v="Units"/>
    <x v="0"/>
    <n v="-0.19900000000000001"/>
  </r>
  <r>
    <n v="1"/>
    <x v="2"/>
    <x v="50"/>
    <x v="1"/>
    <s v="Percent change"/>
    <s v="Units"/>
    <x v="1"/>
    <n v="0.57399999999999995"/>
  </r>
  <r>
    <n v="1"/>
    <x v="2"/>
    <x v="50"/>
    <x v="1"/>
    <s v="Percent change"/>
    <s v="Units"/>
    <x v="2"/>
    <n v="6.0419999999999998"/>
  </r>
  <r>
    <n v="1"/>
    <x v="2"/>
    <x v="50"/>
    <x v="1"/>
    <s v="Percent change"/>
    <s v="Units"/>
    <x v="3"/>
    <n v="4.9870000000000001"/>
  </r>
  <r>
    <n v="1"/>
    <x v="2"/>
    <x v="50"/>
    <x v="1"/>
    <s v="Percent change"/>
    <s v="Units"/>
    <x v="4"/>
    <n v="4.4160000000000004"/>
  </r>
  <r>
    <n v="1"/>
    <x v="2"/>
    <x v="50"/>
    <x v="1"/>
    <s v="Percent change"/>
    <s v="Units"/>
    <x v="5"/>
    <n v="4"/>
  </r>
  <r>
    <n v="1"/>
    <x v="2"/>
    <x v="50"/>
    <x v="1"/>
    <s v="Percent change"/>
    <s v="Units"/>
    <x v="6"/>
    <n v="4"/>
  </r>
  <r>
    <n v="1"/>
    <x v="2"/>
    <x v="72"/>
    <x v="8"/>
    <s v="Percent change"/>
    <s v="Units"/>
    <x v="0"/>
    <n v="-27.67"/>
  </r>
  <r>
    <n v="1"/>
    <x v="2"/>
    <x v="72"/>
    <x v="8"/>
    <s v="Percent change"/>
    <s v="Units"/>
    <x v="1"/>
    <n v="-29.995000000000001"/>
  </r>
  <r>
    <n v="1"/>
    <x v="2"/>
    <x v="72"/>
    <x v="8"/>
    <s v="Percent change"/>
    <s v="Units"/>
    <x v="2"/>
    <n v="1"/>
  </r>
  <r>
    <n v="1"/>
    <x v="2"/>
    <x v="72"/>
    <x v="8"/>
    <s v="Percent change"/>
    <s v="Units"/>
    <x v="3"/>
    <n v="8"/>
  </r>
  <r>
    <n v="1"/>
    <x v="2"/>
    <x v="72"/>
    <x v="8"/>
    <s v="Percent change"/>
    <s v="Units"/>
    <x v="4"/>
    <n v="4"/>
  </r>
  <r>
    <n v="1"/>
    <x v="2"/>
    <x v="72"/>
    <x v="8"/>
    <s v="Percent change"/>
    <s v="Units"/>
    <x v="5"/>
    <n v="4"/>
  </r>
  <r>
    <n v="1"/>
    <x v="2"/>
    <x v="72"/>
    <x v="8"/>
    <s v="Percent change"/>
    <s v="Units"/>
    <x v="6"/>
    <n v="3"/>
  </r>
  <r>
    <n v="505"/>
    <x v="4"/>
    <x v="147"/>
    <x v="1"/>
    <s v="Percent change"/>
    <s v="Units"/>
    <x v="0"/>
    <n v="1.7729999999999999"/>
  </r>
  <r>
    <n v="505"/>
    <x v="4"/>
    <x v="147"/>
    <x v="1"/>
    <s v="Percent change"/>
    <s v="Units"/>
    <x v="1"/>
    <n v="-2.5950000000000002"/>
  </r>
  <r>
    <n v="505"/>
    <x v="4"/>
    <x v="147"/>
    <x v="1"/>
    <s v="Percent change"/>
    <s v="Units"/>
    <x v="2"/>
    <n v="0.156"/>
  </r>
  <r>
    <n v="505"/>
    <x v="4"/>
    <x v="147"/>
    <x v="1"/>
    <s v="Percent change"/>
    <s v="Units"/>
    <x v="3"/>
    <n v="4.32"/>
  </r>
  <r>
    <n v="505"/>
    <x v="4"/>
    <x v="147"/>
    <x v="1"/>
    <s v="Percent change"/>
    <s v="Units"/>
    <x v="4"/>
    <n v="2.2999999999999998"/>
  </r>
  <r>
    <n v="505"/>
    <x v="4"/>
    <x v="147"/>
    <x v="1"/>
    <s v="Percent change"/>
    <s v="Units"/>
    <x v="5"/>
    <n v="4"/>
  </r>
  <r>
    <n v="505"/>
    <x v="4"/>
    <x v="147"/>
    <x v="1"/>
    <s v="Percent change"/>
    <s v="Units"/>
    <x v="6"/>
    <n v="3.2"/>
  </r>
  <r>
    <n v="200"/>
    <x v="3"/>
    <x v="50"/>
    <x v="1"/>
    <s v="Percent change"/>
    <s v="Units"/>
    <x v="0"/>
    <n v="-0.19900000000000001"/>
  </r>
  <r>
    <n v="200"/>
    <x v="3"/>
    <x v="50"/>
    <x v="1"/>
    <s v="Percent change"/>
    <s v="Units"/>
    <x v="1"/>
    <n v="0.57399999999999995"/>
  </r>
  <r>
    <n v="200"/>
    <x v="3"/>
    <x v="50"/>
    <x v="1"/>
    <s v="Percent change"/>
    <s v="Units"/>
    <x v="2"/>
    <n v="6.0419999999999998"/>
  </r>
  <r>
    <n v="200"/>
    <x v="3"/>
    <x v="50"/>
    <x v="1"/>
    <s v="Percent change"/>
    <s v="Units"/>
    <x v="3"/>
    <n v="4.9870000000000001"/>
  </r>
  <r>
    <n v="200"/>
    <x v="3"/>
    <x v="50"/>
    <x v="1"/>
    <s v="Percent change"/>
    <s v="Units"/>
    <x v="4"/>
    <n v="4.4160000000000004"/>
  </r>
  <r>
    <n v="200"/>
    <x v="3"/>
    <x v="50"/>
    <x v="1"/>
    <s v="Percent change"/>
    <s v="Units"/>
    <x v="5"/>
    <n v="4"/>
  </r>
  <r>
    <n v="200"/>
    <x v="3"/>
    <x v="50"/>
    <x v="1"/>
    <s v="Percent change"/>
    <s v="Units"/>
    <x v="6"/>
    <n v="4"/>
  </r>
  <r>
    <n v="1"/>
    <x v="2"/>
    <x v="170"/>
    <x v="8"/>
    <s v="Percent change"/>
    <s v="Units"/>
    <x v="0"/>
    <n v="4.7649999999999997"/>
  </r>
  <r>
    <n v="1"/>
    <x v="2"/>
    <x v="170"/>
    <x v="8"/>
    <s v="Percent change"/>
    <s v="Units"/>
    <x v="1"/>
    <n v="-1.244"/>
  </r>
  <r>
    <n v="1"/>
    <x v="2"/>
    <x v="170"/>
    <x v="8"/>
    <s v="Percent change"/>
    <s v="Units"/>
    <x v="2"/>
    <n v="3.0529999999999999"/>
  </r>
  <r>
    <n v="1"/>
    <x v="2"/>
    <x v="170"/>
    <x v="8"/>
    <s v="Percent change"/>
    <s v="Units"/>
    <x v="3"/>
    <n v="3.4750000000000001"/>
  </r>
  <r>
    <n v="1"/>
    <x v="2"/>
    <x v="170"/>
    <x v="8"/>
    <s v="Percent change"/>
    <s v="Units"/>
    <x v="4"/>
    <n v="4.5"/>
  </r>
  <r>
    <n v="1"/>
    <x v="2"/>
    <x v="170"/>
    <x v="8"/>
    <s v="Percent change"/>
    <s v="Units"/>
    <x v="5"/>
    <n v="4"/>
  </r>
  <r>
    <n v="1"/>
    <x v="2"/>
    <x v="170"/>
    <x v="8"/>
    <s v="Percent change"/>
    <s v="Units"/>
    <x v="6"/>
    <n v="4.5"/>
  </r>
  <r>
    <n v="200"/>
    <x v="3"/>
    <x v="147"/>
    <x v="1"/>
    <s v="Percent change"/>
    <s v="Units"/>
    <x v="0"/>
    <n v="1.7729999999999999"/>
  </r>
  <r>
    <n v="200"/>
    <x v="3"/>
    <x v="147"/>
    <x v="1"/>
    <s v="Percent change"/>
    <s v="Units"/>
    <x v="1"/>
    <n v="-2.5950000000000002"/>
  </r>
  <r>
    <n v="200"/>
    <x v="3"/>
    <x v="147"/>
    <x v="1"/>
    <s v="Percent change"/>
    <s v="Units"/>
    <x v="2"/>
    <n v="0.156"/>
  </r>
  <r>
    <n v="200"/>
    <x v="3"/>
    <x v="147"/>
    <x v="1"/>
    <s v="Percent change"/>
    <s v="Units"/>
    <x v="3"/>
    <n v="4.32"/>
  </r>
  <r>
    <n v="200"/>
    <x v="3"/>
    <x v="147"/>
    <x v="1"/>
    <s v="Percent change"/>
    <s v="Units"/>
    <x v="4"/>
    <n v="2.2999999999999998"/>
  </r>
  <r>
    <n v="200"/>
    <x v="3"/>
    <x v="147"/>
    <x v="1"/>
    <s v="Percent change"/>
    <s v="Units"/>
    <x v="5"/>
    <n v="4"/>
  </r>
  <r>
    <n v="200"/>
    <x v="3"/>
    <x v="147"/>
    <x v="1"/>
    <s v="Percent change"/>
    <s v="Units"/>
    <x v="6"/>
    <n v="3.2"/>
  </r>
  <r>
    <n v="200"/>
    <x v="3"/>
    <x v="135"/>
    <x v="1"/>
    <s v="Percent change"/>
    <s v="Units"/>
    <x v="0"/>
    <n v="0.76600000000000001"/>
  </r>
  <r>
    <n v="200"/>
    <x v="3"/>
    <x v="135"/>
    <x v="1"/>
    <s v="Percent change"/>
    <s v="Units"/>
    <x v="1"/>
    <n v="1.2"/>
  </r>
  <r>
    <n v="200"/>
    <x v="3"/>
    <x v="135"/>
    <x v="1"/>
    <s v="Percent change"/>
    <s v="Units"/>
    <x v="2"/>
    <n v="3.2309999999999999"/>
  </r>
  <r>
    <n v="200"/>
    <x v="3"/>
    <x v="135"/>
    <x v="1"/>
    <s v="Percent change"/>
    <s v="Units"/>
    <x v="3"/>
    <n v="14.205"/>
  </r>
  <r>
    <n v="200"/>
    <x v="3"/>
    <x v="135"/>
    <x v="1"/>
    <s v="Percent change"/>
    <s v="Units"/>
    <x v="4"/>
    <n v="9.3620000000000001"/>
  </r>
  <r>
    <n v="200"/>
    <x v="3"/>
    <x v="135"/>
    <x v="1"/>
    <s v="Percent change"/>
    <s v="Units"/>
    <x v="5"/>
    <n v="4"/>
  </r>
  <r>
    <n v="200"/>
    <x v="3"/>
    <x v="135"/>
    <x v="1"/>
    <s v="Percent change"/>
    <s v="Units"/>
    <x v="6"/>
    <n v="2.5"/>
  </r>
  <r>
    <n v="603"/>
    <x v="12"/>
    <x v="170"/>
    <x v="8"/>
    <s v="Percent change"/>
    <s v="Units"/>
    <x v="0"/>
    <n v="4.7649999999999997"/>
  </r>
  <r>
    <n v="603"/>
    <x v="12"/>
    <x v="170"/>
    <x v="8"/>
    <s v="Percent change"/>
    <s v="Units"/>
    <x v="1"/>
    <n v="-1.244"/>
  </r>
  <r>
    <n v="603"/>
    <x v="12"/>
    <x v="170"/>
    <x v="8"/>
    <s v="Percent change"/>
    <s v="Units"/>
    <x v="2"/>
    <n v="3.0529999999999999"/>
  </r>
  <r>
    <n v="603"/>
    <x v="12"/>
    <x v="170"/>
    <x v="8"/>
    <s v="Percent change"/>
    <s v="Units"/>
    <x v="3"/>
    <n v="3.4750000000000001"/>
  </r>
  <r>
    <n v="603"/>
    <x v="12"/>
    <x v="170"/>
    <x v="8"/>
    <s v="Percent change"/>
    <s v="Units"/>
    <x v="4"/>
    <n v="4.5"/>
  </r>
  <r>
    <n v="603"/>
    <x v="12"/>
    <x v="170"/>
    <x v="8"/>
    <s v="Percent change"/>
    <s v="Units"/>
    <x v="5"/>
    <n v="4"/>
  </r>
  <r>
    <n v="603"/>
    <x v="12"/>
    <x v="170"/>
    <x v="8"/>
    <s v="Percent change"/>
    <s v="Units"/>
    <x v="6"/>
    <n v="4.5"/>
  </r>
  <r>
    <n v="200"/>
    <x v="3"/>
    <x v="170"/>
    <x v="8"/>
    <s v="Percent change"/>
    <s v="Units"/>
    <x v="0"/>
    <n v="4.7649999999999997"/>
  </r>
  <r>
    <n v="200"/>
    <x v="3"/>
    <x v="170"/>
    <x v="8"/>
    <s v="Percent change"/>
    <s v="Units"/>
    <x v="1"/>
    <n v="-1.244"/>
  </r>
  <r>
    <n v="200"/>
    <x v="3"/>
    <x v="170"/>
    <x v="8"/>
    <s v="Percent change"/>
    <s v="Units"/>
    <x v="2"/>
    <n v="3.0529999999999999"/>
  </r>
  <r>
    <n v="200"/>
    <x v="3"/>
    <x v="170"/>
    <x v="8"/>
    <s v="Percent change"/>
    <s v="Units"/>
    <x v="3"/>
    <n v="3.4750000000000001"/>
  </r>
  <r>
    <n v="200"/>
    <x v="3"/>
    <x v="170"/>
    <x v="8"/>
    <s v="Percent change"/>
    <s v="Units"/>
    <x v="4"/>
    <n v="4.5"/>
  </r>
  <r>
    <n v="200"/>
    <x v="3"/>
    <x v="170"/>
    <x v="8"/>
    <s v="Percent change"/>
    <s v="Units"/>
    <x v="5"/>
    <n v="4"/>
  </r>
  <r>
    <n v="200"/>
    <x v="3"/>
    <x v="170"/>
    <x v="8"/>
    <s v="Percent change"/>
    <s v="Units"/>
    <x v="6"/>
    <n v="4.5"/>
  </r>
  <r>
    <n v="1"/>
    <x v="2"/>
    <x v="147"/>
    <x v="1"/>
    <s v="Percent change"/>
    <s v="Units"/>
    <x v="0"/>
    <n v="1.7729999999999999"/>
  </r>
  <r>
    <n v="1"/>
    <x v="2"/>
    <x v="147"/>
    <x v="1"/>
    <s v="Percent change"/>
    <s v="Units"/>
    <x v="1"/>
    <n v="-2.5950000000000002"/>
  </r>
  <r>
    <n v="1"/>
    <x v="2"/>
    <x v="147"/>
    <x v="1"/>
    <s v="Percent change"/>
    <s v="Units"/>
    <x v="2"/>
    <n v="0.156"/>
  </r>
  <r>
    <n v="1"/>
    <x v="2"/>
    <x v="147"/>
    <x v="1"/>
    <s v="Percent change"/>
    <s v="Units"/>
    <x v="3"/>
    <n v="4.32"/>
  </r>
  <r>
    <n v="1"/>
    <x v="2"/>
    <x v="147"/>
    <x v="1"/>
    <s v="Percent change"/>
    <s v="Units"/>
    <x v="4"/>
    <n v="2.2999999999999998"/>
  </r>
  <r>
    <n v="1"/>
    <x v="2"/>
    <x v="147"/>
    <x v="1"/>
    <s v="Percent change"/>
    <s v="Units"/>
    <x v="5"/>
    <n v="4"/>
  </r>
  <r>
    <n v="1"/>
    <x v="2"/>
    <x v="147"/>
    <x v="1"/>
    <s v="Percent change"/>
    <s v="Units"/>
    <x v="6"/>
    <n v="3.2"/>
  </r>
  <r>
    <n v="400"/>
    <x v="11"/>
    <x v="50"/>
    <x v="1"/>
    <s v="Percent change"/>
    <s v="Units"/>
    <x v="0"/>
    <n v="-0.19900000000000001"/>
  </r>
  <r>
    <n v="400"/>
    <x v="11"/>
    <x v="50"/>
    <x v="1"/>
    <s v="Percent change"/>
    <s v="Units"/>
    <x v="1"/>
    <n v="0.57399999999999995"/>
  </r>
  <r>
    <n v="400"/>
    <x v="11"/>
    <x v="50"/>
    <x v="1"/>
    <s v="Percent change"/>
    <s v="Units"/>
    <x v="2"/>
    <n v="6.0419999999999998"/>
  </r>
  <r>
    <n v="400"/>
    <x v="11"/>
    <x v="50"/>
    <x v="1"/>
    <s v="Percent change"/>
    <s v="Units"/>
    <x v="3"/>
    <n v="4.9870000000000001"/>
  </r>
  <r>
    <n v="400"/>
    <x v="11"/>
    <x v="50"/>
    <x v="1"/>
    <s v="Percent change"/>
    <s v="Units"/>
    <x v="4"/>
    <n v="4.4160000000000004"/>
  </r>
  <r>
    <n v="400"/>
    <x v="11"/>
    <x v="50"/>
    <x v="1"/>
    <s v="Percent change"/>
    <s v="Units"/>
    <x v="5"/>
    <n v="4"/>
  </r>
  <r>
    <n v="400"/>
    <x v="11"/>
    <x v="50"/>
    <x v="1"/>
    <s v="Percent change"/>
    <s v="Units"/>
    <x v="6"/>
    <n v="4"/>
  </r>
  <r>
    <n v="205"/>
    <x v="7"/>
    <x v="74"/>
    <x v="8"/>
    <s v="Percent change"/>
    <s v="Units"/>
    <x v="0"/>
    <n v="2.4180000000000001"/>
  </r>
  <r>
    <n v="205"/>
    <x v="7"/>
    <x v="74"/>
    <x v="8"/>
    <s v="Percent change"/>
    <s v="Units"/>
    <x v="1"/>
    <n v="-4.2729999999999997"/>
  </r>
  <r>
    <n v="205"/>
    <x v="7"/>
    <x v="74"/>
    <x v="8"/>
    <s v="Percent change"/>
    <s v="Units"/>
    <x v="2"/>
    <n v="7.9359999999999999"/>
  </r>
  <r>
    <n v="205"/>
    <x v="7"/>
    <x v="74"/>
    <x v="8"/>
    <s v="Percent change"/>
    <s v="Units"/>
    <x v="3"/>
    <n v="4.5510000000000002"/>
  </r>
  <r>
    <n v="205"/>
    <x v="7"/>
    <x v="74"/>
    <x v="8"/>
    <s v="Percent change"/>
    <s v="Units"/>
    <x v="4"/>
    <n v="5.1120000000000001"/>
  </r>
  <r>
    <n v="205"/>
    <x v="7"/>
    <x v="74"/>
    <x v="8"/>
    <s v="Percent change"/>
    <s v="Units"/>
    <x v="5"/>
    <n v="3.9990000000000001"/>
  </r>
  <r>
    <n v="205"/>
    <x v="7"/>
    <x v="74"/>
    <x v="8"/>
    <s v="Percent change"/>
    <s v="Units"/>
    <x v="6"/>
    <n v="3.504"/>
  </r>
  <r>
    <n v="1"/>
    <x v="2"/>
    <x v="74"/>
    <x v="8"/>
    <s v="Percent change"/>
    <s v="Units"/>
    <x v="0"/>
    <n v="2.4180000000000001"/>
  </r>
  <r>
    <n v="1"/>
    <x v="2"/>
    <x v="74"/>
    <x v="8"/>
    <s v="Percent change"/>
    <s v="Units"/>
    <x v="1"/>
    <n v="-4.2729999999999997"/>
  </r>
  <r>
    <n v="1"/>
    <x v="2"/>
    <x v="74"/>
    <x v="8"/>
    <s v="Percent change"/>
    <s v="Units"/>
    <x v="2"/>
    <n v="7.9359999999999999"/>
  </r>
  <r>
    <n v="1"/>
    <x v="2"/>
    <x v="74"/>
    <x v="8"/>
    <s v="Percent change"/>
    <s v="Units"/>
    <x v="3"/>
    <n v="4.5510000000000002"/>
  </r>
  <r>
    <n v="1"/>
    <x v="2"/>
    <x v="74"/>
    <x v="8"/>
    <s v="Percent change"/>
    <s v="Units"/>
    <x v="4"/>
    <n v="5.1120000000000001"/>
  </r>
  <r>
    <n v="1"/>
    <x v="2"/>
    <x v="74"/>
    <x v="8"/>
    <s v="Percent change"/>
    <s v="Units"/>
    <x v="5"/>
    <n v="3.9990000000000001"/>
  </r>
  <r>
    <n v="1"/>
    <x v="2"/>
    <x v="74"/>
    <x v="8"/>
    <s v="Percent change"/>
    <s v="Units"/>
    <x v="6"/>
    <n v="3.504"/>
  </r>
  <r>
    <n v="200"/>
    <x v="3"/>
    <x v="74"/>
    <x v="8"/>
    <s v="Percent change"/>
    <s v="Units"/>
    <x v="0"/>
    <n v="2.4180000000000001"/>
  </r>
  <r>
    <n v="200"/>
    <x v="3"/>
    <x v="74"/>
    <x v="8"/>
    <s v="Percent change"/>
    <s v="Units"/>
    <x v="1"/>
    <n v="-4.2729999999999997"/>
  </r>
  <r>
    <n v="200"/>
    <x v="3"/>
    <x v="74"/>
    <x v="8"/>
    <s v="Percent change"/>
    <s v="Units"/>
    <x v="2"/>
    <n v="7.9359999999999999"/>
  </r>
  <r>
    <n v="200"/>
    <x v="3"/>
    <x v="74"/>
    <x v="8"/>
    <s v="Percent change"/>
    <s v="Units"/>
    <x v="3"/>
    <n v="4.5510000000000002"/>
  </r>
  <r>
    <n v="200"/>
    <x v="3"/>
    <x v="74"/>
    <x v="8"/>
    <s v="Percent change"/>
    <s v="Units"/>
    <x v="4"/>
    <n v="5.1120000000000001"/>
  </r>
  <r>
    <n v="200"/>
    <x v="3"/>
    <x v="74"/>
    <x v="8"/>
    <s v="Percent change"/>
    <s v="Units"/>
    <x v="5"/>
    <n v="3.9990000000000001"/>
  </r>
  <r>
    <n v="200"/>
    <x v="3"/>
    <x v="74"/>
    <x v="8"/>
    <s v="Percent change"/>
    <s v="Units"/>
    <x v="6"/>
    <n v="3.504"/>
  </r>
  <r>
    <n v="119"/>
    <x v="1"/>
    <x v="0"/>
    <x v="11"/>
    <s v="Percent of total labor force"/>
    <s v="Units"/>
    <x v="0"/>
    <n v="3.6749999999999998"/>
  </r>
  <r>
    <n v="119"/>
    <x v="1"/>
    <x v="0"/>
    <x v="11"/>
    <s v="Percent of total labor force"/>
    <s v="Units"/>
    <x v="1"/>
    <n v="8.0920000000000005"/>
  </r>
  <r>
    <n v="119"/>
    <x v="1"/>
    <x v="0"/>
    <x v="11"/>
    <s v="Percent of total labor force"/>
    <s v="Units"/>
    <x v="2"/>
    <n v="5.35"/>
  </r>
  <r>
    <n v="119"/>
    <x v="1"/>
    <x v="0"/>
    <x v="11"/>
    <s v="Percent of total labor force"/>
    <s v="Units"/>
    <x v="3"/>
    <n v="3.633"/>
  </r>
  <r>
    <n v="119"/>
    <x v="1"/>
    <x v="0"/>
    <x v="11"/>
    <s v="Percent of total labor force"/>
    <s v="Units"/>
    <x v="4"/>
    <n v="3.625"/>
  </r>
  <r>
    <n v="119"/>
    <x v="1"/>
    <x v="0"/>
    <x v="11"/>
    <s v="Percent of total labor force"/>
    <s v="Units"/>
    <x v="5"/>
    <n v="3.9929999999999999"/>
  </r>
  <r>
    <n v="119"/>
    <x v="1"/>
    <x v="0"/>
    <x v="11"/>
    <s v="Percent of total labor force"/>
    <s v="Units"/>
    <x v="6"/>
    <n v="4.2210000000000001"/>
  </r>
  <r>
    <n v="110"/>
    <x v="0"/>
    <x v="0"/>
    <x v="11"/>
    <s v="Percent of total labor force"/>
    <s v="Units"/>
    <x v="0"/>
    <n v="3.6749999999999998"/>
  </r>
  <r>
    <n v="110"/>
    <x v="0"/>
    <x v="0"/>
    <x v="11"/>
    <s v="Percent of total labor force"/>
    <s v="Units"/>
    <x v="1"/>
    <n v="8.0920000000000005"/>
  </r>
  <r>
    <n v="110"/>
    <x v="0"/>
    <x v="0"/>
    <x v="11"/>
    <s v="Percent of total labor force"/>
    <s v="Units"/>
    <x v="2"/>
    <n v="5.35"/>
  </r>
  <r>
    <n v="110"/>
    <x v="0"/>
    <x v="0"/>
    <x v="11"/>
    <s v="Percent of total labor force"/>
    <s v="Units"/>
    <x v="3"/>
    <n v="3.633"/>
  </r>
  <r>
    <n v="110"/>
    <x v="0"/>
    <x v="0"/>
    <x v="11"/>
    <s v="Percent of total labor force"/>
    <s v="Units"/>
    <x v="4"/>
    <n v="3.625"/>
  </r>
  <r>
    <n v="110"/>
    <x v="0"/>
    <x v="0"/>
    <x v="11"/>
    <s v="Percent of total labor force"/>
    <s v="Units"/>
    <x v="5"/>
    <n v="3.9929999999999999"/>
  </r>
  <r>
    <n v="110"/>
    <x v="0"/>
    <x v="0"/>
    <x v="11"/>
    <s v="Percent of total labor force"/>
    <s v="Units"/>
    <x v="6"/>
    <n v="4.2210000000000001"/>
  </r>
  <r>
    <n v="200"/>
    <x v="3"/>
    <x v="181"/>
    <x v="8"/>
    <s v="Percent change"/>
    <s v="Units"/>
    <x v="0"/>
    <n v="4.6520000000000001"/>
  </r>
  <r>
    <n v="200"/>
    <x v="3"/>
    <x v="181"/>
    <x v="8"/>
    <s v="Percent change"/>
    <s v="Units"/>
    <x v="1"/>
    <n v="-0.435"/>
  </r>
  <r>
    <n v="200"/>
    <x v="3"/>
    <x v="181"/>
    <x v="8"/>
    <s v="Percent change"/>
    <s v="Units"/>
    <x v="2"/>
    <n v="2.0609999999999999"/>
  </r>
  <r>
    <n v="200"/>
    <x v="3"/>
    <x v="181"/>
    <x v="8"/>
    <s v="Percent change"/>
    <s v="Units"/>
    <x v="3"/>
    <n v="2.2519999999999998"/>
  </r>
  <r>
    <n v="200"/>
    <x v="3"/>
    <x v="181"/>
    <x v="8"/>
    <s v="Percent change"/>
    <s v="Units"/>
    <x v="4"/>
    <n v="3.6970000000000001"/>
  </r>
  <r>
    <n v="200"/>
    <x v="3"/>
    <x v="181"/>
    <x v="8"/>
    <s v="Percent change"/>
    <s v="Units"/>
    <x v="5"/>
    <n v="3.9689999999999999"/>
  </r>
  <r>
    <n v="200"/>
    <x v="3"/>
    <x v="181"/>
    <x v="8"/>
    <s v="Percent change"/>
    <s v="Units"/>
    <x v="6"/>
    <n v="3.9729999999999999"/>
  </r>
  <r>
    <n v="505"/>
    <x v="4"/>
    <x v="181"/>
    <x v="8"/>
    <s v="Percent change"/>
    <s v="Units"/>
    <x v="0"/>
    <n v="4.6520000000000001"/>
  </r>
  <r>
    <n v="505"/>
    <x v="4"/>
    <x v="181"/>
    <x v="8"/>
    <s v="Percent change"/>
    <s v="Units"/>
    <x v="1"/>
    <n v="-0.435"/>
  </r>
  <r>
    <n v="505"/>
    <x v="4"/>
    <x v="181"/>
    <x v="8"/>
    <s v="Percent change"/>
    <s v="Units"/>
    <x v="2"/>
    <n v="2.0609999999999999"/>
  </r>
  <r>
    <n v="505"/>
    <x v="4"/>
    <x v="181"/>
    <x v="8"/>
    <s v="Percent change"/>
    <s v="Units"/>
    <x v="3"/>
    <n v="2.2519999999999998"/>
  </r>
  <r>
    <n v="505"/>
    <x v="4"/>
    <x v="181"/>
    <x v="8"/>
    <s v="Percent change"/>
    <s v="Units"/>
    <x v="4"/>
    <n v="3.6970000000000001"/>
  </r>
  <r>
    <n v="505"/>
    <x v="4"/>
    <x v="181"/>
    <x v="8"/>
    <s v="Percent change"/>
    <s v="Units"/>
    <x v="5"/>
    <n v="3.9689999999999999"/>
  </r>
  <r>
    <n v="505"/>
    <x v="4"/>
    <x v="181"/>
    <x v="8"/>
    <s v="Percent change"/>
    <s v="Units"/>
    <x v="6"/>
    <n v="3.9729999999999999"/>
  </r>
  <r>
    <n v="1"/>
    <x v="2"/>
    <x v="181"/>
    <x v="8"/>
    <s v="Percent change"/>
    <s v="Units"/>
    <x v="0"/>
    <n v="4.6520000000000001"/>
  </r>
  <r>
    <n v="1"/>
    <x v="2"/>
    <x v="181"/>
    <x v="8"/>
    <s v="Percent change"/>
    <s v="Units"/>
    <x v="1"/>
    <n v="-0.435"/>
  </r>
  <r>
    <n v="1"/>
    <x v="2"/>
    <x v="181"/>
    <x v="8"/>
    <s v="Percent change"/>
    <s v="Units"/>
    <x v="2"/>
    <n v="2.0609999999999999"/>
  </r>
  <r>
    <n v="1"/>
    <x v="2"/>
    <x v="181"/>
    <x v="8"/>
    <s v="Percent change"/>
    <s v="Units"/>
    <x v="3"/>
    <n v="2.2519999999999998"/>
  </r>
  <r>
    <n v="1"/>
    <x v="2"/>
    <x v="181"/>
    <x v="8"/>
    <s v="Percent change"/>
    <s v="Units"/>
    <x v="4"/>
    <n v="3.6970000000000001"/>
  </r>
  <r>
    <n v="1"/>
    <x v="2"/>
    <x v="181"/>
    <x v="8"/>
    <s v="Percent change"/>
    <s v="Units"/>
    <x v="5"/>
    <n v="3.9689999999999999"/>
  </r>
  <r>
    <n v="1"/>
    <x v="2"/>
    <x v="181"/>
    <x v="8"/>
    <s v="Percent change"/>
    <s v="Units"/>
    <x v="6"/>
    <n v="3.9729999999999999"/>
  </r>
  <r>
    <n v="903"/>
    <x v="8"/>
    <x v="91"/>
    <x v="4"/>
    <s v="Percent change"/>
    <s v="Units"/>
    <x v="0"/>
    <n v="0.151"/>
  </r>
  <r>
    <n v="903"/>
    <x v="8"/>
    <x v="91"/>
    <x v="4"/>
    <s v="Percent change"/>
    <s v="Units"/>
    <x v="1"/>
    <n v="0.81499999999999995"/>
  </r>
  <r>
    <n v="903"/>
    <x v="8"/>
    <x v="91"/>
    <x v="4"/>
    <s v="Percent change"/>
    <s v="Units"/>
    <x v="2"/>
    <n v="9.641"/>
  </r>
  <r>
    <n v="903"/>
    <x v="8"/>
    <x v="91"/>
    <x v="4"/>
    <s v="Percent change"/>
    <s v="Units"/>
    <x v="3"/>
    <n v="-5.37"/>
  </r>
  <r>
    <n v="903"/>
    <x v="8"/>
    <x v="91"/>
    <x v="4"/>
    <s v="Percent change"/>
    <s v="Units"/>
    <x v="4"/>
    <n v="11.074"/>
  </r>
  <r>
    <n v="903"/>
    <x v="8"/>
    <x v="91"/>
    <x v="4"/>
    <s v="Percent change"/>
    <s v="Units"/>
    <x v="5"/>
    <n v="3.9630000000000001"/>
  </r>
  <r>
    <n v="903"/>
    <x v="8"/>
    <x v="91"/>
    <x v="4"/>
    <s v="Percent change"/>
    <s v="Units"/>
    <x v="6"/>
    <n v="1.1970000000000001"/>
  </r>
  <r>
    <n v="1"/>
    <x v="2"/>
    <x v="91"/>
    <x v="4"/>
    <s v="Percent change"/>
    <s v="Units"/>
    <x v="0"/>
    <n v="0.151"/>
  </r>
  <r>
    <n v="1"/>
    <x v="2"/>
    <x v="91"/>
    <x v="4"/>
    <s v="Percent change"/>
    <s v="Units"/>
    <x v="1"/>
    <n v="0.81499999999999995"/>
  </r>
  <r>
    <n v="1"/>
    <x v="2"/>
    <x v="91"/>
    <x v="4"/>
    <s v="Percent change"/>
    <s v="Units"/>
    <x v="2"/>
    <n v="9.641"/>
  </r>
  <r>
    <n v="1"/>
    <x v="2"/>
    <x v="91"/>
    <x v="4"/>
    <s v="Percent change"/>
    <s v="Units"/>
    <x v="3"/>
    <n v="-5.37"/>
  </r>
  <r>
    <n v="1"/>
    <x v="2"/>
    <x v="91"/>
    <x v="4"/>
    <s v="Percent change"/>
    <s v="Units"/>
    <x v="4"/>
    <n v="11.074"/>
  </r>
  <r>
    <n v="1"/>
    <x v="2"/>
    <x v="91"/>
    <x v="4"/>
    <s v="Percent change"/>
    <s v="Units"/>
    <x v="5"/>
    <n v="3.9630000000000001"/>
  </r>
  <r>
    <n v="1"/>
    <x v="2"/>
    <x v="91"/>
    <x v="4"/>
    <s v="Percent change"/>
    <s v="Units"/>
    <x v="6"/>
    <n v="1.1970000000000001"/>
  </r>
  <r>
    <n v="200"/>
    <x v="3"/>
    <x v="91"/>
    <x v="4"/>
    <s v="Percent change"/>
    <s v="Units"/>
    <x v="0"/>
    <n v="0.151"/>
  </r>
  <r>
    <n v="200"/>
    <x v="3"/>
    <x v="91"/>
    <x v="4"/>
    <s v="Percent change"/>
    <s v="Units"/>
    <x v="1"/>
    <n v="0.81499999999999995"/>
  </r>
  <r>
    <n v="200"/>
    <x v="3"/>
    <x v="91"/>
    <x v="4"/>
    <s v="Percent change"/>
    <s v="Units"/>
    <x v="2"/>
    <n v="9.641"/>
  </r>
  <r>
    <n v="200"/>
    <x v="3"/>
    <x v="91"/>
    <x v="4"/>
    <s v="Percent change"/>
    <s v="Units"/>
    <x v="3"/>
    <n v="-5.37"/>
  </r>
  <r>
    <n v="200"/>
    <x v="3"/>
    <x v="91"/>
    <x v="4"/>
    <s v="Percent change"/>
    <s v="Units"/>
    <x v="4"/>
    <n v="11.074"/>
  </r>
  <r>
    <n v="200"/>
    <x v="3"/>
    <x v="91"/>
    <x v="4"/>
    <s v="Percent change"/>
    <s v="Units"/>
    <x v="5"/>
    <n v="3.9630000000000001"/>
  </r>
  <r>
    <n v="200"/>
    <x v="3"/>
    <x v="91"/>
    <x v="4"/>
    <s v="Percent change"/>
    <s v="Units"/>
    <x v="6"/>
    <n v="1.1970000000000001"/>
  </r>
  <r>
    <n v="123"/>
    <x v="9"/>
    <x v="180"/>
    <x v="11"/>
    <s v="Percent of total labor force"/>
    <s v="Units"/>
    <x v="0"/>
    <n v="7.6630000000000003"/>
  </r>
  <r>
    <n v="123"/>
    <x v="9"/>
    <x v="180"/>
    <x v="11"/>
    <s v="Percent of total labor force"/>
    <s v="Units"/>
    <x v="1"/>
    <n v="7.3419999999999996"/>
  </r>
  <r>
    <n v="123"/>
    <x v="9"/>
    <x v="180"/>
    <x v="11"/>
    <s v="Percent of total labor force"/>
    <s v="Units"/>
    <x v="2"/>
    <n v="5.2380000000000004"/>
  </r>
  <r>
    <n v="123"/>
    <x v="9"/>
    <x v="180"/>
    <x v="11"/>
    <s v="Percent of total labor force"/>
    <s v="Units"/>
    <x v="3"/>
    <n v="4.3179999999999996"/>
  </r>
  <r>
    <n v="123"/>
    <x v="9"/>
    <x v="180"/>
    <x v="11"/>
    <s v="Percent of total labor force"/>
    <s v="Units"/>
    <x v="4"/>
    <n v="4.0449999999999999"/>
  </r>
  <r>
    <n v="123"/>
    <x v="9"/>
    <x v="180"/>
    <x v="11"/>
    <s v="Percent of total labor force"/>
    <s v="Units"/>
    <x v="5"/>
    <n v="3.9449999999999998"/>
  </r>
  <r>
    <n v="123"/>
    <x v="9"/>
    <x v="180"/>
    <x v="11"/>
    <s v="Percent of total labor force"/>
    <s v="Units"/>
    <x v="6"/>
    <n v="3.9449999999999998"/>
  </r>
  <r>
    <n v="110"/>
    <x v="0"/>
    <x v="180"/>
    <x v="11"/>
    <s v="Percent of total labor force"/>
    <s v="Units"/>
    <x v="0"/>
    <n v="7.6630000000000003"/>
  </r>
  <r>
    <n v="110"/>
    <x v="0"/>
    <x v="180"/>
    <x v="11"/>
    <s v="Percent of total labor force"/>
    <s v="Units"/>
    <x v="1"/>
    <n v="7.3419999999999996"/>
  </r>
  <r>
    <n v="110"/>
    <x v="0"/>
    <x v="180"/>
    <x v="11"/>
    <s v="Percent of total labor force"/>
    <s v="Units"/>
    <x v="2"/>
    <n v="5.2380000000000004"/>
  </r>
  <r>
    <n v="110"/>
    <x v="0"/>
    <x v="180"/>
    <x v="11"/>
    <s v="Percent of total labor force"/>
    <s v="Units"/>
    <x v="3"/>
    <n v="4.3179999999999996"/>
  </r>
  <r>
    <n v="110"/>
    <x v="0"/>
    <x v="180"/>
    <x v="11"/>
    <s v="Percent of total labor force"/>
    <s v="Units"/>
    <x v="4"/>
    <n v="4.0449999999999999"/>
  </r>
  <r>
    <n v="110"/>
    <x v="0"/>
    <x v="180"/>
    <x v="11"/>
    <s v="Percent of total labor force"/>
    <s v="Units"/>
    <x v="5"/>
    <n v="3.9449999999999998"/>
  </r>
  <r>
    <n v="110"/>
    <x v="0"/>
    <x v="180"/>
    <x v="11"/>
    <s v="Percent of total labor force"/>
    <s v="Units"/>
    <x v="6"/>
    <n v="3.9449999999999998"/>
  </r>
  <r>
    <n v="200"/>
    <x v="3"/>
    <x v="173"/>
    <x v="5"/>
    <s v="Percent of GDP"/>
    <s v="Units"/>
    <x v="0"/>
    <n v="1.804"/>
  </r>
  <r>
    <n v="200"/>
    <x v="3"/>
    <x v="173"/>
    <x v="5"/>
    <s v="Percent of GDP"/>
    <s v="Units"/>
    <x v="1"/>
    <n v="1.0409999999999999"/>
  </r>
  <r>
    <n v="200"/>
    <x v="3"/>
    <x v="173"/>
    <x v="5"/>
    <s v="Percent of GDP"/>
    <s v="Units"/>
    <x v="2"/>
    <n v="15.366"/>
  </r>
  <r>
    <n v="200"/>
    <x v="3"/>
    <x v="173"/>
    <x v="5"/>
    <s v="Percent of GDP"/>
    <s v="Units"/>
    <x v="3"/>
    <n v="8.7509999999999994"/>
  </r>
  <r>
    <n v="200"/>
    <x v="3"/>
    <x v="173"/>
    <x v="5"/>
    <s v="Percent of GDP"/>
    <s v="Units"/>
    <x v="4"/>
    <n v="7.0410000000000004"/>
  </r>
  <r>
    <n v="200"/>
    <x v="3"/>
    <x v="173"/>
    <x v="5"/>
    <s v="Percent of GDP"/>
    <s v="Units"/>
    <x v="5"/>
    <n v="3.9359999999999999"/>
  </r>
  <r>
    <n v="200"/>
    <x v="3"/>
    <x v="173"/>
    <x v="5"/>
    <s v="Percent of GDP"/>
    <s v="Units"/>
    <x v="6"/>
    <n v="4.3600000000000003"/>
  </r>
  <r>
    <n v="1"/>
    <x v="2"/>
    <x v="173"/>
    <x v="5"/>
    <s v="Percent of GDP"/>
    <s v="Units"/>
    <x v="0"/>
    <n v="1.804"/>
  </r>
  <r>
    <n v="1"/>
    <x v="2"/>
    <x v="173"/>
    <x v="5"/>
    <s v="Percent of GDP"/>
    <s v="Units"/>
    <x v="1"/>
    <n v="1.0409999999999999"/>
  </r>
  <r>
    <n v="1"/>
    <x v="2"/>
    <x v="173"/>
    <x v="5"/>
    <s v="Percent of GDP"/>
    <s v="Units"/>
    <x v="2"/>
    <n v="15.366"/>
  </r>
  <r>
    <n v="1"/>
    <x v="2"/>
    <x v="173"/>
    <x v="5"/>
    <s v="Percent of GDP"/>
    <s v="Units"/>
    <x v="3"/>
    <n v="8.7509999999999994"/>
  </r>
  <r>
    <n v="1"/>
    <x v="2"/>
    <x v="173"/>
    <x v="5"/>
    <s v="Percent of GDP"/>
    <s v="Units"/>
    <x v="4"/>
    <n v="7.0410000000000004"/>
  </r>
  <r>
    <n v="1"/>
    <x v="2"/>
    <x v="173"/>
    <x v="5"/>
    <s v="Percent of GDP"/>
    <s v="Units"/>
    <x v="5"/>
    <n v="3.9359999999999999"/>
  </r>
  <r>
    <n v="1"/>
    <x v="2"/>
    <x v="173"/>
    <x v="5"/>
    <s v="Percent of GDP"/>
    <s v="Units"/>
    <x v="6"/>
    <n v="4.3600000000000003"/>
  </r>
  <r>
    <n v="603"/>
    <x v="12"/>
    <x v="173"/>
    <x v="5"/>
    <s v="Percent of GDP"/>
    <s v="Units"/>
    <x v="0"/>
    <n v="1.804"/>
  </r>
  <r>
    <n v="603"/>
    <x v="12"/>
    <x v="173"/>
    <x v="5"/>
    <s v="Percent of GDP"/>
    <s v="Units"/>
    <x v="1"/>
    <n v="1.0409999999999999"/>
  </r>
  <r>
    <n v="603"/>
    <x v="12"/>
    <x v="173"/>
    <x v="5"/>
    <s v="Percent of GDP"/>
    <s v="Units"/>
    <x v="2"/>
    <n v="15.366"/>
  </r>
  <r>
    <n v="603"/>
    <x v="12"/>
    <x v="173"/>
    <x v="5"/>
    <s v="Percent of GDP"/>
    <s v="Units"/>
    <x v="3"/>
    <n v="8.7509999999999994"/>
  </r>
  <r>
    <n v="603"/>
    <x v="12"/>
    <x v="173"/>
    <x v="5"/>
    <s v="Percent of GDP"/>
    <s v="Units"/>
    <x v="4"/>
    <n v="7.0410000000000004"/>
  </r>
  <r>
    <n v="603"/>
    <x v="12"/>
    <x v="173"/>
    <x v="5"/>
    <s v="Percent of GDP"/>
    <s v="Units"/>
    <x v="5"/>
    <n v="3.9359999999999999"/>
  </r>
  <r>
    <n v="603"/>
    <x v="12"/>
    <x v="173"/>
    <x v="5"/>
    <s v="Percent of GDP"/>
    <s v="Units"/>
    <x v="6"/>
    <n v="4.3600000000000003"/>
  </r>
  <r>
    <n v="1"/>
    <x v="2"/>
    <x v="35"/>
    <x v="4"/>
    <s v="Percent change"/>
    <s v="Units"/>
    <x v="0"/>
    <n v="13.964"/>
  </r>
  <r>
    <n v="1"/>
    <x v="2"/>
    <x v="35"/>
    <x v="4"/>
    <s v="Percent change"/>
    <s v="Units"/>
    <x v="1"/>
    <n v="-14.214"/>
  </r>
  <r>
    <n v="1"/>
    <x v="2"/>
    <x v="35"/>
    <x v="4"/>
    <s v="Percent change"/>
    <s v="Units"/>
    <x v="2"/>
    <n v="7.15"/>
  </r>
  <r>
    <n v="1"/>
    <x v="2"/>
    <x v="35"/>
    <x v="4"/>
    <s v="Percent change"/>
    <s v="Units"/>
    <x v="3"/>
    <n v="21.207000000000001"/>
  </r>
  <r>
    <n v="1"/>
    <x v="2"/>
    <x v="35"/>
    <x v="4"/>
    <s v="Percent change"/>
    <s v="Units"/>
    <x v="4"/>
    <n v="4.95"/>
  </r>
  <r>
    <n v="1"/>
    <x v="2"/>
    <x v="35"/>
    <x v="4"/>
    <s v="Percent change"/>
    <s v="Units"/>
    <x v="5"/>
    <n v="3.9289999999999998"/>
  </r>
  <r>
    <n v="1"/>
    <x v="2"/>
    <x v="35"/>
    <x v="4"/>
    <s v="Percent change"/>
    <s v="Units"/>
    <x v="6"/>
    <n v="7.7530000000000001"/>
  </r>
  <r>
    <n v="505"/>
    <x v="4"/>
    <x v="35"/>
    <x v="4"/>
    <s v="Percent change"/>
    <s v="Units"/>
    <x v="0"/>
    <n v="13.964"/>
  </r>
  <r>
    <n v="505"/>
    <x v="4"/>
    <x v="35"/>
    <x v="4"/>
    <s v="Percent change"/>
    <s v="Units"/>
    <x v="1"/>
    <n v="-14.214"/>
  </r>
  <r>
    <n v="505"/>
    <x v="4"/>
    <x v="35"/>
    <x v="4"/>
    <s v="Percent change"/>
    <s v="Units"/>
    <x v="2"/>
    <n v="7.15"/>
  </r>
  <r>
    <n v="505"/>
    <x v="4"/>
    <x v="35"/>
    <x v="4"/>
    <s v="Percent change"/>
    <s v="Units"/>
    <x v="3"/>
    <n v="21.207000000000001"/>
  </r>
  <r>
    <n v="505"/>
    <x v="4"/>
    <x v="35"/>
    <x v="4"/>
    <s v="Percent change"/>
    <s v="Units"/>
    <x v="4"/>
    <n v="4.95"/>
  </r>
  <r>
    <n v="505"/>
    <x v="4"/>
    <x v="35"/>
    <x v="4"/>
    <s v="Percent change"/>
    <s v="Units"/>
    <x v="5"/>
    <n v="3.9289999999999998"/>
  </r>
  <r>
    <n v="505"/>
    <x v="4"/>
    <x v="35"/>
    <x v="4"/>
    <s v="Percent change"/>
    <s v="Units"/>
    <x v="6"/>
    <n v="7.7530000000000001"/>
  </r>
  <r>
    <n v="200"/>
    <x v="3"/>
    <x v="35"/>
    <x v="4"/>
    <s v="Percent change"/>
    <s v="Units"/>
    <x v="0"/>
    <n v="13.964"/>
  </r>
  <r>
    <n v="200"/>
    <x v="3"/>
    <x v="35"/>
    <x v="4"/>
    <s v="Percent change"/>
    <s v="Units"/>
    <x v="1"/>
    <n v="-14.214"/>
  </r>
  <r>
    <n v="200"/>
    <x v="3"/>
    <x v="35"/>
    <x v="4"/>
    <s v="Percent change"/>
    <s v="Units"/>
    <x v="2"/>
    <n v="7.15"/>
  </r>
  <r>
    <n v="200"/>
    <x v="3"/>
    <x v="35"/>
    <x v="4"/>
    <s v="Percent change"/>
    <s v="Units"/>
    <x v="3"/>
    <n v="21.207000000000001"/>
  </r>
  <r>
    <n v="200"/>
    <x v="3"/>
    <x v="35"/>
    <x v="4"/>
    <s v="Percent change"/>
    <s v="Units"/>
    <x v="4"/>
    <n v="4.95"/>
  </r>
  <r>
    <n v="200"/>
    <x v="3"/>
    <x v="35"/>
    <x v="4"/>
    <s v="Percent change"/>
    <s v="Units"/>
    <x v="5"/>
    <n v="3.9289999999999998"/>
  </r>
  <r>
    <n v="200"/>
    <x v="3"/>
    <x v="35"/>
    <x v="4"/>
    <s v="Percent change"/>
    <s v="Units"/>
    <x v="6"/>
    <n v="7.7530000000000001"/>
  </r>
  <r>
    <n v="163"/>
    <x v="5"/>
    <x v="27"/>
    <x v="1"/>
    <s v="Percent change"/>
    <s v="Units"/>
    <x v="0"/>
    <n v="1.4950000000000001"/>
  </r>
  <r>
    <n v="163"/>
    <x v="5"/>
    <x v="27"/>
    <x v="1"/>
    <s v="Percent change"/>
    <s v="Units"/>
    <x v="1"/>
    <n v="1.391"/>
  </r>
  <r>
    <n v="163"/>
    <x v="5"/>
    <x v="27"/>
    <x v="1"/>
    <s v="Percent change"/>
    <s v="Units"/>
    <x v="2"/>
    <n v="2.7559999999999998"/>
  </r>
  <r>
    <n v="163"/>
    <x v="5"/>
    <x v="27"/>
    <x v="1"/>
    <s v="Percent change"/>
    <s v="Units"/>
    <x v="3"/>
    <n v="8.6140000000000008"/>
  </r>
  <r>
    <n v="163"/>
    <x v="5"/>
    <x v="27"/>
    <x v="1"/>
    <s v="Percent change"/>
    <s v="Units"/>
    <x v="4"/>
    <n v="7.71"/>
  </r>
  <r>
    <n v="163"/>
    <x v="5"/>
    <x v="27"/>
    <x v="1"/>
    <s v="Percent change"/>
    <s v="Units"/>
    <x v="5"/>
    <n v="3.92"/>
  </r>
  <r>
    <n v="163"/>
    <x v="5"/>
    <x v="27"/>
    <x v="1"/>
    <s v="Percent change"/>
    <s v="Units"/>
    <x v="6"/>
    <n v="2.7829999999999999"/>
  </r>
  <r>
    <n v="110"/>
    <x v="0"/>
    <x v="27"/>
    <x v="1"/>
    <s v="Percent change"/>
    <s v="Units"/>
    <x v="0"/>
    <n v="1.4950000000000001"/>
  </r>
  <r>
    <n v="110"/>
    <x v="0"/>
    <x v="27"/>
    <x v="1"/>
    <s v="Percent change"/>
    <s v="Units"/>
    <x v="1"/>
    <n v="1.391"/>
  </r>
  <r>
    <n v="110"/>
    <x v="0"/>
    <x v="27"/>
    <x v="1"/>
    <s v="Percent change"/>
    <s v="Units"/>
    <x v="2"/>
    <n v="2.7559999999999998"/>
  </r>
  <r>
    <n v="110"/>
    <x v="0"/>
    <x v="27"/>
    <x v="1"/>
    <s v="Percent change"/>
    <s v="Units"/>
    <x v="3"/>
    <n v="8.6140000000000008"/>
  </r>
  <r>
    <n v="110"/>
    <x v="0"/>
    <x v="27"/>
    <x v="1"/>
    <s v="Percent change"/>
    <s v="Units"/>
    <x v="4"/>
    <n v="7.71"/>
  </r>
  <r>
    <n v="110"/>
    <x v="0"/>
    <x v="27"/>
    <x v="1"/>
    <s v="Percent change"/>
    <s v="Units"/>
    <x v="5"/>
    <n v="3.92"/>
  </r>
  <r>
    <n v="110"/>
    <x v="0"/>
    <x v="27"/>
    <x v="1"/>
    <s v="Percent change"/>
    <s v="Units"/>
    <x v="6"/>
    <n v="2.7829999999999999"/>
  </r>
  <r>
    <n v="998"/>
    <x v="6"/>
    <x v="27"/>
    <x v="1"/>
    <s v="Percent change"/>
    <s v="Units"/>
    <x v="0"/>
    <n v="1.4950000000000001"/>
  </r>
  <r>
    <n v="998"/>
    <x v="6"/>
    <x v="27"/>
    <x v="1"/>
    <s v="Percent change"/>
    <s v="Units"/>
    <x v="1"/>
    <n v="1.391"/>
  </r>
  <r>
    <n v="998"/>
    <x v="6"/>
    <x v="27"/>
    <x v="1"/>
    <s v="Percent change"/>
    <s v="Units"/>
    <x v="2"/>
    <n v="2.7559999999999998"/>
  </r>
  <r>
    <n v="998"/>
    <x v="6"/>
    <x v="27"/>
    <x v="1"/>
    <s v="Percent change"/>
    <s v="Units"/>
    <x v="3"/>
    <n v="8.6140000000000008"/>
  </r>
  <r>
    <n v="998"/>
    <x v="6"/>
    <x v="27"/>
    <x v="1"/>
    <s v="Percent change"/>
    <s v="Units"/>
    <x v="4"/>
    <n v="7.71"/>
  </r>
  <r>
    <n v="998"/>
    <x v="6"/>
    <x v="27"/>
    <x v="1"/>
    <s v="Percent change"/>
    <s v="Units"/>
    <x v="5"/>
    <n v="3.92"/>
  </r>
  <r>
    <n v="998"/>
    <x v="6"/>
    <x v="27"/>
    <x v="1"/>
    <s v="Percent change"/>
    <s v="Units"/>
    <x v="6"/>
    <n v="2.7829999999999999"/>
  </r>
  <r>
    <n v="1"/>
    <x v="2"/>
    <x v="27"/>
    <x v="1"/>
    <s v="Percent change"/>
    <s v="Units"/>
    <x v="0"/>
    <n v="1.4950000000000001"/>
  </r>
  <r>
    <n v="1"/>
    <x v="2"/>
    <x v="27"/>
    <x v="1"/>
    <s v="Percent change"/>
    <s v="Units"/>
    <x v="1"/>
    <n v="1.391"/>
  </r>
  <r>
    <n v="1"/>
    <x v="2"/>
    <x v="27"/>
    <x v="1"/>
    <s v="Percent change"/>
    <s v="Units"/>
    <x v="2"/>
    <n v="2.7559999999999998"/>
  </r>
  <r>
    <n v="1"/>
    <x v="2"/>
    <x v="27"/>
    <x v="1"/>
    <s v="Percent change"/>
    <s v="Units"/>
    <x v="3"/>
    <n v="8.6140000000000008"/>
  </r>
  <r>
    <n v="1"/>
    <x v="2"/>
    <x v="27"/>
    <x v="1"/>
    <s v="Percent change"/>
    <s v="Units"/>
    <x v="4"/>
    <n v="7.71"/>
  </r>
  <r>
    <n v="1"/>
    <x v="2"/>
    <x v="27"/>
    <x v="1"/>
    <s v="Percent change"/>
    <s v="Units"/>
    <x v="5"/>
    <n v="3.92"/>
  </r>
  <r>
    <n v="1"/>
    <x v="2"/>
    <x v="27"/>
    <x v="1"/>
    <s v="Percent change"/>
    <s v="Units"/>
    <x v="6"/>
    <n v="2.7829999999999999"/>
  </r>
  <r>
    <n v="1"/>
    <x v="2"/>
    <x v="125"/>
    <x v="1"/>
    <s v="Percent change"/>
    <s v="Units"/>
    <x v="0"/>
    <n v="1.02"/>
  </r>
  <r>
    <n v="1"/>
    <x v="2"/>
    <x v="125"/>
    <x v="1"/>
    <s v="Percent change"/>
    <s v="Units"/>
    <x v="1"/>
    <n v="2.5289999999999999"/>
  </r>
  <r>
    <n v="1"/>
    <x v="2"/>
    <x v="125"/>
    <x v="1"/>
    <s v="Percent change"/>
    <s v="Units"/>
    <x v="2"/>
    <n v="2.1779999999999999"/>
  </r>
  <r>
    <n v="1"/>
    <x v="2"/>
    <x v="125"/>
    <x v="1"/>
    <s v="Percent change"/>
    <s v="Units"/>
    <x v="3"/>
    <n v="9.6890000000000001"/>
  </r>
  <r>
    <n v="1"/>
    <x v="2"/>
    <x v="125"/>
    <x v="1"/>
    <s v="Percent change"/>
    <s v="Units"/>
    <x v="4"/>
    <n v="5.9470000000000001"/>
  </r>
  <r>
    <n v="1"/>
    <x v="2"/>
    <x v="125"/>
    <x v="1"/>
    <s v="Percent change"/>
    <s v="Units"/>
    <x v="5"/>
    <n v="3.9"/>
  </r>
  <r>
    <n v="1"/>
    <x v="2"/>
    <x v="125"/>
    <x v="1"/>
    <s v="Percent change"/>
    <s v="Units"/>
    <x v="6"/>
    <n v="2"/>
  </r>
  <r>
    <n v="603"/>
    <x v="12"/>
    <x v="125"/>
    <x v="1"/>
    <s v="Percent change"/>
    <s v="Units"/>
    <x v="0"/>
    <n v="1.02"/>
  </r>
  <r>
    <n v="603"/>
    <x v="12"/>
    <x v="125"/>
    <x v="1"/>
    <s v="Percent change"/>
    <s v="Units"/>
    <x v="1"/>
    <n v="2.5289999999999999"/>
  </r>
  <r>
    <n v="603"/>
    <x v="12"/>
    <x v="125"/>
    <x v="1"/>
    <s v="Percent change"/>
    <s v="Units"/>
    <x v="2"/>
    <n v="2.1779999999999999"/>
  </r>
  <r>
    <n v="603"/>
    <x v="12"/>
    <x v="125"/>
    <x v="1"/>
    <s v="Percent change"/>
    <s v="Units"/>
    <x v="3"/>
    <n v="9.6890000000000001"/>
  </r>
  <r>
    <n v="603"/>
    <x v="12"/>
    <x v="125"/>
    <x v="1"/>
    <s v="Percent change"/>
    <s v="Units"/>
    <x v="4"/>
    <n v="5.9470000000000001"/>
  </r>
  <r>
    <n v="603"/>
    <x v="12"/>
    <x v="125"/>
    <x v="1"/>
    <s v="Percent change"/>
    <s v="Units"/>
    <x v="5"/>
    <n v="3.9"/>
  </r>
  <r>
    <n v="603"/>
    <x v="12"/>
    <x v="125"/>
    <x v="1"/>
    <s v="Percent change"/>
    <s v="Units"/>
    <x v="6"/>
    <n v="2"/>
  </r>
  <r>
    <n v="200"/>
    <x v="3"/>
    <x v="125"/>
    <x v="1"/>
    <s v="Percent change"/>
    <s v="Units"/>
    <x v="0"/>
    <n v="1.02"/>
  </r>
  <r>
    <n v="200"/>
    <x v="3"/>
    <x v="125"/>
    <x v="1"/>
    <s v="Percent change"/>
    <s v="Units"/>
    <x v="1"/>
    <n v="2.5289999999999999"/>
  </r>
  <r>
    <n v="200"/>
    <x v="3"/>
    <x v="125"/>
    <x v="1"/>
    <s v="Percent change"/>
    <s v="Units"/>
    <x v="2"/>
    <n v="2.1779999999999999"/>
  </r>
  <r>
    <n v="200"/>
    <x v="3"/>
    <x v="125"/>
    <x v="1"/>
    <s v="Percent change"/>
    <s v="Units"/>
    <x v="3"/>
    <n v="9.6890000000000001"/>
  </r>
  <r>
    <n v="200"/>
    <x v="3"/>
    <x v="125"/>
    <x v="1"/>
    <s v="Percent change"/>
    <s v="Units"/>
    <x v="4"/>
    <n v="5.9470000000000001"/>
  </r>
  <r>
    <n v="200"/>
    <x v="3"/>
    <x v="125"/>
    <x v="1"/>
    <s v="Percent change"/>
    <s v="Units"/>
    <x v="5"/>
    <n v="3.9"/>
  </r>
  <r>
    <n v="200"/>
    <x v="3"/>
    <x v="125"/>
    <x v="1"/>
    <s v="Percent change"/>
    <s v="Units"/>
    <x v="6"/>
    <n v="2"/>
  </r>
  <r>
    <n v="123"/>
    <x v="9"/>
    <x v="127"/>
    <x v="0"/>
    <s v="U.S. dollars"/>
    <s v="Billions"/>
    <x v="0"/>
    <n v="3.1549999999999998"/>
  </r>
  <r>
    <n v="123"/>
    <x v="9"/>
    <x v="127"/>
    <x v="0"/>
    <s v="U.S. dollars"/>
    <s v="Billions"/>
    <x v="1"/>
    <n v="2.8849999999999998"/>
  </r>
  <r>
    <n v="123"/>
    <x v="9"/>
    <x v="127"/>
    <x v="0"/>
    <s v="U.S. dollars"/>
    <s v="Billions"/>
    <x v="2"/>
    <n v="3.3250000000000002"/>
  </r>
  <r>
    <n v="123"/>
    <x v="9"/>
    <x v="127"/>
    <x v="0"/>
    <s v="U.S. dollars"/>
    <s v="Billions"/>
    <x v="3"/>
    <n v="3.3759999999999999"/>
  </r>
  <r>
    <n v="123"/>
    <x v="9"/>
    <x v="127"/>
    <x v="0"/>
    <s v="U.S. dollars"/>
    <s v="Billions"/>
    <x v="4"/>
    <n v="3.726"/>
  </r>
  <r>
    <n v="123"/>
    <x v="9"/>
    <x v="127"/>
    <x v="0"/>
    <s v="U.S. dollars"/>
    <s v="Billions"/>
    <x v="5"/>
    <n v="3.8969999999999998"/>
  </r>
  <r>
    <n v="123"/>
    <x v="9"/>
    <x v="127"/>
    <x v="0"/>
    <s v="U.S. dollars"/>
    <s v="Billions"/>
    <x v="6"/>
    <n v="4.0330000000000004"/>
  </r>
  <r>
    <n v="1"/>
    <x v="2"/>
    <x v="127"/>
    <x v="0"/>
    <s v="U.S. dollars"/>
    <s v="Billions"/>
    <x v="0"/>
    <n v="3.1549999999999998"/>
  </r>
  <r>
    <n v="1"/>
    <x v="2"/>
    <x v="127"/>
    <x v="0"/>
    <s v="U.S. dollars"/>
    <s v="Billions"/>
    <x v="1"/>
    <n v="2.8849999999999998"/>
  </r>
  <r>
    <n v="1"/>
    <x v="2"/>
    <x v="127"/>
    <x v="0"/>
    <s v="U.S. dollars"/>
    <s v="Billions"/>
    <x v="2"/>
    <n v="3.3250000000000002"/>
  </r>
  <r>
    <n v="1"/>
    <x v="2"/>
    <x v="127"/>
    <x v="0"/>
    <s v="U.S. dollars"/>
    <s v="Billions"/>
    <x v="3"/>
    <n v="3.3759999999999999"/>
  </r>
  <r>
    <n v="1"/>
    <x v="2"/>
    <x v="127"/>
    <x v="0"/>
    <s v="U.S. dollars"/>
    <s v="Billions"/>
    <x v="4"/>
    <n v="3.726"/>
  </r>
  <r>
    <n v="1"/>
    <x v="2"/>
    <x v="127"/>
    <x v="0"/>
    <s v="U.S. dollars"/>
    <s v="Billions"/>
    <x v="5"/>
    <n v="3.8969999999999998"/>
  </r>
  <r>
    <n v="1"/>
    <x v="2"/>
    <x v="127"/>
    <x v="0"/>
    <s v="U.S. dollars"/>
    <s v="Billions"/>
    <x v="6"/>
    <n v="4.0330000000000004"/>
  </r>
  <r>
    <n v="110"/>
    <x v="0"/>
    <x v="127"/>
    <x v="0"/>
    <s v="U.S. dollars"/>
    <s v="Billions"/>
    <x v="0"/>
    <n v="3.1549999999999998"/>
  </r>
  <r>
    <n v="110"/>
    <x v="0"/>
    <x v="127"/>
    <x v="0"/>
    <s v="U.S. dollars"/>
    <s v="Billions"/>
    <x v="1"/>
    <n v="2.8849999999999998"/>
  </r>
  <r>
    <n v="110"/>
    <x v="0"/>
    <x v="127"/>
    <x v="0"/>
    <s v="U.S. dollars"/>
    <s v="Billions"/>
    <x v="2"/>
    <n v="3.3250000000000002"/>
  </r>
  <r>
    <n v="110"/>
    <x v="0"/>
    <x v="127"/>
    <x v="0"/>
    <s v="U.S. dollars"/>
    <s v="Billions"/>
    <x v="3"/>
    <n v="3.3759999999999999"/>
  </r>
  <r>
    <n v="110"/>
    <x v="0"/>
    <x v="127"/>
    <x v="0"/>
    <s v="U.S. dollars"/>
    <s v="Billions"/>
    <x v="4"/>
    <n v="3.726"/>
  </r>
  <r>
    <n v="110"/>
    <x v="0"/>
    <x v="127"/>
    <x v="0"/>
    <s v="U.S. dollars"/>
    <s v="Billions"/>
    <x v="5"/>
    <n v="3.8969999999999998"/>
  </r>
  <r>
    <n v="110"/>
    <x v="0"/>
    <x v="127"/>
    <x v="0"/>
    <s v="U.S. dollars"/>
    <s v="Billions"/>
    <x v="6"/>
    <n v="4.0330000000000004"/>
  </r>
  <r>
    <n v="110"/>
    <x v="0"/>
    <x v="13"/>
    <x v="6"/>
    <s v="Percent change"/>
    <s v="Units"/>
    <x v="0"/>
    <n v="-1.909"/>
  </r>
  <r>
    <n v="110"/>
    <x v="0"/>
    <x v="13"/>
    <x v="6"/>
    <s v="Percent change"/>
    <s v="Units"/>
    <x v="1"/>
    <n v="-3.1280000000000001"/>
  </r>
  <r>
    <n v="110"/>
    <x v="0"/>
    <x v="13"/>
    <x v="6"/>
    <s v="Percent change"/>
    <s v="Units"/>
    <x v="2"/>
    <n v="10.095000000000001"/>
  </r>
  <r>
    <n v="110"/>
    <x v="0"/>
    <x v="13"/>
    <x v="6"/>
    <s v="Percent change"/>
    <s v="Units"/>
    <x v="3"/>
    <n v="3.54"/>
  </r>
  <r>
    <n v="110"/>
    <x v="0"/>
    <x v="13"/>
    <x v="6"/>
    <s v="Percent change"/>
    <s v="Units"/>
    <x v="4"/>
    <n v="3.0880000000000001"/>
  </r>
  <r>
    <n v="110"/>
    <x v="0"/>
    <x v="13"/>
    <x v="6"/>
    <s v="Percent change"/>
    <s v="Units"/>
    <x v="5"/>
    <n v="3.8959999999999999"/>
  </r>
  <r>
    <n v="110"/>
    <x v="0"/>
    <x v="13"/>
    <x v="6"/>
    <s v="Percent change"/>
    <s v="Units"/>
    <x v="6"/>
    <n v="3.379"/>
  </r>
  <r>
    <n v="1"/>
    <x v="2"/>
    <x v="13"/>
    <x v="6"/>
    <s v="Percent change"/>
    <s v="Units"/>
    <x v="0"/>
    <n v="-1.909"/>
  </r>
  <r>
    <n v="1"/>
    <x v="2"/>
    <x v="13"/>
    <x v="6"/>
    <s v="Percent change"/>
    <s v="Units"/>
    <x v="1"/>
    <n v="-3.1280000000000001"/>
  </r>
  <r>
    <n v="1"/>
    <x v="2"/>
    <x v="13"/>
    <x v="6"/>
    <s v="Percent change"/>
    <s v="Units"/>
    <x v="2"/>
    <n v="10.095000000000001"/>
  </r>
  <r>
    <n v="1"/>
    <x v="2"/>
    <x v="13"/>
    <x v="6"/>
    <s v="Percent change"/>
    <s v="Units"/>
    <x v="3"/>
    <n v="3.54"/>
  </r>
  <r>
    <n v="1"/>
    <x v="2"/>
    <x v="13"/>
    <x v="6"/>
    <s v="Percent change"/>
    <s v="Units"/>
    <x v="4"/>
    <n v="3.0880000000000001"/>
  </r>
  <r>
    <n v="1"/>
    <x v="2"/>
    <x v="13"/>
    <x v="6"/>
    <s v="Percent change"/>
    <s v="Units"/>
    <x v="5"/>
    <n v="3.8959999999999999"/>
  </r>
  <r>
    <n v="1"/>
    <x v="2"/>
    <x v="13"/>
    <x v="6"/>
    <s v="Percent change"/>
    <s v="Units"/>
    <x v="6"/>
    <n v="3.379"/>
  </r>
  <r>
    <n v="123"/>
    <x v="9"/>
    <x v="13"/>
    <x v="6"/>
    <s v="Percent change"/>
    <s v="Units"/>
    <x v="0"/>
    <n v="-1.909"/>
  </r>
  <r>
    <n v="123"/>
    <x v="9"/>
    <x v="13"/>
    <x v="6"/>
    <s v="Percent change"/>
    <s v="Units"/>
    <x v="1"/>
    <n v="-3.1280000000000001"/>
  </r>
  <r>
    <n v="123"/>
    <x v="9"/>
    <x v="13"/>
    <x v="6"/>
    <s v="Percent change"/>
    <s v="Units"/>
    <x v="2"/>
    <n v="10.095000000000001"/>
  </r>
  <r>
    <n v="123"/>
    <x v="9"/>
    <x v="13"/>
    <x v="6"/>
    <s v="Percent change"/>
    <s v="Units"/>
    <x v="3"/>
    <n v="3.54"/>
  </r>
  <r>
    <n v="123"/>
    <x v="9"/>
    <x v="13"/>
    <x v="6"/>
    <s v="Percent change"/>
    <s v="Units"/>
    <x v="4"/>
    <n v="3.0880000000000001"/>
  </r>
  <r>
    <n v="123"/>
    <x v="9"/>
    <x v="13"/>
    <x v="6"/>
    <s v="Percent change"/>
    <s v="Units"/>
    <x v="5"/>
    <n v="3.8959999999999999"/>
  </r>
  <r>
    <n v="123"/>
    <x v="9"/>
    <x v="13"/>
    <x v="6"/>
    <s v="Percent change"/>
    <s v="Units"/>
    <x v="6"/>
    <n v="3.379"/>
  </r>
  <r>
    <n v="505"/>
    <x v="4"/>
    <x v="4"/>
    <x v="4"/>
    <s v="Percent change"/>
    <s v="Units"/>
    <x v="0"/>
    <n v="-2.149"/>
  </r>
  <r>
    <n v="505"/>
    <x v="4"/>
    <x v="4"/>
    <x v="4"/>
    <s v="Percent change"/>
    <s v="Units"/>
    <x v="1"/>
    <n v="-6.5209999999999999"/>
  </r>
  <r>
    <n v="505"/>
    <x v="4"/>
    <x v="4"/>
    <x v="4"/>
    <s v="Percent change"/>
    <s v="Units"/>
    <x v="2"/>
    <n v="19.741"/>
  </r>
  <r>
    <n v="505"/>
    <x v="4"/>
    <x v="4"/>
    <x v="4"/>
    <s v="Percent change"/>
    <s v="Units"/>
    <x v="3"/>
    <n v="9.7720000000000002"/>
  </r>
  <r>
    <n v="505"/>
    <x v="4"/>
    <x v="4"/>
    <x v="4"/>
    <s v="Percent change"/>
    <s v="Units"/>
    <x v="4"/>
    <n v="-0.873"/>
  </r>
  <r>
    <n v="505"/>
    <x v="4"/>
    <x v="4"/>
    <x v="4"/>
    <s v="Percent change"/>
    <s v="Units"/>
    <x v="5"/>
    <n v="3.89"/>
  </r>
  <r>
    <n v="505"/>
    <x v="4"/>
    <x v="4"/>
    <x v="4"/>
    <s v="Percent change"/>
    <s v="Units"/>
    <x v="6"/>
    <n v="4.0990000000000002"/>
  </r>
  <r>
    <n v="1"/>
    <x v="2"/>
    <x v="4"/>
    <x v="4"/>
    <s v="Percent change"/>
    <s v="Units"/>
    <x v="0"/>
    <n v="-2.149"/>
  </r>
  <r>
    <n v="1"/>
    <x v="2"/>
    <x v="4"/>
    <x v="4"/>
    <s v="Percent change"/>
    <s v="Units"/>
    <x v="1"/>
    <n v="-6.5209999999999999"/>
  </r>
  <r>
    <n v="1"/>
    <x v="2"/>
    <x v="4"/>
    <x v="4"/>
    <s v="Percent change"/>
    <s v="Units"/>
    <x v="2"/>
    <n v="19.741"/>
  </r>
  <r>
    <n v="1"/>
    <x v="2"/>
    <x v="4"/>
    <x v="4"/>
    <s v="Percent change"/>
    <s v="Units"/>
    <x v="3"/>
    <n v="9.7720000000000002"/>
  </r>
  <r>
    <n v="1"/>
    <x v="2"/>
    <x v="4"/>
    <x v="4"/>
    <s v="Percent change"/>
    <s v="Units"/>
    <x v="4"/>
    <n v="-0.873"/>
  </r>
  <r>
    <n v="1"/>
    <x v="2"/>
    <x v="4"/>
    <x v="4"/>
    <s v="Percent change"/>
    <s v="Units"/>
    <x v="5"/>
    <n v="3.89"/>
  </r>
  <r>
    <n v="1"/>
    <x v="2"/>
    <x v="4"/>
    <x v="4"/>
    <s v="Percent change"/>
    <s v="Units"/>
    <x v="6"/>
    <n v="4.0990000000000002"/>
  </r>
  <r>
    <n v="200"/>
    <x v="3"/>
    <x v="4"/>
    <x v="4"/>
    <s v="Percent change"/>
    <s v="Units"/>
    <x v="0"/>
    <n v="-2.149"/>
  </r>
  <r>
    <n v="200"/>
    <x v="3"/>
    <x v="4"/>
    <x v="4"/>
    <s v="Percent change"/>
    <s v="Units"/>
    <x v="1"/>
    <n v="-6.5209999999999999"/>
  </r>
  <r>
    <n v="200"/>
    <x v="3"/>
    <x v="4"/>
    <x v="4"/>
    <s v="Percent change"/>
    <s v="Units"/>
    <x v="2"/>
    <n v="19.741"/>
  </r>
  <r>
    <n v="200"/>
    <x v="3"/>
    <x v="4"/>
    <x v="4"/>
    <s v="Percent change"/>
    <s v="Units"/>
    <x v="3"/>
    <n v="9.7720000000000002"/>
  </r>
  <r>
    <n v="200"/>
    <x v="3"/>
    <x v="4"/>
    <x v="4"/>
    <s v="Percent change"/>
    <s v="Units"/>
    <x v="4"/>
    <n v="-0.873"/>
  </r>
  <r>
    <n v="200"/>
    <x v="3"/>
    <x v="4"/>
    <x v="4"/>
    <s v="Percent change"/>
    <s v="Units"/>
    <x v="5"/>
    <n v="3.89"/>
  </r>
  <r>
    <n v="200"/>
    <x v="3"/>
    <x v="4"/>
    <x v="4"/>
    <s v="Percent change"/>
    <s v="Units"/>
    <x v="6"/>
    <n v="4.0990000000000002"/>
  </r>
  <r>
    <n v="200"/>
    <x v="3"/>
    <x v="59"/>
    <x v="6"/>
    <s v="Percent change"/>
    <s v="Units"/>
    <x v="0"/>
    <n v="0.95299999999999996"/>
  </r>
  <r>
    <n v="200"/>
    <x v="3"/>
    <x v="59"/>
    <x v="6"/>
    <s v="Percent change"/>
    <s v="Units"/>
    <x v="1"/>
    <n v="-11.372999999999999"/>
  </r>
  <r>
    <n v="200"/>
    <x v="3"/>
    <x v="59"/>
    <x v="6"/>
    <s v="Percent change"/>
    <s v="Units"/>
    <x v="2"/>
    <n v="11.356999999999999"/>
  </r>
  <r>
    <n v="200"/>
    <x v="3"/>
    <x v="59"/>
    <x v="6"/>
    <s v="Percent change"/>
    <s v="Units"/>
    <x v="3"/>
    <n v="-4.3999999999999997E-2"/>
  </r>
  <r>
    <n v="200"/>
    <x v="3"/>
    <x v="59"/>
    <x v="6"/>
    <s v="Percent change"/>
    <s v="Units"/>
    <x v="4"/>
    <n v="-1.8069999999999999"/>
  </r>
  <r>
    <n v="200"/>
    <x v="3"/>
    <x v="59"/>
    <x v="6"/>
    <s v="Percent change"/>
    <s v="Units"/>
    <x v="5"/>
    <n v="3.8839999999999999"/>
  </r>
  <r>
    <n v="200"/>
    <x v="3"/>
    <x v="59"/>
    <x v="6"/>
    <s v="Percent change"/>
    <s v="Units"/>
    <x v="6"/>
    <n v="3.778"/>
  </r>
  <r>
    <n v="1"/>
    <x v="2"/>
    <x v="59"/>
    <x v="6"/>
    <s v="Percent change"/>
    <s v="Units"/>
    <x v="0"/>
    <n v="0.95299999999999996"/>
  </r>
  <r>
    <n v="1"/>
    <x v="2"/>
    <x v="59"/>
    <x v="6"/>
    <s v="Percent change"/>
    <s v="Units"/>
    <x v="1"/>
    <n v="-11.372999999999999"/>
  </r>
  <r>
    <n v="1"/>
    <x v="2"/>
    <x v="59"/>
    <x v="6"/>
    <s v="Percent change"/>
    <s v="Units"/>
    <x v="2"/>
    <n v="11.356999999999999"/>
  </r>
  <r>
    <n v="1"/>
    <x v="2"/>
    <x v="59"/>
    <x v="6"/>
    <s v="Percent change"/>
    <s v="Units"/>
    <x v="3"/>
    <n v="-4.3999999999999997E-2"/>
  </r>
  <r>
    <n v="1"/>
    <x v="2"/>
    <x v="59"/>
    <x v="6"/>
    <s v="Percent change"/>
    <s v="Units"/>
    <x v="4"/>
    <n v="-1.8069999999999999"/>
  </r>
  <r>
    <n v="1"/>
    <x v="2"/>
    <x v="59"/>
    <x v="6"/>
    <s v="Percent change"/>
    <s v="Units"/>
    <x v="5"/>
    <n v="3.8839999999999999"/>
  </r>
  <r>
    <n v="1"/>
    <x v="2"/>
    <x v="59"/>
    <x v="6"/>
    <s v="Percent change"/>
    <s v="Units"/>
    <x v="6"/>
    <n v="3.778"/>
  </r>
  <r>
    <n v="400"/>
    <x v="11"/>
    <x v="59"/>
    <x v="6"/>
    <s v="Percent change"/>
    <s v="Units"/>
    <x v="0"/>
    <n v="0.95299999999999996"/>
  </r>
  <r>
    <n v="400"/>
    <x v="11"/>
    <x v="59"/>
    <x v="6"/>
    <s v="Percent change"/>
    <s v="Units"/>
    <x v="1"/>
    <n v="-11.372999999999999"/>
  </r>
  <r>
    <n v="400"/>
    <x v="11"/>
    <x v="59"/>
    <x v="6"/>
    <s v="Percent change"/>
    <s v="Units"/>
    <x v="2"/>
    <n v="11.356999999999999"/>
  </r>
  <r>
    <n v="400"/>
    <x v="11"/>
    <x v="59"/>
    <x v="6"/>
    <s v="Percent change"/>
    <s v="Units"/>
    <x v="3"/>
    <n v="-4.3999999999999997E-2"/>
  </r>
  <r>
    <n v="400"/>
    <x v="11"/>
    <x v="59"/>
    <x v="6"/>
    <s v="Percent change"/>
    <s v="Units"/>
    <x v="4"/>
    <n v="-1.8069999999999999"/>
  </r>
  <r>
    <n v="400"/>
    <x v="11"/>
    <x v="59"/>
    <x v="6"/>
    <s v="Percent change"/>
    <s v="Units"/>
    <x v="5"/>
    <n v="3.8839999999999999"/>
  </r>
  <r>
    <n v="400"/>
    <x v="11"/>
    <x v="59"/>
    <x v="6"/>
    <s v="Percent change"/>
    <s v="Units"/>
    <x v="6"/>
    <n v="3.778"/>
  </r>
  <r>
    <n v="200"/>
    <x v="3"/>
    <x v="161"/>
    <x v="1"/>
    <s v="Percent change"/>
    <s v="Units"/>
    <x v="0"/>
    <n v="2.5979999999999999"/>
  </r>
  <r>
    <n v="200"/>
    <x v="3"/>
    <x v="161"/>
    <x v="1"/>
    <s v="Percent change"/>
    <s v="Units"/>
    <x v="1"/>
    <n v="3.8719999999999999"/>
  </r>
  <r>
    <n v="200"/>
    <x v="3"/>
    <x v="161"/>
    <x v="1"/>
    <s v="Percent change"/>
    <s v="Units"/>
    <x v="2"/>
    <n v="3.7189999999999999"/>
  </r>
  <r>
    <n v="200"/>
    <x v="3"/>
    <x v="161"/>
    <x v="1"/>
    <s v="Percent change"/>
    <s v="Units"/>
    <x v="3"/>
    <n v="4.8019999999999996"/>
  </r>
  <r>
    <n v="200"/>
    <x v="3"/>
    <x v="161"/>
    <x v="1"/>
    <s v="Percent change"/>
    <s v="Units"/>
    <x v="4"/>
    <n v="4.9489999999999998"/>
  </r>
  <r>
    <n v="200"/>
    <x v="3"/>
    <x v="161"/>
    <x v="1"/>
    <s v="Percent change"/>
    <s v="Units"/>
    <x v="5"/>
    <n v="3.8809999999999998"/>
  </r>
  <r>
    <n v="200"/>
    <x v="3"/>
    <x v="161"/>
    <x v="1"/>
    <s v="Percent change"/>
    <s v="Units"/>
    <x v="6"/>
    <n v="3.0539999999999998"/>
  </r>
  <r>
    <n v="603"/>
    <x v="12"/>
    <x v="161"/>
    <x v="1"/>
    <s v="Percent change"/>
    <s v="Units"/>
    <x v="0"/>
    <n v="2.5979999999999999"/>
  </r>
  <r>
    <n v="603"/>
    <x v="12"/>
    <x v="161"/>
    <x v="1"/>
    <s v="Percent change"/>
    <s v="Units"/>
    <x v="1"/>
    <n v="3.8719999999999999"/>
  </r>
  <r>
    <n v="603"/>
    <x v="12"/>
    <x v="161"/>
    <x v="1"/>
    <s v="Percent change"/>
    <s v="Units"/>
    <x v="2"/>
    <n v="3.7189999999999999"/>
  </r>
  <r>
    <n v="603"/>
    <x v="12"/>
    <x v="161"/>
    <x v="1"/>
    <s v="Percent change"/>
    <s v="Units"/>
    <x v="3"/>
    <n v="4.8019999999999996"/>
  </r>
  <r>
    <n v="603"/>
    <x v="12"/>
    <x v="161"/>
    <x v="1"/>
    <s v="Percent change"/>
    <s v="Units"/>
    <x v="4"/>
    <n v="4.9489999999999998"/>
  </r>
  <r>
    <n v="603"/>
    <x v="12"/>
    <x v="161"/>
    <x v="1"/>
    <s v="Percent change"/>
    <s v="Units"/>
    <x v="5"/>
    <n v="3.8809999999999998"/>
  </r>
  <r>
    <n v="603"/>
    <x v="12"/>
    <x v="161"/>
    <x v="1"/>
    <s v="Percent change"/>
    <s v="Units"/>
    <x v="6"/>
    <n v="3.0539999999999998"/>
  </r>
  <r>
    <n v="1"/>
    <x v="2"/>
    <x v="161"/>
    <x v="1"/>
    <s v="Percent change"/>
    <s v="Units"/>
    <x v="0"/>
    <n v="2.5979999999999999"/>
  </r>
  <r>
    <n v="1"/>
    <x v="2"/>
    <x v="161"/>
    <x v="1"/>
    <s v="Percent change"/>
    <s v="Units"/>
    <x v="1"/>
    <n v="3.8719999999999999"/>
  </r>
  <r>
    <n v="1"/>
    <x v="2"/>
    <x v="161"/>
    <x v="1"/>
    <s v="Percent change"/>
    <s v="Units"/>
    <x v="2"/>
    <n v="3.7189999999999999"/>
  </r>
  <r>
    <n v="1"/>
    <x v="2"/>
    <x v="161"/>
    <x v="1"/>
    <s v="Percent change"/>
    <s v="Units"/>
    <x v="3"/>
    <n v="4.8019999999999996"/>
  </r>
  <r>
    <n v="1"/>
    <x v="2"/>
    <x v="161"/>
    <x v="1"/>
    <s v="Percent change"/>
    <s v="Units"/>
    <x v="4"/>
    <n v="4.9489999999999998"/>
  </r>
  <r>
    <n v="1"/>
    <x v="2"/>
    <x v="161"/>
    <x v="1"/>
    <s v="Percent change"/>
    <s v="Units"/>
    <x v="5"/>
    <n v="3.8809999999999998"/>
  </r>
  <r>
    <n v="1"/>
    <x v="2"/>
    <x v="161"/>
    <x v="1"/>
    <s v="Percent change"/>
    <s v="Units"/>
    <x v="6"/>
    <n v="3.0539999999999998"/>
  </r>
  <r>
    <n v="200"/>
    <x v="3"/>
    <x v="159"/>
    <x v="1"/>
    <s v="Percent change"/>
    <s v="Units"/>
    <x v="0"/>
    <n v="1.5720000000000001"/>
  </r>
  <r>
    <n v="200"/>
    <x v="3"/>
    <x v="159"/>
    <x v="1"/>
    <s v="Percent change"/>
    <s v="Units"/>
    <x v="1"/>
    <n v="0.51400000000000001"/>
  </r>
  <r>
    <n v="200"/>
    <x v="3"/>
    <x v="159"/>
    <x v="1"/>
    <s v="Percent change"/>
    <s v="Units"/>
    <x v="2"/>
    <n v="1.4850000000000001"/>
  </r>
  <r>
    <n v="200"/>
    <x v="3"/>
    <x v="159"/>
    <x v="1"/>
    <s v="Percent change"/>
    <s v="Units"/>
    <x v="3"/>
    <n v="4.9980000000000002"/>
  </r>
  <r>
    <n v="200"/>
    <x v="3"/>
    <x v="159"/>
    <x v="1"/>
    <s v="Percent change"/>
    <s v="Units"/>
    <x v="4"/>
    <n v="5.0389999999999997"/>
  </r>
  <r>
    <n v="200"/>
    <x v="3"/>
    <x v="159"/>
    <x v="1"/>
    <s v="Percent change"/>
    <s v="Units"/>
    <x v="5"/>
    <n v="3.8570000000000002"/>
  </r>
  <r>
    <n v="200"/>
    <x v="3"/>
    <x v="159"/>
    <x v="1"/>
    <s v="Percent change"/>
    <s v="Units"/>
    <x v="6"/>
    <n v="2.8319999999999999"/>
  </r>
  <r>
    <n v="205"/>
    <x v="7"/>
    <x v="159"/>
    <x v="1"/>
    <s v="Percent change"/>
    <s v="Units"/>
    <x v="0"/>
    <n v="1.5720000000000001"/>
  </r>
  <r>
    <n v="205"/>
    <x v="7"/>
    <x v="159"/>
    <x v="1"/>
    <s v="Percent change"/>
    <s v="Units"/>
    <x v="1"/>
    <n v="0.51400000000000001"/>
  </r>
  <r>
    <n v="205"/>
    <x v="7"/>
    <x v="159"/>
    <x v="1"/>
    <s v="Percent change"/>
    <s v="Units"/>
    <x v="2"/>
    <n v="1.4850000000000001"/>
  </r>
  <r>
    <n v="205"/>
    <x v="7"/>
    <x v="159"/>
    <x v="1"/>
    <s v="Percent change"/>
    <s v="Units"/>
    <x v="3"/>
    <n v="4.9980000000000002"/>
  </r>
  <r>
    <n v="205"/>
    <x v="7"/>
    <x v="159"/>
    <x v="1"/>
    <s v="Percent change"/>
    <s v="Units"/>
    <x v="4"/>
    <n v="5.0389999999999997"/>
  </r>
  <r>
    <n v="205"/>
    <x v="7"/>
    <x v="159"/>
    <x v="1"/>
    <s v="Percent change"/>
    <s v="Units"/>
    <x v="5"/>
    <n v="3.8570000000000002"/>
  </r>
  <r>
    <n v="205"/>
    <x v="7"/>
    <x v="159"/>
    <x v="1"/>
    <s v="Percent change"/>
    <s v="Units"/>
    <x v="6"/>
    <n v="2.8319999999999999"/>
  </r>
  <r>
    <n v="1"/>
    <x v="2"/>
    <x v="159"/>
    <x v="1"/>
    <s v="Percent change"/>
    <s v="Units"/>
    <x v="0"/>
    <n v="1.5720000000000001"/>
  </r>
  <r>
    <n v="1"/>
    <x v="2"/>
    <x v="159"/>
    <x v="1"/>
    <s v="Percent change"/>
    <s v="Units"/>
    <x v="1"/>
    <n v="0.51400000000000001"/>
  </r>
  <r>
    <n v="1"/>
    <x v="2"/>
    <x v="159"/>
    <x v="1"/>
    <s v="Percent change"/>
    <s v="Units"/>
    <x v="2"/>
    <n v="1.4850000000000001"/>
  </r>
  <r>
    <n v="1"/>
    <x v="2"/>
    <x v="159"/>
    <x v="1"/>
    <s v="Percent change"/>
    <s v="Units"/>
    <x v="3"/>
    <n v="4.9980000000000002"/>
  </r>
  <r>
    <n v="1"/>
    <x v="2"/>
    <x v="159"/>
    <x v="1"/>
    <s v="Percent change"/>
    <s v="Units"/>
    <x v="4"/>
    <n v="5.0389999999999997"/>
  </r>
  <r>
    <n v="1"/>
    <x v="2"/>
    <x v="159"/>
    <x v="1"/>
    <s v="Percent change"/>
    <s v="Units"/>
    <x v="5"/>
    <n v="3.8570000000000002"/>
  </r>
  <r>
    <n v="1"/>
    <x v="2"/>
    <x v="159"/>
    <x v="1"/>
    <s v="Percent change"/>
    <s v="Units"/>
    <x v="6"/>
    <n v="2.8319999999999999"/>
  </r>
  <r>
    <n v="200"/>
    <x v="3"/>
    <x v="49"/>
    <x v="8"/>
    <s v="Percent change"/>
    <s v="Units"/>
    <x v="0"/>
    <n v="0.93300000000000005"/>
  </r>
  <r>
    <n v="200"/>
    <x v="3"/>
    <x v="49"/>
    <x v="8"/>
    <s v="Percent change"/>
    <s v="Units"/>
    <x v="1"/>
    <n v="-5.0170000000000003"/>
  </r>
  <r>
    <n v="200"/>
    <x v="3"/>
    <x v="49"/>
    <x v="8"/>
    <s v="Percent change"/>
    <s v="Units"/>
    <x v="2"/>
    <n v="3.8050000000000002"/>
  </r>
  <r>
    <n v="200"/>
    <x v="3"/>
    <x v="49"/>
    <x v="8"/>
    <s v="Percent change"/>
    <s v="Units"/>
    <x v="3"/>
    <n v="3.6160000000000001"/>
  </r>
  <r>
    <n v="200"/>
    <x v="3"/>
    <x v="49"/>
    <x v="8"/>
    <s v="Percent change"/>
    <s v="Units"/>
    <x v="4"/>
    <n v="4.1840000000000002"/>
  </r>
  <r>
    <n v="200"/>
    <x v="3"/>
    <x v="49"/>
    <x v="8"/>
    <s v="Percent change"/>
    <s v="Units"/>
    <x v="5"/>
    <n v="3.8479999999999999"/>
  </r>
  <r>
    <n v="200"/>
    <x v="3"/>
    <x v="49"/>
    <x v="8"/>
    <s v="Percent change"/>
    <s v="Units"/>
    <x v="6"/>
    <n v="3.1040000000000001"/>
  </r>
  <r>
    <n v="400"/>
    <x v="11"/>
    <x v="49"/>
    <x v="8"/>
    <s v="Percent change"/>
    <s v="Units"/>
    <x v="0"/>
    <n v="0.93300000000000005"/>
  </r>
  <r>
    <n v="400"/>
    <x v="11"/>
    <x v="49"/>
    <x v="8"/>
    <s v="Percent change"/>
    <s v="Units"/>
    <x v="1"/>
    <n v="-5.0170000000000003"/>
  </r>
  <r>
    <n v="400"/>
    <x v="11"/>
    <x v="49"/>
    <x v="8"/>
    <s v="Percent change"/>
    <s v="Units"/>
    <x v="2"/>
    <n v="3.8050000000000002"/>
  </r>
  <r>
    <n v="400"/>
    <x v="11"/>
    <x v="49"/>
    <x v="8"/>
    <s v="Percent change"/>
    <s v="Units"/>
    <x v="3"/>
    <n v="3.6160000000000001"/>
  </r>
  <r>
    <n v="400"/>
    <x v="11"/>
    <x v="49"/>
    <x v="8"/>
    <s v="Percent change"/>
    <s v="Units"/>
    <x v="4"/>
    <n v="4.1840000000000002"/>
  </r>
  <r>
    <n v="400"/>
    <x v="11"/>
    <x v="49"/>
    <x v="8"/>
    <s v="Percent change"/>
    <s v="Units"/>
    <x v="5"/>
    <n v="3.8479999999999999"/>
  </r>
  <r>
    <n v="400"/>
    <x v="11"/>
    <x v="49"/>
    <x v="8"/>
    <s v="Percent change"/>
    <s v="Units"/>
    <x v="6"/>
    <n v="3.1040000000000001"/>
  </r>
  <r>
    <n v="1"/>
    <x v="2"/>
    <x v="49"/>
    <x v="8"/>
    <s v="Percent change"/>
    <s v="Units"/>
    <x v="0"/>
    <n v="0.93300000000000005"/>
  </r>
  <r>
    <n v="1"/>
    <x v="2"/>
    <x v="49"/>
    <x v="8"/>
    <s v="Percent change"/>
    <s v="Units"/>
    <x v="1"/>
    <n v="-5.0170000000000003"/>
  </r>
  <r>
    <n v="1"/>
    <x v="2"/>
    <x v="49"/>
    <x v="8"/>
    <s v="Percent change"/>
    <s v="Units"/>
    <x v="2"/>
    <n v="3.8050000000000002"/>
  </r>
  <r>
    <n v="1"/>
    <x v="2"/>
    <x v="49"/>
    <x v="8"/>
    <s v="Percent change"/>
    <s v="Units"/>
    <x v="3"/>
    <n v="3.6160000000000001"/>
  </r>
  <r>
    <n v="1"/>
    <x v="2"/>
    <x v="49"/>
    <x v="8"/>
    <s v="Percent change"/>
    <s v="Units"/>
    <x v="4"/>
    <n v="4.1840000000000002"/>
  </r>
  <r>
    <n v="1"/>
    <x v="2"/>
    <x v="49"/>
    <x v="8"/>
    <s v="Percent change"/>
    <s v="Units"/>
    <x v="5"/>
    <n v="3.8479999999999999"/>
  </r>
  <r>
    <n v="1"/>
    <x v="2"/>
    <x v="49"/>
    <x v="8"/>
    <s v="Percent change"/>
    <s v="Units"/>
    <x v="6"/>
    <n v="3.1040000000000001"/>
  </r>
  <r>
    <n v="110"/>
    <x v="0"/>
    <x v="113"/>
    <x v="11"/>
    <s v="Percent of total labor force"/>
    <s v="Units"/>
    <x v="0"/>
    <n v="3.9249999999999998"/>
  </r>
  <r>
    <n v="110"/>
    <x v="0"/>
    <x v="113"/>
    <x v="11"/>
    <s v="Percent of total labor force"/>
    <s v="Units"/>
    <x v="1"/>
    <n v="6.4329999999999998"/>
  </r>
  <r>
    <n v="110"/>
    <x v="0"/>
    <x v="113"/>
    <x v="11"/>
    <s v="Percent of total labor force"/>
    <s v="Units"/>
    <x v="2"/>
    <n v="6.0170000000000003"/>
  </r>
  <r>
    <n v="110"/>
    <x v="0"/>
    <x v="113"/>
    <x v="11"/>
    <s v="Percent of total labor force"/>
    <s v="Units"/>
    <x v="3"/>
    <n v="3.75"/>
  </r>
  <r>
    <n v="110"/>
    <x v="0"/>
    <x v="113"/>
    <x v="11"/>
    <s v="Percent of total labor force"/>
    <s v="Units"/>
    <x v="4"/>
    <n v="3.383"/>
  </r>
  <r>
    <n v="110"/>
    <x v="0"/>
    <x v="113"/>
    <x v="11"/>
    <s v="Percent of total labor force"/>
    <s v="Units"/>
    <x v="5"/>
    <n v="3.8380000000000001"/>
  </r>
  <r>
    <n v="110"/>
    <x v="0"/>
    <x v="113"/>
    <x v="11"/>
    <s v="Percent of total labor force"/>
    <s v="Units"/>
    <x v="6"/>
    <n v="4.0890000000000004"/>
  </r>
  <r>
    <n v="123"/>
    <x v="9"/>
    <x v="113"/>
    <x v="11"/>
    <s v="Percent of total labor force"/>
    <s v="Units"/>
    <x v="0"/>
    <n v="3.9249999999999998"/>
  </r>
  <r>
    <n v="123"/>
    <x v="9"/>
    <x v="113"/>
    <x v="11"/>
    <s v="Percent of total labor force"/>
    <s v="Units"/>
    <x v="1"/>
    <n v="6.4329999999999998"/>
  </r>
  <r>
    <n v="123"/>
    <x v="9"/>
    <x v="113"/>
    <x v="11"/>
    <s v="Percent of total labor force"/>
    <s v="Units"/>
    <x v="2"/>
    <n v="6.0170000000000003"/>
  </r>
  <r>
    <n v="123"/>
    <x v="9"/>
    <x v="113"/>
    <x v="11"/>
    <s v="Percent of total labor force"/>
    <s v="Units"/>
    <x v="3"/>
    <n v="3.75"/>
  </r>
  <r>
    <n v="123"/>
    <x v="9"/>
    <x v="113"/>
    <x v="11"/>
    <s v="Percent of total labor force"/>
    <s v="Units"/>
    <x v="4"/>
    <n v="3.383"/>
  </r>
  <r>
    <n v="123"/>
    <x v="9"/>
    <x v="113"/>
    <x v="11"/>
    <s v="Percent of total labor force"/>
    <s v="Units"/>
    <x v="5"/>
    <n v="3.8380000000000001"/>
  </r>
  <r>
    <n v="123"/>
    <x v="9"/>
    <x v="113"/>
    <x v="11"/>
    <s v="Percent of total labor force"/>
    <s v="Units"/>
    <x v="6"/>
    <n v="4.0890000000000004"/>
  </r>
  <r>
    <n v="200"/>
    <x v="3"/>
    <x v="109"/>
    <x v="1"/>
    <s v="Percent change"/>
    <s v="Units"/>
    <x v="0"/>
    <n v="2.7570000000000001"/>
  </r>
  <r>
    <n v="200"/>
    <x v="3"/>
    <x v="109"/>
    <x v="1"/>
    <s v="Percent change"/>
    <s v="Units"/>
    <x v="1"/>
    <n v="1.768"/>
  </r>
  <r>
    <n v="200"/>
    <x v="3"/>
    <x v="109"/>
    <x v="1"/>
    <s v="Percent change"/>
    <s v="Units"/>
    <x v="2"/>
    <n v="4.7880000000000003"/>
  </r>
  <r>
    <n v="200"/>
    <x v="3"/>
    <x v="109"/>
    <x v="1"/>
    <s v="Percent change"/>
    <s v="Units"/>
    <x v="3"/>
    <n v="9.766"/>
  </r>
  <r>
    <n v="200"/>
    <x v="3"/>
    <x v="109"/>
    <x v="1"/>
    <s v="Percent change"/>
    <s v="Units"/>
    <x v="4"/>
    <n v="4.6319999999999997"/>
  </r>
  <r>
    <n v="200"/>
    <x v="3"/>
    <x v="109"/>
    <x v="1"/>
    <s v="Percent change"/>
    <s v="Units"/>
    <x v="5"/>
    <n v="3.8370000000000002"/>
  </r>
  <r>
    <n v="200"/>
    <x v="3"/>
    <x v="109"/>
    <x v="1"/>
    <s v="Percent change"/>
    <s v="Units"/>
    <x v="6"/>
    <n v="4"/>
  </r>
  <r>
    <n v="205"/>
    <x v="7"/>
    <x v="109"/>
    <x v="1"/>
    <s v="Percent change"/>
    <s v="Units"/>
    <x v="0"/>
    <n v="2.7570000000000001"/>
  </r>
  <r>
    <n v="205"/>
    <x v="7"/>
    <x v="109"/>
    <x v="1"/>
    <s v="Percent change"/>
    <s v="Units"/>
    <x v="1"/>
    <n v="1.768"/>
  </r>
  <r>
    <n v="205"/>
    <x v="7"/>
    <x v="109"/>
    <x v="1"/>
    <s v="Percent change"/>
    <s v="Units"/>
    <x v="2"/>
    <n v="4.7880000000000003"/>
  </r>
  <r>
    <n v="205"/>
    <x v="7"/>
    <x v="109"/>
    <x v="1"/>
    <s v="Percent change"/>
    <s v="Units"/>
    <x v="3"/>
    <n v="9.766"/>
  </r>
  <r>
    <n v="205"/>
    <x v="7"/>
    <x v="109"/>
    <x v="1"/>
    <s v="Percent change"/>
    <s v="Units"/>
    <x v="4"/>
    <n v="4.6319999999999997"/>
  </r>
  <r>
    <n v="205"/>
    <x v="7"/>
    <x v="109"/>
    <x v="1"/>
    <s v="Percent change"/>
    <s v="Units"/>
    <x v="5"/>
    <n v="3.8370000000000002"/>
  </r>
  <r>
    <n v="205"/>
    <x v="7"/>
    <x v="109"/>
    <x v="1"/>
    <s v="Percent change"/>
    <s v="Units"/>
    <x v="6"/>
    <n v="4"/>
  </r>
  <r>
    <n v="1"/>
    <x v="2"/>
    <x v="109"/>
    <x v="1"/>
    <s v="Percent change"/>
    <s v="Units"/>
    <x v="0"/>
    <n v="2.7570000000000001"/>
  </r>
  <r>
    <n v="1"/>
    <x v="2"/>
    <x v="109"/>
    <x v="1"/>
    <s v="Percent change"/>
    <s v="Units"/>
    <x v="1"/>
    <n v="1.768"/>
  </r>
  <r>
    <n v="1"/>
    <x v="2"/>
    <x v="109"/>
    <x v="1"/>
    <s v="Percent change"/>
    <s v="Units"/>
    <x v="2"/>
    <n v="4.7880000000000003"/>
  </r>
  <r>
    <n v="1"/>
    <x v="2"/>
    <x v="109"/>
    <x v="1"/>
    <s v="Percent change"/>
    <s v="Units"/>
    <x v="3"/>
    <n v="9.766"/>
  </r>
  <r>
    <n v="1"/>
    <x v="2"/>
    <x v="109"/>
    <x v="1"/>
    <s v="Percent change"/>
    <s v="Units"/>
    <x v="4"/>
    <n v="4.6319999999999997"/>
  </r>
  <r>
    <n v="1"/>
    <x v="2"/>
    <x v="109"/>
    <x v="1"/>
    <s v="Percent change"/>
    <s v="Units"/>
    <x v="5"/>
    <n v="3.8370000000000002"/>
  </r>
  <r>
    <n v="1"/>
    <x v="2"/>
    <x v="109"/>
    <x v="1"/>
    <s v="Percent change"/>
    <s v="Units"/>
    <x v="6"/>
    <n v="4"/>
  </r>
  <r>
    <n v="603"/>
    <x v="12"/>
    <x v="97"/>
    <x v="1"/>
    <s v="Percent change"/>
    <s v="Units"/>
    <x v="0"/>
    <n v="2.137"/>
  </r>
  <r>
    <n v="603"/>
    <x v="12"/>
    <x v="97"/>
    <x v="1"/>
    <s v="Percent change"/>
    <s v="Units"/>
    <x v="1"/>
    <n v="2.758"/>
  </r>
  <r>
    <n v="603"/>
    <x v="12"/>
    <x v="97"/>
    <x v="1"/>
    <s v="Percent change"/>
    <s v="Units"/>
    <x v="2"/>
    <n v="2.2069999999999999"/>
  </r>
  <r>
    <n v="603"/>
    <x v="12"/>
    <x v="97"/>
    <x v="1"/>
    <s v="Percent change"/>
    <s v="Units"/>
    <x v="3"/>
    <n v="7.1920000000000002"/>
  </r>
  <r>
    <n v="603"/>
    <x v="12"/>
    <x v="97"/>
    <x v="1"/>
    <s v="Percent change"/>
    <s v="Units"/>
    <x v="4"/>
    <n v="5.3520000000000003"/>
  </r>
  <r>
    <n v="603"/>
    <x v="12"/>
    <x v="97"/>
    <x v="1"/>
    <s v="Percent change"/>
    <s v="Units"/>
    <x v="5"/>
    <n v="3.81"/>
  </r>
  <r>
    <n v="603"/>
    <x v="12"/>
    <x v="97"/>
    <x v="1"/>
    <s v="Percent change"/>
    <s v="Units"/>
    <x v="6"/>
    <n v="4.8730000000000002"/>
  </r>
  <r>
    <n v="1"/>
    <x v="2"/>
    <x v="97"/>
    <x v="1"/>
    <s v="Percent change"/>
    <s v="Units"/>
    <x v="0"/>
    <n v="2.137"/>
  </r>
  <r>
    <n v="1"/>
    <x v="2"/>
    <x v="97"/>
    <x v="1"/>
    <s v="Percent change"/>
    <s v="Units"/>
    <x v="1"/>
    <n v="2.758"/>
  </r>
  <r>
    <n v="1"/>
    <x v="2"/>
    <x v="97"/>
    <x v="1"/>
    <s v="Percent change"/>
    <s v="Units"/>
    <x v="2"/>
    <n v="2.2069999999999999"/>
  </r>
  <r>
    <n v="1"/>
    <x v="2"/>
    <x v="97"/>
    <x v="1"/>
    <s v="Percent change"/>
    <s v="Units"/>
    <x v="3"/>
    <n v="7.1920000000000002"/>
  </r>
  <r>
    <n v="1"/>
    <x v="2"/>
    <x v="97"/>
    <x v="1"/>
    <s v="Percent change"/>
    <s v="Units"/>
    <x v="4"/>
    <n v="5.3520000000000003"/>
  </r>
  <r>
    <n v="1"/>
    <x v="2"/>
    <x v="97"/>
    <x v="1"/>
    <s v="Percent change"/>
    <s v="Units"/>
    <x v="5"/>
    <n v="3.81"/>
  </r>
  <r>
    <n v="1"/>
    <x v="2"/>
    <x v="97"/>
    <x v="1"/>
    <s v="Percent change"/>
    <s v="Units"/>
    <x v="6"/>
    <n v="4.8730000000000002"/>
  </r>
  <r>
    <n v="200"/>
    <x v="3"/>
    <x v="97"/>
    <x v="1"/>
    <s v="Percent change"/>
    <s v="Units"/>
    <x v="0"/>
    <n v="2.137"/>
  </r>
  <r>
    <n v="200"/>
    <x v="3"/>
    <x v="97"/>
    <x v="1"/>
    <s v="Percent change"/>
    <s v="Units"/>
    <x v="1"/>
    <n v="2.758"/>
  </r>
  <r>
    <n v="200"/>
    <x v="3"/>
    <x v="97"/>
    <x v="1"/>
    <s v="Percent change"/>
    <s v="Units"/>
    <x v="2"/>
    <n v="2.2069999999999999"/>
  </r>
  <r>
    <n v="200"/>
    <x v="3"/>
    <x v="97"/>
    <x v="1"/>
    <s v="Percent change"/>
    <s v="Units"/>
    <x v="3"/>
    <n v="7.1920000000000002"/>
  </r>
  <r>
    <n v="200"/>
    <x v="3"/>
    <x v="97"/>
    <x v="1"/>
    <s v="Percent change"/>
    <s v="Units"/>
    <x v="4"/>
    <n v="5.3520000000000003"/>
  </r>
  <r>
    <n v="200"/>
    <x v="3"/>
    <x v="97"/>
    <x v="1"/>
    <s v="Percent change"/>
    <s v="Units"/>
    <x v="5"/>
    <n v="3.81"/>
  </r>
  <r>
    <n v="200"/>
    <x v="3"/>
    <x v="97"/>
    <x v="1"/>
    <s v="Percent change"/>
    <s v="Units"/>
    <x v="6"/>
    <n v="4.8730000000000002"/>
  </r>
  <r>
    <n v="1"/>
    <x v="2"/>
    <x v="80"/>
    <x v="1"/>
    <s v="Percent change"/>
    <s v="Units"/>
    <x v="0"/>
    <n v="0.80600000000000005"/>
  </r>
  <r>
    <n v="1"/>
    <x v="2"/>
    <x v="80"/>
    <x v="1"/>
    <s v="Percent change"/>
    <s v="Units"/>
    <x v="1"/>
    <n v="2.415"/>
  </r>
  <r>
    <n v="1"/>
    <x v="2"/>
    <x v="80"/>
    <x v="1"/>
    <s v="Percent change"/>
    <s v="Units"/>
    <x v="2"/>
    <n v="4.1589999999999998"/>
  </r>
  <r>
    <n v="1"/>
    <x v="2"/>
    <x v="80"/>
    <x v="1"/>
    <s v="Percent change"/>
    <s v="Units"/>
    <x v="3"/>
    <n v="5.2080000000000002"/>
  </r>
  <r>
    <n v="1"/>
    <x v="2"/>
    <x v="80"/>
    <x v="1"/>
    <s v="Percent change"/>
    <s v="Units"/>
    <x v="4"/>
    <n v="4.3890000000000002"/>
  </r>
  <r>
    <n v="1"/>
    <x v="2"/>
    <x v="80"/>
    <x v="1"/>
    <s v="Percent change"/>
    <s v="Units"/>
    <x v="5"/>
    <n v="3.8"/>
  </r>
  <r>
    <n v="1"/>
    <x v="2"/>
    <x v="80"/>
    <x v="1"/>
    <s v="Percent change"/>
    <s v="Units"/>
    <x v="6"/>
    <n v="3"/>
  </r>
  <r>
    <n v="903"/>
    <x v="8"/>
    <x v="150"/>
    <x v="8"/>
    <s v="Percent change"/>
    <s v="Units"/>
    <x v="0"/>
    <n v="4.7569999999999997"/>
  </r>
  <r>
    <n v="903"/>
    <x v="8"/>
    <x v="150"/>
    <x v="8"/>
    <s v="Percent change"/>
    <s v="Units"/>
    <x v="1"/>
    <n v="-5.3410000000000002"/>
  </r>
  <r>
    <n v="903"/>
    <x v="8"/>
    <x v="150"/>
    <x v="8"/>
    <s v="Percent change"/>
    <s v="Units"/>
    <x v="2"/>
    <n v="10.746"/>
  </r>
  <r>
    <n v="903"/>
    <x v="8"/>
    <x v="150"/>
    <x v="8"/>
    <s v="Percent change"/>
    <s v="Units"/>
    <x v="3"/>
    <n v="4.2779999999999996"/>
  </r>
  <r>
    <n v="903"/>
    <x v="8"/>
    <x v="150"/>
    <x v="8"/>
    <s v="Percent change"/>
    <s v="Units"/>
    <x v="4"/>
    <n v="3.3"/>
  </r>
  <r>
    <n v="903"/>
    <x v="8"/>
    <x v="150"/>
    <x v="8"/>
    <s v="Percent change"/>
    <s v="Units"/>
    <x v="5"/>
    <n v="3.8"/>
  </r>
  <r>
    <n v="903"/>
    <x v="8"/>
    <x v="150"/>
    <x v="8"/>
    <s v="Percent change"/>
    <s v="Units"/>
    <x v="6"/>
    <n v="4"/>
  </r>
  <r>
    <n v="1"/>
    <x v="2"/>
    <x v="109"/>
    <x v="8"/>
    <s v="Percent change"/>
    <s v="Units"/>
    <x v="0"/>
    <n v="-0.40200000000000002"/>
  </r>
  <r>
    <n v="1"/>
    <x v="2"/>
    <x v="109"/>
    <x v="8"/>
    <s v="Percent change"/>
    <s v="Units"/>
    <x v="1"/>
    <n v="-0.82"/>
  </r>
  <r>
    <n v="1"/>
    <x v="2"/>
    <x v="109"/>
    <x v="8"/>
    <s v="Percent change"/>
    <s v="Units"/>
    <x v="2"/>
    <n v="4.0170000000000003"/>
  </r>
  <r>
    <n v="1"/>
    <x v="2"/>
    <x v="109"/>
    <x v="8"/>
    <s v="Percent change"/>
    <s v="Units"/>
    <x v="3"/>
    <n v="0.17599999999999999"/>
  </r>
  <r>
    <n v="1"/>
    <x v="2"/>
    <x v="109"/>
    <x v="8"/>
    <s v="Percent change"/>
    <s v="Units"/>
    <x v="4"/>
    <n v="4.4770000000000003"/>
  </r>
  <r>
    <n v="1"/>
    <x v="2"/>
    <x v="109"/>
    <x v="8"/>
    <s v="Percent change"/>
    <s v="Units"/>
    <x v="5"/>
    <n v="3.8"/>
  </r>
  <r>
    <n v="1"/>
    <x v="2"/>
    <x v="109"/>
    <x v="8"/>
    <s v="Percent change"/>
    <s v="Units"/>
    <x v="6"/>
    <n v="3.8"/>
  </r>
  <r>
    <n v="205"/>
    <x v="7"/>
    <x v="109"/>
    <x v="8"/>
    <s v="Percent change"/>
    <s v="Units"/>
    <x v="0"/>
    <n v="-0.40200000000000002"/>
  </r>
  <r>
    <n v="205"/>
    <x v="7"/>
    <x v="109"/>
    <x v="8"/>
    <s v="Percent change"/>
    <s v="Units"/>
    <x v="1"/>
    <n v="-0.82"/>
  </r>
  <r>
    <n v="205"/>
    <x v="7"/>
    <x v="109"/>
    <x v="8"/>
    <s v="Percent change"/>
    <s v="Units"/>
    <x v="2"/>
    <n v="4.0170000000000003"/>
  </r>
  <r>
    <n v="205"/>
    <x v="7"/>
    <x v="109"/>
    <x v="8"/>
    <s v="Percent change"/>
    <s v="Units"/>
    <x v="3"/>
    <n v="0.17599999999999999"/>
  </r>
  <r>
    <n v="205"/>
    <x v="7"/>
    <x v="109"/>
    <x v="8"/>
    <s v="Percent change"/>
    <s v="Units"/>
    <x v="4"/>
    <n v="4.4770000000000003"/>
  </r>
  <r>
    <n v="205"/>
    <x v="7"/>
    <x v="109"/>
    <x v="8"/>
    <s v="Percent change"/>
    <s v="Units"/>
    <x v="5"/>
    <n v="3.8"/>
  </r>
  <r>
    <n v="205"/>
    <x v="7"/>
    <x v="109"/>
    <x v="8"/>
    <s v="Percent change"/>
    <s v="Units"/>
    <x v="6"/>
    <n v="3.8"/>
  </r>
  <r>
    <n v="123"/>
    <x v="9"/>
    <x v="30"/>
    <x v="11"/>
    <s v="Percent of total labor force"/>
    <s v="Units"/>
    <x v="0"/>
    <n v="3.7280000000000002"/>
  </r>
  <r>
    <n v="123"/>
    <x v="9"/>
    <x v="30"/>
    <x v="11"/>
    <s v="Percent of total labor force"/>
    <s v="Units"/>
    <x v="1"/>
    <n v="4.5949999999999998"/>
  </r>
  <r>
    <n v="123"/>
    <x v="9"/>
    <x v="30"/>
    <x v="11"/>
    <s v="Percent of total labor force"/>
    <s v="Units"/>
    <x v="2"/>
    <n v="4.41"/>
  </r>
  <r>
    <n v="123"/>
    <x v="9"/>
    <x v="30"/>
    <x v="11"/>
    <s v="Percent of total labor force"/>
    <s v="Units"/>
    <x v="3"/>
    <n v="3.2519999999999998"/>
  </r>
  <r>
    <n v="123"/>
    <x v="9"/>
    <x v="30"/>
    <x v="11"/>
    <s v="Percent of total labor force"/>
    <s v="Units"/>
    <x v="4"/>
    <n v="3.6"/>
  </r>
  <r>
    <n v="123"/>
    <x v="9"/>
    <x v="30"/>
    <x v="11"/>
    <s v="Percent of total labor force"/>
    <s v="Units"/>
    <x v="5"/>
    <n v="3.8"/>
  </r>
  <r>
    <n v="123"/>
    <x v="9"/>
    <x v="30"/>
    <x v="11"/>
    <s v="Percent of total labor force"/>
    <s v="Units"/>
    <x v="6"/>
    <n v="3.8"/>
  </r>
  <r>
    <n v="200"/>
    <x v="3"/>
    <x v="150"/>
    <x v="8"/>
    <s v="Percent change"/>
    <s v="Units"/>
    <x v="0"/>
    <n v="4.7569999999999997"/>
  </r>
  <r>
    <n v="200"/>
    <x v="3"/>
    <x v="150"/>
    <x v="8"/>
    <s v="Percent change"/>
    <s v="Units"/>
    <x v="1"/>
    <n v="-5.3410000000000002"/>
  </r>
  <r>
    <n v="200"/>
    <x v="3"/>
    <x v="150"/>
    <x v="8"/>
    <s v="Percent change"/>
    <s v="Units"/>
    <x v="2"/>
    <n v="10.746"/>
  </r>
  <r>
    <n v="200"/>
    <x v="3"/>
    <x v="150"/>
    <x v="8"/>
    <s v="Percent change"/>
    <s v="Units"/>
    <x v="3"/>
    <n v="4.2779999999999996"/>
  </r>
  <r>
    <n v="200"/>
    <x v="3"/>
    <x v="150"/>
    <x v="8"/>
    <s v="Percent change"/>
    <s v="Units"/>
    <x v="4"/>
    <n v="3.3"/>
  </r>
  <r>
    <n v="200"/>
    <x v="3"/>
    <x v="150"/>
    <x v="8"/>
    <s v="Percent change"/>
    <s v="Units"/>
    <x v="5"/>
    <n v="3.8"/>
  </r>
  <r>
    <n v="200"/>
    <x v="3"/>
    <x v="150"/>
    <x v="8"/>
    <s v="Percent change"/>
    <s v="Units"/>
    <x v="6"/>
    <n v="4"/>
  </r>
  <r>
    <n v="110"/>
    <x v="0"/>
    <x v="30"/>
    <x v="11"/>
    <s v="Percent of total labor force"/>
    <s v="Units"/>
    <x v="0"/>
    <n v="3.7280000000000002"/>
  </r>
  <r>
    <n v="110"/>
    <x v="0"/>
    <x v="30"/>
    <x v="11"/>
    <s v="Percent of total labor force"/>
    <s v="Units"/>
    <x v="1"/>
    <n v="4.5949999999999998"/>
  </r>
  <r>
    <n v="110"/>
    <x v="0"/>
    <x v="30"/>
    <x v="11"/>
    <s v="Percent of total labor force"/>
    <s v="Units"/>
    <x v="2"/>
    <n v="4.41"/>
  </r>
  <r>
    <n v="110"/>
    <x v="0"/>
    <x v="30"/>
    <x v="11"/>
    <s v="Percent of total labor force"/>
    <s v="Units"/>
    <x v="3"/>
    <n v="3.2519999999999998"/>
  </r>
  <r>
    <n v="110"/>
    <x v="0"/>
    <x v="30"/>
    <x v="11"/>
    <s v="Percent of total labor force"/>
    <s v="Units"/>
    <x v="4"/>
    <n v="3.6"/>
  </r>
  <r>
    <n v="110"/>
    <x v="0"/>
    <x v="30"/>
    <x v="11"/>
    <s v="Percent of total labor force"/>
    <s v="Units"/>
    <x v="5"/>
    <n v="3.8"/>
  </r>
  <r>
    <n v="110"/>
    <x v="0"/>
    <x v="30"/>
    <x v="11"/>
    <s v="Percent of total labor force"/>
    <s v="Units"/>
    <x v="6"/>
    <n v="3.8"/>
  </r>
  <r>
    <n v="200"/>
    <x v="3"/>
    <x v="80"/>
    <x v="1"/>
    <s v="Percent change"/>
    <s v="Units"/>
    <x v="0"/>
    <n v="0.80600000000000005"/>
  </r>
  <r>
    <n v="200"/>
    <x v="3"/>
    <x v="80"/>
    <x v="1"/>
    <s v="Percent change"/>
    <s v="Units"/>
    <x v="1"/>
    <n v="2.415"/>
  </r>
  <r>
    <n v="200"/>
    <x v="3"/>
    <x v="80"/>
    <x v="1"/>
    <s v="Percent change"/>
    <s v="Units"/>
    <x v="2"/>
    <n v="4.1589999999999998"/>
  </r>
  <r>
    <n v="200"/>
    <x v="3"/>
    <x v="80"/>
    <x v="1"/>
    <s v="Percent change"/>
    <s v="Units"/>
    <x v="3"/>
    <n v="5.2080000000000002"/>
  </r>
  <r>
    <n v="200"/>
    <x v="3"/>
    <x v="80"/>
    <x v="1"/>
    <s v="Percent change"/>
    <s v="Units"/>
    <x v="4"/>
    <n v="4.3890000000000002"/>
  </r>
  <r>
    <n v="200"/>
    <x v="3"/>
    <x v="80"/>
    <x v="1"/>
    <s v="Percent change"/>
    <s v="Units"/>
    <x v="5"/>
    <n v="3.8"/>
  </r>
  <r>
    <n v="200"/>
    <x v="3"/>
    <x v="80"/>
    <x v="1"/>
    <s v="Percent change"/>
    <s v="Units"/>
    <x v="6"/>
    <n v="3"/>
  </r>
  <r>
    <n v="603"/>
    <x v="12"/>
    <x v="80"/>
    <x v="1"/>
    <s v="Percent change"/>
    <s v="Units"/>
    <x v="0"/>
    <n v="0.80600000000000005"/>
  </r>
  <r>
    <n v="603"/>
    <x v="12"/>
    <x v="80"/>
    <x v="1"/>
    <s v="Percent change"/>
    <s v="Units"/>
    <x v="1"/>
    <n v="2.415"/>
  </r>
  <r>
    <n v="603"/>
    <x v="12"/>
    <x v="80"/>
    <x v="1"/>
    <s v="Percent change"/>
    <s v="Units"/>
    <x v="2"/>
    <n v="4.1589999999999998"/>
  </r>
  <r>
    <n v="603"/>
    <x v="12"/>
    <x v="80"/>
    <x v="1"/>
    <s v="Percent change"/>
    <s v="Units"/>
    <x v="3"/>
    <n v="5.2080000000000002"/>
  </r>
  <r>
    <n v="603"/>
    <x v="12"/>
    <x v="80"/>
    <x v="1"/>
    <s v="Percent change"/>
    <s v="Units"/>
    <x v="4"/>
    <n v="4.3890000000000002"/>
  </r>
  <r>
    <n v="603"/>
    <x v="12"/>
    <x v="80"/>
    <x v="1"/>
    <s v="Percent change"/>
    <s v="Units"/>
    <x v="5"/>
    <n v="3.8"/>
  </r>
  <r>
    <n v="603"/>
    <x v="12"/>
    <x v="80"/>
    <x v="1"/>
    <s v="Percent change"/>
    <s v="Units"/>
    <x v="6"/>
    <n v="3"/>
  </r>
  <r>
    <n v="200"/>
    <x v="3"/>
    <x v="109"/>
    <x v="8"/>
    <s v="Percent change"/>
    <s v="Units"/>
    <x v="0"/>
    <n v="-0.40200000000000002"/>
  </r>
  <r>
    <n v="200"/>
    <x v="3"/>
    <x v="109"/>
    <x v="8"/>
    <s v="Percent change"/>
    <s v="Units"/>
    <x v="1"/>
    <n v="-0.82"/>
  </r>
  <r>
    <n v="200"/>
    <x v="3"/>
    <x v="109"/>
    <x v="8"/>
    <s v="Percent change"/>
    <s v="Units"/>
    <x v="2"/>
    <n v="4.0170000000000003"/>
  </r>
  <r>
    <n v="200"/>
    <x v="3"/>
    <x v="109"/>
    <x v="8"/>
    <s v="Percent change"/>
    <s v="Units"/>
    <x v="3"/>
    <n v="0.17599999999999999"/>
  </r>
  <r>
    <n v="200"/>
    <x v="3"/>
    <x v="109"/>
    <x v="8"/>
    <s v="Percent change"/>
    <s v="Units"/>
    <x v="4"/>
    <n v="4.4770000000000003"/>
  </r>
  <r>
    <n v="200"/>
    <x v="3"/>
    <x v="109"/>
    <x v="8"/>
    <s v="Percent change"/>
    <s v="Units"/>
    <x v="5"/>
    <n v="3.8"/>
  </r>
  <r>
    <n v="200"/>
    <x v="3"/>
    <x v="109"/>
    <x v="8"/>
    <s v="Percent change"/>
    <s v="Units"/>
    <x v="6"/>
    <n v="3.8"/>
  </r>
  <r>
    <n v="1"/>
    <x v="2"/>
    <x v="150"/>
    <x v="8"/>
    <s v="Percent change"/>
    <s v="Units"/>
    <x v="0"/>
    <n v="4.7569999999999997"/>
  </r>
  <r>
    <n v="1"/>
    <x v="2"/>
    <x v="150"/>
    <x v="8"/>
    <s v="Percent change"/>
    <s v="Units"/>
    <x v="1"/>
    <n v="-5.3410000000000002"/>
  </r>
  <r>
    <n v="1"/>
    <x v="2"/>
    <x v="150"/>
    <x v="8"/>
    <s v="Percent change"/>
    <s v="Units"/>
    <x v="2"/>
    <n v="10.746"/>
  </r>
  <r>
    <n v="1"/>
    <x v="2"/>
    <x v="150"/>
    <x v="8"/>
    <s v="Percent change"/>
    <s v="Units"/>
    <x v="3"/>
    <n v="4.2779999999999996"/>
  </r>
  <r>
    <n v="1"/>
    <x v="2"/>
    <x v="150"/>
    <x v="8"/>
    <s v="Percent change"/>
    <s v="Units"/>
    <x v="4"/>
    <n v="3.3"/>
  </r>
  <r>
    <n v="1"/>
    <x v="2"/>
    <x v="150"/>
    <x v="8"/>
    <s v="Percent change"/>
    <s v="Units"/>
    <x v="5"/>
    <n v="3.8"/>
  </r>
  <r>
    <n v="1"/>
    <x v="2"/>
    <x v="150"/>
    <x v="8"/>
    <s v="Percent change"/>
    <s v="Units"/>
    <x v="6"/>
    <n v="4"/>
  </r>
  <r>
    <n v="1"/>
    <x v="2"/>
    <x v="166"/>
    <x v="6"/>
    <s v="Percent change"/>
    <s v="Units"/>
    <x v="0"/>
    <n v="1.405"/>
  </r>
  <r>
    <n v="1"/>
    <x v="2"/>
    <x v="166"/>
    <x v="6"/>
    <s v="Percent change"/>
    <s v="Units"/>
    <x v="1"/>
    <n v="-11.898"/>
  </r>
  <r>
    <n v="1"/>
    <x v="2"/>
    <x v="166"/>
    <x v="6"/>
    <s v="Percent change"/>
    <s v="Units"/>
    <x v="2"/>
    <n v="10.946999999999999"/>
  </r>
  <r>
    <n v="1"/>
    <x v="2"/>
    <x v="166"/>
    <x v="6"/>
    <s v="Percent change"/>
    <s v="Units"/>
    <x v="3"/>
    <n v="8.81"/>
  </r>
  <r>
    <n v="1"/>
    <x v="2"/>
    <x v="166"/>
    <x v="6"/>
    <s v="Percent change"/>
    <s v="Units"/>
    <x v="4"/>
    <n v="1.4570000000000001"/>
  </r>
  <r>
    <n v="1"/>
    <x v="2"/>
    <x v="166"/>
    <x v="6"/>
    <s v="Percent change"/>
    <s v="Units"/>
    <x v="5"/>
    <n v="3.7869999999999999"/>
  </r>
  <r>
    <n v="1"/>
    <x v="2"/>
    <x v="166"/>
    <x v="6"/>
    <s v="Percent change"/>
    <s v="Units"/>
    <x v="6"/>
    <n v="4.0970000000000004"/>
  </r>
  <r>
    <n v="603"/>
    <x v="12"/>
    <x v="166"/>
    <x v="6"/>
    <s v="Percent change"/>
    <s v="Units"/>
    <x v="0"/>
    <n v="1.405"/>
  </r>
  <r>
    <n v="603"/>
    <x v="12"/>
    <x v="166"/>
    <x v="6"/>
    <s v="Percent change"/>
    <s v="Units"/>
    <x v="1"/>
    <n v="-11.898"/>
  </r>
  <r>
    <n v="603"/>
    <x v="12"/>
    <x v="166"/>
    <x v="6"/>
    <s v="Percent change"/>
    <s v="Units"/>
    <x v="2"/>
    <n v="10.946999999999999"/>
  </r>
  <r>
    <n v="603"/>
    <x v="12"/>
    <x v="166"/>
    <x v="6"/>
    <s v="Percent change"/>
    <s v="Units"/>
    <x v="3"/>
    <n v="8.81"/>
  </r>
  <r>
    <n v="603"/>
    <x v="12"/>
    <x v="166"/>
    <x v="6"/>
    <s v="Percent change"/>
    <s v="Units"/>
    <x v="4"/>
    <n v="1.4570000000000001"/>
  </r>
  <r>
    <n v="603"/>
    <x v="12"/>
    <x v="166"/>
    <x v="6"/>
    <s v="Percent change"/>
    <s v="Units"/>
    <x v="5"/>
    <n v="3.7869999999999999"/>
  </r>
  <r>
    <n v="603"/>
    <x v="12"/>
    <x v="166"/>
    <x v="6"/>
    <s v="Percent change"/>
    <s v="Units"/>
    <x v="6"/>
    <n v="4.0970000000000004"/>
  </r>
  <r>
    <n v="200"/>
    <x v="3"/>
    <x v="166"/>
    <x v="6"/>
    <s v="Percent change"/>
    <s v="Units"/>
    <x v="0"/>
    <n v="1.405"/>
  </r>
  <r>
    <n v="200"/>
    <x v="3"/>
    <x v="166"/>
    <x v="6"/>
    <s v="Percent change"/>
    <s v="Units"/>
    <x v="1"/>
    <n v="-11.898"/>
  </r>
  <r>
    <n v="200"/>
    <x v="3"/>
    <x v="166"/>
    <x v="6"/>
    <s v="Percent change"/>
    <s v="Units"/>
    <x v="2"/>
    <n v="10.946999999999999"/>
  </r>
  <r>
    <n v="200"/>
    <x v="3"/>
    <x v="166"/>
    <x v="6"/>
    <s v="Percent change"/>
    <s v="Units"/>
    <x v="3"/>
    <n v="8.81"/>
  </r>
  <r>
    <n v="200"/>
    <x v="3"/>
    <x v="166"/>
    <x v="6"/>
    <s v="Percent change"/>
    <s v="Units"/>
    <x v="4"/>
    <n v="1.4570000000000001"/>
  </r>
  <r>
    <n v="200"/>
    <x v="3"/>
    <x v="166"/>
    <x v="6"/>
    <s v="Percent change"/>
    <s v="Units"/>
    <x v="5"/>
    <n v="3.7869999999999999"/>
  </r>
  <r>
    <n v="200"/>
    <x v="3"/>
    <x v="166"/>
    <x v="6"/>
    <s v="Percent change"/>
    <s v="Units"/>
    <x v="6"/>
    <n v="4.0970000000000004"/>
  </r>
  <r>
    <n v="200"/>
    <x v="3"/>
    <x v="123"/>
    <x v="1"/>
    <s v="Percent change"/>
    <s v="Units"/>
    <x v="0"/>
    <n v="1.3260000000000001"/>
  </r>
  <r>
    <n v="200"/>
    <x v="3"/>
    <x v="123"/>
    <x v="1"/>
    <s v="Percent change"/>
    <s v="Units"/>
    <x v="1"/>
    <n v="-1.5940000000000001"/>
  </r>
  <r>
    <n v="200"/>
    <x v="3"/>
    <x v="123"/>
    <x v="1"/>
    <s v="Percent change"/>
    <s v="Units"/>
    <x v="2"/>
    <n v="0.21299999999999999"/>
  </r>
  <r>
    <n v="200"/>
    <x v="3"/>
    <x v="123"/>
    <x v="1"/>
    <s v="Percent change"/>
    <s v="Units"/>
    <x v="3"/>
    <n v="2.601"/>
  </r>
  <r>
    <n v="200"/>
    <x v="3"/>
    <x v="123"/>
    <x v="1"/>
    <s v="Percent change"/>
    <s v="Units"/>
    <x v="4"/>
    <n v="2.6160000000000001"/>
  </r>
  <r>
    <n v="200"/>
    <x v="3"/>
    <x v="123"/>
    <x v="1"/>
    <s v="Percent change"/>
    <s v="Units"/>
    <x v="5"/>
    <n v="3.7770000000000001"/>
  </r>
  <r>
    <n v="200"/>
    <x v="3"/>
    <x v="123"/>
    <x v="1"/>
    <s v="Percent change"/>
    <s v="Units"/>
    <x v="6"/>
    <n v="3"/>
  </r>
  <r>
    <n v="1"/>
    <x v="2"/>
    <x v="123"/>
    <x v="1"/>
    <s v="Percent change"/>
    <s v="Units"/>
    <x v="0"/>
    <n v="1.3260000000000001"/>
  </r>
  <r>
    <n v="1"/>
    <x v="2"/>
    <x v="123"/>
    <x v="1"/>
    <s v="Percent change"/>
    <s v="Units"/>
    <x v="1"/>
    <n v="-1.5940000000000001"/>
  </r>
  <r>
    <n v="1"/>
    <x v="2"/>
    <x v="123"/>
    <x v="1"/>
    <s v="Percent change"/>
    <s v="Units"/>
    <x v="2"/>
    <n v="0.21299999999999999"/>
  </r>
  <r>
    <n v="1"/>
    <x v="2"/>
    <x v="123"/>
    <x v="1"/>
    <s v="Percent change"/>
    <s v="Units"/>
    <x v="3"/>
    <n v="2.601"/>
  </r>
  <r>
    <n v="1"/>
    <x v="2"/>
    <x v="123"/>
    <x v="1"/>
    <s v="Percent change"/>
    <s v="Units"/>
    <x v="4"/>
    <n v="2.6160000000000001"/>
  </r>
  <r>
    <n v="1"/>
    <x v="2"/>
    <x v="123"/>
    <x v="1"/>
    <s v="Percent change"/>
    <s v="Units"/>
    <x v="5"/>
    <n v="3.7770000000000001"/>
  </r>
  <r>
    <n v="1"/>
    <x v="2"/>
    <x v="123"/>
    <x v="1"/>
    <s v="Percent change"/>
    <s v="Units"/>
    <x v="6"/>
    <n v="3"/>
  </r>
  <r>
    <n v="505"/>
    <x v="4"/>
    <x v="123"/>
    <x v="1"/>
    <s v="Percent change"/>
    <s v="Units"/>
    <x v="0"/>
    <n v="1.3260000000000001"/>
  </r>
  <r>
    <n v="505"/>
    <x v="4"/>
    <x v="123"/>
    <x v="1"/>
    <s v="Percent change"/>
    <s v="Units"/>
    <x v="1"/>
    <n v="-1.5940000000000001"/>
  </r>
  <r>
    <n v="505"/>
    <x v="4"/>
    <x v="123"/>
    <x v="1"/>
    <s v="Percent change"/>
    <s v="Units"/>
    <x v="2"/>
    <n v="0.21299999999999999"/>
  </r>
  <r>
    <n v="505"/>
    <x v="4"/>
    <x v="123"/>
    <x v="1"/>
    <s v="Percent change"/>
    <s v="Units"/>
    <x v="3"/>
    <n v="2.601"/>
  </r>
  <r>
    <n v="505"/>
    <x v="4"/>
    <x v="123"/>
    <x v="1"/>
    <s v="Percent change"/>
    <s v="Units"/>
    <x v="4"/>
    <n v="2.6160000000000001"/>
  </r>
  <r>
    <n v="505"/>
    <x v="4"/>
    <x v="123"/>
    <x v="1"/>
    <s v="Percent change"/>
    <s v="Units"/>
    <x v="5"/>
    <n v="3.7770000000000001"/>
  </r>
  <r>
    <n v="505"/>
    <x v="4"/>
    <x v="123"/>
    <x v="1"/>
    <s v="Percent change"/>
    <s v="Units"/>
    <x v="6"/>
    <n v="3"/>
  </r>
  <r>
    <n v="110"/>
    <x v="0"/>
    <x v="61"/>
    <x v="4"/>
    <s v="Percent change"/>
    <s v="Units"/>
    <x v="0"/>
    <n v="0.78800000000000003"/>
  </r>
  <r>
    <n v="110"/>
    <x v="0"/>
    <x v="61"/>
    <x v="4"/>
    <s v="Percent change"/>
    <s v="Units"/>
    <x v="1"/>
    <n v="-6.431"/>
  </r>
  <r>
    <n v="110"/>
    <x v="0"/>
    <x v="61"/>
    <x v="4"/>
    <s v="Percent change"/>
    <s v="Units"/>
    <x v="2"/>
    <n v="10.419"/>
  </r>
  <r>
    <n v="110"/>
    <x v="0"/>
    <x v="61"/>
    <x v="4"/>
    <s v="Percent change"/>
    <s v="Units"/>
    <x v="3"/>
    <n v="3.1429999999999998"/>
  </r>
  <r>
    <n v="110"/>
    <x v="0"/>
    <x v="61"/>
    <x v="4"/>
    <s v="Percent change"/>
    <s v="Units"/>
    <x v="4"/>
    <n v="-0.90700000000000003"/>
  </r>
  <r>
    <n v="110"/>
    <x v="0"/>
    <x v="61"/>
    <x v="4"/>
    <s v="Percent change"/>
    <s v="Units"/>
    <x v="5"/>
    <n v="3.7450000000000001"/>
  </r>
  <r>
    <n v="110"/>
    <x v="0"/>
    <x v="61"/>
    <x v="4"/>
    <s v="Percent change"/>
    <s v="Units"/>
    <x v="6"/>
    <n v="3.569"/>
  </r>
  <r>
    <n v="1"/>
    <x v="2"/>
    <x v="61"/>
    <x v="4"/>
    <s v="Percent change"/>
    <s v="Units"/>
    <x v="0"/>
    <n v="0.78800000000000003"/>
  </r>
  <r>
    <n v="1"/>
    <x v="2"/>
    <x v="61"/>
    <x v="4"/>
    <s v="Percent change"/>
    <s v="Units"/>
    <x v="1"/>
    <n v="-6.431"/>
  </r>
  <r>
    <n v="1"/>
    <x v="2"/>
    <x v="61"/>
    <x v="4"/>
    <s v="Percent change"/>
    <s v="Units"/>
    <x v="2"/>
    <n v="10.419"/>
  </r>
  <r>
    <n v="1"/>
    <x v="2"/>
    <x v="61"/>
    <x v="4"/>
    <s v="Percent change"/>
    <s v="Units"/>
    <x v="3"/>
    <n v="3.1429999999999998"/>
  </r>
  <r>
    <n v="1"/>
    <x v="2"/>
    <x v="61"/>
    <x v="4"/>
    <s v="Percent change"/>
    <s v="Units"/>
    <x v="4"/>
    <n v="-0.90700000000000003"/>
  </r>
  <r>
    <n v="1"/>
    <x v="2"/>
    <x v="61"/>
    <x v="4"/>
    <s v="Percent change"/>
    <s v="Units"/>
    <x v="5"/>
    <n v="3.7450000000000001"/>
  </r>
  <r>
    <n v="1"/>
    <x v="2"/>
    <x v="61"/>
    <x v="4"/>
    <s v="Percent change"/>
    <s v="Units"/>
    <x v="6"/>
    <n v="3.569"/>
  </r>
  <r>
    <n v="163"/>
    <x v="5"/>
    <x v="61"/>
    <x v="4"/>
    <s v="Percent change"/>
    <s v="Units"/>
    <x v="0"/>
    <n v="0.78800000000000003"/>
  </r>
  <r>
    <n v="163"/>
    <x v="5"/>
    <x v="61"/>
    <x v="4"/>
    <s v="Percent change"/>
    <s v="Units"/>
    <x v="1"/>
    <n v="-6.431"/>
  </r>
  <r>
    <n v="163"/>
    <x v="5"/>
    <x v="61"/>
    <x v="4"/>
    <s v="Percent change"/>
    <s v="Units"/>
    <x v="2"/>
    <n v="10.419"/>
  </r>
  <r>
    <n v="163"/>
    <x v="5"/>
    <x v="61"/>
    <x v="4"/>
    <s v="Percent change"/>
    <s v="Units"/>
    <x v="3"/>
    <n v="3.1429999999999998"/>
  </r>
  <r>
    <n v="163"/>
    <x v="5"/>
    <x v="61"/>
    <x v="4"/>
    <s v="Percent change"/>
    <s v="Units"/>
    <x v="4"/>
    <n v="-0.90700000000000003"/>
  </r>
  <r>
    <n v="163"/>
    <x v="5"/>
    <x v="61"/>
    <x v="4"/>
    <s v="Percent change"/>
    <s v="Units"/>
    <x v="5"/>
    <n v="3.7450000000000001"/>
  </r>
  <r>
    <n v="163"/>
    <x v="5"/>
    <x v="61"/>
    <x v="4"/>
    <s v="Percent change"/>
    <s v="Units"/>
    <x v="6"/>
    <n v="3.569"/>
  </r>
  <r>
    <n v="1"/>
    <x v="2"/>
    <x v="78"/>
    <x v="1"/>
    <s v="Percent change"/>
    <s v="Units"/>
    <x v="0"/>
    <n v="0.79100000000000004"/>
  </r>
  <r>
    <n v="1"/>
    <x v="2"/>
    <x v="78"/>
    <x v="1"/>
    <s v="Percent change"/>
    <s v="Units"/>
    <x v="1"/>
    <n v="-0.03"/>
  </r>
  <r>
    <n v="1"/>
    <x v="2"/>
    <x v="78"/>
    <x v="1"/>
    <s v="Percent change"/>
    <s v="Units"/>
    <x v="2"/>
    <n v="2.7240000000000002"/>
  </r>
  <r>
    <n v="1"/>
    <x v="2"/>
    <x v="78"/>
    <x v="1"/>
    <s v="Percent change"/>
    <s v="Units"/>
    <x v="3"/>
    <n v="10.67"/>
  </r>
  <r>
    <n v="1"/>
    <x v="2"/>
    <x v="78"/>
    <x v="1"/>
    <s v="Percent change"/>
    <s v="Units"/>
    <x v="4"/>
    <n v="8.3930000000000007"/>
  </r>
  <r>
    <n v="1"/>
    <x v="2"/>
    <x v="78"/>
    <x v="1"/>
    <s v="Percent change"/>
    <s v="Units"/>
    <x v="5"/>
    <n v="3.7440000000000002"/>
  </r>
  <r>
    <n v="1"/>
    <x v="2"/>
    <x v="78"/>
    <x v="1"/>
    <s v="Percent change"/>
    <s v="Units"/>
    <x v="6"/>
    <n v="2.2290000000000001"/>
  </r>
  <r>
    <n v="163"/>
    <x v="5"/>
    <x v="78"/>
    <x v="1"/>
    <s v="Percent change"/>
    <s v="Units"/>
    <x v="0"/>
    <n v="0.79100000000000004"/>
  </r>
  <r>
    <n v="163"/>
    <x v="5"/>
    <x v="78"/>
    <x v="1"/>
    <s v="Percent change"/>
    <s v="Units"/>
    <x v="1"/>
    <n v="-0.03"/>
  </r>
  <r>
    <n v="163"/>
    <x v="5"/>
    <x v="78"/>
    <x v="1"/>
    <s v="Percent change"/>
    <s v="Units"/>
    <x v="2"/>
    <n v="2.7240000000000002"/>
  </r>
  <r>
    <n v="163"/>
    <x v="5"/>
    <x v="78"/>
    <x v="1"/>
    <s v="Percent change"/>
    <s v="Units"/>
    <x v="3"/>
    <n v="10.67"/>
  </r>
  <r>
    <n v="163"/>
    <x v="5"/>
    <x v="78"/>
    <x v="1"/>
    <s v="Percent change"/>
    <s v="Units"/>
    <x v="4"/>
    <n v="8.3930000000000007"/>
  </r>
  <r>
    <n v="163"/>
    <x v="5"/>
    <x v="78"/>
    <x v="1"/>
    <s v="Percent change"/>
    <s v="Units"/>
    <x v="5"/>
    <n v="3.7440000000000002"/>
  </r>
  <r>
    <n v="163"/>
    <x v="5"/>
    <x v="78"/>
    <x v="1"/>
    <s v="Percent change"/>
    <s v="Units"/>
    <x v="6"/>
    <n v="2.2290000000000001"/>
  </r>
  <r>
    <n v="998"/>
    <x v="6"/>
    <x v="78"/>
    <x v="1"/>
    <s v="Percent change"/>
    <s v="Units"/>
    <x v="0"/>
    <n v="0.79100000000000004"/>
  </r>
  <r>
    <n v="998"/>
    <x v="6"/>
    <x v="78"/>
    <x v="1"/>
    <s v="Percent change"/>
    <s v="Units"/>
    <x v="1"/>
    <n v="-0.03"/>
  </r>
  <r>
    <n v="998"/>
    <x v="6"/>
    <x v="78"/>
    <x v="1"/>
    <s v="Percent change"/>
    <s v="Units"/>
    <x v="2"/>
    <n v="2.7240000000000002"/>
  </r>
  <r>
    <n v="998"/>
    <x v="6"/>
    <x v="78"/>
    <x v="1"/>
    <s v="Percent change"/>
    <s v="Units"/>
    <x v="3"/>
    <n v="10.67"/>
  </r>
  <r>
    <n v="998"/>
    <x v="6"/>
    <x v="78"/>
    <x v="1"/>
    <s v="Percent change"/>
    <s v="Units"/>
    <x v="4"/>
    <n v="8.3930000000000007"/>
  </r>
  <r>
    <n v="998"/>
    <x v="6"/>
    <x v="78"/>
    <x v="1"/>
    <s v="Percent change"/>
    <s v="Units"/>
    <x v="5"/>
    <n v="3.7440000000000002"/>
  </r>
  <r>
    <n v="998"/>
    <x v="6"/>
    <x v="78"/>
    <x v="1"/>
    <s v="Percent change"/>
    <s v="Units"/>
    <x v="6"/>
    <n v="2.2290000000000001"/>
  </r>
  <r>
    <n v="110"/>
    <x v="0"/>
    <x v="78"/>
    <x v="1"/>
    <s v="Percent change"/>
    <s v="Units"/>
    <x v="0"/>
    <n v="0.79100000000000004"/>
  </r>
  <r>
    <n v="110"/>
    <x v="0"/>
    <x v="78"/>
    <x v="1"/>
    <s v="Percent change"/>
    <s v="Units"/>
    <x v="1"/>
    <n v="-0.03"/>
  </r>
  <r>
    <n v="110"/>
    <x v="0"/>
    <x v="78"/>
    <x v="1"/>
    <s v="Percent change"/>
    <s v="Units"/>
    <x v="2"/>
    <n v="2.7240000000000002"/>
  </r>
  <r>
    <n v="110"/>
    <x v="0"/>
    <x v="78"/>
    <x v="1"/>
    <s v="Percent change"/>
    <s v="Units"/>
    <x v="3"/>
    <n v="10.67"/>
  </r>
  <r>
    <n v="110"/>
    <x v="0"/>
    <x v="78"/>
    <x v="1"/>
    <s v="Percent change"/>
    <s v="Units"/>
    <x v="4"/>
    <n v="8.3930000000000007"/>
  </r>
  <r>
    <n v="110"/>
    <x v="0"/>
    <x v="78"/>
    <x v="1"/>
    <s v="Percent change"/>
    <s v="Units"/>
    <x v="5"/>
    <n v="3.7440000000000002"/>
  </r>
  <r>
    <n v="110"/>
    <x v="0"/>
    <x v="78"/>
    <x v="1"/>
    <s v="Percent change"/>
    <s v="Units"/>
    <x v="6"/>
    <n v="2.2290000000000001"/>
  </r>
  <r>
    <n v="903"/>
    <x v="8"/>
    <x v="116"/>
    <x v="8"/>
    <s v="Percent change"/>
    <s v="Units"/>
    <x v="0"/>
    <n v="4.0629999999999997"/>
  </r>
  <r>
    <n v="903"/>
    <x v="8"/>
    <x v="116"/>
    <x v="8"/>
    <s v="Percent change"/>
    <s v="Units"/>
    <x v="1"/>
    <n v="-15.307"/>
  </r>
  <r>
    <n v="903"/>
    <x v="8"/>
    <x v="116"/>
    <x v="8"/>
    <s v="Percent change"/>
    <s v="Units"/>
    <x v="2"/>
    <n v="13.042999999999999"/>
  </r>
  <r>
    <n v="903"/>
    <x v="8"/>
    <x v="116"/>
    <x v="8"/>
    <s v="Percent change"/>
    <s v="Units"/>
    <x v="3"/>
    <n v="6.407"/>
  </r>
  <r>
    <n v="903"/>
    <x v="8"/>
    <x v="116"/>
    <x v="8"/>
    <s v="Percent change"/>
    <s v="Units"/>
    <x v="4"/>
    <n v="6"/>
  </r>
  <r>
    <n v="903"/>
    <x v="8"/>
    <x v="116"/>
    <x v="8"/>
    <s v="Percent change"/>
    <s v="Units"/>
    <x v="5"/>
    <n v="3.742"/>
  </r>
  <r>
    <n v="903"/>
    <x v="8"/>
    <x v="116"/>
    <x v="8"/>
    <s v="Percent change"/>
    <s v="Units"/>
    <x v="6"/>
    <n v="3"/>
  </r>
  <r>
    <n v="200"/>
    <x v="3"/>
    <x v="116"/>
    <x v="8"/>
    <s v="Percent change"/>
    <s v="Units"/>
    <x v="0"/>
    <n v="4.0629999999999997"/>
  </r>
  <r>
    <n v="200"/>
    <x v="3"/>
    <x v="116"/>
    <x v="8"/>
    <s v="Percent change"/>
    <s v="Units"/>
    <x v="1"/>
    <n v="-15.307"/>
  </r>
  <r>
    <n v="200"/>
    <x v="3"/>
    <x v="116"/>
    <x v="8"/>
    <s v="Percent change"/>
    <s v="Units"/>
    <x v="2"/>
    <n v="13.042999999999999"/>
  </r>
  <r>
    <n v="200"/>
    <x v="3"/>
    <x v="116"/>
    <x v="8"/>
    <s v="Percent change"/>
    <s v="Units"/>
    <x v="3"/>
    <n v="6.407"/>
  </r>
  <r>
    <n v="200"/>
    <x v="3"/>
    <x v="116"/>
    <x v="8"/>
    <s v="Percent change"/>
    <s v="Units"/>
    <x v="4"/>
    <n v="6"/>
  </r>
  <r>
    <n v="200"/>
    <x v="3"/>
    <x v="116"/>
    <x v="8"/>
    <s v="Percent change"/>
    <s v="Units"/>
    <x v="5"/>
    <n v="3.742"/>
  </r>
  <r>
    <n v="200"/>
    <x v="3"/>
    <x v="116"/>
    <x v="8"/>
    <s v="Percent change"/>
    <s v="Units"/>
    <x v="6"/>
    <n v="3"/>
  </r>
  <r>
    <n v="1"/>
    <x v="2"/>
    <x v="116"/>
    <x v="8"/>
    <s v="Percent change"/>
    <s v="Units"/>
    <x v="0"/>
    <n v="4.0629999999999997"/>
  </r>
  <r>
    <n v="1"/>
    <x v="2"/>
    <x v="116"/>
    <x v="8"/>
    <s v="Percent change"/>
    <s v="Units"/>
    <x v="1"/>
    <n v="-15.307"/>
  </r>
  <r>
    <n v="1"/>
    <x v="2"/>
    <x v="116"/>
    <x v="8"/>
    <s v="Percent change"/>
    <s v="Units"/>
    <x v="2"/>
    <n v="13.042999999999999"/>
  </r>
  <r>
    <n v="1"/>
    <x v="2"/>
    <x v="116"/>
    <x v="8"/>
    <s v="Percent change"/>
    <s v="Units"/>
    <x v="3"/>
    <n v="6.407"/>
  </r>
  <r>
    <n v="1"/>
    <x v="2"/>
    <x v="116"/>
    <x v="8"/>
    <s v="Percent change"/>
    <s v="Units"/>
    <x v="4"/>
    <n v="6"/>
  </r>
  <r>
    <n v="1"/>
    <x v="2"/>
    <x v="116"/>
    <x v="8"/>
    <s v="Percent change"/>
    <s v="Units"/>
    <x v="5"/>
    <n v="3.742"/>
  </r>
  <r>
    <n v="1"/>
    <x v="2"/>
    <x v="116"/>
    <x v="8"/>
    <s v="Percent change"/>
    <s v="Units"/>
    <x v="6"/>
    <n v="3"/>
  </r>
  <r>
    <n v="200"/>
    <x v="3"/>
    <x v="33"/>
    <x v="1"/>
    <s v="Percent change"/>
    <s v="Units"/>
    <x v="0"/>
    <n v="2.7949999999999999"/>
  </r>
  <r>
    <n v="200"/>
    <x v="3"/>
    <x v="33"/>
    <x v="1"/>
    <s v="Percent change"/>
    <s v="Units"/>
    <x v="1"/>
    <n v="3.22"/>
  </r>
  <r>
    <n v="200"/>
    <x v="3"/>
    <x v="33"/>
    <x v="1"/>
    <s v="Percent change"/>
    <s v="Units"/>
    <x v="2"/>
    <n v="1.837"/>
  </r>
  <r>
    <n v="200"/>
    <x v="3"/>
    <x v="33"/>
    <x v="1"/>
    <s v="Percent change"/>
    <s v="Units"/>
    <x v="3"/>
    <n v="3.157"/>
  </r>
  <r>
    <n v="200"/>
    <x v="3"/>
    <x v="33"/>
    <x v="1"/>
    <s v="Percent change"/>
    <s v="Units"/>
    <x v="4"/>
    <n v="3.2530000000000001"/>
  </r>
  <r>
    <n v="200"/>
    <x v="3"/>
    <x v="33"/>
    <x v="1"/>
    <s v="Percent change"/>
    <s v="Units"/>
    <x v="5"/>
    <n v="3.74"/>
  </r>
  <r>
    <n v="200"/>
    <x v="3"/>
    <x v="33"/>
    <x v="1"/>
    <s v="Percent change"/>
    <s v="Units"/>
    <x v="6"/>
    <n v="3.4329999999999998"/>
  </r>
  <r>
    <n v="1"/>
    <x v="2"/>
    <x v="33"/>
    <x v="1"/>
    <s v="Percent change"/>
    <s v="Units"/>
    <x v="0"/>
    <n v="2.7949999999999999"/>
  </r>
  <r>
    <n v="1"/>
    <x v="2"/>
    <x v="33"/>
    <x v="1"/>
    <s v="Percent change"/>
    <s v="Units"/>
    <x v="1"/>
    <n v="3.22"/>
  </r>
  <r>
    <n v="1"/>
    <x v="2"/>
    <x v="33"/>
    <x v="1"/>
    <s v="Percent change"/>
    <s v="Units"/>
    <x v="2"/>
    <n v="1.837"/>
  </r>
  <r>
    <n v="1"/>
    <x v="2"/>
    <x v="33"/>
    <x v="1"/>
    <s v="Percent change"/>
    <s v="Units"/>
    <x v="3"/>
    <n v="3.157"/>
  </r>
  <r>
    <n v="1"/>
    <x v="2"/>
    <x v="33"/>
    <x v="1"/>
    <s v="Percent change"/>
    <s v="Units"/>
    <x v="4"/>
    <n v="3.2530000000000001"/>
  </r>
  <r>
    <n v="1"/>
    <x v="2"/>
    <x v="33"/>
    <x v="1"/>
    <s v="Percent change"/>
    <s v="Units"/>
    <x v="5"/>
    <n v="3.74"/>
  </r>
  <r>
    <n v="1"/>
    <x v="2"/>
    <x v="33"/>
    <x v="1"/>
    <s v="Percent change"/>
    <s v="Units"/>
    <x v="6"/>
    <n v="3.4329999999999998"/>
  </r>
  <r>
    <n v="505"/>
    <x v="4"/>
    <x v="33"/>
    <x v="1"/>
    <s v="Percent change"/>
    <s v="Units"/>
    <x v="0"/>
    <n v="2.7949999999999999"/>
  </r>
  <r>
    <n v="505"/>
    <x v="4"/>
    <x v="33"/>
    <x v="1"/>
    <s v="Percent change"/>
    <s v="Units"/>
    <x v="1"/>
    <n v="3.22"/>
  </r>
  <r>
    <n v="505"/>
    <x v="4"/>
    <x v="33"/>
    <x v="1"/>
    <s v="Percent change"/>
    <s v="Units"/>
    <x v="2"/>
    <n v="1.837"/>
  </r>
  <r>
    <n v="505"/>
    <x v="4"/>
    <x v="33"/>
    <x v="1"/>
    <s v="Percent change"/>
    <s v="Units"/>
    <x v="3"/>
    <n v="3.157"/>
  </r>
  <r>
    <n v="505"/>
    <x v="4"/>
    <x v="33"/>
    <x v="1"/>
    <s v="Percent change"/>
    <s v="Units"/>
    <x v="4"/>
    <n v="3.2530000000000001"/>
  </r>
  <r>
    <n v="505"/>
    <x v="4"/>
    <x v="33"/>
    <x v="1"/>
    <s v="Percent change"/>
    <s v="Units"/>
    <x v="5"/>
    <n v="3.74"/>
  </r>
  <r>
    <n v="505"/>
    <x v="4"/>
    <x v="33"/>
    <x v="1"/>
    <s v="Percent change"/>
    <s v="Units"/>
    <x v="6"/>
    <n v="3.4329999999999998"/>
  </r>
  <r>
    <n v="200"/>
    <x v="3"/>
    <x v="178"/>
    <x v="4"/>
    <s v="Percent change"/>
    <s v="Units"/>
    <x v="0"/>
    <n v="4.07"/>
  </r>
  <r>
    <n v="200"/>
    <x v="3"/>
    <x v="178"/>
    <x v="4"/>
    <s v="Percent change"/>
    <s v="Units"/>
    <x v="1"/>
    <n v="-59.356999999999999"/>
  </r>
  <r>
    <n v="200"/>
    <x v="3"/>
    <x v="178"/>
    <x v="4"/>
    <s v="Percent change"/>
    <s v="Units"/>
    <x v="2"/>
    <n v="38.145000000000003"/>
  </r>
  <r>
    <n v="200"/>
    <x v="3"/>
    <x v="178"/>
    <x v="4"/>
    <s v="Percent change"/>
    <s v="Units"/>
    <x v="3"/>
    <n v="66.58"/>
  </r>
  <r>
    <n v="200"/>
    <x v="3"/>
    <x v="178"/>
    <x v="4"/>
    <s v="Percent change"/>
    <s v="Units"/>
    <x v="4"/>
    <n v="4.7290000000000001"/>
  </r>
  <r>
    <n v="200"/>
    <x v="3"/>
    <x v="178"/>
    <x v="4"/>
    <s v="Percent change"/>
    <s v="Units"/>
    <x v="5"/>
    <n v="3.726"/>
  </r>
  <r>
    <n v="200"/>
    <x v="3"/>
    <x v="178"/>
    <x v="4"/>
    <s v="Percent change"/>
    <s v="Units"/>
    <x v="6"/>
    <n v="3.556"/>
  </r>
  <r>
    <n v="205"/>
    <x v="7"/>
    <x v="178"/>
    <x v="4"/>
    <s v="Percent change"/>
    <s v="Units"/>
    <x v="0"/>
    <n v="4.07"/>
  </r>
  <r>
    <n v="205"/>
    <x v="7"/>
    <x v="178"/>
    <x v="4"/>
    <s v="Percent change"/>
    <s v="Units"/>
    <x v="1"/>
    <n v="-59.356999999999999"/>
  </r>
  <r>
    <n v="205"/>
    <x v="7"/>
    <x v="178"/>
    <x v="4"/>
    <s v="Percent change"/>
    <s v="Units"/>
    <x v="2"/>
    <n v="38.145000000000003"/>
  </r>
  <r>
    <n v="205"/>
    <x v="7"/>
    <x v="178"/>
    <x v="4"/>
    <s v="Percent change"/>
    <s v="Units"/>
    <x v="3"/>
    <n v="66.58"/>
  </r>
  <r>
    <n v="205"/>
    <x v="7"/>
    <x v="178"/>
    <x v="4"/>
    <s v="Percent change"/>
    <s v="Units"/>
    <x v="4"/>
    <n v="4.7290000000000001"/>
  </r>
  <r>
    <n v="205"/>
    <x v="7"/>
    <x v="178"/>
    <x v="4"/>
    <s v="Percent change"/>
    <s v="Units"/>
    <x v="5"/>
    <n v="3.726"/>
  </r>
  <r>
    <n v="205"/>
    <x v="7"/>
    <x v="178"/>
    <x v="4"/>
    <s v="Percent change"/>
    <s v="Units"/>
    <x v="6"/>
    <n v="3.556"/>
  </r>
  <r>
    <n v="1"/>
    <x v="2"/>
    <x v="178"/>
    <x v="4"/>
    <s v="Percent change"/>
    <s v="Units"/>
    <x v="0"/>
    <n v="4.07"/>
  </r>
  <r>
    <n v="1"/>
    <x v="2"/>
    <x v="178"/>
    <x v="4"/>
    <s v="Percent change"/>
    <s v="Units"/>
    <x v="1"/>
    <n v="-59.356999999999999"/>
  </r>
  <r>
    <n v="1"/>
    <x v="2"/>
    <x v="178"/>
    <x v="4"/>
    <s v="Percent change"/>
    <s v="Units"/>
    <x v="2"/>
    <n v="38.145000000000003"/>
  </r>
  <r>
    <n v="1"/>
    <x v="2"/>
    <x v="178"/>
    <x v="4"/>
    <s v="Percent change"/>
    <s v="Units"/>
    <x v="3"/>
    <n v="66.58"/>
  </r>
  <r>
    <n v="1"/>
    <x v="2"/>
    <x v="178"/>
    <x v="4"/>
    <s v="Percent change"/>
    <s v="Units"/>
    <x v="4"/>
    <n v="4.7290000000000001"/>
  </r>
  <r>
    <n v="1"/>
    <x v="2"/>
    <x v="178"/>
    <x v="4"/>
    <s v="Percent change"/>
    <s v="Units"/>
    <x v="5"/>
    <n v="3.726"/>
  </r>
  <r>
    <n v="1"/>
    <x v="2"/>
    <x v="178"/>
    <x v="4"/>
    <s v="Percent change"/>
    <s v="Units"/>
    <x v="6"/>
    <n v="3.556"/>
  </r>
  <r>
    <n v="1"/>
    <x v="2"/>
    <x v="55"/>
    <x v="1"/>
    <s v="Percent change"/>
    <s v="Units"/>
    <x v="0"/>
    <n v="3.3730000000000002"/>
  </r>
  <r>
    <n v="1"/>
    <x v="2"/>
    <x v="55"/>
    <x v="1"/>
    <s v="Percent change"/>
    <s v="Units"/>
    <x v="1"/>
    <n v="3.3050000000000002"/>
  </r>
  <r>
    <n v="1"/>
    <x v="2"/>
    <x v="55"/>
    <x v="1"/>
    <s v="Percent change"/>
    <s v="Units"/>
    <x v="2"/>
    <n v="5.1050000000000004"/>
  </r>
  <r>
    <n v="1"/>
    <x v="2"/>
    <x v="55"/>
    <x v="1"/>
    <s v="Percent change"/>
    <s v="Units"/>
    <x v="3"/>
    <n v="14.62"/>
  </r>
  <r>
    <n v="1"/>
    <x v="2"/>
    <x v="55"/>
    <x v="1"/>
    <s v="Percent change"/>
    <s v="Units"/>
    <x v="4"/>
    <n v="17.14"/>
  </r>
  <r>
    <n v="1"/>
    <x v="2"/>
    <x v="55"/>
    <x v="1"/>
    <s v="Percent change"/>
    <s v="Units"/>
    <x v="5"/>
    <n v="3.7229999999999999"/>
  </r>
  <r>
    <n v="1"/>
    <x v="2"/>
    <x v="55"/>
    <x v="1"/>
    <s v="Percent change"/>
    <s v="Units"/>
    <x v="6"/>
    <n v="3.5489999999999999"/>
  </r>
  <r>
    <n v="200"/>
    <x v="3"/>
    <x v="55"/>
    <x v="1"/>
    <s v="Percent change"/>
    <s v="Units"/>
    <x v="0"/>
    <n v="3.3730000000000002"/>
  </r>
  <r>
    <n v="200"/>
    <x v="3"/>
    <x v="55"/>
    <x v="1"/>
    <s v="Percent change"/>
    <s v="Units"/>
    <x v="1"/>
    <n v="3.3050000000000002"/>
  </r>
  <r>
    <n v="200"/>
    <x v="3"/>
    <x v="55"/>
    <x v="1"/>
    <s v="Percent change"/>
    <s v="Units"/>
    <x v="2"/>
    <n v="5.1050000000000004"/>
  </r>
  <r>
    <n v="200"/>
    <x v="3"/>
    <x v="55"/>
    <x v="1"/>
    <s v="Percent change"/>
    <s v="Units"/>
    <x v="3"/>
    <n v="14.62"/>
  </r>
  <r>
    <n v="200"/>
    <x v="3"/>
    <x v="55"/>
    <x v="1"/>
    <s v="Percent change"/>
    <s v="Units"/>
    <x v="4"/>
    <n v="17.14"/>
  </r>
  <r>
    <n v="200"/>
    <x v="3"/>
    <x v="55"/>
    <x v="1"/>
    <s v="Percent change"/>
    <s v="Units"/>
    <x v="5"/>
    <n v="3.7229999999999999"/>
  </r>
  <r>
    <n v="200"/>
    <x v="3"/>
    <x v="55"/>
    <x v="1"/>
    <s v="Percent change"/>
    <s v="Units"/>
    <x v="6"/>
    <n v="3.5489999999999999"/>
  </r>
  <r>
    <n v="998"/>
    <x v="6"/>
    <x v="55"/>
    <x v="1"/>
    <s v="Percent change"/>
    <s v="Units"/>
    <x v="0"/>
    <n v="3.3730000000000002"/>
  </r>
  <r>
    <n v="998"/>
    <x v="6"/>
    <x v="55"/>
    <x v="1"/>
    <s v="Percent change"/>
    <s v="Units"/>
    <x v="1"/>
    <n v="3.3050000000000002"/>
  </r>
  <r>
    <n v="998"/>
    <x v="6"/>
    <x v="55"/>
    <x v="1"/>
    <s v="Percent change"/>
    <s v="Units"/>
    <x v="2"/>
    <n v="5.1050000000000004"/>
  </r>
  <r>
    <n v="998"/>
    <x v="6"/>
    <x v="55"/>
    <x v="1"/>
    <s v="Percent change"/>
    <s v="Units"/>
    <x v="3"/>
    <n v="14.62"/>
  </r>
  <r>
    <n v="998"/>
    <x v="6"/>
    <x v="55"/>
    <x v="1"/>
    <s v="Percent change"/>
    <s v="Units"/>
    <x v="4"/>
    <n v="17.14"/>
  </r>
  <r>
    <n v="998"/>
    <x v="6"/>
    <x v="55"/>
    <x v="1"/>
    <s v="Percent change"/>
    <s v="Units"/>
    <x v="5"/>
    <n v="3.7229999999999999"/>
  </r>
  <r>
    <n v="998"/>
    <x v="6"/>
    <x v="55"/>
    <x v="1"/>
    <s v="Percent change"/>
    <s v="Units"/>
    <x v="6"/>
    <n v="3.5489999999999999"/>
  </r>
  <r>
    <n v="903"/>
    <x v="8"/>
    <x v="55"/>
    <x v="1"/>
    <s v="Percent change"/>
    <s v="Units"/>
    <x v="0"/>
    <n v="3.3730000000000002"/>
  </r>
  <r>
    <n v="903"/>
    <x v="8"/>
    <x v="55"/>
    <x v="1"/>
    <s v="Percent change"/>
    <s v="Units"/>
    <x v="1"/>
    <n v="3.3050000000000002"/>
  </r>
  <r>
    <n v="903"/>
    <x v="8"/>
    <x v="55"/>
    <x v="1"/>
    <s v="Percent change"/>
    <s v="Units"/>
    <x v="2"/>
    <n v="5.1050000000000004"/>
  </r>
  <r>
    <n v="903"/>
    <x v="8"/>
    <x v="55"/>
    <x v="1"/>
    <s v="Percent change"/>
    <s v="Units"/>
    <x v="3"/>
    <n v="14.62"/>
  </r>
  <r>
    <n v="903"/>
    <x v="8"/>
    <x v="55"/>
    <x v="1"/>
    <s v="Percent change"/>
    <s v="Units"/>
    <x v="4"/>
    <n v="17.14"/>
  </r>
  <r>
    <n v="903"/>
    <x v="8"/>
    <x v="55"/>
    <x v="1"/>
    <s v="Percent change"/>
    <s v="Units"/>
    <x v="5"/>
    <n v="3.7229999999999999"/>
  </r>
  <r>
    <n v="903"/>
    <x v="8"/>
    <x v="55"/>
    <x v="1"/>
    <s v="Percent change"/>
    <s v="Units"/>
    <x v="6"/>
    <n v="3.5489999999999999"/>
  </r>
  <r>
    <n v="163"/>
    <x v="5"/>
    <x v="90"/>
    <x v="11"/>
    <s v="Percent of total labor force"/>
    <s v="Units"/>
    <x v="0"/>
    <n v="4.45"/>
  </r>
  <r>
    <n v="163"/>
    <x v="5"/>
    <x v="90"/>
    <x v="11"/>
    <s v="Percent of total labor force"/>
    <s v="Units"/>
    <x v="1"/>
    <n v="5"/>
  </r>
  <r>
    <n v="163"/>
    <x v="5"/>
    <x v="90"/>
    <x v="11"/>
    <s v="Percent of total labor force"/>
    <s v="Units"/>
    <x v="2"/>
    <n v="4.7249999999999996"/>
  </r>
  <r>
    <n v="163"/>
    <x v="5"/>
    <x v="90"/>
    <x v="11"/>
    <s v="Percent of total labor force"/>
    <s v="Units"/>
    <x v="3"/>
    <n v="4"/>
  </r>
  <r>
    <n v="163"/>
    <x v="5"/>
    <x v="90"/>
    <x v="11"/>
    <s v="Percent of total labor force"/>
    <s v="Units"/>
    <x v="4"/>
    <n v="3.6749999999999998"/>
  </r>
  <r>
    <n v="163"/>
    <x v="5"/>
    <x v="90"/>
    <x v="11"/>
    <s v="Percent of total labor force"/>
    <s v="Units"/>
    <x v="5"/>
    <n v="3.7210000000000001"/>
  </r>
  <r>
    <n v="163"/>
    <x v="5"/>
    <x v="90"/>
    <x v="11"/>
    <s v="Percent of total labor force"/>
    <s v="Units"/>
    <x v="6"/>
    <n v="3.778"/>
  </r>
  <r>
    <n v="110"/>
    <x v="0"/>
    <x v="90"/>
    <x v="11"/>
    <s v="Percent of total labor force"/>
    <s v="Units"/>
    <x v="0"/>
    <n v="4.45"/>
  </r>
  <r>
    <n v="110"/>
    <x v="0"/>
    <x v="90"/>
    <x v="11"/>
    <s v="Percent of total labor force"/>
    <s v="Units"/>
    <x v="1"/>
    <n v="5"/>
  </r>
  <r>
    <n v="110"/>
    <x v="0"/>
    <x v="90"/>
    <x v="11"/>
    <s v="Percent of total labor force"/>
    <s v="Units"/>
    <x v="2"/>
    <n v="4.7249999999999996"/>
  </r>
  <r>
    <n v="110"/>
    <x v="0"/>
    <x v="90"/>
    <x v="11"/>
    <s v="Percent of total labor force"/>
    <s v="Units"/>
    <x v="3"/>
    <n v="4"/>
  </r>
  <r>
    <n v="110"/>
    <x v="0"/>
    <x v="90"/>
    <x v="11"/>
    <s v="Percent of total labor force"/>
    <s v="Units"/>
    <x v="4"/>
    <n v="3.6749999999999998"/>
  </r>
  <r>
    <n v="110"/>
    <x v="0"/>
    <x v="90"/>
    <x v="11"/>
    <s v="Percent of total labor force"/>
    <s v="Units"/>
    <x v="5"/>
    <n v="3.7210000000000001"/>
  </r>
  <r>
    <n v="110"/>
    <x v="0"/>
    <x v="90"/>
    <x v="11"/>
    <s v="Percent of total labor force"/>
    <s v="Units"/>
    <x v="6"/>
    <n v="3.778"/>
  </r>
  <r>
    <n v="1"/>
    <x v="2"/>
    <x v="159"/>
    <x v="8"/>
    <s v="Percent change"/>
    <s v="Units"/>
    <x v="0"/>
    <n v="0.33200000000000002"/>
  </r>
  <r>
    <n v="1"/>
    <x v="2"/>
    <x v="159"/>
    <x v="8"/>
    <s v="Percent change"/>
    <s v="Units"/>
    <x v="1"/>
    <n v="-12.712999999999999"/>
  </r>
  <r>
    <n v="1"/>
    <x v="2"/>
    <x v="159"/>
    <x v="8"/>
    <s v="Percent change"/>
    <s v="Units"/>
    <x v="2"/>
    <n v="-1.3240000000000001"/>
  </r>
  <r>
    <n v="1"/>
    <x v="2"/>
    <x v="159"/>
    <x v="8"/>
    <s v="Percent change"/>
    <s v="Units"/>
    <x v="3"/>
    <n v="13.8"/>
  </r>
  <r>
    <n v="1"/>
    <x v="2"/>
    <x v="159"/>
    <x v="8"/>
    <s v="Percent change"/>
    <s v="Units"/>
    <x v="4"/>
    <n v="4.4000000000000004"/>
  </r>
  <r>
    <n v="1"/>
    <x v="2"/>
    <x v="159"/>
    <x v="8"/>
    <s v="Percent change"/>
    <s v="Units"/>
    <x v="5"/>
    <n v="3.7"/>
  </r>
  <r>
    <n v="1"/>
    <x v="2"/>
    <x v="159"/>
    <x v="8"/>
    <s v="Percent change"/>
    <s v="Units"/>
    <x v="6"/>
    <n v="2.8"/>
  </r>
  <r>
    <n v="400"/>
    <x v="11"/>
    <x v="188"/>
    <x v="8"/>
    <s v="Percent change"/>
    <s v="Units"/>
    <x v="0"/>
    <n v="3.6269999999999998"/>
  </r>
  <r>
    <n v="400"/>
    <x v="11"/>
    <x v="188"/>
    <x v="8"/>
    <s v="Percent change"/>
    <s v="Units"/>
    <x v="1"/>
    <n v="-2.56"/>
  </r>
  <r>
    <n v="400"/>
    <x v="11"/>
    <x v="188"/>
    <x v="8"/>
    <s v="Percent change"/>
    <s v="Units"/>
    <x v="2"/>
    <n v="3.3079999999999998"/>
  </r>
  <r>
    <n v="400"/>
    <x v="11"/>
    <x v="188"/>
    <x v="8"/>
    <s v="Percent change"/>
    <s v="Units"/>
    <x v="3"/>
    <n v="2.4329999999999998"/>
  </r>
  <r>
    <n v="400"/>
    <x v="11"/>
    <x v="188"/>
    <x v="8"/>
    <s v="Percent change"/>
    <s v="Units"/>
    <x v="4"/>
    <n v="2.8"/>
  </r>
  <r>
    <n v="400"/>
    <x v="11"/>
    <x v="188"/>
    <x v="8"/>
    <s v="Percent change"/>
    <s v="Units"/>
    <x v="5"/>
    <n v="3.7"/>
  </r>
  <r>
    <n v="400"/>
    <x v="11"/>
    <x v="188"/>
    <x v="8"/>
    <s v="Percent change"/>
    <s v="Units"/>
    <x v="6"/>
    <n v="3.9"/>
  </r>
  <r>
    <n v="200"/>
    <x v="3"/>
    <x v="81"/>
    <x v="8"/>
    <s v="Percent change"/>
    <s v="Units"/>
    <x v="0"/>
    <n v="0.92900000000000005"/>
  </r>
  <r>
    <n v="200"/>
    <x v="3"/>
    <x v="81"/>
    <x v="8"/>
    <s v="Percent change"/>
    <s v="Units"/>
    <x v="1"/>
    <n v="-7.38"/>
  </r>
  <r>
    <n v="200"/>
    <x v="3"/>
    <x v="81"/>
    <x v="8"/>
    <s v="Percent change"/>
    <s v="Units"/>
    <x v="2"/>
    <n v="5.5620000000000003"/>
  </r>
  <r>
    <n v="200"/>
    <x v="3"/>
    <x v="81"/>
    <x v="8"/>
    <s v="Percent change"/>
    <s v="Units"/>
    <x v="3"/>
    <n v="4.7069999999999999"/>
  </r>
  <r>
    <n v="200"/>
    <x v="3"/>
    <x v="81"/>
    <x v="8"/>
    <s v="Percent change"/>
    <s v="Units"/>
    <x v="4"/>
    <n v="0.36699999999999999"/>
  </r>
  <r>
    <n v="200"/>
    <x v="3"/>
    <x v="81"/>
    <x v="8"/>
    <s v="Percent change"/>
    <s v="Units"/>
    <x v="5"/>
    <n v="3.7"/>
  </r>
  <r>
    <n v="200"/>
    <x v="3"/>
    <x v="81"/>
    <x v="8"/>
    <s v="Percent change"/>
    <s v="Units"/>
    <x v="6"/>
    <n v="2.899"/>
  </r>
  <r>
    <n v="123"/>
    <x v="9"/>
    <x v="28"/>
    <x v="11"/>
    <s v="Percent of total labor force"/>
    <s v="Units"/>
    <x v="0"/>
    <n v="3.8079999999999998"/>
  </r>
  <r>
    <n v="123"/>
    <x v="9"/>
    <x v="28"/>
    <x v="11"/>
    <s v="Percent of total labor force"/>
    <s v="Units"/>
    <x v="1"/>
    <n v="4.3"/>
  </r>
  <r>
    <n v="123"/>
    <x v="9"/>
    <x v="28"/>
    <x v="11"/>
    <s v="Percent of total labor force"/>
    <s v="Units"/>
    <x v="2"/>
    <n v="4.9669999999999996"/>
  </r>
  <r>
    <n v="123"/>
    <x v="9"/>
    <x v="28"/>
    <x v="11"/>
    <s v="Percent of total labor force"/>
    <s v="Units"/>
    <x v="3"/>
    <n v="3.758"/>
  </r>
  <r>
    <n v="123"/>
    <x v="9"/>
    <x v="28"/>
    <x v="11"/>
    <s v="Percent of total labor force"/>
    <s v="Units"/>
    <x v="4"/>
    <n v="3.4670000000000001"/>
  </r>
  <r>
    <n v="123"/>
    <x v="9"/>
    <x v="28"/>
    <x v="11"/>
    <s v="Percent of total labor force"/>
    <s v="Units"/>
    <x v="5"/>
    <n v="3.7"/>
  </r>
  <r>
    <n v="123"/>
    <x v="9"/>
    <x v="28"/>
    <x v="11"/>
    <s v="Percent of total labor force"/>
    <s v="Units"/>
    <x v="6"/>
    <n v="3.8"/>
  </r>
  <r>
    <n v="200"/>
    <x v="3"/>
    <x v="188"/>
    <x v="8"/>
    <s v="Percent change"/>
    <s v="Units"/>
    <x v="0"/>
    <n v="3.6269999999999998"/>
  </r>
  <r>
    <n v="200"/>
    <x v="3"/>
    <x v="188"/>
    <x v="8"/>
    <s v="Percent change"/>
    <s v="Units"/>
    <x v="1"/>
    <n v="-2.56"/>
  </r>
  <r>
    <n v="200"/>
    <x v="3"/>
    <x v="188"/>
    <x v="8"/>
    <s v="Percent change"/>
    <s v="Units"/>
    <x v="2"/>
    <n v="3.3079999999999998"/>
  </r>
  <r>
    <n v="200"/>
    <x v="3"/>
    <x v="188"/>
    <x v="8"/>
    <s v="Percent change"/>
    <s v="Units"/>
    <x v="3"/>
    <n v="2.4329999999999998"/>
  </r>
  <r>
    <n v="200"/>
    <x v="3"/>
    <x v="188"/>
    <x v="8"/>
    <s v="Percent change"/>
    <s v="Units"/>
    <x v="4"/>
    <n v="2.8"/>
  </r>
  <r>
    <n v="200"/>
    <x v="3"/>
    <x v="188"/>
    <x v="8"/>
    <s v="Percent change"/>
    <s v="Units"/>
    <x v="5"/>
    <n v="3.7"/>
  </r>
  <r>
    <n v="200"/>
    <x v="3"/>
    <x v="188"/>
    <x v="8"/>
    <s v="Percent change"/>
    <s v="Units"/>
    <x v="6"/>
    <n v="3.9"/>
  </r>
  <r>
    <n v="205"/>
    <x v="7"/>
    <x v="159"/>
    <x v="8"/>
    <s v="Percent change"/>
    <s v="Units"/>
    <x v="0"/>
    <n v="0.33200000000000002"/>
  </r>
  <r>
    <n v="205"/>
    <x v="7"/>
    <x v="159"/>
    <x v="8"/>
    <s v="Percent change"/>
    <s v="Units"/>
    <x v="1"/>
    <n v="-12.712999999999999"/>
  </r>
  <r>
    <n v="205"/>
    <x v="7"/>
    <x v="159"/>
    <x v="8"/>
    <s v="Percent change"/>
    <s v="Units"/>
    <x v="2"/>
    <n v="-1.3240000000000001"/>
  </r>
  <r>
    <n v="205"/>
    <x v="7"/>
    <x v="159"/>
    <x v="8"/>
    <s v="Percent change"/>
    <s v="Units"/>
    <x v="3"/>
    <n v="13.8"/>
  </r>
  <r>
    <n v="205"/>
    <x v="7"/>
    <x v="159"/>
    <x v="8"/>
    <s v="Percent change"/>
    <s v="Units"/>
    <x v="4"/>
    <n v="4.4000000000000004"/>
  </r>
  <r>
    <n v="205"/>
    <x v="7"/>
    <x v="159"/>
    <x v="8"/>
    <s v="Percent change"/>
    <s v="Units"/>
    <x v="5"/>
    <n v="3.7"/>
  </r>
  <r>
    <n v="205"/>
    <x v="7"/>
    <x v="159"/>
    <x v="8"/>
    <s v="Percent change"/>
    <s v="Units"/>
    <x v="6"/>
    <n v="2.8"/>
  </r>
  <r>
    <n v="1"/>
    <x v="2"/>
    <x v="188"/>
    <x v="8"/>
    <s v="Percent change"/>
    <s v="Units"/>
    <x v="0"/>
    <n v="3.6269999999999998"/>
  </r>
  <r>
    <n v="1"/>
    <x v="2"/>
    <x v="188"/>
    <x v="8"/>
    <s v="Percent change"/>
    <s v="Units"/>
    <x v="1"/>
    <n v="-2.56"/>
  </r>
  <r>
    <n v="1"/>
    <x v="2"/>
    <x v="188"/>
    <x v="8"/>
    <s v="Percent change"/>
    <s v="Units"/>
    <x v="2"/>
    <n v="3.3079999999999998"/>
  </r>
  <r>
    <n v="1"/>
    <x v="2"/>
    <x v="188"/>
    <x v="8"/>
    <s v="Percent change"/>
    <s v="Units"/>
    <x v="3"/>
    <n v="2.4329999999999998"/>
  </r>
  <r>
    <n v="1"/>
    <x v="2"/>
    <x v="188"/>
    <x v="8"/>
    <s v="Percent change"/>
    <s v="Units"/>
    <x v="4"/>
    <n v="2.8"/>
  </r>
  <r>
    <n v="1"/>
    <x v="2"/>
    <x v="188"/>
    <x v="8"/>
    <s v="Percent change"/>
    <s v="Units"/>
    <x v="5"/>
    <n v="3.7"/>
  </r>
  <r>
    <n v="1"/>
    <x v="2"/>
    <x v="188"/>
    <x v="8"/>
    <s v="Percent change"/>
    <s v="Units"/>
    <x v="6"/>
    <n v="3.9"/>
  </r>
  <r>
    <n v="1"/>
    <x v="2"/>
    <x v="81"/>
    <x v="8"/>
    <s v="Percent change"/>
    <s v="Units"/>
    <x v="0"/>
    <n v="0.92900000000000005"/>
  </r>
  <r>
    <n v="1"/>
    <x v="2"/>
    <x v="81"/>
    <x v="8"/>
    <s v="Percent change"/>
    <s v="Units"/>
    <x v="1"/>
    <n v="-7.38"/>
  </r>
  <r>
    <n v="1"/>
    <x v="2"/>
    <x v="81"/>
    <x v="8"/>
    <s v="Percent change"/>
    <s v="Units"/>
    <x v="2"/>
    <n v="5.5620000000000003"/>
  </r>
  <r>
    <n v="1"/>
    <x v="2"/>
    <x v="81"/>
    <x v="8"/>
    <s v="Percent change"/>
    <s v="Units"/>
    <x v="3"/>
    <n v="4.7069999999999999"/>
  </r>
  <r>
    <n v="1"/>
    <x v="2"/>
    <x v="81"/>
    <x v="8"/>
    <s v="Percent change"/>
    <s v="Units"/>
    <x v="4"/>
    <n v="0.36699999999999999"/>
  </r>
  <r>
    <n v="1"/>
    <x v="2"/>
    <x v="81"/>
    <x v="8"/>
    <s v="Percent change"/>
    <s v="Units"/>
    <x v="5"/>
    <n v="3.7"/>
  </r>
  <r>
    <n v="1"/>
    <x v="2"/>
    <x v="81"/>
    <x v="8"/>
    <s v="Percent change"/>
    <s v="Units"/>
    <x v="6"/>
    <n v="2.899"/>
  </r>
  <r>
    <n v="205"/>
    <x v="7"/>
    <x v="81"/>
    <x v="8"/>
    <s v="Percent change"/>
    <s v="Units"/>
    <x v="0"/>
    <n v="0.92900000000000005"/>
  </r>
  <r>
    <n v="205"/>
    <x v="7"/>
    <x v="81"/>
    <x v="8"/>
    <s v="Percent change"/>
    <s v="Units"/>
    <x v="1"/>
    <n v="-7.38"/>
  </r>
  <r>
    <n v="205"/>
    <x v="7"/>
    <x v="81"/>
    <x v="8"/>
    <s v="Percent change"/>
    <s v="Units"/>
    <x v="2"/>
    <n v="5.5620000000000003"/>
  </r>
  <r>
    <n v="205"/>
    <x v="7"/>
    <x v="81"/>
    <x v="8"/>
    <s v="Percent change"/>
    <s v="Units"/>
    <x v="3"/>
    <n v="4.7069999999999999"/>
  </r>
  <r>
    <n v="205"/>
    <x v="7"/>
    <x v="81"/>
    <x v="8"/>
    <s v="Percent change"/>
    <s v="Units"/>
    <x v="4"/>
    <n v="0.36699999999999999"/>
  </r>
  <r>
    <n v="205"/>
    <x v="7"/>
    <x v="81"/>
    <x v="8"/>
    <s v="Percent change"/>
    <s v="Units"/>
    <x v="5"/>
    <n v="3.7"/>
  </r>
  <r>
    <n v="205"/>
    <x v="7"/>
    <x v="81"/>
    <x v="8"/>
    <s v="Percent change"/>
    <s v="Units"/>
    <x v="6"/>
    <n v="2.899"/>
  </r>
  <r>
    <n v="200"/>
    <x v="3"/>
    <x v="159"/>
    <x v="8"/>
    <s v="Percent change"/>
    <s v="Units"/>
    <x v="0"/>
    <n v="0.33200000000000002"/>
  </r>
  <r>
    <n v="200"/>
    <x v="3"/>
    <x v="159"/>
    <x v="8"/>
    <s v="Percent change"/>
    <s v="Units"/>
    <x v="1"/>
    <n v="-12.712999999999999"/>
  </r>
  <r>
    <n v="200"/>
    <x v="3"/>
    <x v="159"/>
    <x v="8"/>
    <s v="Percent change"/>
    <s v="Units"/>
    <x v="2"/>
    <n v="-1.3240000000000001"/>
  </r>
  <r>
    <n v="200"/>
    <x v="3"/>
    <x v="159"/>
    <x v="8"/>
    <s v="Percent change"/>
    <s v="Units"/>
    <x v="3"/>
    <n v="13.8"/>
  </r>
  <r>
    <n v="200"/>
    <x v="3"/>
    <x v="159"/>
    <x v="8"/>
    <s v="Percent change"/>
    <s v="Units"/>
    <x v="4"/>
    <n v="4.4000000000000004"/>
  </r>
  <r>
    <n v="200"/>
    <x v="3"/>
    <x v="159"/>
    <x v="8"/>
    <s v="Percent change"/>
    <s v="Units"/>
    <x v="5"/>
    <n v="3.7"/>
  </r>
  <r>
    <n v="200"/>
    <x v="3"/>
    <x v="159"/>
    <x v="8"/>
    <s v="Percent change"/>
    <s v="Units"/>
    <x v="6"/>
    <n v="2.8"/>
  </r>
  <r>
    <n v="110"/>
    <x v="0"/>
    <x v="28"/>
    <x v="11"/>
    <s v="Percent of total labor force"/>
    <s v="Units"/>
    <x v="0"/>
    <n v="3.8079999999999998"/>
  </r>
  <r>
    <n v="110"/>
    <x v="0"/>
    <x v="28"/>
    <x v="11"/>
    <s v="Percent of total labor force"/>
    <s v="Units"/>
    <x v="1"/>
    <n v="4.3"/>
  </r>
  <r>
    <n v="110"/>
    <x v="0"/>
    <x v="28"/>
    <x v="11"/>
    <s v="Percent of total labor force"/>
    <s v="Units"/>
    <x v="2"/>
    <n v="4.9669999999999996"/>
  </r>
  <r>
    <n v="110"/>
    <x v="0"/>
    <x v="28"/>
    <x v="11"/>
    <s v="Percent of total labor force"/>
    <s v="Units"/>
    <x v="3"/>
    <n v="3.758"/>
  </r>
  <r>
    <n v="110"/>
    <x v="0"/>
    <x v="28"/>
    <x v="11"/>
    <s v="Percent of total labor force"/>
    <s v="Units"/>
    <x v="4"/>
    <n v="3.4670000000000001"/>
  </r>
  <r>
    <n v="110"/>
    <x v="0"/>
    <x v="28"/>
    <x v="11"/>
    <s v="Percent of total labor force"/>
    <s v="Units"/>
    <x v="5"/>
    <n v="3.7"/>
  </r>
  <r>
    <n v="110"/>
    <x v="0"/>
    <x v="28"/>
    <x v="11"/>
    <s v="Percent of total labor force"/>
    <s v="Units"/>
    <x v="6"/>
    <n v="3.8"/>
  </r>
  <r>
    <n v="603"/>
    <x v="12"/>
    <x v="161"/>
    <x v="8"/>
    <s v="Percent change"/>
    <s v="Units"/>
    <x v="0"/>
    <n v="2.6920000000000002"/>
  </r>
  <r>
    <n v="603"/>
    <x v="12"/>
    <x v="161"/>
    <x v="8"/>
    <s v="Percent change"/>
    <s v="Units"/>
    <x v="1"/>
    <n v="-1.56"/>
  </r>
  <r>
    <n v="603"/>
    <x v="12"/>
    <x v="161"/>
    <x v="8"/>
    <s v="Percent change"/>
    <s v="Units"/>
    <x v="2"/>
    <n v="10.683"/>
  </r>
  <r>
    <n v="603"/>
    <x v="12"/>
    <x v="161"/>
    <x v="8"/>
    <s v="Percent change"/>
    <s v="Units"/>
    <x v="3"/>
    <n v="0.47599999999999998"/>
  </r>
  <r>
    <n v="603"/>
    <x v="12"/>
    <x v="161"/>
    <x v="8"/>
    <s v="Percent change"/>
    <s v="Units"/>
    <x v="4"/>
    <n v="5.133"/>
  </r>
  <r>
    <n v="603"/>
    <x v="12"/>
    <x v="161"/>
    <x v="8"/>
    <s v="Percent change"/>
    <s v="Units"/>
    <x v="5"/>
    <n v="3.6989999999999998"/>
  </r>
  <r>
    <n v="603"/>
    <x v="12"/>
    <x v="161"/>
    <x v="8"/>
    <s v="Percent change"/>
    <s v="Units"/>
    <x v="6"/>
    <n v="3.2669999999999999"/>
  </r>
  <r>
    <n v="200"/>
    <x v="3"/>
    <x v="161"/>
    <x v="8"/>
    <s v="Percent change"/>
    <s v="Units"/>
    <x v="0"/>
    <n v="2.6920000000000002"/>
  </r>
  <r>
    <n v="200"/>
    <x v="3"/>
    <x v="161"/>
    <x v="8"/>
    <s v="Percent change"/>
    <s v="Units"/>
    <x v="1"/>
    <n v="-1.56"/>
  </r>
  <r>
    <n v="200"/>
    <x v="3"/>
    <x v="161"/>
    <x v="8"/>
    <s v="Percent change"/>
    <s v="Units"/>
    <x v="2"/>
    <n v="10.683"/>
  </r>
  <r>
    <n v="200"/>
    <x v="3"/>
    <x v="161"/>
    <x v="8"/>
    <s v="Percent change"/>
    <s v="Units"/>
    <x v="3"/>
    <n v="0.47599999999999998"/>
  </r>
  <r>
    <n v="200"/>
    <x v="3"/>
    <x v="161"/>
    <x v="8"/>
    <s v="Percent change"/>
    <s v="Units"/>
    <x v="4"/>
    <n v="5.133"/>
  </r>
  <r>
    <n v="200"/>
    <x v="3"/>
    <x v="161"/>
    <x v="8"/>
    <s v="Percent change"/>
    <s v="Units"/>
    <x v="5"/>
    <n v="3.6989999999999998"/>
  </r>
  <r>
    <n v="200"/>
    <x v="3"/>
    <x v="161"/>
    <x v="8"/>
    <s v="Percent change"/>
    <s v="Units"/>
    <x v="6"/>
    <n v="3.2669999999999999"/>
  </r>
  <r>
    <n v="1"/>
    <x v="2"/>
    <x v="161"/>
    <x v="8"/>
    <s v="Percent change"/>
    <s v="Units"/>
    <x v="0"/>
    <n v="2.6920000000000002"/>
  </r>
  <r>
    <n v="1"/>
    <x v="2"/>
    <x v="161"/>
    <x v="8"/>
    <s v="Percent change"/>
    <s v="Units"/>
    <x v="1"/>
    <n v="-1.56"/>
  </r>
  <r>
    <n v="1"/>
    <x v="2"/>
    <x v="161"/>
    <x v="8"/>
    <s v="Percent change"/>
    <s v="Units"/>
    <x v="2"/>
    <n v="10.683"/>
  </r>
  <r>
    <n v="1"/>
    <x v="2"/>
    <x v="161"/>
    <x v="8"/>
    <s v="Percent change"/>
    <s v="Units"/>
    <x v="3"/>
    <n v="0.47599999999999998"/>
  </r>
  <r>
    <n v="1"/>
    <x v="2"/>
    <x v="161"/>
    <x v="8"/>
    <s v="Percent change"/>
    <s v="Units"/>
    <x v="4"/>
    <n v="5.133"/>
  </r>
  <r>
    <n v="1"/>
    <x v="2"/>
    <x v="161"/>
    <x v="8"/>
    <s v="Percent change"/>
    <s v="Units"/>
    <x v="5"/>
    <n v="3.6989999999999998"/>
  </r>
  <r>
    <n v="1"/>
    <x v="2"/>
    <x v="161"/>
    <x v="8"/>
    <s v="Percent change"/>
    <s v="Units"/>
    <x v="6"/>
    <n v="3.2669999999999999"/>
  </r>
  <r>
    <n v="123"/>
    <x v="9"/>
    <x v="20"/>
    <x v="11"/>
    <s v="Percent of total labor force"/>
    <s v="Units"/>
    <x v="0"/>
    <n v="3.73"/>
  </r>
  <r>
    <n v="123"/>
    <x v="9"/>
    <x v="20"/>
    <x v="11"/>
    <s v="Percent of total labor force"/>
    <s v="Units"/>
    <x v="1"/>
    <n v="3.85"/>
  </r>
  <r>
    <n v="123"/>
    <x v="9"/>
    <x v="20"/>
    <x v="11"/>
    <s v="Percent of total labor force"/>
    <s v="Units"/>
    <x v="2"/>
    <n v="3.95"/>
  </r>
  <r>
    <n v="123"/>
    <x v="9"/>
    <x v="20"/>
    <x v="11"/>
    <s v="Percent of total labor force"/>
    <s v="Units"/>
    <x v="3"/>
    <n v="3.67"/>
  </r>
  <r>
    <n v="123"/>
    <x v="9"/>
    <x v="20"/>
    <x v="11"/>
    <s v="Percent of total labor force"/>
    <s v="Units"/>
    <x v="4"/>
    <n v="3.67"/>
  </r>
  <r>
    <n v="123"/>
    <x v="9"/>
    <x v="20"/>
    <x v="11"/>
    <s v="Percent of total labor force"/>
    <s v="Units"/>
    <x v="5"/>
    <n v="3.67"/>
  </r>
  <r>
    <n v="123"/>
    <x v="9"/>
    <x v="20"/>
    <x v="11"/>
    <s v="Percent of total labor force"/>
    <s v="Units"/>
    <x v="6"/>
    <n v="3.67"/>
  </r>
  <r>
    <n v="110"/>
    <x v="0"/>
    <x v="20"/>
    <x v="11"/>
    <s v="Percent of total labor force"/>
    <s v="Units"/>
    <x v="0"/>
    <n v="3.73"/>
  </r>
  <r>
    <n v="110"/>
    <x v="0"/>
    <x v="20"/>
    <x v="11"/>
    <s v="Percent of total labor force"/>
    <s v="Units"/>
    <x v="1"/>
    <n v="3.85"/>
  </r>
  <r>
    <n v="110"/>
    <x v="0"/>
    <x v="20"/>
    <x v="11"/>
    <s v="Percent of total labor force"/>
    <s v="Units"/>
    <x v="2"/>
    <n v="3.95"/>
  </r>
  <r>
    <n v="110"/>
    <x v="0"/>
    <x v="20"/>
    <x v="11"/>
    <s v="Percent of total labor force"/>
    <s v="Units"/>
    <x v="3"/>
    <n v="3.67"/>
  </r>
  <r>
    <n v="110"/>
    <x v="0"/>
    <x v="20"/>
    <x v="11"/>
    <s v="Percent of total labor force"/>
    <s v="Units"/>
    <x v="4"/>
    <n v="3.67"/>
  </r>
  <r>
    <n v="110"/>
    <x v="0"/>
    <x v="20"/>
    <x v="11"/>
    <s v="Percent of total labor force"/>
    <s v="Units"/>
    <x v="5"/>
    <n v="3.67"/>
  </r>
  <r>
    <n v="110"/>
    <x v="0"/>
    <x v="20"/>
    <x v="11"/>
    <s v="Percent of total labor force"/>
    <s v="Units"/>
    <x v="6"/>
    <n v="3.67"/>
  </r>
  <r>
    <n v="123"/>
    <x v="9"/>
    <x v="13"/>
    <x v="4"/>
    <s v="Percent change"/>
    <s v="Units"/>
    <x v="0"/>
    <n v="0.23799999999999999"/>
  </r>
  <r>
    <n v="123"/>
    <x v="9"/>
    <x v="13"/>
    <x v="4"/>
    <s v="Percent change"/>
    <s v="Units"/>
    <x v="1"/>
    <n v="-1.7070000000000001"/>
  </r>
  <r>
    <n v="123"/>
    <x v="9"/>
    <x v="13"/>
    <x v="4"/>
    <s v="Percent change"/>
    <s v="Units"/>
    <x v="2"/>
    <n v="11.095000000000001"/>
  </r>
  <r>
    <n v="123"/>
    <x v="9"/>
    <x v="13"/>
    <x v="4"/>
    <s v="Percent change"/>
    <s v="Units"/>
    <x v="3"/>
    <n v="3.4289999999999998"/>
  </r>
  <r>
    <n v="123"/>
    <x v="9"/>
    <x v="13"/>
    <x v="4"/>
    <s v="Percent change"/>
    <s v="Units"/>
    <x v="4"/>
    <n v="3.081"/>
  </r>
  <r>
    <n v="123"/>
    <x v="9"/>
    <x v="13"/>
    <x v="4"/>
    <s v="Percent change"/>
    <s v="Units"/>
    <x v="5"/>
    <n v="3.66"/>
  </r>
  <r>
    <n v="123"/>
    <x v="9"/>
    <x v="13"/>
    <x v="4"/>
    <s v="Percent change"/>
    <s v="Units"/>
    <x v="6"/>
    <n v="3.2210000000000001"/>
  </r>
  <r>
    <n v="1"/>
    <x v="2"/>
    <x v="13"/>
    <x v="4"/>
    <s v="Percent change"/>
    <s v="Units"/>
    <x v="0"/>
    <n v="0.23799999999999999"/>
  </r>
  <r>
    <n v="1"/>
    <x v="2"/>
    <x v="13"/>
    <x v="4"/>
    <s v="Percent change"/>
    <s v="Units"/>
    <x v="1"/>
    <n v="-1.7070000000000001"/>
  </r>
  <r>
    <n v="1"/>
    <x v="2"/>
    <x v="13"/>
    <x v="4"/>
    <s v="Percent change"/>
    <s v="Units"/>
    <x v="2"/>
    <n v="11.095000000000001"/>
  </r>
  <r>
    <n v="1"/>
    <x v="2"/>
    <x v="13"/>
    <x v="4"/>
    <s v="Percent change"/>
    <s v="Units"/>
    <x v="3"/>
    <n v="3.4289999999999998"/>
  </r>
  <r>
    <n v="1"/>
    <x v="2"/>
    <x v="13"/>
    <x v="4"/>
    <s v="Percent change"/>
    <s v="Units"/>
    <x v="4"/>
    <n v="3.081"/>
  </r>
  <r>
    <n v="1"/>
    <x v="2"/>
    <x v="13"/>
    <x v="4"/>
    <s v="Percent change"/>
    <s v="Units"/>
    <x v="5"/>
    <n v="3.66"/>
  </r>
  <r>
    <n v="1"/>
    <x v="2"/>
    <x v="13"/>
    <x v="4"/>
    <s v="Percent change"/>
    <s v="Units"/>
    <x v="6"/>
    <n v="3.2210000000000001"/>
  </r>
  <r>
    <n v="110"/>
    <x v="0"/>
    <x v="13"/>
    <x v="4"/>
    <s v="Percent change"/>
    <s v="Units"/>
    <x v="0"/>
    <n v="0.23799999999999999"/>
  </r>
  <r>
    <n v="110"/>
    <x v="0"/>
    <x v="13"/>
    <x v="4"/>
    <s v="Percent change"/>
    <s v="Units"/>
    <x v="1"/>
    <n v="-1.7070000000000001"/>
  </r>
  <r>
    <n v="110"/>
    <x v="0"/>
    <x v="13"/>
    <x v="4"/>
    <s v="Percent change"/>
    <s v="Units"/>
    <x v="2"/>
    <n v="11.095000000000001"/>
  </r>
  <r>
    <n v="110"/>
    <x v="0"/>
    <x v="13"/>
    <x v="4"/>
    <s v="Percent change"/>
    <s v="Units"/>
    <x v="3"/>
    <n v="3.4289999999999998"/>
  </r>
  <r>
    <n v="110"/>
    <x v="0"/>
    <x v="13"/>
    <x v="4"/>
    <s v="Percent change"/>
    <s v="Units"/>
    <x v="4"/>
    <n v="3.081"/>
  </r>
  <r>
    <n v="110"/>
    <x v="0"/>
    <x v="13"/>
    <x v="4"/>
    <s v="Percent change"/>
    <s v="Units"/>
    <x v="5"/>
    <n v="3.66"/>
  </r>
  <r>
    <n v="110"/>
    <x v="0"/>
    <x v="13"/>
    <x v="4"/>
    <s v="Percent change"/>
    <s v="Units"/>
    <x v="6"/>
    <n v="3.2210000000000001"/>
  </r>
  <r>
    <n v="200"/>
    <x v="3"/>
    <x v="69"/>
    <x v="9"/>
    <s v="Percent of GDP"/>
    <s v="Units"/>
    <x v="0"/>
    <n v="-4.83"/>
  </r>
  <r>
    <n v="200"/>
    <x v="3"/>
    <x v="69"/>
    <x v="9"/>
    <s v="Percent of GDP"/>
    <s v="Units"/>
    <x v="1"/>
    <n v="-15.673"/>
  </r>
  <r>
    <n v="200"/>
    <x v="3"/>
    <x v="69"/>
    <x v="9"/>
    <s v="Percent of GDP"/>
    <s v="Units"/>
    <x v="2"/>
    <n v="-3.1339999999999999"/>
  </r>
  <r>
    <n v="200"/>
    <x v="3"/>
    <x v="69"/>
    <x v="9"/>
    <s v="Percent of GDP"/>
    <s v="Units"/>
    <x v="3"/>
    <n v="10.08"/>
  </r>
  <r>
    <n v="200"/>
    <x v="3"/>
    <x v="69"/>
    <x v="9"/>
    <s v="Percent of GDP"/>
    <s v="Units"/>
    <x v="4"/>
    <n v="5.8940000000000001"/>
  </r>
  <r>
    <n v="200"/>
    <x v="3"/>
    <x v="69"/>
    <x v="9"/>
    <s v="Percent of GDP"/>
    <s v="Units"/>
    <x v="5"/>
    <n v="3.6589999999999998"/>
  </r>
  <r>
    <n v="200"/>
    <x v="3"/>
    <x v="69"/>
    <x v="9"/>
    <s v="Percent of GDP"/>
    <s v="Units"/>
    <x v="6"/>
    <n v="3.641"/>
  </r>
  <r>
    <n v="400"/>
    <x v="11"/>
    <x v="69"/>
    <x v="9"/>
    <s v="Percent of GDP"/>
    <s v="Units"/>
    <x v="0"/>
    <n v="-4.83"/>
  </r>
  <r>
    <n v="400"/>
    <x v="11"/>
    <x v="69"/>
    <x v="9"/>
    <s v="Percent of GDP"/>
    <s v="Units"/>
    <x v="1"/>
    <n v="-15.673"/>
  </r>
  <r>
    <n v="400"/>
    <x v="11"/>
    <x v="69"/>
    <x v="9"/>
    <s v="Percent of GDP"/>
    <s v="Units"/>
    <x v="2"/>
    <n v="-3.1339999999999999"/>
  </r>
  <r>
    <n v="400"/>
    <x v="11"/>
    <x v="69"/>
    <x v="9"/>
    <s v="Percent of GDP"/>
    <s v="Units"/>
    <x v="3"/>
    <n v="10.08"/>
  </r>
  <r>
    <n v="400"/>
    <x v="11"/>
    <x v="69"/>
    <x v="9"/>
    <s v="Percent of GDP"/>
    <s v="Units"/>
    <x v="4"/>
    <n v="5.8940000000000001"/>
  </r>
  <r>
    <n v="400"/>
    <x v="11"/>
    <x v="69"/>
    <x v="9"/>
    <s v="Percent of GDP"/>
    <s v="Units"/>
    <x v="5"/>
    <n v="3.6589999999999998"/>
  </r>
  <r>
    <n v="400"/>
    <x v="11"/>
    <x v="69"/>
    <x v="9"/>
    <s v="Percent of GDP"/>
    <s v="Units"/>
    <x v="6"/>
    <n v="3.641"/>
  </r>
  <r>
    <n v="998"/>
    <x v="6"/>
    <x v="61"/>
    <x v="1"/>
    <s v="Percent change"/>
    <s v="Units"/>
    <x v="0"/>
    <n v="2.7709999999999999"/>
  </r>
  <r>
    <n v="998"/>
    <x v="6"/>
    <x v="61"/>
    <x v="1"/>
    <s v="Percent change"/>
    <s v="Units"/>
    <x v="1"/>
    <n v="2.016"/>
  </r>
  <r>
    <n v="998"/>
    <x v="6"/>
    <x v="61"/>
    <x v="1"/>
    <s v="Percent change"/>
    <s v="Units"/>
    <x v="2"/>
    <n v="2.8279999999999998"/>
  </r>
  <r>
    <n v="998"/>
    <x v="6"/>
    <x v="61"/>
    <x v="1"/>
    <s v="Percent change"/>
    <s v="Units"/>
    <x v="3"/>
    <n v="12.135"/>
  </r>
  <r>
    <n v="998"/>
    <x v="6"/>
    <x v="61"/>
    <x v="1"/>
    <s v="Percent change"/>
    <s v="Units"/>
    <x v="4"/>
    <n v="10.962"/>
  </r>
  <r>
    <n v="998"/>
    <x v="6"/>
    <x v="61"/>
    <x v="1"/>
    <s v="Percent change"/>
    <s v="Units"/>
    <x v="5"/>
    <n v="3.6440000000000001"/>
  </r>
  <r>
    <n v="998"/>
    <x v="6"/>
    <x v="61"/>
    <x v="1"/>
    <s v="Percent change"/>
    <s v="Units"/>
    <x v="6"/>
    <n v="3.9009999999999998"/>
  </r>
  <r>
    <n v="110"/>
    <x v="0"/>
    <x v="61"/>
    <x v="1"/>
    <s v="Percent change"/>
    <s v="Units"/>
    <x v="0"/>
    <n v="2.7709999999999999"/>
  </r>
  <r>
    <n v="110"/>
    <x v="0"/>
    <x v="61"/>
    <x v="1"/>
    <s v="Percent change"/>
    <s v="Units"/>
    <x v="1"/>
    <n v="2.016"/>
  </r>
  <r>
    <n v="110"/>
    <x v="0"/>
    <x v="61"/>
    <x v="1"/>
    <s v="Percent change"/>
    <s v="Units"/>
    <x v="2"/>
    <n v="2.8279999999999998"/>
  </r>
  <r>
    <n v="110"/>
    <x v="0"/>
    <x v="61"/>
    <x v="1"/>
    <s v="Percent change"/>
    <s v="Units"/>
    <x v="3"/>
    <n v="12.135"/>
  </r>
  <r>
    <n v="110"/>
    <x v="0"/>
    <x v="61"/>
    <x v="1"/>
    <s v="Percent change"/>
    <s v="Units"/>
    <x v="4"/>
    <n v="10.962"/>
  </r>
  <r>
    <n v="110"/>
    <x v="0"/>
    <x v="61"/>
    <x v="1"/>
    <s v="Percent change"/>
    <s v="Units"/>
    <x v="5"/>
    <n v="3.6440000000000001"/>
  </r>
  <r>
    <n v="110"/>
    <x v="0"/>
    <x v="61"/>
    <x v="1"/>
    <s v="Percent change"/>
    <s v="Units"/>
    <x v="6"/>
    <n v="3.9009999999999998"/>
  </r>
  <r>
    <n v="1"/>
    <x v="2"/>
    <x v="61"/>
    <x v="1"/>
    <s v="Percent change"/>
    <s v="Units"/>
    <x v="0"/>
    <n v="2.7709999999999999"/>
  </r>
  <r>
    <n v="1"/>
    <x v="2"/>
    <x v="61"/>
    <x v="1"/>
    <s v="Percent change"/>
    <s v="Units"/>
    <x v="1"/>
    <n v="2.016"/>
  </r>
  <r>
    <n v="1"/>
    <x v="2"/>
    <x v="61"/>
    <x v="1"/>
    <s v="Percent change"/>
    <s v="Units"/>
    <x v="2"/>
    <n v="2.8279999999999998"/>
  </r>
  <r>
    <n v="1"/>
    <x v="2"/>
    <x v="61"/>
    <x v="1"/>
    <s v="Percent change"/>
    <s v="Units"/>
    <x v="3"/>
    <n v="12.135"/>
  </r>
  <r>
    <n v="1"/>
    <x v="2"/>
    <x v="61"/>
    <x v="1"/>
    <s v="Percent change"/>
    <s v="Units"/>
    <x v="4"/>
    <n v="10.962"/>
  </r>
  <r>
    <n v="1"/>
    <x v="2"/>
    <x v="61"/>
    <x v="1"/>
    <s v="Percent change"/>
    <s v="Units"/>
    <x v="5"/>
    <n v="3.6440000000000001"/>
  </r>
  <r>
    <n v="1"/>
    <x v="2"/>
    <x v="61"/>
    <x v="1"/>
    <s v="Percent change"/>
    <s v="Units"/>
    <x v="6"/>
    <n v="3.9009999999999998"/>
  </r>
  <r>
    <n v="163"/>
    <x v="5"/>
    <x v="61"/>
    <x v="1"/>
    <s v="Percent change"/>
    <s v="Units"/>
    <x v="0"/>
    <n v="2.7709999999999999"/>
  </r>
  <r>
    <n v="163"/>
    <x v="5"/>
    <x v="61"/>
    <x v="1"/>
    <s v="Percent change"/>
    <s v="Units"/>
    <x v="1"/>
    <n v="2.016"/>
  </r>
  <r>
    <n v="163"/>
    <x v="5"/>
    <x v="61"/>
    <x v="1"/>
    <s v="Percent change"/>
    <s v="Units"/>
    <x v="2"/>
    <n v="2.8279999999999998"/>
  </r>
  <r>
    <n v="163"/>
    <x v="5"/>
    <x v="61"/>
    <x v="1"/>
    <s v="Percent change"/>
    <s v="Units"/>
    <x v="3"/>
    <n v="12.135"/>
  </r>
  <r>
    <n v="163"/>
    <x v="5"/>
    <x v="61"/>
    <x v="1"/>
    <s v="Percent change"/>
    <s v="Units"/>
    <x v="4"/>
    <n v="10.962"/>
  </r>
  <r>
    <n v="163"/>
    <x v="5"/>
    <x v="61"/>
    <x v="1"/>
    <s v="Percent change"/>
    <s v="Units"/>
    <x v="5"/>
    <n v="3.6440000000000001"/>
  </r>
  <r>
    <n v="163"/>
    <x v="5"/>
    <x v="61"/>
    <x v="1"/>
    <s v="Percent change"/>
    <s v="Units"/>
    <x v="6"/>
    <n v="3.9009999999999998"/>
  </r>
  <r>
    <n v="998"/>
    <x v="6"/>
    <x v="21"/>
    <x v="1"/>
    <s v="Percent change"/>
    <s v="Units"/>
    <x v="0"/>
    <n v="1.2490000000000001"/>
  </r>
  <r>
    <n v="998"/>
    <x v="6"/>
    <x v="21"/>
    <x v="1"/>
    <s v="Percent change"/>
    <s v="Units"/>
    <x v="1"/>
    <n v="0.42099999999999999"/>
  </r>
  <r>
    <n v="998"/>
    <x v="6"/>
    <x v="21"/>
    <x v="1"/>
    <s v="Percent change"/>
    <s v="Units"/>
    <x v="2"/>
    <n v="3.21"/>
  </r>
  <r>
    <n v="998"/>
    <x v="6"/>
    <x v="21"/>
    <x v="1"/>
    <s v="Percent change"/>
    <s v="Units"/>
    <x v="3"/>
    <n v="10.324999999999999"/>
  </r>
  <r>
    <n v="998"/>
    <x v="6"/>
    <x v="21"/>
    <x v="1"/>
    <s v="Percent change"/>
    <s v="Units"/>
    <x v="4"/>
    <n v="2.2930000000000001"/>
  </r>
  <r>
    <n v="998"/>
    <x v="6"/>
    <x v="21"/>
    <x v="1"/>
    <s v="Percent change"/>
    <s v="Units"/>
    <x v="5"/>
    <n v="3.6230000000000002"/>
  </r>
  <r>
    <n v="998"/>
    <x v="6"/>
    <x v="21"/>
    <x v="1"/>
    <s v="Percent change"/>
    <s v="Units"/>
    <x v="6"/>
    <n v="1.9930000000000001"/>
  </r>
  <r>
    <n v="1"/>
    <x v="2"/>
    <x v="21"/>
    <x v="1"/>
    <s v="Percent change"/>
    <s v="Units"/>
    <x v="0"/>
    <n v="1.2490000000000001"/>
  </r>
  <r>
    <n v="1"/>
    <x v="2"/>
    <x v="21"/>
    <x v="1"/>
    <s v="Percent change"/>
    <s v="Units"/>
    <x v="1"/>
    <n v="0.42099999999999999"/>
  </r>
  <r>
    <n v="1"/>
    <x v="2"/>
    <x v="21"/>
    <x v="1"/>
    <s v="Percent change"/>
    <s v="Units"/>
    <x v="2"/>
    <n v="3.21"/>
  </r>
  <r>
    <n v="1"/>
    <x v="2"/>
    <x v="21"/>
    <x v="1"/>
    <s v="Percent change"/>
    <s v="Units"/>
    <x v="3"/>
    <n v="10.324999999999999"/>
  </r>
  <r>
    <n v="1"/>
    <x v="2"/>
    <x v="21"/>
    <x v="1"/>
    <s v="Percent change"/>
    <s v="Units"/>
    <x v="4"/>
    <n v="2.2930000000000001"/>
  </r>
  <r>
    <n v="1"/>
    <x v="2"/>
    <x v="21"/>
    <x v="1"/>
    <s v="Percent change"/>
    <s v="Units"/>
    <x v="5"/>
    <n v="3.6230000000000002"/>
  </r>
  <r>
    <n v="1"/>
    <x v="2"/>
    <x v="21"/>
    <x v="1"/>
    <s v="Percent change"/>
    <s v="Units"/>
    <x v="6"/>
    <n v="1.9930000000000001"/>
  </r>
  <r>
    <n v="163"/>
    <x v="5"/>
    <x v="21"/>
    <x v="1"/>
    <s v="Percent change"/>
    <s v="Units"/>
    <x v="0"/>
    <n v="1.2490000000000001"/>
  </r>
  <r>
    <n v="163"/>
    <x v="5"/>
    <x v="21"/>
    <x v="1"/>
    <s v="Percent change"/>
    <s v="Units"/>
    <x v="1"/>
    <n v="0.42099999999999999"/>
  </r>
  <r>
    <n v="163"/>
    <x v="5"/>
    <x v="21"/>
    <x v="1"/>
    <s v="Percent change"/>
    <s v="Units"/>
    <x v="2"/>
    <n v="3.21"/>
  </r>
  <r>
    <n v="163"/>
    <x v="5"/>
    <x v="21"/>
    <x v="1"/>
    <s v="Percent change"/>
    <s v="Units"/>
    <x v="3"/>
    <n v="10.324999999999999"/>
  </r>
  <r>
    <n v="163"/>
    <x v="5"/>
    <x v="21"/>
    <x v="1"/>
    <s v="Percent change"/>
    <s v="Units"/>
    <x v="4"/>
    <n v="2.2930000000000001"/>
  </r>
  <r>
    <n v="163"/>
    <x v="5"/>
    <x v="21"/>
    <x v="1"/>
    <s v="Percent change"/>
    <s v="Units"/>
    <x v="5"/>
    <n v="3.6230000000000002"/>
  </r>
  <r>
    <n v="163"/>
    <x v="5"/>
    <x v="21"/>
    <x v="1"/>
    <s v="Percent change"/>
    <s v="Units"/>
    <x v="6"/>
    <n v="1.9930000000000001"/>
  </r>
  <r>
    <n v="110"/>
    <x v="0"/>
    <x v="21"/>
    <x v="1"/>
    <s v="Percent change"/>
    <s v="Units"/>
    <x v="0"/>
    <n v="1.2490000000000001"/>
  </r>
  <r>
    <n v="110"/>
    <x v="0"/>
    <x v="21"/>
    <x v="1"/>
    <s v="Percent change"/>
    <s v="Units"/>
    <x v="1"/>
    <n v="0.42099999999999999"/>
  </r>
  <r>
    <n v="110"/>
    <x v="0"/>
    <x v="21"/>
    <x v="1"/>
    <s v="Percent change"/>
    <s v="Units"/>
    <x v="2"/>
    <n v="3.21"/>
  </r>
  <r>
    <n v="110"/>
    <x v="0"/>
    <x v="21"/>
    <x v="1"/>
    <s v="Percent change"/>
    <s v="Units"/>
    <x v="3"/>
    <n v="10.324999999999999"/>
  </r>
  <r>
    <n v="110"/>
    <x v="0"/>
    <x v="21"/>
    <x v="1"/>
    <s v="Percent change"/>
    <s v="Units"/>
    <x v="4"/>
    <n v="2.2930000000000001"/>
  </r>
  <r>
    <n v="110"/>
    <x v="0"/>
    <x v="21"/>
    <x v="1"/>
    <s v="Percent change"/>
    <s v="Units"/>
    <x v="5"/>
    <n v="3.6230000000000002"/>
  </r>
  <r>
    <n v="110"/>
    <x v="0"/>
    <x v="21"/>
    <x v="1"/>
    <s v="Percent change"/>
    <s v="Units"/>
    <x v="6"/>
    <n v="1.9930000000000001"/>
  </r>
  <r>
    <n v="119"/>
    <x v="1"/>
    <x v="3"/>
    <x v="10"/>
    <s v="Percent"/>
    <s v="Units"/>
    <x v="0"/>
    <n v="4.0289999999999999"/>
  </r>
  <r>
    <n v="119"/>
    <x v="1"/>
    <x v="3"/>
    <x v="10"/>
    <s v="Percent"/>
    <s v="Units"/>
    <x v="1"/>
    <n v="3.9769999999999999"/>
  </r>
  <r>
    <n v="119"/>
    <x v="1"/>
    <x v="3"/>
    <x v="10"/>
    <s v="Percent"/>
    <s v="Units"/>
    <x v="2"/>
    <n v="3.8330000000000002"/>
  </r>
  <r>
    <n v="119"/>
    <x v="1"/>
    <x v="3"/>
    <x v="10"/>
    <s v="Percent"/>
    <s v="Units"/>
    <x v="3"/>
    <n v="3.7440000000000002"/>
  </r>
  <r>
    <n v="119"/>
    <x v="1"/>
    <x v="3"/>
    <x v="10"/>
    <s v="Percent"/>
    <s v="Units"/>
    <x v="4"/>
    <n v="3.702"/>
  </r>
  <r>
    <n v="119"/>
    <x v="1"/>
    <x v="3"/>
    <x v="10"/>
    <s v="Percent"/>
    <s v="Units"/>
    <x v="5"/>
    <n v="3.62"/>
  </r>
  <r>
    <n v="119"/>
    <x v="1"/>
    <x v="3"/>
    <x v="10"/>
    <s v="Percent"/>
    <s v="Units"/>
    <x v="6"/>
    <n v="3.5430000000000001"/>
  </r>
  <r>
    <n v="110"/>
    <x v="0"/>
    <x v="3"/>
    <x v="10"/>
    <s v="Percent"/>
    <s v="Units"/>
    <x v="0"/>
    <n v="4.0289999999999999"/>
  </r>
  <r>
    <n v="110"/>
    <x v="0"/>
    <x v="3"/>
    <x v="10"/>
    <s v="Percent"/>
    <s v="Units"/>
    <x v="1"/>
    <n v="3.9769999999999999"/>
  </r>
  <r>
    <n v="110"/>
    <x v="0"/>
    <x v="3"/>
    <x v="10"/>
    <s v="Percent"/>
    <s v="Units"/>
    <x v="2"/>
    <n v="3.8330000000000002"/>
  </r>
  <r>
    <n v="110"/>
    <x v="0"/>
    <x v="3"/>
    <x v="10"/>
    <s v="Percent"/>
    <s v="Units"/>
    <x v="3"/>
    <n v="3.7440000000000002"/>
  </r>
  <r>
    <n v="110"/>
    <x v="0"/>
    <x v="3"/>
    <x v="10"/>
    <s v="Percent"/>
    <s v="Units"/>
    <x v="4"/>
    <n v="3.702"/>
  </r>
  <r>
    <n v="110"/>
    <x v="0"/>
    <x v="3"/>
    <x v="10"/>
    <s v="Percent"/>
    <s v="Units"/>
    <x v="5"/>
    <n v="3.62"/>
  </r>
  <r>
    <n v="110"/>
    <x v="0"/>
    <x v="3"/>
    <x v="10"/>
    <s v="Percent"/>
    <s v="Units"/>
    <x v="6"/>
    <n v="3.5430000000000001"/>
  </r>
  <r>
    <n v="110"/>
    <x v="0"/>
    <x v="84"/>
    <x v="4"/>
    <s v="Percent change"/>
    <s v="Units"/>
    <x v="0"/>
    <n v="10.067"/>
  </r>
  <r>
    <n v="110"/>
    <x v="0"/>
    <x v="84"/>
    <x v="4"/>
    <s v="Percent change"/>
    <s v="Units"/>
    <x v="1"/>
    <n v="0.215"/>
  </r>
  <r>
    <n v="110"/>
    <x v="0"/>
    <x v="84"/>
    <x v="4"/>
    <s v="Percent change"/>
    <s v="Units"/>
    <x v="2"/>
    <n v="17.042000000000002"/>
  </r>
  <r>
    <n v="110"/>
    <x v="0"/>
    <x v="84"/>
    <x v="4"/>
    <s v="Percent change"/>
    <s v="Units"/>
    <x v="3"/>
    <n v="12.189"/>
  </r>
  <r>
    <n v="110"/>
    <x v="0"/>
    <x v="84"/>
    <x v="4"/>
    <s v="Percent change"/>
    <s v="Units"/>
    <x v="4"/>
    <n v="-4.7910000000000004"/>
  </r>
  <r>
    <n v="110"/>
    <x v="0"/>
    <x v="84"/>
    <x v="4"/>
    <s v="Percent change"/>
    <s v="Units"/>
    <x v="5"/>
    <n v="3.6019999999999999"/>
  </r>
  <r>
    <n v="110"/>
    <x v="0"/>
    <x v="84"/>
    <x v="4"/>
    <s v="Percent change"/>
    <s v="Units"/>
    <x v="6"/>
    <n v="4.0839999999999996"/>
  </r>
  <r>
    <n v="163"/>
    <x v="5"/>
    <x v="84"/>
    <x v="4"/>
    <s v="Percent change"/>
    <s v="Units"/>
    <x v="0"/>
    <n v="10.067"/>
  </r>
  <r>
    <n v="163"/>
    <x v="5"/>
    <x v="84"/>
    <x v="4"/>
    <s v="Percent change"/>
    <s v="Units"/>
    <x v="1"/>
    <n v="0.215"/>
  </r>
  <r>
    <n v="163"/>
    <x v="5"/>
    <x v="84"/>
    <x v="4"/>
    <s v="Percent change"/>
    <s v="Units"/>
    <x v="2"/>
    <n v="17.042000000000002"/>
  </r>
  <r>
    <n v="163"/>
    <x v="5"/>
    <x v="84"/>
    <x v="4"/>
    <s v="Percent change"/>
    <s v="Units"/>
    <x v="3"/>
    <n v="12.189"/>
  </r>
  <r>
    <n v="163"/>
    <x v="5"/>
    <x v="84"/>
    <x v="4"/>
    <s v="Percent change"/>
    <s v="Units"/>
    <x v="4"/>
    <n v="-4.7910000000000004"/>
  </r>
  <r>
    <n v="163"/>
    <x v="5"/>
    <x v="84"/>
    <x v="4"/>
    <s v="Percent change"/>
    <s v="Units"/>
    <x v="5"/>
    <n v="3.6019999999999999"/>
  </r>
  <r>
    <n v="163"/>
    <x v="5"/>
    <x v="84"/>
    <x v="4"/>
    <s v="Percent change"/>
    <s v="Units"/>
    <x v="6"/>
    <n v="4.0839999999999996"/>
  </r>
  <r>
    <n v="1"/>
    <x v="2"/>
    <x v="84"/>
    <x v="4"/>
    <s v="Percent change"/>
    <s v="Units"/>
    <x v="0"/>
    <n v="10.067"/>
  </r>
  <r>
    <n v="1"/>
    <x v="2"/>
    <x v="84"/>
    <x v="4"/>
    <s v="Percent change"/>
    <s v="Units"/>
    <x v="1"/>
    <n v="0.215"/>
  </r>
  <r>
    <n v="1"/>
    <x v="2"/>
    <x v="84"/>
    <x v="4"/>
    <s v="Percent change"/>
    <s v="Units"/>
    <x v="2"/>
    <n v="17.042000000000002"/>
  </r>
  <r>
    <n v="1"/>
    <x v="2"/>
    <x v="84"/>
    <x v="4"/>
    <s v="Percent change"/>
    <s v="Units"/>
    <x v="3"/>
    <n v="12.189"/>
  </r>
  <r>
    <n v="1"/>
    <x v="2"/>
    <x v="84"/>
    <x v="4"/>
    <s v="Percent change"/>
    <s v="Units"/>
    <x v="4"/>
    <n v="-4.7910000000000004"/>
  </r>
  <r>
    <n v="1"/>
    <x v="2"/>
    <x v="84"/>
    <x v="4"/>
    <s v="Percent change"/>
    <s v="Units"/>
    <x v="5"/>
    <n v="3.6019999999999999"/>
  </r>
  <r>
    <n v="1"/>
    <x v="2"/>
    <x v="84"/>
    <x v="4"/>
    <s v="Percent change"/>
    <s v="Units"/>
    <x v="6"/>
    <n v="4.0839999999999996"/>
  </r>
  <r>
    <n v="603"/>
    <x v="12"/>
    <x v="153"/>
    <x v="1"/>
    <s v="Percent change"/>
    <s v="Units"/>
    <x v="0"/>
    <n v="0.4"/>
  </r>
  <r>
    <n v="603"/>
    <x v="12"/>
    <x v="153"/>
    <x v="1"/>
    <s v="Percent change"/>
    <s v="Units"/>
    <x v="1"/>
    <n v="1.373"/>
  </r>
  <r>
    <n v="603"/>
    <x v="12"/>
    <x v="153"/>
    <x v="1"/>
    <s v="Percent change"/>
    <s v="Units"/>
    <x v="2"/>
    <n v="1.9690000000000001"/>
  </r>
  <r>
    <n v="603"/>
    <x v="12"/>
    <x v="153"/>
    <x v="1"/>
    <s v="Percent change"/>
    <s v="Units"/>
    <x v="3"/>
    <n v="3.0259999999999998"/>
  </r>
  <r>
    <n v="603"/>
    <x v="12"/>
    <x v="153"/>
    <x v="1"/>
    <s v="Percent change"/>
    <s v="Units"/>
    <x v="4"/>
    <n v="4.5"/>
  </r>
  <r>
    <n v="603"/>
    <x v="12"/>
    <x v="153"/>
    <x v="1"/>
    <s v="Percent change"/>
    <s v="Units"/>
    <x v="5"/>
    <n v="3.6"/>
  </r>
  <r>
    <n v="603"/>
    <x v="12"/>
    <x v="153"/>
    <x v="1"/>
    <s v="Percent change"/>
    <s v="Units"/>
    <x v="6"/>
    <n v="3"/>
  </r>
  <r>
    <n v="200"/>
    <x v="3"/>
    <x v="153"/>
    <x v="1"/>
    <s v="Percent change"/>
    <s v="Units"/>
    <x v="0"/>
    <n v="0.4"/>
  </r>
  <r>
    <n v="200"/>
    <x v="3"/>
    <x v="153"/>
    <x v="1"/>
    <s v="Percent change"/>
    <s v="Units"/>
    <x v="1"/>
    <n v="1.373"/>
  </r>
  <r>
    <n v="200"/>
    <x v="3"/>
    <x v="153"/>
    <x v="1"/>
    <s v="Percent change"/>
    <s v="Units"/>
    <x v="2"/>
    <n v="1.9690000000000001"/>
  </r>
  <r>
    <n v="200"/>
    <x v="3"/>
    <x v="153"/>
    <x v="1"/>
    <s v="Percent change"/>
    <s v="Units"/>
    <x v="3"/>
    <n v="3.0259999999999998"/>
  </r>
  <r>
    <n v="200"/>
    <x v="3"/>
    <x v="153"/>
    <x v="1"/>
    <s v="Percent change"/>
    <s v="Units"/>
    <x v="4"/>
    <n v="4.5"/>
  </r>
  <r>
    <n v="200"/>
    <x v="3"/>
    <x v="153"/>
    <x v="1"/>
    <s v="Percent change"/>
    <s v="Units"/>
    <x v="5"/>
    <n v="3.6"/>
  </r>
  <r>
    <n v="200"/>
    <x v="3"/>
    <x v="153"/>
    <x v="1"/>
    <s v="Percent change"/>
    <s v="Units"/>
    <x v="6"/>
    <n v="3"/>
  </r>
  <r>
    <n v="205"/>
    <x v="7"/>
    <x v="131"/>
    <x v="8"/>
    <s v="Percent change"/>
    <s v="Units"/>
    <x v="0"/>
    <n v="2.653"/>
  </r>
  <r>
    <n v="205"/>
    <x v="7"/>
    <x v="131"/>
    <x v="8"/>
    <s v="Percent change"/>
    <s v="Units"/>
    <x v="1"/>
    <n v="-8.9649999999999999"/>
  </r>
  <r>
    <n v="205"/>
    <x v="7"/>
    <x v="131"/>
    <x v="8"/>
    <s v="Percent change"/>
    <s v="Units"/>
    <x v="2"/>
    <n v="12.534000000000001"/>
  </r>
  <r>
    <n v="205"/>
    <x v="7"/>
    <x v="131"/>
    <x v="8"/>
    <s v="Percent change"/>
    <s v="Units"/>
    <x v="3"/>
    <n v="3.9980000000000002"/>
  </r>
  <r>
    <n v="205"/>
    <x v="7"/>
    <x v="131"/>
    <x v="8"/>
    <s v="Percent change"/>
    <s v="Units"/>
    <x v="4"/>
    <n v="3.5"/>
  </r>
  <r>
    <n v="205"/>
    <x v="7"/>
    <x v="131"/>
    <x v="8"/>
    <s v="Percent change"/>
    <s v="Units"/>
    <x v="5"/>
    <n v="3.6"/>
  </r>
  <r>
    <n v="205"/>
    <x v="7"/>
    <x v="131"/>
    <x v="8"/>
    <s v="Percent change"/>
    <s v="Units"/>
    <x v="6"/>
    <n v="3.74"/>
  </r>
  <r>
    <n v="1"/>
    <x v="2"/>
    <x v="153"/>
    <x v="1"/>
    <s v="Percent change"/>
    <s v="Units"/>
    <x v="0"/>
    <n v="0.4"/>
  </r>
  <r>
    <n v="1"/>
    <x v="2"/>
    <x v="153"/>
    <x v="1"/>
    <s v="Percent change"/>
    <s v="Units"/>
    <x v="1"/>
    <n v="1.373"/>
  </r>
  <r>
    <n v="1"/>
    <x v="2"/>
    <x v="153"/>
    <x v="1"/>
    <s v="Percent change"/>
    <s v="Units"/>
    <x v="2"/>
    <n v="1.9690000000000001"/>
  </r>
  <r>
    <n v="1"/>
    <x v="2"/>
    <x v="153"/>
    <x v="1"/>
    <s v="Percent change"/>
    <s v="Units"/>
    <x v="3"/>
    <n v="3.0259999999999998"/>
  </r>
  <r>
    <n v="1"/>
    <x v="2"/>
    <x v="153"/>
    <x v="1"/>
    <s v="Percent change"/>
    <s v="Units"/>
    <x v="4"/>
    <n v="4.5"/>
  </r>
  <r>
    <n v="1"/>
    <x v="2"/>
    <x v="153"/>
    <x v="1"/>
    <s v="Percent change"/>
    <s v="Units"/>
    <x v="5"/>
    <n v="3.6"/>
  </r>
  <r>
    <n v="1"/>
    <x v="2"/>
    <x v="153"/>
    <x v="1"/>
    <s v="Percent change"/>
    <s v="Units"/>
    <x v="6"/>
    <n v="3"/>
  </r>
  <r>
    <n v="1"/>
    <x v="2"/>
    <x v="131"/>
    <x v="8"/>
    <s v="Percent change"/>
    <s v="Units"/>
    <x v="0"/>
    <n v="2.653"/>
  </r>
  <r>
    <n v="1"/>
    <x v="2"/>
    <x v="131"/>
    <x v="8"/>
    <s v="Percent change"/>
    <s v="Units"/>
    <x v="1"/>
    <n v="-8.9649999999999999"/>
  </r>
  <r>
    <n v="1"/>
    <x v="2"/>
    <x v="131"/>
    <x v="8"/>
    <s v="Percent change"/>
    <s v="Units"/>
    <x v="2"/>
    <n v="12.534000000000001"/>
  </r>
  <r>
    <n v="1"/>
    <x v="2"/>
    <x v="131"/>
    <x v="8"/>
    <s v="Percent change"/>
    <s v="Units"/>
    <x v="3"/>
    <n v="3.9980000000000002"/>
  </r>
  <r>
    <n v="1"/>
    <x v="2"/>
    <x v="131"/>
    <x v="8"/>
    <s v="Percent change"/>
    <s v="Units"/>
    <x v="4"/>
    <n v="3.5"/>
  </r>
  <r>
    <n v="1"/>
    <x v="2"/>
    <x v="131"/>
    <x v="8"/>
    <s v="Percent change"/>
    <s v="Units"/>
    <x v="5"/>
    <n v="3.6"/>
  </r>
  <r>
    <n v="1"/>
    <x v="2"/>
    <x v="131"/>
    <x v="8"/>
    <s v="Percent change"/>
    <s v="Units"/>
    <x v="6"/>
    <n v="3.74"/>
  </r>
  <r>
    <n v="200"/>
    <x v="3"/>
    <x v="131"/>
    <x v="8"/>
    <s v="Percent change"/>
    <s v="Units"/>
    <x v="0"/>
    <n v="2.653"/>
  </r>
  <r>
    <n v="200"/>
    <x v="3"/>
    <x v="131"/>
    <x v="8"/>
    <s v="Percent change"/>
    <s v="Units"/>
    <x v="1"/>
    <n v="-8.9649999999999999"/>
  </r>
  <r>
    <n v="200"/>
    <x v="3"/>
    <x v="131"/>
    <x v="8"/>
    <s v="Percent change"/>
    <s v="Units"/>
    <x v="2"/>
    <n v="12.534000000000001"/>
  </r>
  <r>
    <n v="200"/>
    <x v="3"/>
    <x v="131"/>
    <x v="8"/>
    <s v="Percent change"/>
    <s v="Units"/>
    <x v="3"/>
    <n v="3.9980000000000002"/>
  </r>
  <r>
    <n v="200"/>
    <x v="3"/>
    <x v="131"/>
    <x v="8"/>
    <s v="Percent change"/>
    <s v="Units"/>
    <x v="4"/>
    <n v="3.5"/>
  </r>
  <r>
    <n v="200"/>
    <x v="3"/>
    <x v="131"/>
    <x v="8"/>
    <s v="Percent change"/>
    <s v="Units"/>
    <x v="5"/>
    <n v="3.6"/>
  </r>
  <r>
    <n v="200"/>
    <x v="3"/>
    <x v="131"/>
    <x v="8"/>
    <s v="Percent change"/>
    <s v="Units"/>
    <x v="6"/>
    <n v="3.74"/>
  </r>
  <r>
    <n v="200"/>
    <x v="3"/>
    <x v="32"/>
    <x v="1"/>
    <s v="Percent change"/>
    <s v="Units"/>
    <x v="0"/>
    <n v="2.3919999999999999"/>
  </r>
  <r>
    <n v="200"/>
    <x v="3"/>
    <x v="32"/>
    <x v="1"/>
    <s v="Percent change"/>
    <s v="Units"/>
    <x v="1"/>
    <n v="2.3929999999999998"/>
  </r>
  <r>
    <n v="200"/>
    <x v="3"/>
    <x v="32"/>
    <x v="1"/>
    <s v="Percent change"/>
    <s v="Units"/>
    <x v="2"/>
    <n v="3.927"/>
  </r>
  <r>
    <n v="200"/>
    <x v="3"/>
    <x v="32"/>
    <x v="1"/>
    <s v="Percent change"/>
    <s v="Units"/>
    <x v="3"/>
    <n v="5.8209999999999997"/>
  </r>
  <r>
    <n v="200"/>
    <x v="3"/>
    <x v="32"/>
    <x v="1"/>
    <s v="Percent change"/>
    <s v="Units"/>
    <x v="4"/>
    <n v="5.9779999999999998"/>
  </r>
  <r>
    <n v="200"/>
    <x v="3"/>
    <x v="32"/>
    <x v="1"/>
    <s v="Percent change"/>
    <s v="Units"/>
    <x v="5"/>
    <n v="3.5830000000000002"/>
  </r>
  <r>
    <n v="200"/>
    <x v="3"/>
    <x v="32"/>
    <x v="1"/>
    <s v="Percent change"/>
    <s v="Units"/>
    <x v="6"/>
    <n v="2.9540000000000002"/>
  </r>
  <r>
    <n v="505"/>
    <x v="4"/>
    <x v="32"/>
    <x v="1"/>
    <s v="Percent change"/>
    <s v="Units"/>
    <x v="0"/>
    <n v="2.3919999999999999"/>
  </r>
  <r>
    <n v="505"/>
    <x v="4"/>
    <x v="32"/>
    <x v="1"/>
    <s v="Percent change"/>
    <s v="Units"/>
    <x v="1"/>
    <n v="2.3929999999999998"/>
  </r>
  <r>
    <n v="505"/>
    <x v="4"/>
    <x v="32"/>
    <x v="1"/>
    <s v="Percent change"/>
    <s v="Units"/>
    <x v="2"/>
    <n v="3.927"/>
  </r>
  <r>
    <n v="505"/>
    <x v="4"/>
    <x v="32"/>
    <x v="1"/>
    <s v="Percent change"/>
    <s v="Units"/>
    <x v="3"/>
    <n v="5.8209999999999997"/>
  </r>
  <r>
    <n v="505"/>
    <x v="4"/>
    <x v="32"/>
    <x v="1"/>
    <s v="Percent change"/>
    <s v="Units"/>
    <x v="4"/>
    <n v="5.9779999999999998"/>
  </r>
  <r>
    <n v="505"/>
    <x v="4"/>
    <x v="32"/>
    <x v="1"/>
    <s v="Percent change"/>
    <s v="Units"/>
    <x v="5"/>
    <n v="3.5830000000000002"/>
  </r>
  <r>
    <n v="505"/>
    <x v="4"/>
    <x v="32"/>
    <x v="1"/>
    <s v="Percent change"/>
    <s v="Units"/>
    <x v="6"/>
    <n v="2.9540000000000002"/>
  </r>
  <r>
    <n v="510"/>
    <x v="10"/>
    <x v="32"/>
    <x v="1"/>
    <s v="Percent change"/>
    <s v="Units"/>
    <x v="0"/>
    <n v="2.3919999999999999"/>
  </r>
  <r>
    <n v="510"/>
    <x v="10"/>
    <x v="32"/>
    <x v="1"/>
    <s v="Percent change"/>
    <s v="Units"/>
    <x v="1"/>
    <n v="2.3929999999999998"/>
  </r>
  <r>
    <n v="510"/>
    <x v="10"/>
    <x v="32"/>
    <x v="1"/>
    <s v="Percent change"/>
    <s v="Units"/>
    <x v="2"/>
    <n v="3.927"/>
  </r>
  <r>
    <n v="510"/>
    <x v="10"/>
    <x v="32"/>
    <x v="1"/>
    <s v="Percent change"/>
    <s v="Units"/>
    <x v="3"/>
    <n v="5.8209999999999997"/>
  </r>
  <r>
    <n v="510"/>
    <x v="10"/>
    <x v="32"/>
    <x v="1"/>
    <s v="Percent change"/>
    <s v="Units"/>
    <x v="4"/>
    <n v="5.9779999999999998"/>
  </r>
  <r>
    <n v="510"/>
    <x v="10"/>
    <x v="32"/>
    <x v="1"/>
    <s v="Percent change"/>
    <s v="Units"/>
    <x v="5"/>
    <n v="3.5830000000000002"/>
  </r>
  <r>
    <n v="510"/>
    <x v="10"/>
    <x v="32"/>
    <x v="1"/>
    <s v="Percent change"/>
    <s v="Units"/>
    <x v="6"/>
    <n v="2.9540000000000002"/>
  </r>
  <r>
    <n v="1"/>
    <x v="2"/>
    <x v="32"/>
    <x v="1"/>
    <s v="Percent change"/>
    <s v="Units"/>
    <x v="0"/>
    <n v="2.3919999999999999"/>
  </r>
  <r>
    <n v="1"/>
    <x v="2"/>
    <x v="32"/>
    <x v="1"/>
    <s v="Percent change"/>
    <s v="Units"/>
    <x v="1"/>
    <n v="2.3929999999999998"/>
  </r>
  <r>
    <n v="1"/>
    <x v="2"/>
    <x v="32"/>
    <x v="1"/>
    <s v="Percent change"/>
    <s v="Units"/>
    <x v="2"/>
    <n v="3.927"/>
  </r>
  <r>
    <n v="1"/>
    <x v="2"/>
    <x v="32"/>
    <x v="1"/>
    <s v="Percent change"/>
    <s v="Units"/>
    <x v="3"/>
    <n v="5.8209999999999997"/>
  </r>
  <r>
    <n v="1"/>
    <x v="2"/>
    <x v="32"/>
    <x v="1"/>
    <s v="Percent change"/>
    <s v="Units"/>
    <x v="4"/>
    <n v="5.9779999999999998"/>
  </r>
  <r>
    <n v="1"/>
    <x v="2"/>
    <x v="32"/>
    <x v="1"/>
    <s v="Percent change"/>
    <s v="Units"/>
    <x v="5"/>
    <n v="3.5830000000000002"/>
  </r>
  <r>
    <n v="1"/>
    <x v="2"/>
    <x v="32"/>
    <x v="1"/>
    <s v="Percent change"/>
    <s v="Units"/>
    <x v="6"/>
    <n v="2.9540000000000002"/>
  </r>
  <r>
    <n v="200"/>
    <x v="3"/>
    <x v="146"/>
    <x v="8"/>
    <s v="Percent change"/>
    <s v="Units"/>
    <x v="0"/>
    <n v="3.0329999999999999"/>
  </r>
  <r>
    <n v="200"/>
    <x v="3"/>
    <x v="146"/>
    <x v="8"/>
    <s v="Percent change"/>
    <s v="Units"/>
    <x v="1"/>
    <n v="-8.7260000000000009"/>
  </r>
  <r>
    <n v="200"/>
    <x v="3"/>
    <x v="146"/>
    <x v="8"/>
    <s v="Percent change"/>
    <s v="Units"/>
    <x v="2"/>
    <n v="11.867000000000001"/>
  </r>
  <r>
    <n v="200"/>
    <x v="3"/>
    <x v="146"/>
    <x v="8"/>
    <s v="Percent change"/>
    <s v="Units"/>
    <x v="3"/>
    <n v="5.782"/>
  </r>
  <r>
    <n v="200"/>
    <x v="3"/>
    <x v="146"/>
    <x v="8"/>
    <s v="Percent change"/>
    <s v="Units"/>
    <x v="4"/>
    <n v="3.2450000000000001"/>
  </r>
  <r>
    <n v="200"/>
    <x v="3"/>
    <x v="146"/>
    <x v="8"/>
    <s v="Percent change"/>
    <s v="Units"/>
    <x v="5"/>
    <n v="3.5739999999999998"/>
  </r>
  <r>
    <n v="200"/>
    <x v="3"/>
    <x v="146"/>
    <x v="8"/>
    <s v="Percent change"/>
    <s v="Units"/>
    <x v="6"/>
    <n v="4.593"/>
  </r>
  <r>
    <n v="603"/>
    <x v="12"/>
    <x v="146"/>
    <x v="8"/>
    <s v="Percent change"/>
    <s v="Units"/>
    <x v="0"/>
    <n v="3.0329999999999999"/>
  </r>
  <r>
    <n v="603"/>
    <x v="12"/>
    <x v="146"/>
    <x v="8"/>
    <s v="Percent change"/>
    <s v="Units"/>
    <x v="1"/>
    <n v="-8.7260000000000009"/>
  </r>
  <r>
    <n v="603"/>
    <x v="12"/>
    <x v="146"/>
    <x v="8"/>
    <s v="Percent change"/>
    <s v="Units"/>
    <x v="2"/>
    <n v="11.867000000000001"/>
  </r>
  <r>
    <n v="603"/>
    <x v="12"/>
    <x v="146"/>
    <x v="8"/>
    <s v="Percent change"/>
    <s v="Units"/>
    <x v="3"/>
    <n v="5.782"/>
  </r>
  <r>
    <n v="603"/>
    <x v="12"/>
    <x v="146"/>
    <x v="8"/>
    <s v="Percent change"/>
    <s v="Units"/>
    <x v="4"/>
    <n v="3.2450000000000001"/>
  </r>
  <r>
    <n v="603"/>
    <x v="12"/>
    <x v="146"/>
    <x v="8"/>
    <s v="Percent change"/>
    <s v="Units"/>
    <x v="5"/>
    <n v="3.5739999999999998"/>
  </r>
  <r>
    <n v="603"/>
    <x v="12"/>
    <x v="146"/>
    <x v="8"/>
    <s v="Percent change"/>
    <s v="Units"/>
    <x v="6"/>
    <n v="4.593"/>
  </r>
  <r>
    <n v="1"/>
    <x v="2"/>
    <x v="146"/>
    <x v="8"/>
    <s v="Percent change"/>
    <s v="Units"/>
    <x v="0"/>
    <n v="3.0329999999999999"/>
  </r>
  <r>
    <n v="1"/>
    <x v="2"/>
    <x v="146"/>
    <x v="8"/>
    <s v="Percent change"/>
    <s v="Units"/>
    <x v="1"/>
    <n v="-8.7260000000000009"/>
  </r>
  <r>
    <n v="1"/>
    <x v="2"/>
    <x v="146"/>
    <x v="8"/>
    <s v="Percent change"/>
    <s v="Units"/>
    <x v="2"/>
    <n v="11.867000000000001"/>
  </r>
  <r>
    <n v="1"/>
    <x v="2"/>
    <x v="146"/>
    <x v="8"/>
    <s v="Percent change"/>
    <s v="Units"/>
    <x v="3"/>
    <n v="5.782"/>
  </r>
  <r>
    <n v="1"/>
    <x v="2"/>
    <x v="146"/>
    <x v="8"/>
    <s v="Percent change"/>
    <s v="Units"/>
    <x v="4"/>
    <n v="3.2450000000000001"/>
  </r>
  <r>
    <n v="1"/>
    <x v="2"/>
    <x v="146"/>
    <x v="8"/>
    <s v="Percent change"/>
    <s v="Units"/>
    <x v="5"/>
    <n v="3.5739999999999998"/>
  </r>
  <r>
    <n v="1"/>
    <x v="2"/>
    <x v="146"/>
    <x v="8"/>
    <s v="Percent change"/>
    <s v="Units"/>
    <x v="6"/>
    <n v="4.593"/>
  </r>
  <r>
    <n v="603"/>
    <x v="12"/>
    <x v="179"/>
    <x v="6"/>
    <s v="Percent change"/>
    <s v="Units"/>
    <x v="0"/>
    <n v="1.837"/>
  </r>
  <r>
    <n v="603"/>
    <x v="12"/>
    <x v="179"/>
    <x v="6"/>
    <s v="Percent change"/>
    <s v="Units"/>
    <x v="1"/>
    <n v="-20.742999999999999"/>
  </r>
  <r>
    <n v="603"/>
    <x v="12"/>
    <x v="179"/>
    <x v="6"/>
    <s v="Percent change"/>
    <s v="Units"/>
    <x v="2"/>
    <n v="10.223000000000001"/>
  </r>
  <r>
    <n v="603"/>
    <x v="12"/>
    <x v="179"/>
    <x v="6"/>
    <s v="Percent change"/>
    <s v="Units"/>
    <x v="3"/>
    <n v="6.2050000000000001"/>
  </r>
  <r>
    <n v="603"/>
    <x v="12"/>
    <x v="179"/>
    <x v="6"/>
    <s v="Percent change"/>
    <s v="Units"/>
    <x v="4"/>
    <n v="-3.6859999999999999"/>
  </r>
  <r>
    <n v="603"/>
    <x v="12"/>
    <x v="179"/>
    <x v="6"/>
    <s v="Percent change"/>
    <s v="Units"/>
    <x v="5"/>
    <n v="3.5680000000000001"/>
  </r>
  <r>
    <n v="603"/>
    <x v="12"/>
    <x v="179"/>
    <x v="6"/>
    <s v="Percent change"/>
    <s v="Units"/>
    <x v="6"/>
    <n v="10.116"/>
  </r>
  <r>
    <n v="200"/>
    <x v="3"/>
    <x v="179"/>
    <x v="6"/>
    <s v="Percent change"/>
    <s v="Units"/>
    <x v="0"/>
    <n v="1.837"/>
  </r>
  <r>
    <n v="200"/>
    <x v="3"/>
    <x v="179"/>
    <x v="6"/>
    <s v="Percent change"/>
    <s v="Units"/>
    <x v="1"/>
    <n v="-20.742999999999999"/>
  </r>
  <r>
    <n v="200"/>
    <x v="3"/>
    <x v="179"/>
    <x v="6"/>
    <s v="Percent change"/>
    <s v="Units"/>
    <x v="2"/>
    <n v="10.223000000000001"/>
  </r>
  <r>
    <n v="200"/>
    <x v="3"/>
    <x v="179"/>
    <x v="6"/>
    <s v="Percent change"/>
    <s v="Units"/>
    <x v="3"/>
    <n v="6.2050000000000001"/>
  </r>
  <r>
    <n v="200"/>
    <x v="3"/>
    <x v="179"/>
    <x v="6"/>
    <s v="Percent change"/>
    <s v="Units"/>
    <x v="4"/>
    <n v="-3.6859999999999999"/>
  </r>
  <r>
    <n v="200"/>
    <x v="3"/>
    <x v="179"/>
    <x v="6"/>
    <s v="Percent change"/>
    <s v="Units"/>
    <x v="5"/>
    <n v="3.5680000000000001"/>
  </r>
  <r>
    <n v="200"/>
    <x v="3"/>
    <x v="179"/>
    <x v="6"/>
    <s v="Percent change"/>
    <s v="Units"/>
    <x v="6"/>
    <n v="10.116"/>
  </r>
  <r>
    <n v="1"/>
    <x v="2"/>
    <x v="179"/>
    <x v="6"/>
    <s v="Percent change"/>
    <s v="Units"/>
    <x v="0"/>
    <n v="1.837"/>
  </r>
  <r>
    <n v="1"/>
    <x v="2"/>
    <x v="179"/>
    <x v="6"/>
    <s v="Percent change"/>
    <s v="Units"/>
    <x v="1"/>
    <n v="-20.742999999999999"/>
  </r>
  <r>
    <n v="1"/>
    <x v="2"/>
    <x v="179"/>
    <x v="6"/>
    <s v="Percent change"/>
    <s v="Units"/>
    <x v="2"/>
    <n v="10.223000000000001"/>
  </r>
  <r>
    <n v="1"/>
    <x v="2"/>
    <x v="179"/>
    <x v="6"/>
    <s v="Percent change"/>
    <s v="Units"/>
    <x v="3"/>
    <n v="6.2050000000000001"/>
  </r>
  <r>
    <n v="1"/>
    <x v="2"/>
    <x v="179"/>
    <x v="6"/>
    <s v="Percent change"/>
    <s v="Units"/>
    <x v="4"/>
    <n v="-3.6859999999999999"/>
  </r>
  <r>
    <n v="1"/>
    <x v="2"/>
    <x v="179"/>
    <x v="6"/>
    <s v="Percent change"/>
    <s v="Units"/>
    <x v="5"/>
    <n v="3.5680000000000001"/>
  </r>
  <r>
    <n v="1"/>
    <x v="2"/>
    <x v="179"/>
    <x v="6"/>
    <s v="Percent change"/>
    <s v="Units"/>
    <x v="6"/>
    <n v="10.116"/>
  </r>
  <r>
    <n v="1"/>
    <x v="2"/>
    <x v="108"/>
    <x v="8"/>
    <s v="Percent change"/>
    <s v="Units"/>
    <x v="0"/>
    <n v="2.1669999999999998"/>
  </r>
  <r>
    <n v="1"/>
    <x v="2"/>
    <x v="108"/>
    <x v="8"/>
    <s v="Percent change"/>
    <s v="Units"/>
    <x v="1"/>
    <n v="-4.6449999999999996"/>
  </r>
  <r>
    <n v="1"/>
    <x v="2"/>
    <x v="108"/>
    <x v="8"/>
    <s v="Percent change"/>
    <s v="Units"/>
    <x v="2"/>
    <n v="2.5910000000000002"/>
  </r>
  <r>
    <n v="1"/>
    <x v="2"/>
    <x v="108"/>
    <x v="8"/>
    <s v="Percent change"/>
    <s v="Units"/>
    <x v="3"/>
    <n v="4.891"/>
  </r>
  <r>
    <n v="1"/>
    <x v="2"/>
    <x v="108"/>
    <x v="8"/>
    <s v="Percent change"/>
    <s v="Units"/>
    <x v="4"/>
    <n v="2.617"/>
  </r>
  <r>
    <n v="1"/>
    <x v="2"/>
    <x v="108"/>
    <x v="8"/>
    <s v="Percent change"/>
    <s v="Units"/>
    <x v="5"/>
    <n v="3.5670000000000002"/>
  </r>
  <r>
    <n v="1"/>
    <x v="2"/>
    <x v="108"/>
    <x v="8"/>
    <s v="Percent change"/>
    <s v="Units"/>
    <x v="6"/>
    <n v="3.1619999999999999"/>
  </r>
  <r>
    <n v="200"/>
    <x v="3"/>
    <x v="108"/>
    <x v="8"/>
    <s v="Percent change"/>
    <s v="Units"/>
    <x v="0"/>
    <n v="2.1669999999999998"/>
  </r>
  <r>
    <n v="200"/>
    <x v="3"/>
    <x v="108"/>
    <x v="8"/>
    <s v="Percent change"/>
    <s v="Units"/>
    <x v="1"/>
    <n v="-4.6449999999999996"/>
  </r>
  <r>
    <n v="200"/>
    <x v="3"/>
    <x v="108"/>
    <x v="8"/>
    <s v="Percent change"/>
    <s v="Units"/>
    <x v="2"/>
    <n v="2.5910000000000002"/>
  </r>
  <r>
    <n v="200"/>
    <x v="3"/>
    <x v="108"/>
    <x v="8"/>
    <s v="Percent change"/>
    <s v="Units"/>
    <x v="3"/>
    <n v="4.891"/>
  </r>
  <r>
    <n v="200"/>
    <x v="3"/>
    <x v="108"/>
    <x v="8"/>
    <s v="Percent change"/>
    <s v="Units"/>
    <x v="4"/>
    <n v="2.617"/>
  </r>
  <r>
    <n v="200"/>
    <x v="3"/>
    <x v="108"/>
    <x v="8"/>
    <s v="Percent change"/>
    <s v="Units"/>
    <x v="5"/>
    <n v="3.5670000000000002"/>
  </r>
  <r>
    <n v="200"/>
    <x v="3"/>
    <x v="108"/>
    <x v="8"/>
    <s v="Percent change"/>
    <s v="Units"/>
    <x v="6"/>
    <n v="3.1619999999999999"/>
  </r>
  <r>
    <n v="400"/>
    <x v="11"/>
    <x v="108"/>
    <x v="8"/>
    <s v="Percent change"/>
    <s v="Units"/>
    <x v="0"/>
    <n v="2.1669999999999998"/>
  </r>
  <r>
    <n v="400"/>
    <x v="11"/>
    <x v="108"/>
    <x v="8"/>
    <s v="Percent change"/>
    <s v="Units"/>
    <x v="1"/>
    <n v="-4.6449999999999996"/>
  </r>
  <r>
    <n v="400"/>
    <x v="11"/>
    <x v="108"/>
    <x v="8"/>
    <s v="Percent change"/>
    <s v="Units"/>
    <x v="2"/>
    <n v="2.5910000000000002"/>
  </r>
  <r>
    <n v="400"/>
    <x v="11"/>
    <x v="108"/>
    <x v="8"/>
    <s v="Percent change"/>
    <s v="Units"/>
    <x v="3"/>
    <n v="4.891"/>
  </r>
  <r>
    <n v="400"/>
    <x v="11"/>
    <x v="108"/>
    <x v="8"/>
    <s v="Percent change"/>
    <s v="Units"/>
    <x v="4"/>
    <n v="2.617"/>
  </r>
  <r>
    <n v="400"/>
    <x v="11"/>
    <x v="108"/>
    <x v="8"/>
    <s v="Percent change"/>
    <s v="Units"/>
    <x v="5"/>
    <n v="3.5670000000000002"/>
  </r>
  <r>
    <n v="400"/>
    <x v="11"/>
    <x v="108"/>
    <x v="8"/>
    <s v="Percent change"/>
    <s v="Units"/>
    <x v="6"/>
    <n v="3.1619999999999999"/>
  </r>
  <r>
    <n v="200"/>
    <x v="3"/>
    <x v="142"/>
    <x v="1"/>
    <s v="Percent change"/>
    <s v="Units"/>
    <x v="0"/>
    <n v="2.1890000000000001"/>
  </r>
  <r>
    <n v="200"/>
    <x v="3"/>
    <x v="142"/>
    <x v="1"/>
    <s v="Percent change"/>
    <s v="Units"/>
    <x v="1"/>
    <n v="1.48"/>
  </r>
  <r>
    <n v="200"/>
    <x v="3"/>
    <x v="142"/>
    <x v="1"/>
    <s v="Percent change"/>
    <s v="Units"/>
    <x v="2"/>
    <n v="-3.01"/>
  </r>
  <r>
    <n v="200"/>
    <x v="3"/>
    <x v="142"/>
    <x v="1"/>
    <s v="Percent change"/>
    <s v="Units"/>
    <x v="3"/>
    <n v="8.7469999999999999"/>
  </r>
  <r>
    <n v="200"/>
    <x v="3"/>
    <x v="142"/>
    <x v="1"/>
    <s v="Percent change"/>
    <s v="Units"/>
    <x v="4"/>
    <n v="11.981"/>
  </r>
  <r>
    <n v="200"/>
    <x v="3"/>
    <x v="142"/>
    <x v="1"/>
    <s v="Percent change"/>
    <s v="Units"/>
    <x v="5"/>
    <n v="3.5630000000000002"/>
  </r>
  <r>
    <n v="200"/>
    <x v="3"/>
    <x v="142"/>
    <x v="1"/>
    <s v="Percent change"/>
    <s v="Units"/>
    <x v="6"/>
    <n v="3.335"/>
  </r>
  <r>
    <n v="1"/>
    <x v="2"/>
    <x v="142"/>
    <x v="1"/>
    <s v="Percent change"/>
    <s v="Units"/>
    <x v="0"/>
    <n v="2.1890000000000001"/>
  </r>
  <r>
    <n v="1"/>
    <x v="2"/>
    <x v="142"/>
    <x v="1"/>
    <s v="Percent change"/>
    <s v="Units"/>
    <x v="1"/>
    <n v="1.48"/>
  </r>
  <r>
    <n v="1"/>
    <x v="2"/>
    <x v="142"/>
    <x v="1"/>
    <s v="Percent change"/>
    <s v="Units"/>
    <x v="2"/>
    <n v="-3.01"/>
  </r>
  <r>
    <n v="1"/>
    <x v="2"/>
    <x v="142"/>
    <x v="1"/>
    <s v="Percent change"/>
    <s v="Units"/>
    <x v="3"/>
    <n v="8.7469999999999999"/>
  </r>
  <r>
    <n v="1"/>
    <x v="2"/>
    <x v="142"/>
    <x v="1"/>
    <s v="Percent change"/>
    <s v="Units"/>
    <x v="4"/>
    <n v="11.981"/>
  </r>
  <r>
    <n v="1"/>
    <x v="2"/>
    <x v="142"/>
    <x v="1"/>
    <s v="Percent change"/>
    <s v="Units"/>
    <x v="5"/>
    <n v="3.5630000000000002"/>
  </r>
  <r>
    <n v="1"/>
    <x v="2"/>
    <x v="142"/>
    <x v="1"/>
    <s v="Percent change"/>
    <s v="Units"/>
    <x v="6"/>
    <n v="3.335"/>
  </r>
  <r>
    <n v="505"/>
    <x v="4"/>
    <x v="142"/>
    <x v="1"/>
    <s v="Percent change"/>
    <s v="Units"/>
    <x v="0"/>
    <n v="2.1890000000000001"/>
  </r>
  <r>
    <n v="505"/>
    <x v="4"/>
    <x v="142"/>
    <x v="1"/>
    <s v="Percent change"/>
    <s v="Units"/>
    <x v="1"/>
    <n v="1.48"/>
  </r>
  <r>
    <n v="505"/>
    <x v="4"/>
    <x v="142"/>
    <x v="1"/>
    <s v="Percent change"/>
    <s v="Units"/>
    <x v="2"/>
    <n v="-3.01"/>
  </r>
  <r>
    <n v="505"/>
    <x v="4"/>
    <x v="142"/>
    <x v="1"/>
    <s v="Percent change"/>
    <s v="Units"/>
    <x v="3"/>
    <n v="8.7469999999999999"/>
  </r>
  <r>
    <n v="505"/>
    <x v="4"/>
    <x v="142"/>
    <x v="1"/>
    <s v="Percent change"/>
    <s v="Units"/>
    <x v="4"/>
    <n v="11.981"/>
  </r>
  <r>
    <n v="505"/>
    <x v="4"/>
    <x v="142"/>
    <x v="1"/>
    <s v="Percent change"/>
    <s v="Units"/>
    <x v="5"/>
    <n v="3.5630000000000002"/>
  </r>
  <r>
    <n v="505"/>
    <x v="4"/>
    <x v="142"/>
    <x v="1"/>
    <s v="Percent change"/>
    <s v="Units"/>
    <x v="6"/>
    <n v="3.335"/>
  </r>
  <r>
    <n v="200"/>
    <x v="3"/>
    <x v="116"/>
    <x v="4"/>
    <s v="Percent change"/>
    <s v="Units"/>
    <x v="0"/>
    <n v="7.6779999999999999"/>
  </r>
  <r>
    <n v="200"/>
    <x v="3"/>
    <x v="116"/>
    <x v="4"/>
    <s v="Percent change"/>
    <s v="Units"/>
    <x v="1"/>
    <n v="-48.302"/>
  </r>
  <r>
    <n v="200"/>
    <x v="3"/>
    <x v="116"/>
    <x v="4"/>
    <s v="Percent change"/>
    <s v="Units"/>
    <x v="2"/>
    <n v="82.221000000000004"/>
  </r>
  <r>
    <n v="200"/>
    <x v="3"/>
    <x v="116"/>
    <x v="4"/>
    <s v="Percent change"/>
    <s v="Units"/>
    <x v="3"/>
    <n v="31.591999999999999"/>
  </r>
  <r>
    <n v="200"/>
    <x v="3"/>
    <x v="116"/>
    <x v="4"/>
    <s v="Percent change"/>
    <s v="Units"/>
    <x v="4"/>
    <n v="8.5649999999999995"/>
  </r>
  <r>
    <n v="200"/>
    <x v="3"/>
    <x v="116"/>
    <x v="4"/>
    <s v="Percent change"/>
    <s v="Units"/>
    <x v="5"/>
    <n v="3.55"/>
  </r>
  <r>
    <n v="200"/>
    <x v="3"/>
    <x v="116"/>
    <x v="4"/>
    <s v="Percent change"/>
    <s v="Units"/>
    <x v="6"/>
    <n v="0.81200000000000006"/>
  </r>
  <r>
    <n v="903"/>
    <x v="8"/>
    <x v="116"/>
    <x v="4"/>
    <s v="Percent change"/>
    <s v="Units"/>
    <x v="0"/>
    <n v="7.6779999999999999"/>
  </r>
  <r>
    <n v="903"/>
    <x v="8"/>
    <x v="116"/>
    <x v="4"/>
    <s v="Percent change"/>
    <s v="Units"/>
    <x v="1"/>
    <n v="-48.302"/>
  </r>
  <r>
    <n v="903"/>
    <x v="8"/>
    <x v="116"/>
    <x v="4"/>
    <s v="Percent change"/>
    <s v="Units"/>
    <x v="2"/>
    <n v="82.221000000000004"/>
  </r>
  <r>
    <n v="903"/>
    <x v="8"/>
    <x v="116"/>
    <x v="4"/>
    <s v="Percent change"/>
    <s v="Units"/>
    <x v="3"/>
    <n v="31.591999999999999"/>
  </r>
  <r>
    <n v="903"/>
    <x v="8"/>
    <x v="116"/>
    <x v="4"/>
    <s v="Percent change"/>
    <s v="Units"/>
    <x v="4"/>
    <n v="8.5649999999999995"/>
  </r>
  <r>
    <n v="903"/>
    <x v="8"/>
    <x v="116"/>
    <x v="4"/>
    <s v="Percent change"/>
    <s v="Units"/>
    <x v="5"/>
    <n v="3.55"/>
  </r>
  <r>
    <n v="903"/>
    <x v="8"/>
    <x v="116"/>
    <x v="4"/>
    <s v="Percent change"/>
    <s v="Units"/>
    <x v="6"/>
    <n v="0.81200000000000006"/>
  </r>
  <r>
    <n v="1"/>
    <x v="2"/>
    <x v="116"/>
    <x v="4"/>
    <s v="Percent change"/>
    <s v="Units"/>
    <x v="0"/>
    <n v="7.6779999999999999"/>
  </r>
  <r>
    <n v="1"/>
    <x v="2"/>
    <x v="116"/>
    <x v="4"/>
    <s v="Percent change"/>
    <s v="Units"/>
    <x v="1"/>
    <n v="-48.302"/>
  </r>
  <r>
    <n v="1"/>
    <x v="2"/>
    <x v="116"/>
    <x v="4"/>
    <s v="Percent change"/>
    <s v="Units"/>
    <x v="2"/>
    <n v="82.221000000000004"/>
  </r>
  <r>
    <n v="1"/>
    <x v="2"/>
    <x v="116"/>
    <x v="4"/>
    <s v="Percent change"/>
    <s v="Units"/>
    <x v="3"/>
    <n v="31.591999999999999"/>
  </r>
  <r>
    <n v="1"/>
    <x v="2"/>
    <x v="116"/>
    <x v="4"/>
    <s v="Percent change"/>
    <s v="Units"/>
    <x v="4"/>
    <n v="8.5649999999999995"/>
  </r>
  <r>
    <n v="1"/>
    <x v="2"/>
    <x v="116"/>
    <x v="4"/>
    <s v="Percent change"/>
    <s v="Units"/>
    <x v="5"/>
    <n v="3.55"/>
  </r>
  <r>
    <n v="1"/>
    <x v="2"/>
    <x v="116"/>
    <x v="4"/>
    <s v="Percent change"/>
    <s v="Units"/>
    <x v="6"/>
    <n v="0.81200000000000006"/>
  </r>
  <r>
    <n v="903"/>
    <x v="8"/>
    <x v="70"/>
    <x v="4"/>
    <s v="Percent change"/>
    <s v="Units"/>
    <x v="0"/>
    <n v="3.97"/>
  </r>
  <r>
    <n v="903"/>
    <x v="8"/>
    <x v="70"/>
    <x v="4"/>
    <s v="Percent change"/>
    <s v="Units"/>
    <x v="1"/>
    <n v="-10.285"/>
  </r>
  <r>
    <n v="903"/>
    <x v="8"/>
    <x v="70"/>
    <x v="4"/>
    <s v="Percent change"/>
    <s v="Units"/>
    <x v="2"/>
    <n v="7.9279999999999999"/>
  </r>
  <r>
    <n v="903"/>
    <x v="8"/>
    <x v="70"/>
    <x v="4"/>
    <s v="Percent change"/>
    <s v="Units"/>
    <x v="3"/>
    <n v="8.0139999999999993"/>
  </r>
  <r>
    <n v="903"/>
    <x v="8"/>
    <x v="70"/>
    <x v="4"/>
    <s v="Percent change"/>
    <s v="Units"/>
    <x v="4"/>
    <n v="3.3420000000000001"/>
  </r>
  <r>
    <n v="903"/>
    <x v="8"/>
    <x v="70"/>
    <x v="4"/>
    <s v="Percent change"/>
    <s v="Units"/>
    <x v="5"/>
    <n v="3.5489999999999999"/>
  </r>
  <r>
    <n v="903"/>
    <x v="8"/>
    <x v="70"/>
    <x v="4"/>
    <s v="Percent change"/>
    <s v="Units"/>
    <x v="6"/>
    <n v="3.6709999999999998"/>
  </r>
  <r>
    <n v="200"/>
    <x v="3"/>
    <x v="70"/>
    <x v="4"/>
    <s v="Percent change"/>
    <s v="Units"/>
    <x v="0"/>
    <n v="3.97"/>
  </r>
  <r>
    <n v="200"/>
    <x v="3"/>
    <x v="70"/>
    <x v="4"/>
    <s v="Percent change"/>
    <s v="Units"/>
    <x v="1"/>
    <n v="-10.285"/>
  </r>
  <r>
    <n v="200"/>
    <x v="3"/>
    <x v="70"/>
    <x v="4"/>
    <s v="Percent change"/>
    <s v="Units"/>
    <x v="2"/>
    <n v="7.9279999999999999"/>
  </r>
  <r>
    <n v="200"/>
    <x v="3"/>
    <x v="70"/>
    <x v="4"/>
    <s v="Percent change"/>
    <s v="Units"/>
    <x v="3"/>
    <n v="8.0139999999999993"/>
  </r>
  <r>
    <n v="200"/>
    <x v="3"/>
    <x v="70"/>
    <x v="4"/>
    <s v="Percent change"/>
    <s v="Units"/>
    <x v="4"/>
    <n v="3.3420000000000001"/>
  </r>
  <r>
    <n v="200"/>
    <x v="3"/>
    <x v="70"/>
    <x v="4"/>
    <s v="Percent change"/>
    <s v="Units"/>
    <x v="5"/>
    <n v="3.5489999999999999"/>
  </r>
  <r>
    <n v="200"/>
    <x v="3"/>
    <x v="70"/>
    <x v="4"/>
    <s v="Percent change"/>
    <s v="Units"/>
    <x v="6"/>
    <n v="3.6709999999999998"/>
  </r>
  <r>
    <n v="1"/>
    <x v="2"/>
    <x v="70"/>
    <x v="4"/>
    <s v="Percent change"/>
    <s v="Units"/>
    <x v="0"/>
    <n v="3.97"/>
  </r>
  <r>
    <n v="1"/>
    <x v="2"/>
    <x v="70"/>
    <x v="4"/>
    <s v="Percent change"/>
    <s v="Units"/>
    <x v="1"/>
    <n v="-10.285"/>
  </r>
  <r>
    <n v="1"/>
    <x v="2"/>
    <x v="70"/>
    <x v="4"/>
    <s v="Percent change"/>
    <s v="Units"/>
    <x v="2"/>
    <n v="7.9279999999999999"/>
  </r>
  <r>
    <n v="1"/>
    <x v="2"/>
    <x v="70"/>
    <x v="4"/>
    <s v="Percent change"/>
    <s v="Units"/>
    <x v="3"/>
    <n v="8.0139999999999993"/>
  </r>
  <r>
    <n v="1"/>
    <x v="2"/>
    <x v="70"/>
    <x v="4"/>
    <s v="Percent change"/>
    <s v="Units"/>
    <x v="4"/>
    <n v="3.3420000000000001"/>
  </r>
  <r>
    <n v="1"/>
    <x v="2"/>
    <x v="70"/>
    <x v="4"/>
    <s v="Percent change"/>
    <s v="Units"/>
    <x v="5"/>
    <n v="3.5489999999999999"/>
  </r>
  <r>
    <n v="1"/>
    <x v="2"/>
    <x v="70"/>
    <x v="4"/>
    <s v="Percent change"/>
    <s v="Units"/>
    <x v="6"/>
    <n v="3.6709999999999998"/>
  </r>
  <r>
    <n v="400"/>
    <x v="11"/>
    <x v="86"/>
    <x v="1"/>
    <s v="Percent change"/>
    <s v="Units"/>
    <x v="0"/>
    <n v="2.5950000000000002"/>
  </r>
  <r>
    <n v="400"/>
    <x v="11"/>
    <x v="86"/>
    <x v="1"/>
    <s v="Percent change"/>
    <s v="Units"/>
    <x v="1"/>
    <n v="2.7629999999999999"/>
  </r>
  <r>
    <n v="400"/>
    <x v="11"/>
    <x v="86"/>
    <x v="1"/>
    <s v="Percent change"/>
    <s v="Units"/>
    <x v="2"/>
    <n v="6.6639999999999997"/>
  </r>
  <r>
    <n v="400"/>
    <x v="11"/>
    <x v="86"/>
    <x v="1"/>
    <s v="Percent change"/>
    <s v="Units"/>
    <x v="3"/>
    <n v="13.859"/>
  </r>
  <r>
    <n v="400"/>
    <x v="11"/>
    <x v="86"/>
    <x v="1"/>
    <s v="Percent change"/>
    <s v="Units"/>
    <x v="4"/>
    <n v="8.2249999999999996"/>
  </r>
  <r>
    <n v="400"/>
    <x v="11"/>
    <x v="86"/>
    <x v="1"/>
    <s v="Percent change"/>
    <s v="Units"/>
    <x v="5"/>
    <n v="3.5459999999999998"/>
  </r>
  <r>
    <n v="400"/>
    <x v="11"/>
    <x v="86"/>
    <x v="1"/>
    <s v="Percent change"/>
    <s v="Units"/>
    <x v="6"/>
    <n v="5"/>
  </r>
  <r>
    <n v="200"/>
    <x v="3"/>
    <x v="86"/>
    <x v="1"/>
    <s v="Percent change"/>
    <s v="Units"/>
    <x v="0"/>
    <n v="2.5950000000000002"/>
  </r>
  <r>
    <n v="200"/>
    <x v="3"/>
    <x v="86"/>
    <x v="1"/>
    <s v="Percent change"/>
    <s v="Units"/>
    <x v="1"/>
    <n v="2.7629999999999999"/>
  </r>
  <r>
    <n v="200"/>
    <x v="3"/>
    <x v="86"/>
    <x v="1"/>
    <s v="Percent change"/>
    <s v="Units"/>
    <x v="2"/>
    <n v="6.6639999999999997"/>
  </r>
  <r>
    <n v="200"/>
    <x v="3"/>
    <x v="86"/>
    <x v="1"/>
    <s v="Percent change"/>
    <s v="Units"/>
    <x v="3"/>
    <n v="13.859"/>
  </r>
  <r>
    <n v="200"/>
    <x v="3"/>
    <x v="86"/>
    <x v="1"/>
    <s v="Percent change"/>
    <s v="Units"/>
    <x v="4"/>
    <n v="8.2249999999999996"/>
  </r>
  <r>
    <n v="200"/>
    <x v="3"/>
    <x v="86"/>
    <x v="1"/>
    <s v="Percent change"/>
    <s v="Units"/>
    <x v="5"/>
    <n v="3.5459999999999998"/>
  </r>
  <r>
    <n v="200"/>
    <x v="3"/>
    <x v="86"/>
    <x v="1"/>
    <s v="Percent change"/>
    <s v="Units"/>
    <x v="6"/>
    <n v="5"/>
  </r>
  <r>
    <n v="1"/>
    <x v="2"/>
    <x v="86"/>
    <x v="1"/>
    <s v="Percent change"/>
    <s v="Units"/>
    <x v="0"/>
    <n v="2.5950000000000002"/>
  </r>
  <r>
    <n v="1"/>
    <x v="2"/>
    <x v="86"/>
    <x v="1"/>
    <s v="Percent change"/>
    <s v="Units"/>
    <x v="1"/>
    <n v="2.7629999999999999"/>
  </r>
  <r>
    <n v="1"/>
    <x v="2"/>
    <x v="86"/>
    <x v="1"/>
    <s v="Percent change"/>
    <s v="Units"/>
    <x v="2"/>
    <n v="6.6639999999999997"/>
  </r>
  <r>
    <n v="1"/>
    <x v="2"/>
    <x v="86"/>
    <x v="1"/>
    <s v="Percent change"/>
    <s v="Units"/>
    <x v="3"/>
    <n v="13.859"/>
  </r>
  <r>
    <n v="1"/>
    <x v="2"/>
    <x v="86"/>
    <x v="1"/>
    <s v="Percent change"/>
    <s v="Units"/>
    <x v="4"/>
    <n v="8.2249999999999996"/>
  </r>
  <r>
    <n v="1"/>
    <x v="2"/>
    <x v="86"/>
    <x v="1"/>
    <s v="Percent change"/>
    <s v="Units"/>
    <x v="5"/>
    <n v="3.5459999999999998"/>
  </r>
  <r>
    <n v="1"/>
    <x v="2"/>
    <x v="86"/>
    <x v="1"/>
    <s v="Percent change"/>
    <s v="Units"/>
    <x v="6"/>
    <n v="5"/>
  </r>
  <r>
    <n v="110"/>
    <x v="0"/>
    <x v="12"/>
    <x v="1"/>
    <s v="Percent change"/>
    <s v="Units"/>
    <x v="0"/>
    <n v="1.5880000000000001"/>
  </r>
  <r>
    <n v="110"/>
    <x v="0"/>
    <x v="12"/>
    <x v="1"/>
    <s v="Percent change"/>
    <s v="Units"/>
    <x v="1"/>
    <n v="0.91200000000000003"/>
  </r>
  <r>
    <n v="110"/>
    <x v="0"/>
    <x v="12"/>
    <x v="1"/>
    <s v="Percent change"/>
    <s v="Units"/>
    <x v="2"/>
    <n v="2.819"/>
  </r>
  <r>
    <n v="110"/>
    <x v="0"/>
    <x v="12"/>
    <x v="1"/>
    <s v="Percent change"/>
    <s v="Units"/>
    <x v="3"/>
    <n v="6.6139999999999999"/>
  </r>
  <r>
    <n v="110"/>
    <x v="0"/>
    <x v="12"/>
    <x v="1"/>
    <s v="Percent change"/>
    <s v="Units"/>
    <x v="4"/>
    <n v="5.5949999999999998"/>
  </r>
  <r>
    <n v="110"/>
    <x v="0"/>
    <x v="12"/>
    <x v="1"/>
    <s v="Percent change"/>
    <s v="Units"/>
    <x v="5"/>
    <n v="3.53"/>
  </r>
  <r>
    <n v="110"/>
    <x v="0"/>
    <x v="12"/>
    <x v="1"/>
    <s v="Percent change"/>
    <s v="Units"/>
    <x v="6"/>
    <n v="2.9820000000000002"/>
  </r>
  <r>
    <n v="1"/>
    <x v="2"/>
    <x v="12"/>
    <x v="1"/>
    <s v="Percent change"/>
    <s v="Units"/>
    <x v="0"/>
    <n v="1.5880000000000001"/>
  </r>
  <r>
    <n v="1"/>
    <x v="2"/>
    <x v="12"/>
    <x v="1"/>
    <s v="Percent change"/>
    <s v="Units"/>
    <x v="1"/>
    <n v="0.91200000000000003"/>
  </r>
  <r>
    <n v="1"/>
    <x v="2"/>
    <x v="12"/>
    <x v="1"/>
    <s v="Percent change"/>
    <s v="Units"/>
    <x v="2"/>
    <n v="2.819"/>
  </r>
  <r>
    <n v="1"/>
    <x v="2"/>
    <x v="12"/>
    <x v="1"/>
    <s v="Percent change"/>
    <s v="Units"/>
    <x v="3"/>
    <n v="6.6139999999999999"/>
  </r>
  <r>
    <n v="1"/>
    <x v="2"/>
    <x v="12"/>
    <x v="1"/>
    <s v="Percent change"/>
    <s v="Units"/>
    <x v="4"/>
    <n v="5.5949999999999998"/>
  </r>
  <r>
    <n v="1"/>
    <x v="2"/>
    <x v="12"/>
    <x v="1"/>
    <s v="Percent change"/>
    <s v="Units"/>
    <x v="5"/>
    <n v="3.53"/>
  </r>
  <r>
    <n v="1"/>
    <x v="2"/>
    <x v="12"/>
    <x v="1"/>
    <s v="Percent change"/>
    <s v="Units"/>
    <x v="6"/>
    <n v="2.9820000000000002"/>
  </r>
  <r>
    <n v="123"/>
    <x v="9"/>
    <x v="12"/>
    <x v="1"/>
    <s v="Percent change"/>
    <s v="Units"/>
    <x v="0"/>
    <n v="1.5880000000000001"/>
  </r>
  <r>
    <n v="123"/>
    <x v="9"/>
    <x v="12"/>
    <x v="1"/>
    <s v="Percent change"/>
    <s v="Units"/>
    <x v="1"/>
    <n v="0.91200000000000003"/>
  </r>
  <r>
    <n v="123"/>
    <x v="9"/>
    <x v="12"/>
    <x v="1"/>
    <s v="Percent change"/>
    <s v="Units"/>
    <x v="2"/>
    <n v="2.819"/>
  </r>
  <r>
    <n v="123"/>
    <x v="9"/>
    <x v="12"/>
    <x v="1"/>
    <s v="Percent change"/>
    <s v="Units"/>
    <x v="3"/>
    <n v="6.6139999999999999"/>
  </r>
  <r>
    <n v="123"/>
    <x v="9"/>
    <x v="12"/>
    <x v="1"/>
    <s v="Percent change"/>
    <s v="Units"/>
    <x v="4"/>
    <n v="5.5949999999999998"/>
  </r>
  <r>
    <n v="123"/>
    <x v="9"/>
    <x v="12"/>
    <x v="1"/>
    <s v="Percent change"/>
    <s v="Units"/>
    <x v="5"/>
    <n v="3.53"/>
  </r>
  <r>
    <n v="123"/>
    <x v="9"/>
    <x v="12"/>
    <x v="1"/>
    <s v="Percent change"/>
    <s v="Units"/>
    <x v="6"/>
    <n v="2.9820000000000002"/>
  </r>
  <r>
    <n v="400"/>
    <x v="11"/>
    <x v="29"/>
    <x v="8"/>
    <s v="Percent change"/>
    <s v="Units"/>
    <x v="0"/>
    <n v="1.1080000000000001"/>
  </r>
  <r>
    <n v="400"/>
    <x v="11"/>
    <x v="29"/>
    <x v="8"/>
    <s v="Percent change"/>
    <s v="Units"/>
    <x v="1"/>
    <n v="-4.9569999999999999"/>
  </r>
  <r>
    <n v="400"/>
    <x v="11"/>
    <x v="29"/>
    <x v="8"/>
    <s v="Percent change"/>
    <s v="Units"/>
    <x v="2"/>
    <n v="4.3550000000000004"/>
  </r>
  <r>
    <n v="400"/>
    <x v="11"/>
    <x v="29"/>
    <x v="8"/>
    <s v="Percent change"/>
    <s v="Units"/>
    <x v="3"/>
    <n v="7.85"/>
  </r>
  <r>
    <n v="400"/>
    <x v="11"/>
    <x v="29"/>
    <x v="8"/>
    <s v="Percent change"/>
    <s v="Units"/>
    <x v="4"/>
    <n v="3.4039999999999999"/>
  </r>
  <r>
    <n v="400"/>
    <x v="11"/>
    <x v="29"/>
    <x v="8"/>
    <s v="Percent change"/>
    <s v="Units"/>
    <x v="5"/>
    <n v="3.5150000000000001"/>
  </r>
  <r>
    <n v="400"/>
    <x v="11"/>
    <x v="29"/>
    <x v="8"/>
    <s v="Percent change"/>
    <s v="Units"/>
    <x v="6"/>
    <n v="4.1710000000000003"/>
  </r>
  <r>
    <n v="200"/>
    <x v="3"/>
    <x v="29"/>
    <x v="8"/>
    <s v="Percent change"/>
    <s v="Units"/>
    <x v="0"/>
    <n v="1.1080000000000001"/>
  </r>
  <r>
    <n v="200"/>
    <x v="3"/>
    <x v="29"/>
    <x v="8"/>
    <s v="Percent change"/>
    <s v="Units"/>
    <x v="1"/>
    <n v="-4.9569999999999999"/>
  </r>
  <r>
    <n v="200"/>
    <x v="3"/>
    <x v="29"/>
    <x v="8"/>
    <s v="Percent change"/>
    <s v="Units"/>
    <x v="2"/>
    <n v="4.3550000000000004"/>
  </r>
  <r>
    <n v="200"/>
    <x v="3"/>
    <x v="29"/>
    <x v="8"/>
    <s v="Percent change"/>
    <s v="Units"/>
    <x v="3"/>
    <n v="7.85"/>
  </r>
  <r>
    <n v="200"/>
    <x v="3"/>
    <x v="29"/>
    <x v="8"/>
    <s v="Percent change"/>
    <s v="Units"/>
    <x v="4"/>
    <n v="3.4039999999999999"/>
  </r>
  <r>
    <n v="200"/>
    <x v="3"/>
    <x v="29"/>
    <x v="8"/>
    <s v="Percent change"/>
    <s v="Units"/>
    <x v="5"/>
    <n v="3.5150000000000001"/>
  </r>
  <r>
    <n v="200"/>
    <x v="3"/>
    <x v="29"/>
    <x v="8"/>
    <s v="Percent change"/>
    <s v="Units"/>
    <x v="6"/>
    <n v="4.1710000000000003"/>
  </r>
  <r>
    <n v="1"/>
    <x v="2"/>
    <x v="29"/>
    <x v="8"/>
    <s v="Percent change"/>
    <s v="Units"/>
    <x v="0"/>
    <n v="1.1080000000000001"/>
  </r>
  <r>
    <n v="1"/>
    <x v="2"/>
    <x v="29"/>
    <x v="8"/>
    <s v="Percent change"/>
    <s v="Units"/>
    <x v="1"/>
    <n v="-4.9569999999999999"/>
  </r>
  <r>
    <n v="1"/>
    <x v="2"/>
    <x v="29"/>
    <x v="8"/>
    <s v="Percent change"/>
    <s v="Units"/>
    <x v="2"/>
    <n v="4.3550000000000004"/>
  </r>
  <r>
    <n v="1"/>
    <x v="2"/>
    <x v="29"/>
    <x v="8"/>
    <s v="Percent change"/>
    <s v="Units"/>
    <x v="3"/>
    <n v="7.85"/>
  </r>
  <r>
    <n v="1"/>
    <x v="2"/>
    <x v="29"/>
    <x v="8"/>
    <s v="Percent change"/>
    <s v="Units"/>
    <x v="4"/>
    <n v="3.4039999999999999"/>
  </r>
  <r>
    <n v="1"/>
    <x v="2"/>
    <x v="29"/>
    <x v="8"/>
    <s v="Percent change"/>
    <s v="Units"/>
    <x v="5"/>
    <n v="3.5150000000000001"/>
  </r>
  <r>
    <n v="1"/>
    <x v="2"/>
    <x v="29"/>
    <x v="8"/>
    <s v="Percent change"/>
    <s v="Units"/>
    <x v="6"/>
    <n v="4.1710000000000003"/>
  </r>
  <r>
    <n v="1"/>
    <x v="2"/>
    <x v="65"/>
    <x v="8"/>
    <s v="Percent change"/>
    <s v="Units"/>
    <x v="0"/>
    <n v="13.821999999999999"/>
  </r>
  <r>
    <n v="1"/>
    <x v="2"/>
    <x v="65"/>
    <x v="8"/>
    <s v="Percent change"/>
    <s v="Units"/>
    <x v="1"/>
    <n v="-4.2750000000000004"/>
  </r>
  <r>
    <n v="1"/>
    <x v="2"/>
    <x v="65"/>
    <x v="8"/>
    <s v="Percent change"/>
    <s v="Units"/>
    <x v="2"/>
    <n v="1.804"/>
  </r>
  <r>
    <n v="1"/>
    <x v="2"/>
    <x v="65"/>
    <x v="8"/>
    <s v="Percent change"/>
    <s v="Units"/>
    <x v="3"/>
    <n v="0.67700000000000005"/>
  </r>
  <r>
    <n v="1"/>
    <x v="2"/>
    <x v="65"/>
    <x v="8"/>
    <s v="Percent change"/>
    <s v="Units"/>
    <x v="4"/>
    <n v="3.8530000000000002"/>
  </r>
  <r>
    <n v="1"/>
    <x v="2"/>
    <x v="65"/>
    <x v="8"/>
    <s v="Percent change"/>
    <s v="Units"/>
    <x v="5"/>
    <n v="3.5139999999999998"/>
  </r>
  <r>
    <n v="1"/>
    <x v="2"/>
    <x v="65"/>
    <x v="8"/>
    <s v="Percent change"/>
    <s v="Units"/>
    <x v="6"/>
    <n v="2.4860000000000002"/>
  </r>
  <r>
    <n v="200"/>
    <x v="3"/>
    <x v="65"/>
    <x v="8"/>
    <s v="Percent change"/>
    <s v="Units"/>
    <x v="0"/>
    <n v="13.821999999999999"/>
  </r>
  <r>
    <n v="200"/>
    <x v="3"/>
    <x v="65"/>
    <x v="8"/>
    <s v="Percent change"/>
    <s v="Units"/>
    <x v="1"/>
    <n v="-4.2750000000000004"/>
  </r>
  <r>
    <n v="200"/>
    <x v="3"/>
    <x v="65"/>
    <x v="8"/>
    <s v="Percent change"/>
    <s v="Units"/>
    <x v="2"/>
    <n v="1.804"/>
  </r>
  <r>
    <n v="200"/>
    <x v="3"/>
    <x v="65"/>
    <x v="8"/>
    <s v="Percent change"/>
    <s v="Units"/>
    <x v="3"/>
    <n v="0.67700000000000005"/>
  </r>
  <r>
    <n v="200"/>
    <x v="3"/>
    <x v="65"/>
    <x v="8"/>
    <s v="Percent change"/>
    <s v="Units"/>
    <x v="4"/>
    <n v="3.8530000000000002"/>
  </r>
  <r>
    <n v="200"/>
    <x v="3"/>
    <x v="65"/>
    <x v="8"/>
    <s v="Percent change"/>
    <s v="Units"/>
    <x v="5"/>
    <n v="3.5139999999999998"/>
  </r>
  <r>
    <n v="200"/>
    <x v="3"/>
    <x v="65"/>
    <x v="8"/>
    <s v="Percent change"/>
    <s v="Units"/>
    <x v="6"/>
    <n v="2.4860000000000002"/>
  </r>
  <r>
    <n v="505"/>
    <x v="4"/>
    <x v="65"/>
    <x v="8"/>
    <s v="Percent change"/>
    <s v="Units"/>
    <x v="0"/>
    <n v="13.821999999999999"/>
  </r>
  <r>
    <n v="505"/>
    <x v="4"/>
    <x v="65"/>
    <x v="8"/>
    <s v="Percent change"/>
    <s v="Units"/>
    <x v="1"/>
    <n v="-4.2750000000000004"/>
  </r>
  <r>
    <n v="505"/>
    <x v="4"/>
    <x v="65"/>
    <x v="8"/>
    <s v="Percent change"/>
    <s v="Units"/>
    <x v="2"/>
    <n v="1.804"/>
  </r>
  <r>
    <n v="505"/>
    <x v="4"/>
    <x v="65"/>
    <x v="8"/>
    <s v="Percent change"/>
    <s v="Units"/>
    <x v="3"/>
    <n v="0.67700000000000005"/>
  </r>
  <r>
    <n v="505"/>
    <x v="4"/>
    <x v="65"/>
    <x v="8"/>
    <s v="Percent change"/>
    <s v="Units"/>
    <x v="4"/>
    <n v="3.8530000000000002"/>
  </r>
  <r>
    <n v="505"/>
    <x v="4"/>
    <x v="65"/>
    <x v="8"/>
    <s v="Percent change"/>
    <s v="Units"/>
    <x v="5"/>
    <n v="3.5139999999999998"/>
  </r>
  <r>
    <n v="505"/>
    <x v="4"/>
    <x v="65"/>
    <x v="8"/>
    <s v="Percent change"/>
    <s v="Units"/>
    <x v="6"/>
    <n v="2.4860000000000002"/>
  </r>
  <r>
    <n v="1"/>
    <x v="2"/>
    <x v="77"/>
    <x v="1"/>
    <s v="Percent change"/>
    <s v="Units"/>
    <x v="0"/>
    <n v="0.89200000000000002"/>
  </r>
  <r>
    <n v="1"/>
    <x v="2"/>
    <x v="77"/>
    <x v="1"/>
    <s v="Percent change"/>
    <s v="Units"/>
    <x v="1"/>
    <n v="0.48799999999999999"/>
  </r>
  <r>
    <n v="1"/>
    <x v="2"/>
    <x v="77"/>
    <x v="1"/>
    <s v="Percent change"/>
    <s v="Units"/>
    <x v="2"/>
    <n v="3.7749999999999999"/>
  </r>
  <r>
    <n v="1"/>
    <x v="2"/>
    <x v="77"/>
    <x v="1"/>
    <s v="Percent change"/>
    <s v="Units"/>
    <x v="3"/>
    <n v="7.0049999999999999"/>
  </r>
  <r>
    <n v="1"/>
    <x v="2"/>
    <x v="77"/>
    <x v="1"/>
    <s v="Percent change"/>
    <s v="Units"/>
    <x v="4"/>
    <n v="8.42"/>
  </r>
  <r>
    <n v="1"/>
    <x v="2"/>
    <x v="77"/>
    <x v="1"/>
    <s v="Percent change"/>
    <s v="Units"/>
    <x v="5"/>
    <n v="3.508"/>
  </r>
  <r>
    <n v="1"/>
    <x v="2"/>
    <x v="77"/>
    <x v="1"/>
    <s v="Percent change"/>
    <s v="Units"/>
    <x v="6"/>
    <n v="2.2000000000000002"/>
  </r>
  <r>
    <n v="505"/>
    <x v="4"/>
    <x v="77"/>
    <x v="1"/>
    <s v="Percent change"/>
    <s v="Units"/>
    <x v="0"/>
    <n v="0.89200000000000002"/>
  </r>
  <r>
    <n v="505"/>
    <x v="4"/>
    <x v="77"/>
    <x v="1"/>
    <s v="Percent change"/>
    <s v="Units"/>
    <x v="1"/>
    <n v="0.48799999999999999"/>
  </r>
  <r>
    <n v="505"/>
    <x v="4"/>
    <x v="77"/>
    <x v="1"/>
    <s v="Percent change"/>
    <s v="Units"/>
    <x v="2"/>
    <n v="3.7749999999999999"/>
  </r>
  <r>
    <n v="505"/>
    <x v="4"/>
    <x v="77"/>
    <x v="1"/>
    <s v="Percent change"/>
    <s v="Units"/>
    <x v="3"/>
    <n v="7.0049999999999999"/>
  </r>
  <r>
    <n v="505"/>
    <x v="4"/>
    <x v="77"/>
    <x v="1"/>
    <s v="Percent change"/>
    <s v="Units"/>
    <x v="4"/>
    <n v="8.42"/>
  </r>
  <r>
    <n v="505"/>
    <x v="4"/>
    <x v="77"/>
    <x v="1"/>
    <s v="Percent change"/>
    <s v="Units"/>
    <x v="5"/>
    <n v="3.508"/>
  </r>
  <r>
    <n v="505"/>
    <x v="4"/>
    <x v="77"/>
    <x v="1"/>
    <s v="Percent change"/>
    <s v="Units"/>
    <x v="6"/>
    <n v="2.2000000000000002"/>
  </r>
  <r>
    <n v="200"/>
    <x v="3"/>
    <x v="77"/>
    <x v="1"/>
    <s v="Percent change"/>
    <s v="Units"/>
    <x v="0"/>
    <n v="0.89200000000000002"/>
  </r>
  <r>
    <n v="200"/>
    <x v="3"/>
    <x v="77"/>
    <x v="1"/>
    <s v="Percent change"/>
    <s v="Units"/>
    <x v="1"/>
    <n v="0.48799999999999999"/>
  </r>
  <r>
    <n v="200"/>
    <x v="3"/>
    <x v="77"/>
    <x v="1"/>
    <s v="Percent change"/>
    <s v="Units"/>
    <x v="2"/>
    <n v="3.7749999999999999"/>
  </r>
  <r>
    <n v="200"/>
    <x v="3"/>
    <x v="77"/>
    <x v="1"/>
    <s v="Percent change"/>
    <s v="Units"/>
    <x v="3"/>
    <n v="7.0049999999999999"/>
  </r>
  <r>
    <n v="200"/>
    <x v="3"/>
    <x v="77"/>
    <x v="1"/>
    <s v="Percent change"/>
    <s v="Units"/>
    <x v="4"/>
    <n v="8.42"/>
  </r>
  <r>
    <n v="200"/>
    <x v="3"/>
    <x v="77"/>
    <x v="1"/>
    <s v="Percent change"/>
    <s v="Units"/>
    <x v="5"/>
    <n v="3.508"/>
  </r>
  <r>
    <n v="200"/>
    <x v="3"/>
    <x v="77"/>
    <x v="1"/>
    <s v="Percent change"/>
    <s v="Units"/>
    <x v="6"/>
    <n v="2.2000000000000002"/>
  </r>
  <r>
    <n v="200"/>
    <x v="3"/>
    <x v="138"/>
    <x v="4"/>
    <s v="Percent change"/>
    <s v="Units"/>
    <x v="0"/>
    <n v="15.542999999999999"/>
  </r>
  <r>
    <n v="200"/>
    <x v="3"/>
    <x v="138"/>
    <x v="4"/>
    <s v="Percent change"/>
    <s v="Units"/>
    <x v="1"/>
    <n v="4.6059999999999999"/>
  </r>
  <r>
    <n v="200"/>
    <x v="3"/>
    <x v="138"/>
    <x v="4"/>
    <s v="Percent change"/>
    <s v="Units"/>
    <x v="2"/>
    <n v="2.395"/>
  </r>
  <r>
    <n v="200"/>
    <x v="3"/>
    <x v="138"/>
    <x v="4"/>
    <s v="Percent change"/>
    <s v="Units"/>
    <x v="3"/>
    <n v="-2.786"/>
  </r>
  <r>
    <n v="200"/>
    <x v="3"/>
    <x v="138"/>
    <x v="4"/>
    <s v="Percent change"/>
    <s v="Units"/>
    <x v="4"/>
    <n v="-3.2280000000000002"/>
  </r>
  <r>
    <n v="200"/>
    <x v="3"/>
    <x v="138"/>
    <x v="4"/>
    <s v="Percent change"/>
    <s v="Units"/>
    <x v="5"/>
    <n v="3.5019999999999998"/>
  </r>
  <r>
    <n v="200"/>
    <x v="3"/>
    <x v="138"/>
    <x v="4"/>
    <s v="Percent change"/>
    <s v="Units"/>
    <x v="6"/>
    <n v="1.6990000000000001"/>
  </r>
  <r>
    <n v="1"/>
    <x v="2"/>
    <x v="138"/>
    <x v="4"/>
    <s v="Percent change"/>
    <s v="Units"/>
    <x v="0"/>
    <n v="15.542999999999999"/>
  </r>
  <r>
    <n v="1"/>
    <x v="2"/>
    <x v="138"/>
    <x v="4"/>
    <s v="Percent change"/>
    <s v="Units"/>
    <x v="1"/>
    <n v="4.6059999999999999"/>
  </r>
  <r>
    <n v="1"/>
    <x v="2"/>
    <x v="138"/>
    <x v="4"/>
    <s v="Percent change"/>
    <s v="Units"/>
    <x v="2"/>
    <n v="2.395"/>
  </r>
  <r>
    <n v="1"/>
    <x v="2"/>
    <x v="138"/>
    <x v="4"/>
    <s v="Percent change"/>
    <s v="Units"/>
    <x v="3"/>
    <n v="-2.786"/>
  </r>
  <r>
    <n v="1"/>
    <x v="2"/>
    <x v="138"/>
    <x v="4"/>
    <s v="Percent change"/>
    <s v="Units"/>
    <x v="4"/>
    <n v="-3.2280000000000002"/>
  </r>
  <r>
    <n v="1"/>
    <x v="2"/>
    <x v="138"/>
    <x v="4"/>
    <s v="Percent change"/>
    <s v="Units"/>
    <x v="5"/>
    <n v="3.5019999999999998"/>
  </r>
  <r>
    <n v="1"/>
    <x v="2"/>
    <x v="138"/>
    <x v="4"/>
    <s v="Percent change"/>
    <s v="Units"/>
    <x v="6"/>
    <n v="1.6990000000000001"/>
  </r>
  <r>
    <n v="603"/>
    <x v="12"/>
    <x v="138"/>
    <x v="4"/>
    <s v="Percent change"/>
    <s v="Units"/>
    <x v="0"/>
    <n v="15.542999999999999"/>
  </r>
  <r>
    <n v="603"/>
    <x v="12"/>
    <x v="138"/>
    <x v="4"/>
    <s v="Percent change"/>
    <s v="Units"/>
    <x v="1"/>
    <n v="4.6059999999999999"/>
  </r>
  <r>
    <n v="603"/>
    <x v="12"/>
    <x v="138"/>
    <x v="4"/>
    <s v="Percent change"/>
    <s v="Units"/>
    <x v="2"/>
    <n v="2.395"/>
  </r>
  <r>
    <n v="603"/>
    <x v="12"/>
    <x v="138"/>
    <x v="4"/>
    <s v="Percent change"/>
    <s v="Units"/>
    <x v="3"/>
    <n v="-2.786"/>
  </r>
  <r>
    <n v="603"/>
    <x v="12"/>
    <x v="138"/>
    <x v="4"/>
    <s v="Percent change"/>
    <s v="Units"/>
    <x v="4"/>
    <n v="-3.2280000000000002"/>
  </r>
  <r>
    <n v="603"/>
    <x v="12"/>
    <x v="138"/>
    <x v="4"/>
    <s v="Percent change"/>
    <s v="Units"/>
    <x v="5"/>
    <n v="3.5019999999999998"/>
  </r>
  <r>
    <n v="603"/>
    <x v="12"/>
    <x v="138"/>
    <x v="4"/>
    <s v="Percent change"/>
    <s v="Units"/>
    <x v="6"/>
    <n v="1.6990000000000001"/>
  </r>
  <r>
    <n v="1"/>
    <x v="2"/>
    <x v="167"/>
    <x v="8"/>
    <s v="Percent change"/>
    <s v="Units"/>
    <x v="0"/>
    <n v="-2.8969999999999998"/>
  </r>
  <r>
    <n v="1"/>
    <x v="2"/>
    <x v="167"/>
    <x v="8"/>
    <s v="Percent change"/>
    <s v="Units"/>
    <x v="1"/>
    <n v="-1.766"/>
  </r>
  <r>
    <n v="1"/>
    <x v="2"/>
    <x v="167"/>
    <x v="8"/>
    <s v="Percent change"/>
    <s v="Units"/>
    <x v="2"/>
    <n v="10.347"/>
  </r>
  <r>
    <n v="1"/>
    <x v="2"/>
    <x v="167"/>
    <x v="8"/>
    <s v="Percent change"/>
    <s v="Units"/>
    <x v="3"/>
    <n v="3.7509999999999999"/>
  </r>
  <r>
    <n v="1"/>
    <x v="2"/>
    <x v="167"/>
    <x v="8"/>
    <s v="Percent change"/>
    <s v="Units"/>
    <x v="4"/>
    <n v="4.6859999999999999"/>
  </r>
  <r>
    <n v="1"/>
    <x v="2"/>
    <x v="167"/>
    <x v="8"/>
    <s v="Percent change"/>
    <s v="Units"/>
    <x v="5"/>
    <n v="3.5"/>
  </r>
  <r>
    <n v="1"/>
    <x v="2"/>
    <x v="167"/>
    <x v="8"/>
    <s v="Percent change"/>
    <s v="Units"/>
    <x v="6"/>
    <n v="3.5"/>
  </r>
  <r>
    <n v="200"/>
    <x v="3"/>
    <x v="68"/>
    <x v="8"/>
    <s v="Percent change"/>
    <s v="Units"/>
    <x v="0"/>
    <n v="4.0179999999999998"/>
  </r>
  <r>
    <n v="200"/>
    <x v="3"/>
    <x v="68"/>
    <x v="8"/>
    <s v="Percent change"/>
    <s v="Units"/>
    <x v="1"/>
    <n v="-1.792"/>
  </r>
  <r>
    <n v="200"/>
    <x v="3"/>
    <x v="68"/>
    <x v="8"/>
    <s v="Percent change"/>
    <s v="Units"/>
    <x v="2"/>
    <n v="8.0020000000000007"/>
  </r>
  <r>
    <n v="200"/>
    <x v="3"/>
    <x v="68"/>
    <x v="8"/>
    <s v="Percent change"/>
    <s v="Units"/>
    <x v="3"/>
    <n v="4.1180000000000003"/>
  </r>
  <r>
    <n v="200"/>
    <x v="3"/>
    <x v="68"/>
    <x v="8"/>
    <s v="Percent change"/>
    <s v="Units"/>
    <x v="4"/>
    <n v="3.4740000000000002"/>
  </r>
  <r>
    <n v="200"/>
    <x v="3"/>
    <x v="68"/>
    <x v="8"/>
    <s v="Percent change"/>
    <s v="Units"/>
    <x v="5"/>
    <n v="3.5"/>
  </r>
  <r>
    <n v="200"/>
    <x v="3"/>
    <x v="68"/>
    <x v="8"/>
    <s v="Percent change"/>
    <s v="Units"/>
    <x v="6"/>
    <n v="3.7"/>
  </r>
  <r>
    <n v="1"/>
    <x v="2"/>
    <x v="68"/>
    <x v="8"/>
    <s v="Percent change"/>
    <s v="Units"/>
    <x v="0"/>
    <n v="4.0179999999999998"/>
  </r>
  <r>
    <n v="1"/>
    <x v="2"/>
    <x v="68"/>
    <x v="8"/>
    <s v="Percent change"/>
    <s v="Units"/>
    <x v="1"/>
    <n v="-1.792"/>
  </r>
  <r>
    <n v="1"/>
    <x v="2"/>
    <x v="68"/>
    <x v="8"/>
    <s v="Percent change"/>
    <s v="Units"/>
    <x v="2"/>
    <n v="8.0020000000000007"/>
  </r>
  <r>
    <n v="1"/>
    <x v="2"/>
    <x v="68"/>
    <x v="8"/>
    <s v="Percent change"/>
    <s v="Units"/>
    <x v="3"/>
    <n v="4.1180000000000003"/>
  </r>
  <r>
    <n v="1"/>
    <x v="2"/>
    <x v="68"/>
    <x v="8"/>
    <s v="Percent change"/>
    <s v="Units"/>
    <x v="4"/>
    <n v="3.4740000000000002"/>
  </r>
  <r>
    <n v="1"/>
    <x v="2"/>
    <x v="68"/>
    <x v="8"/>
    <s v="Percent change"/>
    <s v="Units"/>
    <x v="5"/>
    <n v="3.5"/>
  </r>
  <r>
    <n v="1"/>
    <x v="2"/>
    <x v="68"/>
    <x v="8"/>
    <s v="Percent change"/>
    <s v="Units"/>
    <x v="6"/>
    <n v="3.7"/>
  </r>
  <r>
    <n v="505"/>
    <x v="4"/>
    <x v="77"/>
    <x v="8"/>
    <s v="Percent change"/>
    <s v="Units"/>
    <x v="0"/>
    <n v="2.0750000000000002"/>
  </r>
  <r>
    <n v="505"/>
    <x v="4"/>
    <x v="77"/>
    <x v="8"/>
    <s v="Percent change"/>
    <s v="Units"/>
    <x v="1"/>
    <n v="-7.2409999999999997"/>
  </r>
  <r>
    <n v="505"/>
    <x v="4"/>
    <x v="77"/>
    <x v="8"/>
    <s v="Percent change"/>
    <s v="Units"/>
    <x v="2"/>
    <n v="1.597"/>
  </r>
  <r>
    <n v="505"/>
    <x v="4"/>
    <x v="77"/>
    <x v="8"/>
    <s v="Percent change"/>
    <s v="Units"/>
    <x v="3"/>
    <n v="3.9940000000000002"/>
  </r>
  <r>
    <n v="505"/>
    <x v="4"/>
    <x v="77"/>
    <x v="8"/>
    <s v="Percent change"/>
    <s v="Units"/>
    <x v="4"/>
    <n v="1.5"/>
  </r>
  <r>
    <n v="505"/>
    <x v="4"/>
    <x v="77"/>
    <x v="8"/>
    <s v="Percent change"/>
    <s v="Units"/>
    <x v="5"/>
    <n v="3.5"/>
  </r>
  <r>
    <n v="505"/>
    <x v="4"/>
    <x v="77"/>
    <x v="8"/>
    <s v="Percent change"/>
    <s v="Units"/>
    <x v="6"/>
    <n v="3.2"/>
  </r>
  <r>
    <n v="205"/>
    <x v="7"/>
    <x v="68"/>
    <x v="8"/>
    <s v="Percent change"/>
    <s v="Units"/>
    <x v="0"/>
    <n v="4.0179999999999998"/>
  </r>
  <r>
    <n v="205"/>
    <x v="7"/>
    <x v="68"/>
    <x v="8"/>
    <s v="Percent change"/>
    <s v="Units"/>
    <x v="1"/>
    <n v="-1.792"/>
  </r>
  <r>
    <n v="205"/>
    <x v="7"/>
    <x v="68"/>
    <x v="8"/>
    <s v="Percent change"/>
    <s v="Units"/>
    <x v="2"/>
    <n v="8.0020000000000007"/>
  </r>
  <r>
    <n v="205"/>
    <x v="7"/>
    <x v="68"/>
    <x v="8"/>
    <s v="Percent change"/>
    <s v="Units"/>
    <x v="3"/>
    <n v="4.1180000000000003"/>
  </r>
  <r>
    <n v="205"/>
    <x v="7"/>
    <x v="68"/>
    <x v="8"/>
    <s v="Percent change"/>
    <s v="Units"/>
    <x v="4"/>
    <n v="3.4740000000000002"/>
  </r>
  <r>
    <n v="205"/>
    <x v="7"/>
    <x v="68"/>
    <x v="8"/>
    <s v="Percent change"/>
    <s v="Units"/>
    <x v="5"/>
    <n v="3.5"/>
  </r>
  <r>
    <n v="205"/>
    <x v="7"/>
    <x v="68"/>
    <x v="8"/>
    <s v="Percent change"/>
    <s v="Units"/>
    <x v="6"/>
    <n v="3.7"/>
  </r>
  <r>
    <n v="205"/>
    <x v="7"/>
    <x v="167"/>
    <x v="8"/>
    <s v="Percent change"/>
    <s v="Units"/>
    <x v="0"/>
    <n v="-2.8969999999999998"/>
  </r>
  <r>
    <n v="205"/>
    <x v="7"/>
    <x v="167"/>
    <x v="8"/>
    <s v="Percent change"/>
    <s v="Units"/>
    <x v="1"/>
    <n v="-1.766"/>
  </r>
  <r>
    <n v="205"/>
    <x v="7"/>
    <x v="167"/>
    <x v="8"/>
    <s v="Percent change"/>
    <s v="Units"/>
    <x v="2"/>
    <n v="10.347"/>
  </r>
  <r>
    <n v="205"/>
    <x v="7"/>
    <x v="167"/>
    <x v="8"/>
    <s v="Percent change"/>
    <s v="Units"/>
    <x v="3"/>
    <n v="3.7509999999999999"/>
  </r>
  <r>
    <n v="205"/>
    <x v="7"/>
    <x v="167"/>
    <x v="8"/>
    <s v="Percent change"/>
    <s v="Units"/>
    <x v="4"/>
    <n v="4.6859999999999999"/>
  </r>
  <r>
    <n v="205"/>
    <x v="7"/>
    <x v="167"/>
    <x v="8"/>
    <s v="Percent change"/>
    <s v="Units"/>
    <x v="5"/>
    <n v="3.5"/>
  </r>
  <r>
    <n v="205"/>
    <x v="7"/>
    <x v="167"/>
    <x v="8"/>
    <s v="Percent change"/>
    <s v="Units"/>
    <x v="6"/>
    <n v="3.5"/>
  </r>
  <r>
    <n v="200"/>
    <x v="3"/>
    <x v="77"/>
    <x v="8"/>
    <s v="Percent change"/>
    <s v="Units"/>
    <x v="0"/>
    <n v="2.0750000000000002"/>
  </r>
  <r>
    <n v="200"/>
    <x v="3"/>
    <x v="77"/>
    <x v="8"/>
    <s v="Percent change"/>
    <s v="Units"/>
    <x v="1"/>
    <n v="-7.2409999999999997"/>
  </r>
  <r>
    <n v="200"/>
    <x v="3"/>
    <x v="77"/>
    <x v="8"/>
    <s v="Percent change"/>
    <s v="Units"/>
    <x v="2"/>
    <n v="1.597"/>
  </r>
  <r>
    <n v="200"/>
    <x v="3"/>
    <x v="77"/>
    <x v="8"/>
    <s v="Percent change"/>
    <s v="Units"/>
    <x v="3"/>
    <n v="3.9940000000000002"/>
  </r>
  <r>
    <n v="200"/>
    <x v="3"/>
    <x v="77"/>
    <x v="8"/>
    <s v="Percent change"/>
    <s v="Units"/>
    <x v="4"/>
    <n v="1.5"/>
  </r>
  <r>
    <n v="200"/>
    <x v="3"/>
    <x v="77"/>
    <x v="8"/>
    <s v="Percent change"/>
    <s v="Units"/>
    <x v="5"/>
    <n v="3.5"/>
  </r>
  <r>
    <n v="200"/>
    <x v="3"/>
    <x v="77"/>
    <x v="8"/>
    <s v="Percent change"/>
    <s v="Units"/>
    <x v="6"/>
    <n v="3.2"/>
  </r>
  <r>
    <n v="200"/>
    <x v="3"/>
    <x v="167"/>
    <x v="8"/>
    <s v="Percent change"/>
    <s v="Units"/>
    <x v="0"/>
    <n v="-2.8969999999999998"/>
  </r>
  <r>
    <n v="200"/>
    <x v="3"/>
    <x v="167"/>
    <x v="8"/>
    <s v="Percent change"/>
    <s v="Units"/>
    <x v="1"/>
    <n v="-1.766"/>
  </r>
  <r>
    <n v="200"/>
    <x v="3"/>
    <x v="167"/>
    <x v="8"/>
    <s v="Percent change"/>
    <s v="Units"/>
    <x v="2"/>
    <n v="10.347"/>
  </r>
  <r>
    <n v="200"/>
    <x v="3"/>
    <x v="167"/>
    <x v="8"/>
    <s v="Percent change"/>
    <s v="Units"/>
    <x v="3"/>
    <n v="3.7509999999999999"/>
  </r>
  <r>
    <n v="200"/>
    <x v="3"/>
    <x v="167"/>
    <x v="8"/>
    <s v="Percent change"/>
    <s v="Units"/>
    <x v="4"/>
    <n v="4.6859999999999999"/>
  </r>
  <r>
    <n v="200"/>
    <x v="3"/>
    <x v="167"/>
    <x v="8"/>
    <s v="Percent change"/>
    <s v="Units"/>
    <x v="5"/>
    <n v="3.5"/>
  </r>
  <r>
    <n v="200"/>
    <x v="3"/>
    <x v="167"/>
    <x v="8"/>
    <s v="Percent change"/>
    <s v="Units"/>
    <x v="6"/>
    <n v="3.5"/>
  </r>
  <r>
    <n v="1"/>
    <x v="2"/>
    <x v="77"/>
    <x v="8"/>
    <s v="Percent change"/>
    <s v="Units"/>
    <x v="0"/>
    <n v="2.0750000000000002"/>
  </r>
  <r>
    <n v="1"/>
    <x v="2"/>
    <x v="77"/>
    <x v="8"/>
    <s v="Percent change"/>
    <s v="Units"/>
    <x v="1"/>
    <n v="-7.2409999999999997"/>
  </r>
  <r>
    <n v="1"/>
    <x v="2"/>
    <x v="77"/>
    <x v="8"/>
    <s v="Percent change"/>
    <s v="Units"/>
    <x v="2"/>
    <n v="1.597"/>
  </r>
  <r>
    <n v="1"/>
    <x v="2"/>
    <x v="77"/>
    <x v="8"/>
    <s v="Percent change"/>
    <s v="Units"/>
    <x v="3"/>
    <n v="3.9940000000000002"/>
  </r>
  <r>
    <n v="1"/>
    <x v="2"/>
    <x v="77"/>
    <x v="8"/>
    <s v="Percent change"/>
    <s v="Units"/>
    <x v="4"/>
    <n v="1.5"/>
  </r>
  <r>
    <n v="1"/>
    <x v="2"/>
    <x v="77"/>
    <x v="8"/>
    <s v="Percent change"/>
    <s v="Units"/>
    <x v="5"/>
    <n v="3.5"/>
  </r>
  <r>
    <n v="1"/>
    <x v="2"/>
    <x v="77"/>
    <x v="8"/>
    <s v="Percent change"/>
    <s v="Units"/>
    <x v="6"/>
    <n v="3.2"/>
  </r>
  <r>
    <n v="505"/>
    <x v="4"/>
    <x v="156"/>
    <x v="1"/>
    <s v="Percent change"/>
    <s v="Units"/>
    <x v="0"/>
    <n v="1.635"/>
  </r>
  <r>
    <n v="505"/>
    <x v="4"/>
    <x v="156"/>
    <x v="1"/>
    <s v="Percent change"/>
    <s v="Units"/>
    <x v="1"/>
    <n v="2.964"/>
  </r>
  <r>
    <n v="505"/>
    <x v="4"/>
    <x v="156"/>
    <x v="1"/>
    <s v="Percent change"/>
    <s v="Units"/>
    <x v="2"/>
    <n v="-0.108"/>
  </r>
  <r>
    <n v="505"/>
    <x v="4"/>
    <x v="156"/>
    <x v="1"/>
    <s v="Percent change"/>
    <s v="Units"/>
    <x v="3"/>
    <n v="5.5069999999999997"/>
  </r>
  <r>
    <n v="505"/>
    <x v="4"/>
    <x v="156"/>
    <x v="1"/>
    <s v="Percent change"/>
    <s v="Units"/>
    <x v="4"/>
    <n v="4.49"/>
  </r>
  <r>
    <n v="505"/>
    <x v="4"/>
    <x v="156"/>
    <x v="1"/>
    <s v="Percent change"/>
    <s v="Units"/>
    <x v="5"/>
    <n v="3.4950000000000001"/>
  </r>
  <r>
    <n v="505"/>
    <x v="4"/>
    <x v="156"/>
    <x v="1"/>
    <s v="Percent change"/>
    <s v="Units"/>
    <x v="6"/>
    <n v="3.2029999999999998"/>
  </r>
  <r>
    <n v="1"/>
    <x v="2"/>
    <x v="154"/>
    <x v="1"/>
    <s v="Percent change"/>
    <s v="Units"/>
    <x v="0"/>
    <n v="1.411"/>
  </r>
  <r>
    <n v="1"/>
    <x v="2"/>
    <x v="154"/>
    <x v="1"/>
    <s v="Percent change"/>
    <s v="Units"/>
    <x v="1"/>
    <n v="1.621"/>
  </r>
  <r>
    <n v="1"/>
    <x v="2"/>
    <x v="154"/>
    <x v="1"/>
    <s v="Percent change"/>
    <s v="Units"/>
    <x v="2"/>
    <n v="2.0430000000000001"/>
  </r>
  <r>
    <n v="1"/>
    <x v="2"/>
    <x v="154"/>
    <x v="1"/>
    <s v="Percent change"/>
    <s v="Units"/>
    <x v="3"/>
    <n v="6.726"/>
  </r>
  <r>
    <n v="1"/>
    <x v="2"/>
    <x v="154"/>
    <x v="1"/>
    <s v="Percent change"/>
    <s v="Units"/>
    <x v="4"/>
    <n v="4.7690000000000001"/>
  </r>
  <r>
    <n v="1"/>
    <x v="2"/>
    <x v="154"/>
    <x v="1"/>
    <s v="Percent change"/>
    <s v="Units"/>
    <x v="5"/>
    <n v="3.4950000000000001"/>
  </r>
  <r>
    <n v="1"/>
    <x v="2"/>
    <x v="154"/>
    <x v="1"/>
    <s v="Percent change"/>
    <s v="Units"/>
    <x v="6"/>
    <n v="2.9990000000000001"/>
  </r>
  <r>
    <n v="200"/>
    <x v="3"/>
    <x v="154"/>
    <x v="1"/>
    <s v="Percent change"/>
    <s v="Units"/>
    <x v="0"/>
    <n v="1.411"/>
  </r>
  <r>
    <n v="200"/>
    <x v="3"/>
    <x v="154"/>
    <x v="1"/>
    <s v="Percent change"/>
    <s v="Units"/>
    <x v="1"/>
    <n v="1.621"/>
  </r>
  <r>
    <n v="200"/>
    <x v="3"/>
    <x v="154"/>
    <x v="1"/>
    <s v="Percent change"/>
    <s v="Units"/>
    <x v="2"/>
    <n v="2.0430000000000001"/>
  </r>
  <r>
    <n v="200"/>
    <x v="3"/>
    <x v="154"/>
    <x v="1"/>
    <s v="Percent change"/>
    <s v="Units"/>
    <x v="3"/>
    <n v="6.726"/>
  </r>
  <r>
    <n v="200"/>
    <x v="3"/>
    <x v="154"/>
    <x v="1"/>
    <s v="Percent change"/>
    <s v="Units"/>
    <x v="4"/>
    <n v="4.7690000000000001"/>
  </r>
  <r>
    <n v="200"/>
    <x v="3"/>
    <x v="154"/>
    <x v="1"/>
    <s v="Percent change"/>
    <s v="Units"/>
    <x v="5"/>
    <n v="3.4950000000000001"/>
  </r>
  <r>
    <n v="200"/>
    <x v="3"/>
    <x v="154"/>
    <x v="1"/>
    <s v="Percent change"/>
    <s v="Units"/>
    <x v="6"/>
    <n v="2.9990000000000001"/>
  </r>
  <r>
    <n v="1"/>
    <x v="2"/>
    <x v="156"/>
    <x v="1"/>
    <s v="Percent change"/>
    <s v="Units"/>
    <x v="0"/>
    <n v="1.635"/>
  </r>
  <r>
    <n v="1"/>
    <x v="2"/>
    <x v="156"/>
    <x v="1"/>
    <s v="Percent change"/>
    <s v="Units"/>
    <x v="1"/>
    <n v="2.964"/>
  </r>
  <r>
    <n v="1"/>
    <x v="2"/>
    <x v="156"/>
    <x v="1"/>
    <s v="Percent change"/>
    <s v="Units"/>
    <x v="2"/>
    <n v="-0.108"/>
  </r>
  <r>
    <n v="1"/>
    <x v="2"/>
    <x v="156"/>
    <x v="1"/>
    <s v="Percent change"/>
    <s v="Units"/>
    <x v="3"/>
    <n v="5.5069999999999997"/>
  </r>
  <r>
    <n v="1"/>
    <x v="2"/>
    <x v="156"/>
    <x v="1"/>
    <s v="Percent change"/>
    <s v="Units"/>
    <x v="4"/>
    <n v="4.49"/>
  </r>
  <r>
    <n v="1"/>
    <x v="2"/>
    <x v="156"/>
    <x v="1"/>
    <s v="Percent change"/>
    <s v="Units"/>
    <x v="5"/>
    <n v="3.4950000000000001"/>
  </r>
  <r>
    <n v="1"/>
    <x v="2"/>
    <x v="156"/>
    <x v="1"/>
    <s v="Percent change"/>
    <s v="Units"/>
    <x v="6"/>
    <n v="3.2029999999999998"/>
  </r>
  <r>
    <n v="200"/>
    <x v="3"/>
    <x v="156"/>
    <x v="1"/>
    <s v="Percent change"/>
    <s v="Units"/>
    <x v="0"/>
    <n v="1.635"/>
  </r>
  <r>
    <n v="200"/>
    <x v="3"/>
    <x v="156"/>
    <x v="1"/>
    <s v="Percent change"/>
    <s v="Units"/>
    <x v="1"/>
    <n v="2.964"/>
  </r>
  <r>
    <n v="200"/>
    <x v="3"/>
    <x v="156"/>
    <x v="1"/>
    <s v="Percent change"/>
    <s v="Units"/>
    <x v="2"/>
    <n v="-0.108"/>
  </r>
  <r>
    <n v="200"/>
    <x v="3"/>
    <x v="156"/>
    <x v="1"/>
    <s v="Percent change"/>
    <s v="Units"/>
    <x v="3"/>
    <n v="5.5069999999999997"/>
  </r>
  <r>
    <n v="200"/>
    <x v="3"/>
    <x v="156"/>
    <x v="1"/>
    <s v="Percent change"/>
    <s v="Units"/>
    <x v="4"/>
    <n v="4.49"/>
  </r>
  <r>
    <n v="200"/>
    <x v="3"/>
    <x v="156"/>
    <x v="1"/>
    <s v="Percent change"/>
    <s v="Units"/>
    <x v="5"/>
    <n v="3.4950000000000001"/>
  </r>
  <r>
    <n v="200"/>
    <x v="3"/>
    <x v="156"/>
    <x v="1"/>
    <s v="Percent change"/>
    <s v="Units"/>
    <x v="6"/>
    <n v="3.2029999999999998"/>
  </r>
  <r>
    <n v="903"/>
    <x v="8"/>
    <x v="154"/>
    <x v="1"/>
    <s v="Percent change"/>
    <s v="Units"/>
    <x v="0"/>
    <n v="1.411"/>
  </r>
  <r>
    <n v="903"/>
    <x v="8"/>
    <x v="154"/>
    <x v="1"/>
    <s v="Percent change"/>
    <s v="Units"/>
    <x v="1"/>
    <n v="1.621"/>
  </r>
  <r>
    <n v="903"/>
    <x v="8"/>
    <x v="154"/>
    <x v="1"/>
    <s v="Percent change"/>
    <s v="Units"/>
    <x v="2"/>
    <n v="2.0430000000000001"/>
  </r>
  <r>
    <n v="903"/>
    <x v="8"/>
    <x v="154"/>
    <x v="1"/>
    <s v="Percent change"/>
    <s v="Units"/>
    <x v="3"/>
    <n v="6.726"/>
  </r>
  <r>
    <n v="903"/>
    <x v="8"/>
    <x v="154"/>
    <x v="1"/>
    <s v="Percent change"/>
    <s v="Units"/>
    <x v="4"/>
    <n v="4.7690000000000001"/>
  </r>
  <r>
    <n v="903"/>
    <x v="8"/>
    <x v="154"/>
    <x v="1"/>
    <s v="Percent change"/>
    <s v="Units"/>
    <x v="5"/>
    <n v="3.4950000000000001"/>
  </r>
  <r>
    <n v="903"/>
    <x v="8"/>
    <x v="154"/>
    <x v="1"/>
    <s v="Percent change"/>
    <s v="Units"/>
    <x v="6"/>
    <n v="2.9990000000000001"/>
  </r>
  <r>
    <n v="1"/>
    <x v="2"/>
    <x v="150"/>
    <x v="1"/>
    <s v="Percent change"/>
    <s v="Units"/>
    <x v="0"/>
    <n v="2.7160000000000002"/>
  </r>
  <r>
    <n v="1"/>
    <x v="2"/>
    <x v="150"/>
    <x v="1"/>
    <s v="Percent change"/>
    <s v="Units"/>
    <x v="1"/>
    <n v="0.218"/>
  </r>
  <r>
    <n v="1"/>
    <x v="2"/>
    <x v="150"/>
    <x v="1"/>
    <s v="Percent change"/>
    <s v="Units"/>
    <x v="2"/>
    <n v="3.306"/>
  </r>
  <r>
    <n v="1"/>
    <x v="2"/>
    <x v="150"/>
    <x v="1"/>
    <s v="Percent change"/>
    <s v="Units"/>
    <x v="3"/>
    <n v="11.673999999999999"/>
  </r>
  <r>
    <n v="1"/>
    <x v="2"/>
    <x v="150"/>
    <x v="1"/>
    <s v="Percent change"/>
    <s v="Units"/>
    <x v="4"/>
    <n v="5.2229999999999999"/>
  </r>
  <r>
    <n v="1"/>
    <x v="2"/>
    <x v="150"/>
    <x v="1"/>
    <s v="Percent change"/>
    <s v="Units"/>
    <x v="5"/>
    <n v="3.4910000000000001"/>
  </r>
  <r>
    <n v="1"/>
    <x v="2"/>
    <x v="150"/>
    <x v="1"/>
    <s v="Percent change"/>
    <s v="Units"/>
    <x v="6"/>
    <n v="2.2589999999999999"/>
  </r>
  <r>
    <n v="903"/>
    <x v="8"/>
    <x v="150"/>
    <x v="1"/>
    <s v="Percent change"/>
    <s v="Units"/>
    <x v="0"/>
    <n v="2.7160000000000002"/>
  </r>
  <r>
    <n v="903"/>
    <x v="8"/>
    <x v="150"/>
    <x v="1"/>
    <s v="Percent change"/>
    <s v="Units"/>
    <x v="1"/>
    <n v="0.218"/>
  </r>
  <r>
    <n v="903"/>
    <x v="8"/>
    <x v="150"/>
    <x v="1"/>
    <s v="Percent change"/>
    <s v="Units"/>
    <x v="2"/>
    <n v="3.306"/>
  </r>
  <r>
    <n v="903"/>
    <x v="8"/>
    <x v="150"/>
    <x v="1"/>
    <s v="Percent change"/>
    <s v="Units"/>
    <x v="3"/>
    <n v="11.673999999999999"/>
  </r>
  <r>
    <n v="903"/>
    <x v="8"/>
    <x v="150"/>
    <x v="1"/>
    <s v="Percent change"/>
    <s v="Units"/>
    <x v="4"/>
    <n v="5.2229999999999999"/>
  </r>
  <r>
    <n v="903"/>
    <x v="8"/>
    <x v="150"/>
    <x v="1"/>
    <s v="Percent change"/>
    <s v="Units"/>
    <x v="5"/>
    <n v="3.4910000000000001"/>
  </r>
  <r>
    <n v="903"/>
    <x v="8"/>
    <x v="150"/>
    <x v="1"/>
    <s v="Percent change"/>
    <s v="Units"/>
    <x v="6"/>
    <n v="2.2589999999999999"/>
  </r>
  <r>
    <n v="200"/>
    <x v="3"/>
    <x v="182"/>
    <x v="8"/>
    <s v="Percent change"/>
    <s v="Units"/>
    <x v="0"/>
    <n v="1.7609999999999999"/>
  </r>
  <r>
    <n v="200"/>
    <x v="3"/>
    <x v="182"/>
    <x v="8"/>
    <s v="Percent change"/>
    <s v="Units"/>
    <x v="1"/>
    <n v="-0.19600000000000001"/>
  </r>
  <r>
    <n v="200"/>
    <x v="3"/>
    <x v="182"/>
    <x v="8"/>
    <s v="Percent change"/>
    <s v="Units"/>
    <x v="2"/>
    <n v="2"/>
  </r>
  <r>
    <n v="200"/>
    <x v="3"/>
    <x v="182"/>
    <x v="8"/>
    <s v="Percent change"/>
    <s v="Units"/>
    <x v="3"/>
    <n v="2.6030000000000002"/>
  </r>
  <r>
    <n v="200"/>
    <x v="3"/>
    <x v="182"/>
    <x v="8"/>
    <s v="Percent change"/>
    <s v="Units"/>
    <x v="4"/>
    <n v="2.996"/>
  </r>
  <r>
    <n v="200"/>
    <x v="3"/>
    <x v="182"/>
    <x v="8"/>
    <s v="Percent change"/>
    <s v="Units"/>
    <x v="5"/>
    <n v="3.4910000000000001"/>
  </r>
  <r>
    <n v="200"/>
    <x v="3"/>
    <x v="182"/>
    <x v="8"/>
    <s v="Percent change"/>
    <s v="Units"/>
    <x v="6"/>
    <n v="4.0270000000000001"/>
  </r>
  <r>
    <n v="1"/>
    <x v="2"/>
    <x v="182"/>
    <x v="8"/>
    <s v="Percent change"/>
    <s v="Units"/>
    <x v="0"/>
    <n v="1.7609999999999999"/>
  </r>
  <r>
    <n v="1"/>
    <x v="2"/>
    <x v="182"/>
    <x v="8"/>
    <s v="Percent change"/>
    <s v="Units"/>
    <x v="1"/>
    <n v="-0.19600000000000001"/>
  </r>
  <r>
    <n v="1"/>
    <x v="2"/>
    <x v="182"/>
    <x v="8"/>
    <s v="Percent change"/>
    <s v="Units"/>
    <x v="2"/>
    <n v="2"/>
  </r>
  <r>
    <n v="1"/>
    <x v="2"/>
    <x v="182"/>
    <x v="8"/>
    <s v="Percent change"/>
    <s v="Units"/>
    <x v="3"/>
    <n v="2.6030000000000002"/>
  </r>
  <r>
    <n v="1"/>
    <x v="2"/>
    <x v="182"/>
    <x v="8"/>
    <s v="Percent change"/>
    <s v="Units"/>
    <x v="4"/>
    <n v="2.996"/>
  </r>
  <r>
    <n v="1"/>
    <x v="2"/>
    <x v="182"/>
    <x v="8"/>
    <s v="Percent change"/>
    <s v="Units"/>
    <x v="5"/>
    <n v="3.4910000000000001"/>
  </r>
  <r>
    <n v="1"/>
    <x v="2"/>
    <x v="182"/>
    <x v="8"/>
    <s v="Percent change"/>
    <s v="Units"/>
    <x v="6"/>
    <n v="4.0270000000000001"/>
  </r>
  <r>
    <n v="603"/>
    <x v="12"/>
    <x v="182"/>
    <x v="8"/>
    <s v="Percent change"/>
    <s v="Units"/>
    <x v="0"/>
    <n v="1.7609999999999999"/>
  </r>
  <r>
    <n v="603"/>
    <x v="12"/>
    <x v="182"/>
    <x v="8"/>
    <s v="Percent change"/>
    <s v="Units"/>
    <x v="1"/>
    <n v="-0.19600000000000001"/>
  </r>
  <r>
    <n v="603"/>
    <x v="12"/>
    <x v="182"/>
    <x v="8"/>
    <s v="Percent change"/>
    <s v="Units"/>
    <x v="2"/>
    <n v="2"/>
  </r>
  <r>
    <n v="603"/>
    <x v="12"/>
    <x v="182"/>
    <x v="8"/>
    <s v="Percent change"/>
    <s v="Units"/>
    <x v="3"/>
    <n v="2.6030000000000002"/>
  </r>
  <r>
    <n v="603"/>
    <x v="12"/>
    <x v="182"/>
    <x v="8"/>
    <s v="Percent change"/>
    <s v="Units"/>
    <x v="4"/>
    <n v="2.996"/>
  </r>
  <r>
    <n v="603"/>
    <x v="12"/>
    <x v="182"/>
    <x v="8"/>
    <s v="Percent change"/>
    <s v="Units"/>
    <x v="5"/>
    <n v="3.4910000000000001"/>
  </r>
  <r>
    <n v="603"/>
    <x v="12"/>
    <x v="182"/>
    <x v="8"/>
    <s v="Percent change"/>
    <s v="Units"/>
    <x v="6"/>
    <n v="4.0270000000000001"/>
  </r>
  <r>
    <n v="200"/>
    <x v="3"/>
    <x v="150"/>
    <x v="1"/>
    <s v="Percent change"/>
    <s v="Units"/>
    <x v="0"/>
    <n v="2.7160000000000002"/>
  </r>
  <r>
    <n v="200"/>
    <x v="3"/>
    <x v="150"/>
    <x v="1"/>
    <s v="Percent change"/>
    <s v="Units"/>
    <x v="1"/>
    <n v="0.218"/>
  </r>
  <r>
    <n v="200"/>
    <x v="3"/>
    <x v="150"/>
    <x v="1"/>
    <s v="Percent change"/>
    <s v="Units"/>
    <x v="2"/>
    <n v="3.306"/>
  </r>
  <r>
    <n v="200"/>
    <x v="3"/>
    <x v="150"/>
    <x v="1"/>
    <s v="Percent change"/>
    <s v="Units"/>
    <x v="3"/>
    <n v="11.673999999999999"/>
  </r>
  <r>
    <n v="200"/>
    <x v="3"/>
    <x v="150"/>
    <x v="1"/>
    <s v="Percent change"/>
    <s v="Units"/>
    <x v="4"/>
    <n v="5.2229999999999999"/>
  </r>
  <r>
    <n v="200"/>
    <x v="3"/>
    <x v="150"/>
    <x v="1"/>
    <s v="Percent change"/>
    <s v="Units"/>
    <x v="5"/>
    <n v="3.4910000000000001"/>
  </r>
  <r>
    <n v="200"/>
    <x v="3"/>
    <x v="150"/>
    <x v="1"/>
    <s v="Percent change"/>
    <s v="Units"/>
    <x v="6"/>
    <n v="2.2589999999999999"/>
  </r>
  <r>
    <n v="603"/>
    <x v="12"/>
    <x v="89"/>
    <x v="4"/>
    <s v="Percent change"/>
    <s v="Units"/>
    <x v="0"/>
    <n v="-10.359"/>
  </r>
  <r>
    <n v="603"/>
    <x v="12"/>
    <x v="89"/>
    <x v="4"/>
    <s v="Percent change"/>
    <s v="Units"/>
    <x v="1"/>
    <n v="-7.585"/>
  </r>
  <r>
    <n v="603"/>
    <x v="12"/>
    <x v="89"/>
    <x v="4"/>
    <s v="Percent change"/>
    <s v="Units"/>
    <x v="2"/>
    <n v="9.5169999999999995"/>
  </r>
  <r>
    <n v="603"/>
    <x v="12"/>
    <x v="89"/>
    <x v="4"/>
    <s v="Percent change"/>
    <s v="Units"/>
    <x v="3"/>
    <n v="25.452999999999999"/>
  </r>
  <r>
    <n v="603"/>
    <x v="12"/>
    <x v="89"/>
    <x v="4"/>
    <s v="Percent change"/>
    <s v="Units"/>
    <x v="4"/>
    <n v="10.308999999999999"/>
  </r>
  <r>
    <n v="603"/>
    <x v="12"/>
    <x v="89"/>
    <x v="4"/>
    <s v="Percent change"/>
    <s v="Units"/>
    <x v="5"/>
    <n v="3.4740000000000002"/>
  </r>
  <r>
    <n v="603"/>
    <x v="12"/>
    <x v="89"/>
    <x v="4"/>
    <s v="Percent change"/>
    <s v="Units"/>
    <x v="6"/>
    <n v="4.12"/>
  </r>
  <r>
    <n v="1"/>
    <x v="2"/>
    <x v="89"/>
    <x v="4"/>
    <s v="Percent change"/>
    <s v="Units"/>
    <x v="0"/>
    <n v="-10.359"/>
  </r>
  <r>
    <n v="1"/>
    <x v="2"/>
    <x v="89"/>
    <x v="4"/>
    <s v="Percent change"/>
    <s v="Units"/>
    <x v="1"/>
    <n v="-7.585"/>
  </r>
  <r>
    <n v="1"/>
    <x v="2"/>
    <x v="89"/>
    <x v="4"/>
    <s v="Percent change"/>
    <s v="Units"/>
    <x v="2"/>
    <n v="9.5169999999999995"/>
  </r>
  <r>
    <n v="1"/>
    <x v="2"/>
    <x v="89"/>
    <x v="4"/>
    <s v="Percent change"/>
    <s v="Units"/>
    <x v="3"/>
    <n v="25.452999999999999"/>
  </r>
  <r>
    <n v="1"/>
    <x v="2"/>
    <x v="89"/>
    <x v="4"/>
    <s v="Percent change"/>
    <s v="Units"/>
    <x v="4"/>
    <n v="10.308999999999999"/>
  </r>
  <r>
    <n v="1"/>
    <x v="2"/>
    <x v="89"/>
    <x v="4"/>
    <s v="Percent change"/>
    <s v="Units"/>
    <x v="5"/>
    <n v="3.4740000000000002"/>
  </r>
  <r>
    <n v="1"/>
    <x v="2"/>
    <x v="89"/>
    <x v="4"/>
    <s v="Percent change"/>
    <s v="Units"/>
    <x v="6"/>
    <n v="4.12"/>
  </r>
  <r>
    <n v="200"/>
    <x v="3"/>
    <x v="89"/>
    <x v="4"/>
    <s v="Percent change"/>
    <s v="Units"/>
    <x v="0"/>
    <n v="-10.359"/>
  </r>
  <r>
    <n v="200"/>
    <x v="3"/>
    <x v="89"/>
    <x v="4"/>
    <s v="Percent change"/>
    <s v="Units"/>
    <x v="1"/>
    <n v="-7.585"/>
  </r>
  <r>
    <n v="200"/>
    <x v="3"/>
    <x v="89"/>
    <x v="4"/>
    <s v="Percent change"/>
    <s v="Units"/>
    <x v="2"/>
    <n v="9.5169999999999995"/>
  </r>
  <r>
    <n v="200"/>
    <x v="3"/>
    <x v="89"/>
    <x v="4"/>
    <s v="Percent change"/>
    <s v="Units"/>
    <x v="3"/>
    <n v="25.452999999999999"/>
  </r>
  <r>
    <n v="200"/>
    <x v="3"/>
    <x v="89"/>
    <x v="4"/>
    <s v="Percent change"/>
    <s v="Units"/>
    <x v="4"/>
    <n v="10.308999999999999"/>
  </r>
  <r>
    <n v="200"/>
    <x v="3"/>
    <x v="89"/>
    <x v="4"/>
    <s v="Percent change"/>
    <s v="Units"/>
    <x v="5"/>
    <n v="3.4740000000000002"/>
  </r>
  <r>
    <n v="200"/>
    <x v="3"/>
    <x v="89"/>
    <x v="4"/>
    <s v="Percent change"/>
    <s v="Units"/>
    <x v="6"/>
    <n v="4.12"/>
  </r>
  <r>
    <n v="200"/>
    <x v="3"/>
    <x v="40"/>
    <x v="4"/>
    <s v="Percent change"/>
    <s v="Units"/>
    <x v="0"/>
    <n v="-3.3130000000000002"/>
  </r>
  <r>
    <n v="200"/>
    <x v="3"/>
    <x v="40"/>
    <x v="4"/>
    <s v="Percent change"/>
    <s v="Units"/>
    <x v="1"/>
    <n v="-11.968"/>
  </r>
  <r>
    <n v="200"/>
    <x v="3"/>
    <x v="40"/>
    <x v="4"/>
    <s v="Percent change"/>
    <s v="Units"/>
    <x v="2"/>
    <n v="9.09"/>
  </r>
  <r>
    <n v="200"/>
    <x v="3"/>
    <x v="40"/>
    <x v="4"/>
    <s v="Percent change"/>
    <s v="Units"/>
    <x v="3"/>
    <n v="7.39"/>
  </r>
  <r>
    <n v="200"/>
    <x v="3"/>
    <x v="40"/>
    <x v="4"/>
    <s v="Percent change"/>
    <s v="Units"/>
    <x v="4"/>
    <n v="3.53"/>
  </r>
  <r>
    <n v="200"/>
    <x v="3"/>
    <x v="40"/>
    <x v="4"/>
    <s v="Percent change"/>
    <s v="Units"/>
    <x v="5"/>
    <n v="3.47"/>
  </r>
  <r>
    <n v="200"/>
    <x v="3"/>
    <x v="40"/>
    <x v="4"/>
    <s v="Percent change"/>
    <s v="Units"/>
    <x v="6"/>
    <n v="3.5649999999999999"/>
  </r>
  <r>
    <n v="603"/>
    <x v="12"/>
    <x v="40"/>
    <x v="4"/>
    <s v="Percent change"/>
    <s v="Units"/>
    <x v="0"/>
    <n v="-3.3130000000000002"/>
  </r>
  <r>
    <n v="603"/>
    <x v="12"/>
    <x v="40"/>
    <x v="4"/>
    <s v="Percent change"/>
    <s v="Units"/>
    <x v="1"/>
    <n v="-11.968"/>
  </r>
  <r>
    <n v="603"/>
    <x v="12"/>
    <x v="40"/>
    <x v="4"/>
    <s v="Percent change"/>
    <s v="Units"/>
    <x v="2"/>
    <n v="9.09"/>
  </r>
  <r>
    <n v="603"/>
    <x v="12"/>
    <x v="40"/>
    <x v="4"/>
    <s v="Percent change"/>
    <s v="Units"/>
    <x v="3"/>
    <n v="7.39"/>
  </r>
  <r>
    <n v="603"/>
    <x v="12"/>
    <x v="40"/>
    <x v="4"/>
    <s v="Percent change"/>
    <s v="Units"/>
    <x v="4"/>
    <n v="3.53"/>
  </r>
  <r>
    <n v="603"/>
    <x v="12"/>
    <x v="40"/>
    <x v="4"/>
    <s v="Percent change"/>
    <s v="Units"/>
    <x v="5"/>
    <n v="3.47"/>
  </r>
  <r>
    <n v="603"/>
    <x v="12"/>
    <x v="40"/>
    <x v="4"/>
    <s v="Percent change"/>
    <s v="Units"/>
    <x v="6"/>
    <n v="3.5649999999999999"/>
  </r>
  <r>
    <n v="1"/>
    <x v="2"/>
    <x v="40"/>
    <x v="4"/>
    <s v="Percent change"/>
    <s v="Units"/>
    <x v="0"/>
    <n v="-3.3130000000000002"/>
  </r>
  <r>
    <n v="1"/>
    <x v="2"/>
    <x v="40"/>
    <x v="4"/>
    <s v="Percent change"/>
    <s v="Units"/>
    <x v="1"/>
    <n v="-11.968"/>
  </r>
  <r>
    <n v="1"/>
    <x v="2"/>
    <x v="40"/>
    <x v="4"/>
    <s v="Percent change"/>
    <s v="Units"/>
    <x v="2"/>
    <n v="9.09"/>
  </r>
  <r>
    <n v="1"/>
    <x v="2"/>
    <x v="40"/>
    <x v="4"/>
    <s v="Percent change"/>
    <s v="Units"/>
    <x v="3"/>
    <n v="7.39"/>
  </r>
  <r>
    <n v="1"/>
    <x v="2"/>
    <x v="40"/>
    <x v="4"/>
    <s v="Percent change"/>
    <s v="Units"/>
    <x v="4"/>
    <n v="3.53"/>
  </r>
  <r>
    <n v="1"/>
    <x v="2"/>
    <x v="40"/>
    <x v="4"/>
    <s v="Percent change"/>
    <s v="Units"/>
    <x v="5"/>
    <n v="3.47"/>
  </r>
  <r>
    <n v="1"/>
    <x v="2"/>
    <x v="40"/>
    <x v="4"/>
    <s v="Percent change"/>
    <s v="Units"/>
    <x v="6"/>
    <n v="3.5649999999999999"/>
  </r>
  <r>
    <n v="200"/>
    <x v="3"/>
    <x v="83"/>
    <x v="8"/>
    <s v="Percent change"/>
    <s v="Units"/>
    <x v="0"/>
    <n v="4.3319999999999999"/>
  </r>
  <r>
    <n v="200"/>
    <x v="3"/>
    <x v="83"/>
    <x v="8"/>
    <s v="Percent change"/>
    <s v="Units"/>
    <x v="1"/>
    <n v="-0.90300000000000002"/>
  </r>
  <r>
    <n v="200"/>
    <x v="3"/>
    <x v="83"/>
    <x v="8"/>
    <s v="Percent change"/>
    <s v="Units"/>
    <x v="2"/>
    <n v="7.726"/>
  </r>
  <r>
    <n v="200"/>
    <x v="3"/>
    <x v="83"/>
    <x v="8"/>
    <s v="Percent change"/>
    <s v="Units"/>
    <x v="3"/>
    <n v="2.5499999999999998"/>
  </r>
  <r>
    <n v="200"/>
    <x v="3"/>
    <x v="83"/>
    <x v="8"/>
    <s v="Percent change"/>
    <s v="Units"/>
    <x v="4"/>
    <n v="2.528"/>
  </r>
  <r>
    <n v="200"/>
    <x v="3"/>
    <x v="83"/>
    <x v="8"/>
    <s v="Percent change"/>
    <s v="Units"/>
    <x v="5"/>
    <n v="3.4649999999999999"/>
  </r>
  <r>
    <n v="200"/>
    <x v="3"/>
    <x v="83"/>
    <x v="8"/>
    <s v="Percent change"/>
    <s v="Units"/>
    <x v="6"/>
    <n v="4.4539999999999997"/>
  </r>
  <r>
    <n v="903"/>
    <x v="8"/>
    <x v="83"/>
    <x v="8"/>
    <s v="Percent change"/>
    <s v="Units"/>
    <x v="0"/>
    <n v="4.3319999999999999"/>
  </r>
  <r>
    <n v="903"/>
    <x v="8"/>
    <x v="83"/>
    <x v="8"/>
    <s v="Percent change"/>
    <s v="Units"/>
    <x v="1"/>
    <n v="-0.90300000000000002"/>
  </r>
  <r>
    <n v="903"/>
    <x v="8"/>
    <x v="83"/>
    <x v="8"/>
    <s v="Percent change"/>
    <s v="Units"/>
    <x v="2"/>
    <n v="7.726"/>
  </r>
  <r>
    <n v="903"/>
    <x v="8"/>
    <x v="83"/>
    <x v="8"/>
    <s v="Percent change"/>
    <s v="Units"/>
    <x v="3"/>
    <n v="2.5499999999999998"/>
  </r>
  <r>
    <n v="903"/>
    <x v="8"/>
    <x v="83"/>
    <x v="8"/>
    <s v="Percent change"/>
    <s v="Units"/>
    <x v="4"/>
    <n v="2.528"/>
  </r>
  <r>
    <n v="903"/>
    <x v="8"/>
    <x v="83"/>
    <x v="8"/>
    <s v="Percent change"/>
    <s v="Units"/>
    <x v="5"/>
    <n v="3.4649999999999999"/>
  </r>
  <r>
    <n v="903"/>
    <x v="8"/>
    <x v="83"/>
    <x v="8"/>
    <s v="Percent change"/>
    <s v="Units"/>
    <x v="6"/>
    <n v="4.4539999999999997"/>
  </r>
  <r>
    <n v="1"/>
    <x v="2"/>
    <x v="83"/>
    <x v="8"/>
    <s v="Percent change"/>
    <s v="Units"/>
    <x v="0"/>
    <n v="4.3319999999999999"/>
  </r>
  <r>
    <n v="1"/>
    <x v="2"/>
    <x v="83"/>
    <x v="8"/>
    <s v="Percent change"/>
    <s v="Units"/>
    <x v="1"/>
    <n v="-0.90300000000000002"/>
  </r>
  <r>
    <n v="1"/>
    <x v="2"/>
    <x v="83"/>
    <x v="8"/>
    <s v="Percent change"/>
    <s v="Units"/>
    <x v="2"/>
    <n v="7.726"/>
  </r>
  <r>
    <n v="1"/>
    <x v="2"/>
    <x v="83"/>
    <x v="8"/>
    <s v="Percent change"/>
    <s v="Units"/>
    <x v="3"/>
    <n v="2.5499999999999998"/>
  </r>
  <r>
    <n v="1"/>
    <x v="2"/>
    <x v="83"/>
    <x v="8"/>
    <s v="Percent change"/>
    <s v="Units"/>
    <x v="4"/>
    <n v="2.528"/>
  </r>
  <r>
    <n v="1"/>
    <x v="2"/>
    <x v="83"/>
    <x v="8"/>
    <s v="Percent change"/>
    <s v="Units"/>
    <x v="5"/>
    <n v="3.4649999999999999"/>
  </r>
  <r>
    <n v="1"/>
    <x v="2"/>
    <x v="83"/>
    <x v="8"/>
    <s v="Percent change"/>
    <s v="Units"/>
    <x v="6"/>
    <n v="4.4539999999999997"/>
  </r>
  <r>
    <n v="603"/>
    <x v="12"/>
    <x v="162"/>
    <x v="5"/>
    <s v="Percent of GDP"/>
    <s v="Units"/>
    <x v="0"/>
    <n v="-4.75"/>
  </r>
  <r>
    <n v="603"/>
    <x v="12"/>
    <x v="162"/>
    <x v="5"/>
    <s v="Percent of GDP"/>
    <s v="Units"/>
    <x v="1"/>
    <n v="-6.2290000000000001"/>
  </r>
  <r>
    <n v="603"/>
    <x v="12"/>
    <x v="162"/>
    <x v="5"/>
    <s v="Percent of GDP"/>
    <s v="Units"/>
    <x v="2"/>
    <n v="-5.1440000000000001"/>
  </r>
  <r>
    <n v="603"/>
    <x v="12"/>
    <x v="162"/>
    <x v="5"/>
    <s v="Percent of GDP"/>
    <s v="Units"/>
    <x v="3"/>
    <n v="9.9629999999999992"/>
  </r>
  <r>
    <n v="603"/>
    <x v="12"/>
    <x v="162"/>
    <x v="5"/>
    <s v="Percent of GDP"/>
    <s v="Units"/>
    <x v="4"/>
    <n v="6.92"/>
  </r>
  <r>
    <n v="603"/>
    <x v="12"/>
    <x v="162"/>
    <x v="5"/>
    <s v="Percent of GDP"/>
    <s v="Units"/>
    <x v="5"/>
    <n v="3.4449999999999998"/>
  </r>
  <r>
    <n v="603"/>
    <x v="12"/>
    <x v="162"/>
    <x v="5"/>
    <s v="Percent of GDP"/>
    <s v="Units"/>
    <x v="6"/>
    <n v="2.758"/>
  </r>
  <r>
    <n v="1"/>
    <x v="2"/>
    <x v="162"/>
    <x v="5"/>
    <s v="Percent of GDP"/>
    <s v="Units"/>
    <x v="0"/>
    <n v="-4.75"/>
  </r>
  <r>
    <n v="1"/>
    <x v="2"/>
    <x v="162"/>
    <x v="5"/>
    <s v="Percent of GDP"/>
    <s v="Units"/>
    <x v="1"/>
    <n v="-6.2290000000000001"/>
  </r>
  <r>
    <n v="1"/>
    <x v="2"/>
    <x v="162"/>
    <x v="5"/>
    <s v="Percent of GDP"/>
    <s v="Units"/>
    <x v="2"/>
    <n v="-5.1440000000000001"/>
  </r>
  <r>
    <n v="1"/>
    <x v="2"/>
    <x v="162"/>
    <x v="5"/>
    <s v="Percent of GDP"/>
    <s v="Units"/>
    <x v="3"/>
    <n v="9.9629999999999992"/>
  </r>
  <r>
    <n v="1"/>
    <x v="2"/>
    <x v="162"/>
    <x v="5"/>
    <s v="Percent of GDP"/>
    <s v="Units"/>
    <x v="4"/>
    <n v="6.92"/>
  </r>
  <r>
    <n v="1"/>
    <x v="2"/>
    <x v="162"/>
    <x v="5"/>
    <s v="Percent of GDP"/>
    <s v="Units"/>
    <x v="5"/>
    <n v="3.4449999999999998"/>
  </r>
  <r>
    <n v="1"/>
    <x v="2"/>
    <x v="162"/>
    <x v="5"/>
    <s v="Percent of GDP"/>
    <s v="Units"/>
    <x v="6"/>
    <n v="2.758"/>
  </r>
  <r>
    <n v="200"/>
    <x v="3"/>
    <x v="162"/>
    <x v="5"/>
    <s v="Percent of GDP"/>
    <s v="Units"/>
    <x v="0"/>
    <n v="-4.75"/>
  </r>
  <r>
    <n v="200"/>
    <x v="3"/>
    <x v="162"/>
    <x v="5"/>
    <s v="Percent of GDP"/>
    <s v="Units"/>
    <x v="1"/>
    <n v="-6.2290000000000001"/>
  </r>
  <r>
    <n v="200"/>
    <x v="3"/>
    <x v="162"/>
    <x v="5"/>
    <s v="Percent of GDP"/>
    <s v="Units"/>
    <x v="2"/>
    <n v="-5.1440000000000001"/>
  </r>
  <r>
    <n v="200"/>
    <x v="3"/>
    <x v="162"/>
    <x v="5"/>
    <s v="Percent of GDP"/>
    <s v="Units"/>
    <x v="3"/>
    <n v="9.9629999999999992"/>
  </r>
  <r>
    <n v="200"/>
    <x v="3"/>
    <x v="162"/>
    <x v="5"/>
    <s v="Percent of GDP"/>
    <s v="Units"/>
    <x v="4"/>
    <n v="6.92"/>
  </r>
  <r>
    <n v="200"/>
    <x v="3"/>
    <x v="162"/>
    <x v="5"/>
    <s v="Percent of GDP"/>
    <s v="Units"/>
    <x v="5"/>
    <n v="3.4449999999999998"/>
  </r>
  <r>
    <n v="200"/>
    <x v="3"/>
    <x v="162"/>
    <x v="5"/>
    <s v="Percent of GDP"/>
    <s v="Units"/>
    <x v="6"/>
    <n v="2.758"/>
  </r>
  <r>
    <n v="110"/>
    <x v="0"/>
    <x v="46"/>
    <x v="6"/>
    <s v="Percent change"/>
    <s v="Units"/>
    <x v="0"/>
    <n v="5.125"/>
  </r>
  <r>
    <n v="110"/>
    <x v="0"/>
    <x v="46"/>
    <x v="6"/>
    <s v="Percent change"/>
    <s v="Units"/>
    <x v="1"/>
    <n v="-11.848000000000001"/>
  </r>
  <r>
    <n v="110"/>
    <x v="0"/>
    <x v="46"/>
    <x v="6"/>
    <s v="Percent change"/>
    <s v="Units"/>
    <x v="2"/>
    <n v="12.151"/>
  </r>
  <r>
    <n v="110"/>
    <x v="0"/>
    <x v="46"/>
    <x v="6"/>
    <s v="Percent change"/>
    <s v="Units"/>
    <x v="3"/>
    <n v="10.85"/>
  </r>
  <r>
    <n v="110"/>
    <x v="0"/>
    <x v="46"/>
    <x v="6"/>
    <s v="Percent change"/>
    <s v="Units"/>
    <x v="4"/>
    <n v="2.2469999999999999"/>
  </r>
  <r>
    <n v="110"/>
    <x v="0"/>
    <x v="46"/>
    <x v="6"/>
    <s v="Percent change"/>
    <s v="Units"/>
    <x v="5"/>
    <n v="3.4430000000000001"/>
  </r>
  <r>
    <n v="110"/>
    <x v="0"/>
    <x v="46"/>
    <x v="6"/>
    <s v="Percent change"/>
    <s v="Units"/>
    <x v="6"/>
    <n v="2.9209999999999998"/>
  </r>
  <r>
    <n v="1"/>
    <x v="2"/>
    <x v="46"/>
    <x v="6"/>
    <s v="Percent change"/>
    <s v="Units"/>
    <x v="0"/>
    <n v="5.125"/>
  </r>
  <r>
    <n v="1"/>
    <x v="2"/>
    <x v="46"/>
    <x v="6"/>
    <s v="Percent change"/>
    <s v="Units"/>
    <x v="1"/>
    <n v="-11.848000000000001"/>
  </r>
  <r>
    <n v="1"/>
    <x v="2"/>
    <x v="46"/>
    <x v="6"/>
    <s v="Percent change"/>
    <s v="Units"/>
    <x v="2"/>
    <n v="12.151"/>
  </r>
  <r>
    <n v="1"/>
    <x v="2"/>
    <x v="46"/>
    <x v="6"/>
    <s v="Percent change"/>
    <s v="Units"/>
    <x v="3"/>
    <n v="10.85"/>
  </r>
  <r>
    <n v="1"/>
    <x v="2"/>
    <x v="46"/>
    <x v="6"/>
    <s v="Percent change"/>
    <s v="Units"/>
    <x v="4"/>
    <n v="2.2469999999999999"/>
  </r>
  <r>
    <n v="1"/>
    <x v="2"/>
    <x v="46"/>
    <x v="6"/>
    <s v="Percent change"/>
    <s v="Units"/>
    <x v="5"/>
    <n v="3.4430000000000001"/>
  </r>
  <r>
    <n v="1"/>
    <x v="2"/>
    <x v="46"/>
    <x v="6"/>
    <s v="Percent change"/>
    <s v="Units"/>
    <x v="6"/>
    <n v="2.9209999999999998"/>
  </r>
  <r>
    <n v="163"/>
    <x v="5"/>
    <x v="46"/>
    <x v="6"/>
    <s v="Percent change"/>
    <s v="Units"/>
    <x v="0"/>
    <n v="5.125"/>
  </r>
  <r>
    <n v="163"/>
    <x v="5"/>
    <x v="46"/>
    <x v="6"/>
    <s v="Percent change"/>
    <s v="Units"/>
    <x v="1"/>
    <n v="-11.848000000000001"/>
  </r>
  <r>
    <n v="163"/>
    <x v="5"/>
    <x v="46"/>
    <x v="6"/>
    <s v="Percent change"/>
    <s v="Units"/>
    <x v="2"/>
    <n v="12.151"/>
  </r>
  <r>
    <n v="163"/>
    <x v="5"/>
    <x v="46"/>
    <x v="6"/>
    <s v="Percent change"/>
    <s v="Units"/>
    <x v="3"/>
    <n v="10.85"/>
  </r>
  <r>
    <n v="163"/>
    <x v="5"/>
    <x v="46"/>
    <x v="6"/>
    <s v="Percent change"/>
    <s v="Units"/>
    <x v="4"/>
    <n v="2.2469999999999999"/>
  </r>
  <r>
    <n v="163"/>
    <x v="5"/>
    <x v="46"/>
    <x v="6"/>
    <s v="Percent change"/>
    <s v="Units"/>
    <x v="5"/>
    <n v="3.4430000000000001"/>
  </r>
  <r>
    <n v="163"/>
    <x v="5"/>
    <x v="46"/>
    <x v="6"/>
    <s v="Percent change"/>
    <s v="Units"/>
    <x v="6"/>
    <n v="2.9209999999999998"/>
  </r>
  <r>
    <n v="1"/>
    <x v="2"/>
    <x v="161"/>
    <x v="6"/>
    <s v="Percent change"/>
    <s v="Units"/>
    <x v="0"/>
    <n v="1.526"/>
  </r>
  <r>
    <n v="1"/>
    <x v="2"/>
    <x v="161"/>
    <x v="6"/>
    <s v="Percent change"/>
    <s v="Units"/>
    <x v="1"/>
    <n v="-1.3340000000000001"/>
  </r>
  <r>
    <n v="1"/>
    <x v="2"/>
    <x v="161"/>
    <x v="6"/>
    <s v="Percent change"/>
    <s v="Units"/>
    <x v="2"/>
    <n v="14.010999999999999"/>
  </r>
  <r>
    <n v="1"/>
    <x v="2"/>
    <x v="161"/>
    <x v="6"/>
    <s v="Percent change"/>
    <s v="Units"/>
    <x v="3"/>
    <n v="3.448"/>
  </r>
  <r>
    <n v="1"/>
    <x v="2"/>
    <x v="161"/>
    <x v="6"/>
    <s v="Percent change"/>
    <s v="Units"/>
    <x v="4"/>
    <n v="-12.542"/>
  </r>
  <r>
    <n v="1"/>
    <x v="2"/>
    <x v="161"/>
    <x v="6"/>
    <s v="Percent change"/>
    <s v="Units"/>
    <x v="5"/>
    <n v="3.4350000000000001"/>
  </r>
  <r>
    <n v="1"/>
    <x v="2"/>
    <x v="161"/>
    <x v="6"/>
    <s v="Percent change"/>
    <s v="Units"/>
    <x v="6"/>
    <n v="2.452"/>
  </r>
  <r>
    <n v="200"/>
    <x v="3"/>
    <x v="161"/>
    <x v="6"/>
    <s v="Percent change"/>
    <s v="Units"/>
    <x v="0"/>
    <n v="1.526"/>
  </r>
  <r>
    <n v="200"/>
    <x v="3"/>
    <x v="161"/>
    <x v="6"/>
    <s v="Percent change"/>
    <s v="Units"/>
    <x v="1"/>
    <n v="-1.3340000000000001"/>
  </r>
  <r>
    <n v="200"/>
    <x v="3"/>
    <x v="161"/>
    <x v="6"/>
    <s v="Percent change"/>
    <s v="Units"/>
    <x v="2"/>
    <n v="14.010999999999999"/>
  </r>
  <r>
    <n v="200"/>
    <x v="3"/>
    <x v="161"/>
    <x v="6"/>
    <s v="Percent change"/>
    <s v="Units"/>
    <x v="3"/>
    <n v="3.448"/>
  </r>
  <r>
    <n v="200"/>
    <x v="3"/>
    <x v="161"/>
    <x v="6"/>
    <s v="Percent change"/>
    <s v="Units"/>
    <x v="4"/>
    <n v="-12.542"/>
  </r>
  <r>
    <n v="200"/>
    <x v="3"/>
    <x v="161"/>
    <x v="6"/>
    <s v="Percent change"/>
    <s v="Units"/>
    <x v="5"/>
    <n v="3.4350000000000001"/>
  </r>
  <r>
    <n v="200"/>
    <x v="3"/>
    <x v="161"/>
    <x v="6"/>
    <s v="Percent change"/>
    <s v="Units"/>
    <x v="6"/>
    <n v="2.452"/>
  </r>
  <r>
    <n v="603"/>
    <x v="12"/>
    <x v="161"/>
    <x v="6"/>
    <s v="Percent change"/>
    <s v="Units"/>
    <x v="0"/>
    <n v="1.526"/>
  </r>
  <r>
    <n v="603"/>
    <x v="12"/>
    <x v="161"/>
    <x v="6"/>
    <s v="Percent change"/>
    <s v="Units"/>
    <x v="1"/>
    <n v="-1.3340000000000001"/>
  </r>
  <r>
    <n v="603"/>
    <x v="12"/>
    <x v="161"/>
    <x v="6"/>
    <s v="Percent change"/>
    <s v="Units"/>
    <x v="2"/>
    <n v="14.010999999999999"/>
  </r>
  <r>
    <n v="603"/>
    <x v="12"/>
    <x v="161"/>
    <x v="6"/>
    <s v="Percent change"/>
    <s v="Units"/>
    <x v="3"/>
    <n v="3.448"/>
  </r>
  <r>
    <n v="603"/>
    <x v="12"/>
    <x v="161"/>
    <x v="6"/>
    <s v="Percent change"/>
    <s v="Units"/>
    <x v="4"/>
    <n v="-12.542"/>
  </r>
  <r>
    <n v="603"/>
    <x v="12"/>
    <x v="161"/>
    <x v="6"/>
    <s v="Percent change"/>
    <s v="Units"/>
    <x v="5"/>
    <n v="3.4350000000000001"/>
  </r>
  <r>
    <n v="603"/>
    <x v="12"/>
    <x v="161"/>
    <x v="6"/>
    <s v="Percent change"/>
    <s v="Units"/>
    <x v="6"/>
    <n v="2.452"/>
  </r>
  <r>
    <n v="400"/>
    <x v="11"/>
    <x v="134"/>
    <x v="6"/>
    <s v="Percent change"/>
    <s v="Units"/>
    <x v="0"/>
    <n v="-1.3420000000000001"/>
  </r>
  <r>
    <n v="400"/>
    <x v="11"/>
    <x v="134"/>
    <x v="6"/>
    <s v="Percent change"/>
    <s v="Units"/>
    <x v="1"/>
    <n v="-0.64"/>
  </r>
  <r>
    <n v="400"/>
    <x v="11"/>
    <x v="134"/>
    <x v="6"/>
    <s v="Percent change"/>
    <s v="Units"/>
    <x v="2"/>
    <n v="4.9550000000000001"/>
  </r>
  <r>
    <n v="400"/>
    <x v="11"/>
    <x v="134"/>
    <x v="6"/>
    <s v="Percent change"/>
    <s v="Units"/>
    <x v="3"/>
    <n v="5.4509999999999996"/>
  </r>
  <r>
    <n v="400"/>
    <x v="11"/>
    <x v="134"/>
    <x v="6"/>
    <s v="Percent change"/>
    <s v="Units"/>
    <x v="4"/>
    <n v="3.98"/>
  </r>
  <r>
    <n v="400"/>
    <x v="11"/>
    <x v="134"/>
    <x v="6"/>
    <s v="Percent change"/>
    <s v="Units"/>
    <x v="5"/>
    <n v="3.4239999999999999"/>
  </r>
  <r>
    <n v="400"/>
    <x v="11"/>
    <x v="134"/>
    <x v="6"/>
    <s v="Percent change"/>
    <s v="Units"/>
    <x v="6"/>
    <n v="4.0640000000000001"/>
  </r>
  <r>
    <n v="1"/>
    <x v="2"/>
    <x v="134"/>
    <x v="6"/>
    <s v="Percent change"/>
    <s v="Units"/>
    <x v="0"/>
    <n v="-1.3420000000000001"/>
  </r>
  <r>
    <n v="1"/>
    <x v="2"/>
    <x v="134"/>
    <x v="6"/>
    <s v="Percent change"/>
    <s v="Units"/>
    <x v="1"/>
    <n v="-0.64"/>
  </r>
  <r>
    <n v="1"/>
    <x v="2"/>
    <x v="134"/>
    <x v="6"/>
    <s v="Percent change"/>
    <s v="Units"/>
    <x v="2"/>
    <n v="4.9550000000000001"/>
  </r>
  <r>
    <n v="1"/>
    <x v="2"/>
    <x v="134"/>
    <x v="6"/>
    <s v="Percent change"/>
    <s v="Units"/>
    <x v="3"/>
    <n v="5.4509999999999996"/>
  </r>
  <r>
    <n v="1"/>
    <x v="2"/>
    <x v="134"/>
    <x v="6"/>
    <s v="Percent change"/>
    <s v="Units"/>
    <x v="4"/>
    <n v="3.98"/>
  </r>
  <r>
    <n v="1"/>
    <x v="2"/>
    <x v="134"/>
    <x v="6"/>
    <s v="Percent change"/>
    <s v="Units"/>
    <x v="5"/>
    <n v="3.4239999999999999"/>
  </r>
  <r>
    <n v="1"/>
    <x v="2"/>
    <x v="134"/>
    <x v="6"/>
    <s v="Percent change"/>
    <s v="Units"/>
    <x v="6"/>
    <n v="4.0640000000000001"/>
  </r>
  <r>
    <n v="200"/>
    <x v="3"/>
    <x v="134"/>
    <x v="6"/>
    <s v="Percent change"/>
    <s v="Units"/>
    <x v="0"/>
    <n v="-1.3420000000000001"/>
  </r>
  <r>
    <n v="200"/>
    <x v="3"/>
    <x v="134"/>
    <x v="6"/>
    <s v="Percent change"/>
    <s v="Units"/>
    <x v="1"/>
    <n v="-0.64"/>
  </r>
  <r>
    <n v="200"/>
    <x v="3"/>
    <x v="134"/>
    <x v="6"/>
    <s v="Percent change"/>
    <s v="Units"/>
    <x v="2"/>
    <n v="4.9550000000000001"/>
  </r>
  <r>
    <n v="200"/>
    <x v="3"/>
    <x v="134"/>
    <x v="6"/>
    <s v="Percent change"/>
    <s v="Units"/>
    <x v="3"/>
    <n v="5.4509999999999996"/>
  </r>
  <r>
    <n v="200"/>
    <x v="3"/>
    <x v="134"/>
    <x v="6"/>
    <s v="Percent change"/>
    <s v="Units"/>
    <x v="4"/>
    <n v="3.98"/>
  </r>
  <r>
    <n v="200"/>
    <x v="3"/>
    <x v="134"/>
    <x v="6"/>
    <s v="Percent change"/>
    <s v="Units"/>
    <x v="5"/>
    <n v="3.4239999999999999"/>
  </r>
  <r>
    <n v="200"/>
    <x v="3"/>
    <x v="134"/>
    <x v="6"/>
    <s v="Percent change"/>
    <s v="Units"/>
    <x v="6"/>
    <n v="4.0640000000000001"/>
  </r>
  <r>
    <n v="205"/>
    <x v="7"/>
    <x v="177"/>
    <x v="8"/>
    <s v="Percent change"/>
    <s v="Units"/>
    <x v="0"/>
    <n v="4.2359999999999998"/>
  </r>
  <r>
    <n v="205"/>
    <x v="7"/>
    <x v="177"/>
    <x v="8"/>
    <s v="Percent change"/>
    <s v="Units"/>
    <x v="1"/>
    <n v="-13.731"/>
  </r>
  <r>
    <n v="205"/>
    <x v="7"/>
    <x v="177"/>
    <x v="8"/>
    <s v="Percent change"/>
    <s v="Units"/>
    <x v="2"/>
    <n v="17.864000000000001"/>
  </r>
  <r>
    <n v="205"/>
    <x v="7"/>
    <x v="177"/>
    <x v="8"/>
    <s v="Percent change"/>
    <s v="Units"/>
    <x v="3"/>
    <n v="8.7330000000000005"/>
  </r>
  <r>
    <n v="205"/>
    <x v="7"/>
    <x v="177"/>
    <x v="8"/>
    <s v="Percent change"/>
    <s v="Units"/>
    <x v="4"/>
    <n v="4.6989999999999998"/>
  </r>
  <r>
    <n v="205"/>
    <x v="7"/>
    <x v="177"/>
    <x v="8"/>
    <s v="Percent change"/>
    <s v="Units"/>
    <x v="5"/>
    <n v="3.383"/>
  </r>
  <r>
    <n v="205"/>
    <x v="7"/>
    <x v="177"/>
    <x v="8"/>
    <s v="Percent change"/>
    <s v="Units"/>
    <x v="6"/>
    <n v="2.544"/>
  </r>
  <r>
    <n v="1"/>
    <x v="2"/>
    <x v="177"/>
    <x v="8"/>
    <s v="Percent change"/>
    <s v="Units"/>
    <x v="0"/>
    <n v="4.2359999999999998"/>
  </r>
  <r>
    <n v="1"/>
    <x v="2"/>
    <x v="177"/>
    <x v="8"/>
    <s v="Percent change"/>
    <s v="Units"/>
    <x v="1"/>
    <n v="-13.731"/>
  </r>
  <r>
    <n v="1"/>
    <x v="2"/>
    <x v="177"/>
    <x v="8"/>
    <s v="Percent change"/>
    <s v="Units"/>
    <x v="2"/>
    <n v="17.864000000000001"/>
  </r>
  <r>
    <n v="1"/>
    <x v="2"/>
    <x v="177"/>
    <x v="8"/>
    <s v="Percent change"/>
    <s v="Units"/>
    <x v="3"/>
    <n v="8.7330000000000005"/>
  </r>
  <r>
    <n v="1"/>
    <x v="2"/>
    <x v="177"/>
    <x v="8"/>
    <s v="Percent change"/>
    <s v="Units"/>
    <x v="4"/>
    <n v="4.6989999999999998"/>
  </r>
  <r>
    <n v="1"/>
    <x v="2"/>
    <x v="177"/>
    <x v="8"/>
    <s v="Percent change"/>
    <s v="Units"/>
    <x v="5"/>
    <n v="3.383"/>
  </r>
  <r>
    <n v="1"/>
    <x v="2"/>
    <x v="177"/>
    <x v="8"/>
    <s v="Percent change"/>
    <s v="Units"/>
    <x v="6"/>
    <n v="2.544"/>
  </r>
  <r>
    <n v="200"/>
    <x v="3"/>
    <x v="177"/>
    <x v="8"/>
    <s v="Percent change"/>
    <s v="Units"/>
    <x v="0"/>
    <n v="4.2359999999999998"/>
  </r>
  <r>
    <n v="200"/>
    <x v="3"/>
    <x v="177"/>
    <x v="8"/>
    <s v="Percent change"/>
    <s v="Units"/>
    <x v="1"/>
    <n v="-13.731"/>
  </r>
  <r>
    <n v="200"/>
    <x v="3"/>
    <x v="177"/>
    <x v="8"/>
    <s v="Percent change"/>
    <s v="Units"/>
    <x v="2"/>
    <n v="17.864000000000001"/>
  </r>
  <r>
    <n v="200"/>
    <x v="3"/>
    <x v="177"/>
    <x v="8"/>
    <s v="Percent change"/>
    <s v="Units"/>
    <x v="3"/>
    <n v="8.7330000000000005"/>
  </r>
  <r>
    <n v="200"/>
    <x v="3"/>
    <x v="177"/>
    <x v="8"/>
    <s v="Percent change"/>
    <s v="Units"/>
    <x v="4"/>
    <n v="4.6989999999999998"/>
  </r>
  <r>
    <n v="200"/>
    <x v="3"/>
    <x v="177"/>
    <x v="8"/>
    <s v="Percent change"/>
    <s v="Units"/>
    <x v="5"/>
    <n v="3.383"/>
  </r>
  <r>
    <n v="200"/>
    <x v="3"/>
    <x v="177"/>
    <x v="8"/>
    <s v="Percent change"/>
    <s v="Units"/>
    <x v="6"/>
    <n v="2.544"/>
  </r>
  <r>
    <n v="123"/>
    <x v="9"/>
    <x v="30"/>
    <x v="4"/>
    <s v="Percent change"/>
    <s v="Units"/>
    <x v="0"/>
    <n v="2.1160000000000001"/>
  </r>
  <r>
    <n v="123"/>
    <x v="9"/>
    <x v="30"/>
    <x v="4"/>
    <s v="Percent change"/>
    <s v="Units"/>
    <x v="1"/>
    <n v="-2.3290000000000002"/>
  </r>
  <r>
    <n v="123"/>
    <x v="9"/>
    <x v="30"/>
    <x v="4"/>
    <s v="Percent change"/>
    <s v="Units"/>
    <x v="2"/>
    <n v="6.0910000000000002"/>
  </r>
  <r>
    <n v="123"/>
    <x v="9"/>
    <x v="30"/>
    <x v="4"/>
    <s v="Percent change"/>
    <s v="Units"/>
    <x v="3"/>
    <n v="4.4989999999999997"/>
  </r>
  <r>
    <n v="123"/>
    <x v="9"/>
    <x v="30"/>
    <x v="4"/>
    <s v="Percent change"/>
    <s v="Units"/>
    <x v="4"/>
    <n v="1.4490000000000001"/>
  </r>
  <r>
    <n v="123"/>
    <x v="9"/>
    <x v="30"/>
    <x v="4"/>
    <s v="Percent change"/>
    <s v="Units"/>
    <x v="5"/>
    <n v="3.3730000000000002"/>
  </r>
  <r>
    <n v="123"/>
    <x v="9"/>
    <x v="30"/>
    <x v="4"/>
    <s v="Percent change"/>
    <s v="Units"/>
    <x v="6"/>
    <n v="2.7280000000000002"/>
  </r>
  <r>
    <n v="110"/>
    <x v="0"/>
    <x v="30"/>
    <x v="4"/>
    <s v="Percent change"/>
    <s v="Units"/>
    <x v="0"/>
    <n v="2.1160000000000001"/>
  </r>
  <r>
    <n v="110"/>
    <x v="0"/>
    <x v="30"/>
    <x v="4"/>
    <s v="Percent change"/>
    <s v="Units"/>
    <x v="1"/>
    <n v="-2.3290000000000002"/>
  </r>
  <r>
    <n v="110"/>
    <x v="0"/>
    <x v="30"/>
    <x v="4"/>
    <s v="Percent change"/>
    <s v="Units"/>
    <x v="2"/>
    <n v="6.0910000000000002"/>
  </r>
  <r>
    <n v="110"/>
    <x v="0"/>
    <x v="30"/>
    <x v="4"/>
    <s v="Percent change"/>
    <s v="Units"/>
    <x v="3"/>
    <n v="4.4989999999999997"/>
  </r>
  <r>
    <n v="110"/>
    <x v="0"/>
    <x v="30"/>
    <x v="4"/>
    <s v="Percent change"/>
    <s v="Units"/>
    <x v="4"/>
    <n v="1.4490000000000001"/>
  </r>
  <r>
    <n v="110"/>
    <x v="0"/>
    <x v="30"/>
    <x v="4"/>
    <s v="Percent change"/>
    <s v="Units"/>
    <x v="5"/>
    <n v="3.3730000000000002"/>
  </r>
  <r>
    <n v="110"/>
    <x v="0"/>
    <x v="30"/>
    <x v="4"/>
    <s v="Percent change"/>
    <s v="Units"/>
    <x v="6"/>
    <n v="2.7280000000000002"/>
  </r>
  <r>
    <n v="1"/>
    <x v="2"/>
    <x v="30"/>
    <x v="4"/>
    <s v="Percent change"/>
    <s v="Units"/>
    <x v="0"/>
    <n v="2.1160000000000001"/>
  </r>
  <r>
    <n v="1"/>
    <x v="2"/>
    <x v="30"/>
    <x v="4"/>
    <s v="Percent change"/>
    <s v="Units"/>
    <x v="1"/>
    <n v="-2.3290000000000002"/>
  </r>
  <r>
    <n v="1"/>
    <x v="2"/>
    <x v="30"/>
    <x v="4"/>
    <s v="Percent change"/>
    <s v="Units"/>
    <x v="2"/>
    <n v="6.0910000000000002"/>
  </r>
  <r>
    <n v="1"/>
    <x v="2"/>
    <x v="30"/>
    <x v="4"/>
    <s v="Percent change"/>
    <s v="Units"/>
    <x v="3"/>
    <n v="4.4989999999999997"/>
  </r>
  <r>
    <n v="1"/>
    <x v="2"/>
    <x v="30"/>
    <x v="4"/>
    <s v="Percent change"/>
    <s v="Units"/>
    <x v="4"/>
    <n v="1.4490000000000001"/>
  </r>
  <r>
    <n v="1"/>
    <x v="2"/>
    <x v="30"/>
    <x v="4"/>
    <s v="Percent change"/>
    <s v="Units"/>
    <x v="5"/>
    <n v="3.3730000000000002"/>
  </r>
  <r>
    <n v="1"/>
    <x v="2"/>
    <x v="30"/>
    <x v="4"/>
    <s v="Percent change"/>
    <s v="Units"/>
    <x v="6"/>
    <n v="2.7280000000000002"/>
  </r>
  <r>
    <n v="1"/>
    <x v="2"/>
    <x v="63"/>
    <x v="6"/>
    <s v="Percent change"/>
    <s v="Units"/>
    <x v="0"/>
    <n v="5.0999999999999996"/>
  </r>
  <r>
    <n v="1"/>
    <x v="2"/>
    <x v="63"/>
    <x v="6"/>
    <s v="Percent change"/>
    <s v="Units"/>
    <x v="1"/>
    <n v="-11.471"/>
  </r>
  <r>
    <n v="1"/>
    <x v="2"/>
    <x v="63"/>
    <x v="6"/>
    <s v="Percent change"/>
    <s v="Units"/>
    <x v="2"/>
    <n v="18.088000000000001"/>
  </r>
  <r>
    <n v="1"/>
    <x v="2"/>
    <x v="63"/>
    <x v="6"/>
    <s v="Percent change"/>
    <s v="Units"/>
    <x v="3"/>
    <n v="15.819000000000001"/>
  </r>
  <r>
    <n v="1"/>
    <x v="2"/>
    <x v="63"/>
    <x v="6"/>
    <s v="Percent change"/>
    <s v="Units"/>
    <x v="4"/>
    <n v="-4.07"/>
  </r>
  <r>
    <n v="1"/>
    <x v="2"/>
    <x v="63"/>
    <x v="6"/>
    <s v="Percent change"/>
    <s v="Units"/>
    <x v="5"/>
    <n v="3.3620000000000001"/>
  </r>
  <r>
    <n v="1"/>
    <x v="2"/>
    <x v="63"/>
    <x v="6"/>
    <s v="Percent change"/>
    <s v="Units"/>
    <x v="6"/>
    <n v="2.6720000000000002"/>
  </r>
  <r>
    <n v="200"/>
    <x v="3"/>
    <x v="63"/>
    <x v="6"/>
    <s v="Percent change"/>
    <s v="Units"/>
    <x v="0"/>
    <n v="5.0999999999999996"/>
  </r>
  <r>
    <n v="200"/>
    <x v="3"/>
    <x v="63"/>
    <x v="6"/>
    <s v="Percent change"/>
    <s v="Units"/>
    <x v="1"/>
    <n v="-11.471"/>
  </r>
  <r>
    <n v="200"/>
    <x v="3"/>
    <x v="63"/>
    <x v="6"/>
    <s v="Percent change"/>
    <s v="Units"/>
    <x v="2"/>
    <n v="18.088000000000001"/>
  </r>
  <r>
    <n v="200"/>
    <x v="3"/>
    <x v="63"/>
    <x v="6"/>
    <s v="Percent change"/>
    <s v="Units"/>
    <x v="3"/>
    <n v="15.819000000000001"/>
  </r>
  <r>
    <n v="200"/>
    <x v="3"/>
    <x v="63"/>
    <x v="6"/>
    <s v="Percent change"/>
    <s v="Units"/>
    <x v="4"/>
    <n v="-4.07"/>
  </r>
  <r>
    <n v="200"/>
    <x v="3"/>
    <x v="63"/>
    <x v="6"/>
    <s v="Percent change"/>
    <s v="Units"/>
    <x v="5"/>
    <n v="3.3620000000000001"/>
  </r>
  <r>
    <n v="200"/>
    <x v="3"/>
    <x v="63"/>
    <x v="6"/>
    <s v="Percent change"/>
    <s v="Units"/>
    <x v="6"/>
    <n v="2.6720000000000002"/>
  </r>
  <r>
    <n v="205"/>
    <x v="7"/>
    <x v="63"/>
    <x v="6"/>
    <s v="Percent change"/>
    <s v="Units"/>
    <x v="0"/>
    <n v="5.0999999999999996"/>
  </r>
  <r>
    <n v="205"/>
    <x v="7"/>
    <x v="63"/>
    <x v="6"/>
    <s v="Percent change"/>
    <s v="Units"/>
    <x v="1"/>
    <n v="-11.471"/>
  </r>
  <r>
    <n v="205"/>
    <x v="7"/>
    <x v="63"/>
    <x v="6"/>
    <s v="Percent change"/>
    <s v="Units"/>
    <x v="2"/>
    <n v="18.088000000000001"/>
  </r>
  <r>
    <n v="205"/>
    <x v="7"/>
    <x v="63"/>
    <x v="6"/>
    <s v="Percent change"/>
    <s v="Units"/>
    <x v="3"/>
    <n v="15.819000000000001"/>
  </r>
  <r>
    <n v="205"/>
    <x v="7"/>
    <x v="63"/>
    <x v="6"/>
    <s v="Percent change"/>
    <s v="Units"/>
    <x v="4"/>
    <n v="-4.07"/>
  </r>
  <r>
    <n v="205"/>
    <x v="7"/>
    <x v="63"/>
    <x v="6"/>
    <s v="Percent change"/>
    <s v="Units"/>
    <x v="5"/>
    <n v="3.3620000000000001"/>
  </r>
  <r>
    <n v="205"/>
    <x v="7"/>
    <x v="63"/>
    <x v="6"/>
    <s v="Percent change"/>
    <s v="Units"/>
    <x v="6"/>
    <n v="2.6720000000000002"/>
  </r>
  <r>
    <n v="1"/>
    <x v="2"/>
    <x v="177"/>
    <x v="4"/>
    <s v="Percent change"/>
    <s v="Units"/>
    <x v="0"/>
    <n v="4.21"/>
  </r>
  <r>
    <n v="1"/>
    <x v="2"/>
    <x v="177"/>
    <x v="4"/>
    <s v="Percent change"/>
    <s v="Units"/>
    <x v="1"/>
    <n v="-21.867000000000001"/>
  </r>
  <r>
    <n v="1"/>
    <x v="2"/>
    <x v="177"/>
    <x v="4"/>
    <s v="Percent change"/>
    <s v="Units"/>
    <x v="2"/>
    <n v="32.718000000000004"/>
  </r>
  <r>
    <n v="1"/>
    <x v="2"/>
    <x v="177"/>
    <x v="4"/>
    <s v="Percent change"/>
    <s v="Units"/>
    <x v="3"/>
    <n v="14.025"/>
  </r>
  <r>
    <n v="1"/>
    <x v="2"/>
    <x v="177"/>
    <x v="4"/>
    <s v="Percent change"/>
    <s v="Units"/>
    <x v="4"/>
    <n v="0.77400000000000002"/>
  </r>
  <r>
    <n v="1"/>
    <x v="2"/>
    <x v="177"/>
    <x v="4"/>
    <s v="Percent change"/>
    <s v="Units"/>
    <x v="5"/>
    <n v="3.3559999999999999"/>
  </r>
  <r>
    <n v="1"/>
    <x v="2"/>
    <x v="177"/>
    <x v="4"/>
    <s v="Percent change"/>
    <s v="Units"/>
    <x v="6"/>
    <n v="2.52"/>
  </r>
  <r>
    <n v="205"/>
    <x v="7"/>
    <x v="177"/>
    <x v="4"/>
    <s v="Percent change"/>
    <s v="Units"/>
    <x v="0"/>
    <n v="4.21"/>
  </r>
  <r>
    <n v="205"/>
    <x v="7"/>
    <x v="177"/>
    <x v="4"/>
    <s v="Percent change"/>
    <s v="Units"/>
    <x v="1"/>
    <n v="-21.867000000000001"/>
  </r>
  <r>
    <n v="205"/>
    <x v="7"/>
    <x v="177"/>
    <x v="4"/>
    <s v="Percent change"/>
    <s v="Units"/>
    <x v="2"/>
    <n v="32.718000000000004"/>
  </r>
  <r>
    <n v="205"/>
    <x v="7"/>
    <x v="177"/>
    <x v="4"/>
    <s v="Percent change"/>
    <s v="Units"/>
    <x v="3"/>
    <n v="14.025"/>
  </r>
  <r>
    <n v="205"/>
    <x v="7"/>
    <x v="177"/>
    <x v="4"/>
    <s v="Percent change"/>
    <s v="Units"/>
    <x v="4"/>
    <n v="0.77400000000000002"/>
  </r>
  <r>
    <n v="205"/>
    <x v="7"/>
    <x v="177"/>
    <x v="4"/>
    <s v="Percent change"/>
    <s v="Units"/>
    <x v="5"/>
    <n v="3.3559999999999999"/>
  </r>
  <r>
    <n v="205"/>
    <x v="7"/>
    <x v="177"/>
    <x v="4"/>
    <s v="Percent change"/>
    <s v="Units"/>
    <x v="6"/>
    <n v="2.52"/>
  </r>
  <r>
    <n v="200"/>
    <x v="3"/>
    <x v="177"/>
    <x v="4"/>
    <s v="Percent change"/>
    <s v="Units"/>
    <x v="0"/>
    <n v="4.21"/>
  </r>
  <r>
    <n v="200"/>
    <x v="3"/>
    <x v="177"/>
    <x v="4"/>
    <s v="Percent change"/>
    <s v="Units"/>
    <x v="1"/>
    <n v="-21.867000000000001"/>
  </r>
  <r>
    <n v="200"/>
    <x v="3"/>
    <x v="177"/>
    <x v="4"/>
    <s v="Percent change"/>
    <s v="Units"/>
    <x v="2"/>
    <n v="32.718000000000004"/>
  </r>
  <r>
    <n v="200"/>
    <x v="3"/>
    <x v="177"/>
    <x v="4"/>
    <s v="Percent change"/>
    <s v="Units"/>
    <x v="3"/>
    <n v="14.025"/>
  </r>
  <r>
    <n v="200"/>
    <x v="3"/>
    <x v="177"/>
    <x v="4"/>
    <s v="Percent change"/>
    <s v="Units"/>
    <x v="4"/>
    <n v="0.77400000000000002"/>
  </r>
  <r>
    <n v="200"/>
    <x v="3"/>
    <x v="177"/>
    <x v="4"/>
    <s v="Percent change"/>
    <s v="Units"/>
    <x v="5"/>
    <n v="3.3559999999999999"/>
  </r>
  <r>
    <n v="200"/>
    <x v="3"/>
    <x v="177"/>
    <x v="4"/>
    <s v="Percent change"/>
    <s v="Units"/>
    <x v="6"/>
    <n v="2.52"/>
  </r>
  <r>
    <n v="200"/>
    <x v="3"/>
    <x v="70"/>
    <x v="1"/>
    <s v="Percent change"/>
    <s v="Units"/>
    <x v="0"/>
    <n v="2.4569999999999999"/>
  </r>
  <r>
    <n v="200"/>
    <x v="3"/>
    <x v="70"/>
    <x v="1"/>
    <s v="Percent change"/>
    <s v="Units"/>
    <x v="1"/>
    <n v="1.2190000000000001"/>
  </r>
  <r>
    <n v="200"/>
    <x v="3"/>
    <x v="70"/>
    <x v="1"/>
    <s v="Percent change"/>
    <s v="Units"/>
    <x v="2"/>
    <n v="2.8420000000000001"/>
  </r>
  <r>
    <n v="200"/>
    <x v="3"/>
    <x v="70"/>
    <x v="1"/>
    <s v="Percent change"/>
    <s v="Units"/>
    <x v="3"/>
    <n v="13.019"/>
  </r>
  <r>
    <n v="200"/>
    <x v="3"/>
    <x v="70"/>
    <x v="1"/>
    <s v="Percent change"/>
    <s v="Units"/>
    <x v="4"/>
    <n v="8.5990000000000002"/>
  </r>
  <r>
    <n v="200"/>
    <x v="3"/>
    <x v="70"/>
    <x v="1"/>
    <s v="Percent change"/>
    <s v="Units"/>
    <x v="5"/>
    <n v="3.351"/>
  </r>
  <r>
    <n v="200"/>
    <x v="3"/>
    <x v="70"/>
    <x v="1"/>
    <s v="Percent change"/>
    <s v="Units"/>
    <x v="6"/>
    <n v="2.742"/>
  </r>
  <r>
    <n v="903"/>
    <x v="8"/>
    <x v="70"/>
    <x v="1"/>
    <s v="Percent change"/>
    <s v="Units"/>
    <x v="0"/>
    <n v="2.4569999999999999"/>
  </r>
  <r>
    <n v="903"/>
    <x v="8"/>
    <x v="70"/>
    <x v="1"/>
    <s v="Percent change"/>
    <s v="Units"/>
    <x v="1"/>
    <n v="1.2190000000000001"/>
  </r>
  <r>
    <n v="903"/>
    <x v="8"/>
    <x v="70"/>
    <x v="1"/>
    <s v="Percent change"/>
    <s v="Units"/>
    <x v="2"/>
    <n v="2.8420000000000001"/>
  </r>
  <r>
    <n v="903"/>
    <x v="8"/>
    <x v="70"/>
    <x v="1"/>
    <s v="Percent change"/>
    <s v="Units"/>
    <x v="3"/>
    <n v="13.019"/>
  </r>
  <r>
    <n v="903"/>
    <x v="8"/>
    <x v="70"/>
    <x v="1"/>
    <s v="Percent change"/>
    <s v="Units"/>
    <x v="4"/>
    <n v="8.5990000000000002"/>
  </r>
  <r>
    <n v="903"/>
    <x v="8"/>
    <x v="70"/>
    <x v="1"/>
    <s v="Percent change"/>
    <s v="Units"/>
    <x v="5"/>
    <n v="3.351"/>
  </r>
  <r>
    <n v="903"/>
    <x v="8"/>
    <x v="70"/>
    <x v="1"/>
    <s v="Percent change"/>
    <s v="Units"/>
    <x v="6"/>
    <n v="2.742"/>
  </r>
  <r>
    <n v="1"/>
    <x v="2"/>
    <x v="70"/>
    <x v="1"/>
    <s v="Percent change"/>
    <s v="Units"/>
    <x v="0"/>
    <n v="2.4569999999999999"/>
  </r>
  <r>
    <n v="1"/>
    <x v="2"/>
    <x v="70"/>
    <x v="1"/>
    <s v="Percent change"/>
    <s v="Units"/>
    <x v="1"/>
    <n v="1.2190000000000001"/>
  </r>
  <r>
    <n v="1"/>
    <x v="2"/>
    <x v="70"/>
    <x v="1"/>
    <s v="Percent change"/>
    <s v="Units"/>
    <x v="2"/>
    <n v="2.8420000000000001"/>
  </r>
  <r>
    <n v="1"/>
    <x v="2"/>
    <x v="70"/>
    <x v="1"/>
    <s v="Percent change"/>
    <s v="Units"/>
    <x v="3"/>
    <n v="13.019"/>
  </r>
  <r>
    <n v="1"/>
    <x v="2"/>
    <x v="70"/>
    <x v="1"/>
    <s v="Percent change"/>
    <s v="Units"/>
    <x v="4"/>
    <n v="8.5990000000000002"/>
  </r>
  <r>
    <n v="1"/>
    <x v="2"/>
    <x v="70"/>
    <x v="1"/>
    <s v="Percent change"/>
    <s v="Units"/>
    <x v="5"/>
    <n v="3.351"/>
  </r>
  <r>
    <n v="1"/>
    <x v="2"/>
    <x v="70"/>
    <x v="1"/>
    <s v="Percent change"/>
    <s v="Units"/>
    <x v="6"/>
    <n v="2.742"/>
  </r>
  <r>
    <n v="998"/>
    <x v="6"/>
    <x v="70"/>
    <x v="1"/>
    <s v="Percent change"/>
    <s v="Units"/>
    <x v="0"/>
    <n v="2.4569999999999999"/>
  </r>
  <r>
    <n v="998"/>
    <x v="6"/>
    <x v="70"/>
    <x v="1"/>
    <s v="Percent change"/>
    <s v="Units"/>
    <x v="1"/>
    <n v="1.2190000000000001"/>
  </r>
  <r>
    <n v="998"/>
    <x v="6"/>
    <x v="70"/>
    <x v="1"/>
    <s v="Percent change"/>
    <s v="Units"/>
    <x v="2"/>
    <n v="2.8420000000000001"/>
  </r>
  <r>
    <n v="998"/>
    <x v="6"/>
    <x v="70"/>
    <x v="1"/>
    <s v="Percent change"/>
    <s v="Units"/>
    <x v="3"/>
    <n v="13.019"/>
  </r>
  <r>
    <n v="998"/>
    <x v="6"/>
    <x v="70"/>
    <x v="1"/>
    <s v="Percent change"/>
    <s v="Units"/>
    <x v="4"/>
    <n v="8.5990000000000002"/>
  </r>
  <r>
    <n v="998"/>
    <x v="6"/>
    <x v="70"/>
    <x v="1"/>
    <s v="Percent change"/>
    <s v="Units"/>
    <x v="5"/>
    <n v="3.351"/>
  </r>
  <r>
    <n v="998"/>
    <x v="6"/>
    <x v="70"/>
    <x v="1"/>
    <s v="Percent change"/>
    <s v="Units"/>
    <x v="6"/>
    <n v="2.742"/>
  </r>
  <r>
    <n v="1"/>
    <x v="2"/>
    <x v="12"/>
    <x v="6"/>
    <s v="Percent change"/>
    <s v="Units"/>
    <x v="0"/>
    <n v="-0.72499999999999998"/>
  </r>
  <r>
    <n v="1"/>
    <x v="2"/>
    <x v="12"/>
    <x v="6"/>
    <s v="Percent change"/>
    <s v="Units"/>
    <x v="1"/>
    <n v="-11.983000000000001"/>
  </r>
  <r>
    <n v="1"/>
    <x v="2"/>
    <x v="12"/>
    <x v="6"/>
    <s v="Percent change"/>
    <s v="Units"/>
    <x v="2"/>
    <n v="4.8029999999999999"/>
  </r>
  <r>
    <n v="1"/>
    <x v="2"/>
    <x v="12"/>
    <x v="6"/>
    <s v="Percent change"/>
    <s v="Units"/>
    <x v="3"/>
    <n v="12.787000000000001"/>
  </r>
  <r>
    <n v="1"/>
    <x v="2"/>
    <x v="12"/>
    <x v="6"/>
    <s v="Percent change"/>
    <s v="Units"/>
    <x v="4"/>
    <n v="3.3380000000000001"/>
  </r>
  <r>
    <n v="1"/>
    <x v="2"/>
    <x v="12"/>
    <x v="6"/>
    <s v="Percent change"/>
    <s v="Units"/>
    <x v="5"/>
    <n v="3.3460000000000001"/>
  </r>
  <r>
    <n v="1"/>
    <x v="2"/>
    <x v="12"/>
    <x v="6"/>
    <s v="Percent change"/>
    <s v="Units"/>
    <x v="6"/>
    <n v="2.9020000000000001"/>
  </r>
  <r>
    <n v="123"/>
    <x v="9"/>
    <x v="12"/>
    <x v="6"/>
    <s v="Percent change"/>
    <s v="Units"/>
    <x v="0"/>
    <n v="-0.72499999999999998"/>
  </r>
  <r>
    <n v="123"/>
    <x v="9"/>
    <x v="12"/>
    <x v="6"/>
    <s v="Percent change"/>
    <s v="Units"/>
    <x v="1"/>
    <n v="-11.983000000000001"/>
  </r>
  <r>
    <n v="123"/>
    <x v="9"/>
    <x v="12"/>
    <x v="6"/>
    <s v="Percent change"/>
    <s v="Units"/>
    <x v="2"/>
    <n v="4.8029999999999999"/>
  </r>
  <r>
    <n v="123"/>
    <x v="9"/>
    <x v="12"/>
    <x v="6"/>
    <s v="Percent change"/>
    <s v="Units"/>
    <x v="3"/>
    <n v="12.787000000000001"/>
  </r>
  <r>
    <n v="123"/>
    <x v="9"/>
    <x v="12"/>
    <x v="6"/>
    <s v="Percent change"/>
    <s v="Units"/>
    <x v="4"/>
    <n v="3.3380000000000001"/>
  </r>
  <r>
    <n v="123"/>
    <x v="9"/>
    <x v="12"/>
    <x v="6"/>
    <s v="Percent change"/>
    <s v="Units"/>
    <x v="5"/>
    <n v="3.3460000000000001"/>
  </r>
  <r>
    <n v="123"/>
    <x v="9"/>
    <x v="12"/>
    <x v="6"/>
    <s v="Percent change"/>
    <s v="Units"/>
    <x v="6"/>
    <n v="2.9020000000000001"/>
  </r>
  <r>
    <n v="110"/>
    <x v="0"/>
    <x v="12"/>
    <x v="6"/>
    <s v="Percent change"/>
    <s v="Units"/>
    <x v="0"/>
    <n v="-0.72499999999999998"/>
  </r>
  <r>
    <n v="110"/>
    <x v="0"/>
    <x v="12"/>
    <x v="6"/>
    <s v="Percent change"/>
    <s v="Units"/>
    <x v="1"/>
    <n v="-11.983000000000001"/>
  </r>
  <r>
    <n v="110"/>
    <x v="0"/>
    <x v="12"/>
    <x v="6"/>
    <s v="Percent change"/>
    <s v="Units"/>
    <x v="2"/>
    <n v="4.8029999999999999"/>
  </r>
  <r>
    <n v="110"/>
    <x v="0"/>
    <x v="12"/>
    <x v="6"/>
    <s v="Percent change"/>
    <s v="Units"/>
    <x v="3"/>
    <n v="12.787000000000001"/>
  </r>
  <r>
    <n v="110"/>
    <x v="0"/>
    <x v="12"/>
    <x v="6"/>
    <s v="Percent change"/>
    <s v="Units"/>
    <x v="4"/>
    <n v="3.3380000000000001"/>
  </r>
  <r>
    <n v="110"/>
    <x v="0"/>
    <x v="12"/>
    <x v="6"/>
    <s v="Percent change"/>
    <s v="Units"/>
    <x v="5"/>
    <n v="3.3460000000000001"/>
  </r>
  <r>
    <n v="110"/>
    <x v="0"/>
    <x v="12"/>
    <x v="6"/>
    <s v="Percent change"/>
    <s v="Units"/>
    <x v="6"/>
    <n v="2.9020000000000001"/>
  </r>
  <r>
    <n v="603"/>
    <x v="12"/>
    <x v="52"/>
    <x v="8"/>
    <s v="Percent change"/>
    <s v="Units"/>
    <x v="0"/>
    <n v="2.2080000000000002"/>
  </r>
  <r>
    <n v="603"/>
    <x v="12"/>
    <x v="52"/>
    <x v="8"/>
    <s v="Percent change"/>
    <s v="Units"/>
    <x v="1"/>
    <n v="-1.794"/>
  </r>
  <r>
    <n v="603"/>
    <x v="12"/>
    <x v="52"/>
    <x v="8"/>
    <s v="Percent change"/>
    <s v="Units"/>
    <x v="2"/>
    <n v="3.6469999999999998"/>
  </r>
  <r>
    <n v="603"/>
    <x v="12"/>
    <x v="52"/>
    <x v="8"/>
    <s v="Percent change"/>
    <s v="Units"/>
    <x v="3"/>
    <n v="3.2519999999999998"/>
  </r>
  <r>
    <n v="603"/>
    <x v="12"/>
    <x v="52"/>
    <x v="8"/>
    <s v="Percent change"/>
    <s v="Units"/>
    <x v="4"/>
    <n v="2.86"/>
  </r>
  <r>
    <n v="603"/>
    <x v="12"/>
    <x v="52"/>
    <x v="8"/>
    <s v="Percent change"/>
    <s v="Units"/>
    <x v="5"/>
    <n v="3.3380000000000001"/>
  </r>
  <r>
    <n v="603"/>
    <x v="12"/>
    <x v="52"/>
    <x v="8"/>
    <s v="Percent change"/>
    <s v="Units"/>
    <x v="6"/>
    <n v="2.964"/>
  </r>
  <r>
    <n v="1"/>
    <x v="2"/>
    <x v="52"/>
    <x v="8"/>
    <s v="Percent change"/>
    <s v="Units"/>
    <x v="0"/>
    <n v="2.2080000000000002"/>
  </r>
  <r>
    <n v="1"/>
    <x v="2"/>
    <x v="52"/>
    <x v="8"/>
    <s v="Percent change"/>
    <s v="Units"/>
    <x v="1"/>
    <n v="-1.794"/>
  </r>
  <r>
    <n v="1"/>
    <x v="2"/>
    <x v="52"/>
    <x v="8"/>
    <s v="Percent change"/>
    <s v="Units"/>
    <x v="2"/>
    <n v="3.6469999999999998"/>
  </r>
  <r>
    <n v="1"/>
    <x v="2"/>
    <x v="52"/>
    <x v="8"/>
    <s v="Percent change"/>
    <s v="Units"/>
    <x v="3"/>
    <n v="3.2519999999999998"/>
  </r>
  <r>
    <n v="1"/>
    <x v="2"/>
    <x v="52"/>
    <x v="8"/>
    <s v="Percent change"/>
    <s v="Units"/>
    <x v="4"/>
    <n v="2.86"/>
  </r>
  <r>
    <n v="1"/>
    <x v="2"/>
    <x v="52"/>
    <x v="8"/>
    <s v="Percent change"/>
    <s v="Units"/>
    <x v="5"/>
    <n v="3.3380000000000001"/>
  </r>
  <r>
    <n v="1"/>
    <x v="2"/>
    <x v="52"/>
    <x v="8"/>
    <s v="Percent change"/>
    <s v="Units"/>
    <x v="6"/>
    <n v="2.964"/>
  </r>
  <r>
    <n v="200"/>
    <x v="3"/>
    <x v="52"/>
    <x v="8"/>
    <s v="Percent change"/>
    <s v="Units"/>
    <x v="0"/>
    <n v="2.2080000000000002"/>
  </r>
  <r>
    <n v="200"/>
    <x v="3"/>
    <x v="52"/>
    <x v="8"/>
    <s v="Percent change"/>
    <s v="Units"/>
    <x v="1"/>
    <n v="-1.794"/>
  </r>
  <r>
    <n v="200"/>
    <x v="3"/>
    <x v="52"/>
    <x v="8"/>
    <s v="Percent change"/>
    <s v="Units"/>
    <x v="2"/>
    <n v="3.6469999999999998"/>
  </r>
  <r>
    <n v="200"/>
    <x v="3"/>
    <x v="52"/>
    <x v="8"/>
    <s v="Percent change"/>
    <s v="Units"/>
    <x v="3"/>
    <n v="3.2519999999999998"/>
  </r>
  <r>
    <n v="200"/>
    <x v="3"/>
    <x v="52"/>
    <x v="8"/>
    <s v="Percent change"/>
    <s v="Units"/>
    <x v="4"/>
    <n v="2.86"/>
  </r>
  <r>
    <n v="200"/>
    <x v="3"/>
    <x v="52"/>
    <x v="8"/>
    <s v="Percent change"/>
    <s v="Units"/>
    <x v="5"/>
    <n v="3.3380000000000001"/>
  </r>
  <r>
    <n v="200"/>
    <x v="3"/>
    <x v="52"/>
    <x v="8"/>
    <s v="Percent change"/>
    <s v="Units"/>
    <x v="6"/>
    <n v="2.964"/>
  </r>
  <r>
    <n v="1"/>
    <x v="2"/>
    <x v="34"/>
    <x v="8"/>
    <s v="Percent change"/>
    <s v="Units"/>
    <x v="0"/>
    <n v="-3.0710000000000002"/>
  </r>
  <r>
    <n v="1"/>
    <x v="2"/>
    <x v="34"/>
    <x v="8"/>
    <s v="Percent change"/>
    <s v="Units"/>
    <x v="1"/>
    <n v="3.33"/>
  </r>
  <r>
    <n v="1"/>
    <x v="2"/>
    <x v="34"/>
    <x v="8"/>
    <s v="Percent change"/>
    <s v="Units"/>
    <x v="2"/>
    <n v="4.72"/>
  </r>
  <r>
    <n v="1"/>
    <x v="2"/>
    <x v="34"/>
    <x v="8"/>
    <s v="Percent change"/>
    <s v="Units"/>
    <x v="3"/>
    <n v="3.7770000000000001"/>
  </r>
  <r>
    <n v="1"/>
    <x v="2"/>
    <x v="34"/>
    <x v="8"/>
    <s v="Percent change"/>
    <s v="Units"/>
    <x v="4"/>
    <n v="4.7089999999999996"/>
  </r>
  <r>
    <n v="1"/>
    <x v="2"/>
    <x v="34"/>
    <x v="8"/>
    <s v="Percent change"/>
    <s v="Units"/>
    <x v="5"/>
    <n v="3.3260000000000001"/>
  </r>
  <r>
    <n v="1"/>
    <x v="2"/>
    <x v="34"/>
    <x v="8"/>
    <s v="Percent change"/>
    <s v="Units"/>
    <x v="6"/>
    <n v="3.05"/>
  </r>
  <r>
    <n v="200"/>
    <x v="3"/>
    <x v="34"/>
    <x v="8"/>
    <s v="Percent change"/>
    <s v="Units"/>
    <x v="0"/>
    <n v="-3.0710000000000002"/>
  </r>
  <r>
    <n v="200"/>
    <x v="3"/>
    <x v="34"/>
    <x v="8"/>
    <s v="Percent change"/>
    <s v="Units"/>
    <x v="1"/>
    <n v="3.33"/>
  </r>
  <r>
    <n v="200"/>
    <x v="3"/>
    <x v="34"/>
    <x v="8"/>
    <s v="Percent change"/>
    <s v="Units"/>
    <x v="2"/>
    <n v="4.72"/>
  </r>
  <r>
    <n v="200"/>
    <x v="3"/>
    <x v="34"/>
    <x v="8"/>
    <s v="Percent change"/>
    <s v="Units"/>
    <x v="3"/>
    <n v="3.7770000000000001"/>
  </r>
  <r>
    <n v="200"/>
    <x v="3"/>
    <x v="34"/>
    <x v="8"/>
    <s v="Percent change"/>
    <s v="Units"/>
    <x v="4"/>
    <n v="4.7089999999999996"/>
  </r>
  <r>
    <n v="200"/>
    <x v="3"/>
    <x v="34"/>
    <x v="8"/>
    <s v="Percent change"/>
    <s v="Units"/>
    <x v="5"/>
    <n v="3.3260000000000001"/>
  </r>
  <r>
    <n v="200"/>
    <x v="3"/>
    <x v="34"/>
    <x v="8"/>
    <s v="Percent change"/>
    <s v="Units"/>
    <x v="6"/>
    <n v="3.05"/>
  </r>
  <r>
    <n v="400"/>
    <x v="11"/>
    <x v="34"/>
    <x v="8"/>
    <s v="Percent change"/>
    <s v="Units"/>
    <x v="0"/>
    <n v="-3.0710000000000002"/>
  </r>
  <r>
    <n v="400"/>
    <x v="11"/>
    <x v="34"/>
    <x v="8"/>
    <s v="Percent change"/>
    <s v="Units"/>
    <x v="1"/>
    <n v="3.33"/>
  </r>
  <r>
    <n v="400"/>
    <x v="11"/>
    <x v="34"/>
    <x v="8"/>
    <s v="Percent change"/>
    <s v="Units"/>
    <x v="2"/>
    <n v="4.72"/>
  </r>
  <r>
    <n v="400"/>
    <x v="11"/>
    <x v="34"/>
    <x v="8"/>
    <s v="Percent change"/>
    <s v="Units"/>
    <x v="3"/>
    <n v="3.7770000000000001"/>
  </r>
  <r>
    <n v="400"/>
    <x v="11"/>
    <x v="34"/>
    <x v="8"/>
    <s v="Percent change"/>
    <s v="Units"/>
    <x v="4"/>
    <n v="4.7089999999999996"/>
  </r>
  <r>
    <n v="400"/>
    <x v="11"/>
    <x v="34"/>
    <x v="8"/>
    <s v="Percent change"/>
    <s v="Units"/>
    <x v="5"/>
    <n v="3.3260000000000001"/>
  </r>
  <r>
    <n v="400"/>
    <x v="11"/>
    <x v="34"/>
    <x v="8"/>
    <s v="Percent change"/>
    <s v="Units"/>
    <x v="6"/>
    <n v="3.05"/>
  </r>
  <r>
    <n v="903"/>
    <x v="8"/>
    <x v="55"/>
    <x v="4"/>
    <s v="Percent change"/>
    <s v="Units"/>
    <x v="0"/>
    <n v="5.4240000000000004"/>
  </r>
  <r>
    <n v="903"/>
    <x v="8"/>
    <x v="55"/>
    <x v="4"/>
    <s v="Percent change"/>
    <s v="Units"/>
    <x v="1"/>
    <n v="-6.1479999999999997"/>
  </r>
  <r>
    <n v="903"/>
    <x v="8"/>
    <x v="55"/>
    <x v="4"/>
    <s v="Percent change"/>
    <s v="Units"/>
    <x v="2"/>
    <n v="8.2769999999999992"/>
  </r>
  <r>
    <n v="903"/>
    <x v="8"/>
    <x v="55"/>
    <x v="4"/>
    <s v="Percent change"/>
    <s v="Units"/>
    <x v="3"/>
    <n v="12.606999999999999"/>
  </r>
  <r>
    <n v="903"/>
    <x v="8"/>
    <x v="55"/>
    <x v="4"/>
    <s v="Percent change"/>
    <s v="Units"/>
    <x v="4"/>
    <n v="7.1360000000000001"/>
  </r>
  <r>
    <n v="903"/>
    <x v="8"/>
    <x v="55"/>
    <x v="4"/>
    <s v="Percent change"/>
    <s v="Units"/>
    <x v="5"/>
    <n v="3.3"/>
  </r>
  <r>
    <n v="903"/>
    <x v="8"/>
    <x v="55"/>
    <x v="4"/>
    <s v="Percent change"/>
    <s v="Units"/>
    <x v="6"/>
    <n v="5"/>
  </r>
  <r>
    <n v="1"/>
    <x v="2"/>
    <x v="30"/>
    <x v="1"/>
    <s v="Percent change"/>
    <s v="Units"/>
    <x v="0"/>
    <n v="2.1680000000000001"/>
  </r>
  <r>
    <n v="1"/>
    <x v="2"/>
    <x v="30"/>
    <x v="1"/>
    <s v="Percent change"/>
    <s v="Units"/>
    <x v="1"/>
    <n v="1.2869999999999999"/>
  </r>
  <r>
    <n v="1"/>
    <x v="2"/>
    <x v="30"/>
    <x v="1"/>
    <s v="Percent change"/>
    <s v="Units"/>
    <x v="2"/>
    <n v="3.484"/>
  </r>
  <r>
    <n v="1"/>
    <x v="2"/>
    <x v="30"/>
    <x v="1"/>
    <s v="Percent change"/>
    <s v="Units"/>
    <x v="3"/>
    <n v="5.7640000000000002"/>
  </r>
  <r>
    <n v="1"/>
    <x v="2"/>
    <x v="30"/>
    <x v="1"/>
    <s v="Percent change"/>
    <s v="Units"/>
    <x v="4"/>
    <n v="5.5179999999999998"/>
  </r>
  <r>
    <n v="1"/>
    <x v="2"/>
    <x v="30"/>
    <x v="1"/>
    <s v="Percent change"/>
    <s v="Units"/>
    <x v="5"/>
    <n v="3.3"/>
  </r>
  <r>
    <n v="1"/>
    <x v="2"/>
    <x v="30"/>
    <x v="1"/>
    <s v="Percent change"/>
    <s v="Units"/>
    <x v="6"/>
    <n v="2.6"/>
  </r>
  <r>
    <n v="1"/>
    <x v="2"/>
    <x v="162"/>
    <x v="8"/>
    <s v="Percent change"/>
    <s v="Units"/>
    <x v="0"/>
    <n v="5.4480000000000004"/>
  </r>
  <r>
    <n v="1"/>
    <x v="2"/>
    <x v="162"/>
    <x v="8"/>
    <s v="Percent change"/>
    <s v="Units"/>
    <x v="1"/>
    <n v="0.91300000000000003"/>
  </r>
  <r>
    <n v="1"/>
    <x v="2"/>
    <x v="162"/>
    <x v="8"/>
    <s v="Percent change"/>
    <s v="Units"/>
    <x v="2"/>
    <n v="4.5670000000000002"/>
  </r>
  <r>
    <n v="1"/>
    <x v="2"/>
    <x v="162"/>
    <x v="8"/>
    <s v="Percent change"/>
    <s v="Units"/>
    <x v="3"/>
    <n v="0.8"/>
  </r>
  <r>
    <n v="1"/>
    <x v="2"/>
    <x v="162"/>
    <x v="8"/>
    <s v="Percent change"/>
    <s v="Units"/>
    <x v="4"/>
    <n v="1.6"/>
  </r>
  <r>
    <n v="1"/>
    <x v="2"/>
    <x v="162"/>
    <x v="8"/>
    <s v="Percent change"/>
    <s v="Units"/>
    <x v="5"/>
    <n v="3.3"/>
  </r>
  <r>
    <n v="1"/>
    <x v="2"/>
    <x v="162"/>
    <x v="8"/>
    <s v="Percent change"/>
    <s v="Units"/>
    <x v="6"/>
    <n v="3.8"/>
  </r>
  <r>
    <n v="200"/>
    <x v="3"/>
    <x v="55"/>
    <x v="4"/>
    <s v="Percent change"/>
    <s v="Units"/>
    <x v="0"/>
    <n v="5.4240000000000004"/>
  </r>
  <r>
    <n v="200"/>
    <x v="3"/>
    <x v="55"/>
    <x v="4"/>
    <s v="Percent change"/>
    <s v="Units"/>
    <x v="1"/>
    <n v="-6.1479999999999997"/>
  </r>
  <r>
    <n v="200"/>
    <x v="3"/>
    <x v="55"/>
    <x v="4"/>
    <s v="Percent change"/>
    <s v="Units"/>
    <x v="2"/>
    <n v="8.2769999999999992"/>
  </r>
  <r>
    <n v="200"/>
    <x v="3"/>
    <x v="55"/>
    <x v="4"/>
    <s v="Percent change"/>
    <s v="Units"/>
    <x v="3"/>
    <n v="12.606999999999999"/>
  </r>
  <r>
    <n v="200"/>
    <x v="3"/>
    <x v="55"/>
    <x v="4"/>
    <s v="Percent change"/>
    <s v="Units"/>
    <x v="4"/>
    <n v="7.1360000000000001"/>
  </r>
  <r>
    <n v="200"/>
    <x v="3"/>
    <x v="55"/>
    <x v="4"/>
    <s v="Percent change"/>
    <s v="Units"/>
    <x v="5"/>
    <n v="3.3"/>
  </r>
  <r>
    <n v="200"/>
    <x v="3"/>
    <x v="55"/>
    <x v="4"/>
    <s v="Percent change"/>
    <s v="Units"/>
    <x v="6"/>
    <n v="5"/>
  </r>
  <r>
    <n v="200"/>
    <x v="3"/>
    <x v="162"/>
    <x v="8"/>
    <s v="Percent change"/>
    <s v="Units"/>
    <x v="0"/>
    <n v="5.4480000000000004"/>
  </r>
  <r>
    <n v="200"/>
    <x v="3"/>
    <x v="162"/>
    <x v="8"/>
    <s v="Percent change"/>
    <s v="Units"/>
    <x v="1"/>
    <n v="0.91300000000000003"/>
  </r>
  <r>
    <n v="200"/>
    <x v="3"/>
    <x v="162"/>
    <x v="8"/>
    <s v="Percent change"/>
    <s v="Units"/>
    <x v="2"/>
    <n v="4.5670000000000002"/>
  </r>
  <r>
    <n v="200"/>
    <x v="3"/>
    <x v="162"/>
    <x v="8"/>
    <s v="Percent change"/>
    <s v="Units"/>
    <x v="3"/>
    <n v="0.8"/>
  </r>
  <r>
    <n v="200"/>
    <x v="3"/>
    <x v="162"/>
    <x v="8"/>
    <s v="Percent change"/>
    <s v="Units"/>
    <x v="4"/>
    <n v="1.6"/>
  </r>
  <r>
    <n v="200"/>
    <x v="3"/>
    <x v="162"/>
    <x v="8"/>
    <s v="Percent change"/>
    <s v="Units"/>
    <x v="5"/>
    <n v="3.3"/>
  </r>
  <r>
    <n v="200"/>
    <x v="3"/>
    <x v="162"/>
    <x v="8"/>
    <s v="Percent change"/>
    <s v="Units"/>
    <x v="6"/>
    <n v="3.8"/>
  </r>
  <r>
    <n v="110"/>
    <x v="0"/>
    <x v="30"/>
    <x v="1"/>
    <s v="Percent change"/>
    <s v="Units"/>
    <x v="0"/>
    <n v="2.1680000000000001"/>
  </r>
  <r>
    <n v="110"/>
    <x v="0"/>
    <x v="30"/>
    <x v="1"/>
    <s v="Percent change"/>
    <s v="Units"/>
    <x v="1"/>
    <n v="1.2869999999999999"/>
  </r>
  <r>
    <n v="110"/>
    <x v="0"/>
    <x v="30"/>
    <x v="1"/>
    <s v="Percent change"/>
    <s v="Units"/>
    <x v="2"/>
    <n v="3.484"/>
  </r>
  <r>
    <n v="110"/>
    <x v="0"/>
    <x v="30"/>
    <x v="1"/>
    <s v="Percent change"/>
    <s v="Units"/>
    <x v="3"/>
    <n v="5.7640000000000002"/>
  </r>
  <r>
    <n v="110"/>
    <x v="0"/>
    <x v="30"/>
    <x v="1"/>
    <s v="Percent change"/>
    <s v="Units"/>
    <x v="4"/>
    <n v="5.5179999999999998"/>
  </r>
  <r>
    <n v="110"/>
    <x v="0"/>
    <x v="30"/>
    <x v="1"/>
    <s v="Percent change"/>
    <s v="Units"/>
    <x v="5"/>
    <n v="3.3"/>
  </r>
  <r>
    <n v="110"/>
    <x v="0"/>
    <x v="30"/>
    <x v="1"/>
    <s v="Percent change"/>
    <s v="Units"/>
    <x v="6"/>
    <n v="2.6"/>
  </r>
  <r>
    <n v="603"/>
    <x v="12"/>
    <x v="162"/>
    <x v="8"/>
    <s v="Percent change"/>
    <s v="Units"/>
    <x v="0"/>
    <n v="5.4480000000000004"/>
  </r>
  <r>
    <n v="603"/>
    <x v="12"/>
    <x v="162"/>
    <x v="8"/>
    <s v="Percent change"/>
    <s v="Units"/>
    <x v="1"/>
    <n v="0.91300000000000003"/>
  </r>
  <r>
    <n v="603"/>
    <x v="12"/>
    <x v="162"/>
    <x v="8"/>
    <s v="Percent change"/>
    <s v="Units"/>
    <x v="2"/>
    <n v="4.5670000000000002"/>
  </r>
  <r>
    <n v="603"/>
    <x v="12"/>
    <x v="162"/>
    <x v="8"/>
    <s v="Percent change"/>
    <s v="Units"/>
    <x v="3"/>
    <n v="0.8"/>
  </r>
  <r>
    <n v="603"/>
    <x v="12"/>
    <x v="162"/>
    <x v="8"/>
    <s v="Percent change"/>
    <s v="Units"/>
    <x v="4"/>
    <n v="1.6"/>
  </r>
  <r>
    <n v="603"/>
    <x v="12"/>
    <x v="162"/>
    <x v="8"/>
    <s v="Percent change"/>
    <s v="Units"/>
    <x v="5"/>
    <n v="3.3"/>
  </r>
  <r>
    <n v="603"/>
    <x v="12"/>
    <x v="162"/>
    <x v="8"/>
    <s v="Percent change"/>
    <s v="Units"/>
    <x v="6"/>
    <n v="3.8"/>
  </r>
  <r>
    <n v="123"/>
    <x v="9"/>
    <x v="30"/>
    <x v="1"/>
    <s v="Percent change"/>
    <s v="Units"/>
    <x v="0"/>
    <n v="2.1680000000000001"/>
  </r>
  <r>
    <n v="123"/>
    <x v="9"/>
    <x v="30"/>
    <x v="1"/>
    <s v="Percent change"/>
    <s v="Units"/>
    <x v="1"/>
    <n v="1.2869999999999999"/>
  </r>
  <r>
    <n v="123"/>
    <x v="9"/>
    <x v="30"/>
    <x v="1"/>
    <s v="Percent change"/>
    <s v="Units"/>
    <x v="2"/>
    <n v="3.484"/>
  </r>
  <r>
    <n v="123"/>
    <x v="9"/>
    <x v="30"/>
    <x v="1"/>
    <s v="Percent change"/>
    <s v="Units"/>
    <x v="3"/>
    <n v="5.7640000000000002"/>
  </r>
  <r>
    <n v="123"/>
    <x v="9"/>
    <x v="30"/>
    <x v="1"/>
    <s v="Percent change"/>
    <s v="Units"/>
    <x v="4"/>
    <n v="5.5179999999999998"/>
  </r>
  <r>
    <n v="123"/>
    <x v="9"/>
    <x v="30"/>
    <x v="1"/>
    <s v="Percent change"/>
    <s v="Units"/>
    <x v="5"/>
    <n v="3.3"/>
  </r>
  <r>
    <n v="123"/>
    <x v="9"/>
    <x v="30"/>
    <x v="1"/>
    <s v="Percent change"/>
    <s v="Units"/>
    <x v="6"/>
    <n v="2.6"/>
  </r>
  <r>
    <n v="1"/>
    <x v="2"/>
    <x v="55"/>
    <x v="4"/>
    <s v="Percent change"/>
    <s v="Units"/>
    <x v="0"/>
    <n v="5.4240000000000004"/>
  </r>
  <r>
    <n v="1"/>
    <x v="2"/>
    <x v="55"/>
    <x v="4"/>
    <s v="Percent change"/>
    <s v="Units"/>
    <x v="1"/>
    <n v="-6.1479999999999997"/>
  </r>
  <r>
    <n v="1"/>
    <x v="2"/>
    <x v="55"/>
    <x v="4"/>
    <s v="Percent change"/>
    <s v="Units"/>
    <x v="2"/>
    <n v="8.2769999999999992"/>
  </r>
  <r>
    <n v="1"/>
    <x v="2"/>
    <x v="55"/>
    <x v="4"/>
    <s v="Percent change"/>
    <s v="Units"/>
    <x v="3"/>
    <n v="12.606999999999999"/>
  </r>
  <r>
    <n v="1"/>
    <x v="2"/>
    <x v="55"/>
    <x v="4"/>
    <s v="Percent change"/>
    <s v="Units"/>
    <x v="4"/>
    <n v="7.1360000000000001"/>
  </r>
  <r>
    <n v="1"/>
    <x v="2"/>
    <x v="55"/>
    <x v="4"/>
    <s v="Percent change"/>
    <s v="Units"/>
    <x v="5"/>
    <n v="3.3"/>
  </r>
  <r>
    <n v="1"/>
    <x v="2"/>
    <x v="55"/>
    <x v="4"/>
    <s v="Percent change"/>
    <s v="Units"/>
    <x v="6"/>
    <n v="5"/>
  </r>
  <r>
    <n v="205"/>
    <x v="7"/>
    <x v="177"/>
    <x v="0"/>
    <s v="U.S. dollars"/>
    <s v="Billions"/>
    <x v="0"/>
    <n v="2.387"/>
  </r>
  <r>
    <n v="205"/>
    <x v="7"/>
    <x v="177"/>
    <x v="0"/>
    <s v="U.S. dollars"/>
    <s v="Billions"/>
    <x v="1"/>
    <n v="2.048"/>
  </r>
  <r>
    <n v="205"/>
    <x v="7"/>
    <x v="177"/>
    <x v="0"/>
    <s v="U.S. dollars"/>
    <s v="Billions"/>
    <x v="2"/>
    <n v="2.4249999999999998"/>
  </r>
  <r>
    <n v="205"/>
    <x v="7"/>
    <x v="177"/>
    <x v="0"/>
    <s v="U.S. dollars"/>
    <s v="Billions"/>
    <x v="3"/>
    <n v="2.831"/>
  </r>
  <r>
    <n v="205"/>
    <x v="7"/>
    <x v="177"/>
    <x v="0"/>
    <s v="U.S. dollars"/>
    <s v="Billions"/>
    <x v="4"/>
    <n v="3.0939999999999999"/>
  </r>
  <r>
    <n v="205"/>
    <x v="7"/>
    <x v="177"/>
    <x v="0"/>
    <s v="U.S. dollars"/>
    <s v="Billions"/>
    <x v="5"/>
    <n v="3.2959999999999998"/>
  </r>
  <r>
    <n v="205"/>
    <x v="7"/>
    <x v="177"/>
    <x v="0"/>
    <s v="U.S. dollars"/>
    <s v="Billions"/>
    <x v="6"/>
    <n v="3.456"/>
  </r>
  <r>
    <n v="1"/>
    <x v="2"/>
    <x v="177"/>
    <x v="0"/>
    <s v="U.S. dollars"/>
    <s v="Billions"/>
    <x v="0"/>
    <n v="2.387"/>
  </r>
  <r>
    <n v="1"/>
    <x v="2"/>
    <x v="177"/>
    <x v="0"/>
    <s v="U.S. dollars"/>
    <s v="Billions"/>
    <x v="1"/>
    <n v="2.048"/>
  </r>
  <r>
    <n v="1"/>
    <x v="2"/>
    <x v="177"/>
    <x v="0"/>
    <s v="U.S. dollars"/>
    <s v="Billions"/>
    <x v="2"/>
    <n v="2.4249999999999998"/>
  </r>
  <r>
    <n v="1"/>
    <x v="2"/>
    <x v="177"/>
    <x v="0"/>
    <s v="U.S. dollars"/>
    <s v="Billions"/>
    <x v="3"/>
    <n v="2.831"/>
  </r>
  <r>
    <n v="1"/>
    <x v="2"/>
    <x v="177"/>
    <x v="0"/>
    <s v="U.S. dollars"/>
    <s v="Billions"/>
    <x v="4"/>
    <n v="3.0939999999999999"/>
  </r>
  <r>
    <n v="1"/>
    <x v="2"/>
    <x v="177"/>
    <x v="0"/>
    <s v="U.S. dollars"/>
    <s v="Billions"/>
    <x v="5"/>
    <n v="3.2959999999999998"/>
  </r>
  <r>
    <n v="1"/>
    <x v="2"/>
    <x v="177"/>
    <x v="0"/>
    <s v="U.S. dollars"/>
    <s v="Billions"/>
    <x v="6"/>
    <n v="3.456"/>
  </r>
  <r>
    <n v="200"/>
    <x v="3"/>
    <x v="177"/>
    <x v="0"/>
    <s v="U.S. dollars"/>
    <s v="Billions"/>
    <x v="0"/>
    <n v="2.387"/>
  </r>
  <r>
    <n v="200"/>
    <x v="3"/>
    <x v="177"/>
    <x v="0"/>
    <s v="U.S. dollars"/>
    <s v="Billions"/>
    <x v="1"/>
    <n v="2.048"/>
  </r>
  <r>
    <n v="200"/>
    <x v="3"/>
    <x v="177"/>
    <x v="0"/>
    <s v="U.S. dollars"/>
    <s v="Billions"/>
    <x v="2"/>
    <n v="2.4249999999999998"/>
  </r>
  <r>
    <n v="200"/>
    <x v="3"/>
    <x v="177"/>
    <x v="0"/>
    <s v="U.S. dollars"/>
    <s v="Billions"/>
    <x v="3"/>
    <n v="2.831"/>
  </r>
  <r>
    <n v="200"/>
    <x v="3"/>
    <x v="177"/>
    <x v="0"/>
    <s v="U.S. dollars"/>
    <s v="Billions"/>
    <x v="4"/>
    <n v="3.0939999999999999"/>
  </r>
  <r>
    <n v="200"/>
    <x v="3"/>
    <x v="177"/>
    <x v="0"/>
    <s v="U.S. dollars"/>
    <s v="Billions"/>
    <x v="5"/>
    <n v="3.2959999999999998"/>
  </r>
  <r>
    <n v="200"/>
    <x v="3"/>
    <x v="177"/>
    <x v="0"/>
    <s v="U.S. dollars"/>
    <s v="Billions"/>
    <x v="6"/>
    <n v="3.456"/>
  </r>
  <r>
    <n v="163"/>
    <x v="5"/>
    <x v="2"/>
    <x v="11"/>
    <s v="Percent of total labor force"/>
    <s v="Units"/>
    <x v="0"/>
    <n v="2.9750000000000001"/>
  </r>
  <r>
    <n v="163"/>
    <x v="5"/>
    <x v="2"/>
    <x v="11"/>
    <s v="Percent of total labor force"/>
    <s v="Units"/>
    <x v="1"/>
    <n v="3.625"/>
  </r>
  <r>
    <n v="163"/>
    <x v="5"/>
    <x v="2"/>
    <x v="11"/>
    <s v="Percent of total labor force"/>
    <s v="Units"/>
    <x v="2"/>
    <n v="3.5750000000000002"/>
  </r>
  <r>
    <n v="163"/>
    <x v="5"/>
    <x v="2"/>
    <x v="11"/>
    <s v="Percent of total labor force"/>
    <s v="Units"/>
    <x v="3"/>
    <n v="3.0670000000000002"/>
  </r>
  <r>
    <n v="163"/>
    <x v="5"/>
    <x v="2"/>
    <x v="11"/>
    <s v="Percent of total labor force"/>
    <s v="Units"/>
    <x v="4"/>
    <n v="3.008"/>
  </r>
  <r>
    <n v="163"/>
    <x v="5"/>
    <x v="2"/>
    <x v="11"/>
    <s v="Percent of total labor force"/>
    <s v="Units"/>
    <x v="5"/>
    <n v="3.2879999999999998"/>
  </r>
  <r>
    <n v="163"/>
    <x v="5"/>
    <x v="2"/>
    <x v="11"/>
    <s v="Percent of total labor force"/>
    <s v="Units"/>
    <x v="6"/>
    <n v="3.0830000000000002"/>
  </r>
  <r>
    <n v="119"/>
    <x v="1"/>
    <x v="2"/>
    <x v="11"/>
    <s v="Percent of total labor force"/>
    <s v="Units"/>
    <x v="0"/>
    <n v="2.9750000000000001"/>
  </r>
  <r>
    <n v="119"/>
    <x v="1"/>
    <x v="2"/>
    <x v="11"/>
    <s v="Percent of total labor force"/>
    <s v="Units"/>
    <x v="1"/>
    <n v="3.625"/>
  </r>
  <r>
    <n v="119"/>
    <x v="1"/>
    <x v="2"/>
    <x v="11"/>
    <s v="Percent of total labor force"/>
    <s v="Units"/>
    <x v="2"/>
    <n v="3.5750000000000002"/>
  </r>
  <r>
    <n v="119"/>
    <x v="1"/>
    <x v="2"/>
    <x v="11"/>
    <s v="Percent of total labor force"/>
    <s v="Units"/>
    <x v="3"/>
    <n v="3.0670000000000002"/>
  </r>
  <r>
    <n v="119"/>
    <x v="1"/>
    <x v="2"/>
    <x v="11"/>
    <s v="Percent of total labor force"/>
    <s v="Units"/>
    <x v="4"/>
    <n v="3.008"/>
  </r>
  <r>
    <n v="119"/>
    <x v="1"/>
    <x v="2"/>
    <x v="11"/>
    <s v="Percent of total labor force"/>
    <s v="Units"/>
    <x v="5"/>
    <n v="3.2879999999999998"/>
  </r>
  <r>
    <n v="119"/>
    <x v="1"/>
    <x v="2"/>
    <x v="11"/>
    <s v="Percent of total labor force"/>
    <s v="Units"/>
    <x v="6"/>
    <n v="3.0830000000000002"/>
  </r>
  <r>
    <n v="110"/>
    <x v="0"/>
    <x v="2"/>
    <x v="11"/>
    <s v="Percent of total labor force"/>
    <s v="Units"/>
    <x v="0"/>
    <n v="2.9750000000000001"/>
  </r>
  <r>
    <n v="110"/>
    <x v="0"/>
    <x v="2"/>
    <x v="11"/>
    <s v="Percent of total labor force"/>
    <s v="Units"/>
    <x v="1"/>
    <n v="3.625"/>
  </r>
  <r>
    <n v="110"/>
    <x v="0"/>
    <x v="2"/>
    <x v="11"/>
    <s v="Percent of total labor force"/>
    <s v="Units"/>
    <x v="2"/>
    <n v="3.5750000000000002"/>
  </r>
  <r>
    <n v="110"/>
    <x v="0"/>
    <x v="2"/>
    <x v="11"/>
    <s v="Percent of total labor force"/>
    <s v="Units"/>
    <x v="3"/>
    <n v="3.0670000000000002"/>
  </r>
  <r>
    <n v="110"/>
    <x v="0"/>
    <x v="2"/>
    <x v="11"/>
    <s v="Percent of total labor force"/>
    <s v="Units"/>
    <x v="4"/>
    <n v="3.008"/>
  </r>
  <r>
    <n v="110"/>
    <x v="0"/>
    <x v="2"/>
    <x v="11"/>
    <s v="Percent of total labor force"/>
    <s v="Units"/>
    <x v="5"/>
    <n v="3.2879999999999998"/>
  </r>
  <r>
    <n v="110"/>
    <x v="0"/>
    <x v="2"/>
    <x v="11"/>
    <s v="Percent of total labor force"/>
    <s v="Units"/>
    <x v="6"/>
    <n v="3.0830000000000002"/>
  </r>
  <r>
    <n v="110"/>
    <x v="0"/>
    <x v="3"/>
    <x v="4"/>
    <s v="Percent change"/>
    <s v="Units"/>
    <x v="0"/>
    <n v="-1.458"/>
  </r>
  <r>
    <n v="110"/>
    <x v="0"/>
    <x v="3"/>
    <x v="4"/>
    <s v="Percent change"/>
    <s v="Units"/>
    <x v="1"/>
    <n v="-11.595000000000001"/>
  </r>
  <r>
    <n v="110"/>
    <x v="0"/>
    <x v="3"/>
    <x v="4"/>
    <s v="Percent change"/>
    <s v="Units"/>
    <x v="2"/>
    <n v="11.872"/>
  </r>
  <r>
    <n v="110"/>
    <x v="0"/>
    <x v="3"/>
    <x v="4"/>
    <s v="Percent change"/>
    <s v="Units"/>
    <x v="3"/>
    <n v="5.2830000000000004"/>
  </r>
  <r>
    <n v="110"/>
    <x v="0"/>
    <x v="3"/>
    <x v="4"/>
    <s v="Percent change"/>
    <s v="Units"/>
    <x v="4"/>
    <n v="3.0209999999999999"/>
  </r>
  <r>
    <n v="110"/>
    <x v="0"/>
    <x v="3"/>
    <x v="4"/>
    <s v="Percent change"/>
    <s v="Units"/>
    <x v="5"/>
    <n v="3.2810000000000001"/>
  </r>
  <r>
    <n v="110"/>
    <x v="0"/>
    <x v="3"/>
    <x v="4"/>
    <s v="Percent change"/>
    <s v="Units"/>
    <x v="6"/>
    <n v="1.7150000000000001"/>
  </r>
  <r>
    <n v="1"/>
    <x v="2"/>
    <x v="3"/>
    <x v="4"/>
    <s v="Percent change"/>
    <s v="Units"/>
    <x v="0"/>
    <n v="-1.458"/>
  </r>
  <r>
    <n v="1"/>
    <x v="2"/>
    <x v="3"/>
    <x v="4"/>
    <s v="Percent change"/>
    <s v="Units"/>
    <x v="1"/>
    <n v="-11.595000000000001"/>
  </r>
  <r>
    <n v="1"/>
    <x v="2"/>
    <x v="3"/>
    <x v="4"/>
    <s v="Percent change"/>
    <s v="Units"/>
    <x v="2"/>
    <n v="11.872"/>
  </r>
  <r>
    <n v="1"/>
    <x v="2"/>
    <x v="3"/>
    <x v="4"/>
    <s v="Percent change"/>
    <s v="Units"/>
    <x v="3"/>
    <n v="5.2830000000000004"/>
  </r>
  <r>
    <n v="1"/>
    <x v="2"/>
    <x v="3"/>
    <x v="4"/>
    <s v="Percent change"/>
    <s v="Units"/>
    <x v="4"/>
    <n v="3.0209999999999999"/>
  </r>
  <r>
    <n v="1"/>
    <x v="2"/>
    <x v="3"/>
    <x v="4"/>
    <s v="Percent change"/>
    <s v="Units"/>
    <x v="5"/>
    <n v="3.2810000000000001"/>
  </r>
  <r>
    <n v="1"/>
    <x v="2"/>
    <x v="3"/>
    <x v="4"/>
    <s v="Percent change"/>
    <s v="Units"/>
    <x v="6"/>
    <n v="1.7150000000000001"/>
  </r>
  <r>
    <n v="119"/>
    <x v="1"/>
    <x v="3"/>
    <x v="4"/>
    <s v="Percent change"/>
    <s v="Units"/>
    <x v="0"/>
    <n v="-1.458"/>
  </r>
  <r>
    <n v="119"/>
    <x v="1"/>
    <x v="3"/>
    <x v="4"/>
    <s v="Percent change"/>
    <s v="Units"/>
    <x v="1"/>
    <n v="-11.595000000000001"/>
  </r>
  <r>
    <n v="119"/>
    <x v="1"/>
    <x v="3"/>
    <x v="4"/>
    <s v="Percent change"/>
    <s v="Units"/>
    <x v="2"/>
    <n v="11.872"/>
  </r>
  <r>
    <n v="119"/>
    <x v="1"/>
    <x v="3"/>
    <x v="4"/>
    <s v="Percent change"/>
    <s v="Units"/>
    <x v="3"/>
    <n v="5.2830000000000004"/>
  </r>
  <r>
    <n v="119"/>
    <x v="1"/>
    <x v="3"/>
    <x v="4"/>
    <s v="Percent change"/>
    <s v="Units"/>
    <x v="4"/>
    <n v="3.0209999999999999"/>
  </r>
  <r>
    <n v="119"/>
    <x v="1"/>
    <x v="3"/>
    <x v="4"/>
    <s v="Percent change"/>
    <s v="Units"/>
    <x v="5"/>
    <n v="3.2810000000000001"/>
  </r>
  <r>
    <n v="119"/>
    <x v="1"/>
    <x v="3"/>
    <x v="4"/>
    <s v="Percent change"/>
    <s v="Units"/>
    <x v="6"/>
    <n v="1.7150000000000001"/>
  </r>
  <r>
    <n v="603"/>
    <x v="12"/>
    <x v="171"/>
    <x v="9"/>
    <s v="Percent of GDP"/>
    <s v="Units"/>
    <x v="0"/>
    <n v="1.8240000000000001"/>
  </r>
  <r>
    <n v="603"/>
    <x v="12"/>
    <x v="171"/>
    <x v="9"/>
    <s v="Percent of GDP"/>
    <s v="Units"/>
    <x v="1"/>
    <n v="-1.7709999999999999"/>
  </r>
  <r>
    <n v="603"/>
    <x v="12"/>
    <x v="171"/>
    <x v="9"/>
    <s v="Percent of GDP"/>
    <s v="Units"/>
    <x v="2"/>
    <n v="2.641"/>
  </r>
  <r>
    <n v="603"/>
    <x v="12"/>
    <x v="171"/>
    <x v="9"/>
    <s v="Percent of GDP"/>
    <s v="Units"/>
    <x v="3"/>
    <n v="13.589"/>
  </r>
  <r>
    <n v="603"/>
    <x v="12"/>
    <x v="171"/>
    <x v="9"/>
    <s v="Percent of GDP"/>
    <s v="Units"/>
    <x v="4"/>
    <n v="1.7030000000000001"/>
  </r>
  <r>
    <n v="603"/>
    <x v="12"/>
    <x v="171"/>
    <x v="9"/>
    <s v="Percent of GDP"/>
    <s v="Units"/>
    <x v="5"/>
    <n v="3.2679999999999998"/>
  </r>
  <r>
    <n v="603"/>
    <x v="12"/>
    <x v="171"/>
    <x v="9"/>
    <s v="Percent of GDP"/>
    <s v="Units"/>
    <x v="6"/>
    <n v="0.58799999999999997"/>
  </r>
  <r>
    <n v="200"/>
    <x v="3"/>
    <x v="171"/>
    <x v="9"/>
    <s v="Percent of GDP"/>
    <s v="Units"/>
    <x v="0"/>
    <n v="1.8240000000000001"/>
  </r>
  <r>
    <n v="200"/>
    <x v="3"/>
    <x v="171"/>
    <x v="9"/>
    <s v="Percent of GDP"/>
    <s v="Units"/>
    <x v="1"/>
    <n v="-1.7709999999999999"/>
  </r>
  <r>
    <n v="200"/>
    <x v="3"/>
    <x v="171"/>
    <x v="9"/>
    <s v="Percent of GDP"/>
    <s v="Units"/>
    <x v="2"/>
    <n v="2.641"/>
  </r>
  <r>
    <n v="200"/>
    <x v="3"/>
    <x v="171"/>
    <x v="9"/>
    <s v="Percent of GDP"/>
    <s v="Units"/>
    <x v="3"/>
    <n v="13.589"/>
  </r>
  <r>
    <n v="200"/>
    <x v="3"/>
    <x v="171"/>
    <x v="9"/>
    <s v="Percent of GDP"/>
    <s v="Units"/>
    <x v="4"/>
    <n v="1.7030000000000001"/>
  </r>
  <r>
    <n v="200"/>
    <x v="3"/>
    <x v="171"/>
    <x v="9"/>
    <s v="Percent of GDP"/>
    <s v="Units"/>
    <x v="5"/>
    <n v="3.2679999999999998"/>
  </r>
  <r>
    <n v="200"/>
    <x v="3"/>
    <x v="171"/>
    <x v="9"/>
    <s v="Percent of GDP"/>
    <s v="Units"/>
    <x v="6"/>
    <n v="0.58799999999999997"/>
  </r>
  <r>
    <n v="505"/>
    <x v="4"/>
    <x v="149"/>
    <x v="4"/>
    <s v="Percent change"/>
    <s v="Units"/>
    <x v="0"/>
    <n v="24.023"/>
  </r>
  <r>
    <n v="505"/>
    <x v="4"/>
    <x v="149"/>
    <x v="4"/>
    <s v="Percent change"/>
    <s v="Units"/>
    <x v="1"/>
    <n v="29.396999999999998"/>
  </r>
  <r>
    <n v="505"/>
    <x v="4"/>
    <x v="149"/>
    <x v="4"/>
    <s v="Percent change"/>
    <s v="Units"/>
    <x v="2"/>
    <n v="-1.8939999999999999"/>
  </r>
  <r>
    <n v="505"/>
    <x v="4"/>
    <x v="149"/>
    <x v="4"/>
    <s v="Percent change"/>
    <s v="Units"/>
    <x v="3"/>
    <n v="-7.5439999999999996"/>
  </r>
  <r>
    <n v="505"/>
    <x v="4"/>
    <x v="149"/>
    <x v="4"/>
    <s v="Percent change"/>
    <s v="Units"/>
    <x v="4"/>
    <n v="-3.399"/>
  </r>
  <r>
    <n v="505"/>
    <x v="4"/>
    <x v="149"/>
    <x v="4"/>
    <s v="Percent change"/>
    <s v="Units"/>
    <x v="5"/>
    <n v="3.2669999999999999"/>
  </r>
  <r>
    <n v="505"/>
    <x v="4"/>
    <x v="149"/>
    <x v="4"/>
    <s v="Percent change"/>
    <s v="Units"/>
    <x v="6"/>
    <n v="10.491"/>
  </r>
  <r>
    <n v="1"/>
    <x v="2"/>
    <x v="149"/>
    <x v="4"/>
    <s v="Percent change"/>
    <s v="Units"/>
    <x v="0"/>
    <n v="24.023"/>
  </r>
  <r>
    <n v="1"/>
    <x v="2"/>
    <x v="149"/>
    <x v="4"/>
    <s v="Percent change"/>
    <s v="Units"/>
    <x v="1"/>
    <n v="29.396999999999998"/>
  </r>
  <r>
    <n v="1"/>
    <x v="2"/>
    <x v="149"/>
    <x v="4"/>
    <s v="Percent change"/>
    <s v="Units"/>
    <x v="2"/>
    <n v="-1.8939999999999999"/>
  </r>
  <r>
    <n v="1"/>
    <x v="2"/>
    <x v="149"/>
    <x v="4"/>
    <s v="Percent change"/>
    <s v="Units"/>
    <x v="3"/>
    <n v="-7.5439999999999996"/>
  </r>
  <r>
    <n v="1"/>
    <x v="2"/>
    <x v="149"/>
    <x v="4"/>
    <s v="Percent change"/>
    <s v="Units"/>
    <x v="4"/>
    <n v="-3.399"/>
  </r>
  <r>
    <n v="1"/>
    <x v="2"/>
    <x v="149"/>
    <x v="4"/>
    <s v="Percent change"/>
    <s v="Units"/>
    <x v="5"/>
    <n v="3.2669999999999999"/>
  </r>
  <r>
    <n v="1"/>
    <x v="2"/>
    <x v="149"/>
    <x v="4"/>
    <s v="Percent change"/>
    <s v="Units"/>
    <x v="6"/>
    <n v="10.491"/>
  </r>
  <r>
    <n v="200"/>
    <x v="3"/>
    <x v="149"/>
    <x v="4"/>
    <s v="Percent change"/>
    <s v="Units"/>
    <x v="0"/>
    <n v="24.023"/>
  </r>
  <r>
    <n v="200"/>
    <x v="3"/>
    <x v="149"/>
    <x v="4"/>
    <s v="Percent change"/>
    <s v="Units"/>
    <x v="1"/>
    <n v="29.396999999999998"/>
  </r>
  <r>
    <n v="200"/>
    <x v="3"/>
    <x v="149"/>
    <x v="4"/>
    <s v="Percent change"/>
    <s v="Units"/>
    <x v="2"/>
    <n v="-1.8939999999999999"/>
  </r>
  <r>
    <n v="200"/>
    <x v="3"/>
    <x v="149"/>
    <x v="4"/>
    <s v="Percent change"/>
    <s v="Units"/>
    <x v="3"/>
    <n v="-7.5439999999999996"/>
  </r>
  <r>
    <n v="200"/>
    <x v="3"/>
    <x v="149"/>
    <x v="4"/>
    <s v="Percent change"/>
    <s v="Units"/>
    <x v="4"/>
    <n v="-3.399"/>
  </r>
  <r>
    <n v="200"/>
    <x v="3"/>
    <x v="149"/>
    <x v="4"/>
    <s v="Percent change"/>
    <s v="Units"/>
    <x v="5"/>
    <n v="3.2669999999999999"/>
  </r>
  <r>
    <n v="200"/>
    <x v="3"/>
    <x v="149"/>
    <x v="4"/>
    <s v="Percent change"/>
    <s v="Units"/>
    <x v="6"/>
    <n v="10.491"/>
  </r>
  <r>
    <n v="1"/>
    <x v="2"/>
    <x v="14"/>
    <x v="6"/>
    <s v="Percent change"/>
    <s v="Units"/>
    <x v="0"/>
    <n v="1.288"/>
  </r>
  <r>
    <n v="1"/>
    <x v="2"/>
    <x v="14"/>
    <x v="6"/>
    <s v="Percent change"/>
    <s v="Units"/>
    <x v="1"/>
    <n v="-15.013"/>
  </r>
  <r>
    <n v="1"/>
    <x v="2"/>
    <x v="14"/>
    <x v="6"/>
    <s v="Percent change"/>
    <s v="Units"/>
    <x v="2"/>
    <n v="14.917"/>
  </r>
  <r>
    <n v="1"/>
    <x v="2"/>
    <x v="14"/>
    <x v="6"/>
    <s v="Percent change"/>
    <s v="Units"/>
    <x v="3"/>
    <n v="6.9880000000000004"/>
  </r>
  <r>
    <n v="1"/>
    <x v="2"/>
    <x v="14"/>
    <x v="6"/>
    <s v="Percent change"/>
    <s v="Units"/>
    <x v="4"/>
    <n v="0.33"/>
  </r>
  <r>
    <n v="1"/>
    <x v="2"/>
    <x v="14"/>
    <x v="6"/>
    <s v="Percent change"/>
    <s v="Units"/>
    <x v="5"/>
    <n v="3.2519999999999998"/>
  </r>
  <r>
    <n v="1"/>
    <x v="2"/>
    <x v="14"/>
    <x v="6"/>
    <s v="Percent change"/>
    <s v="Units"/>
    <x v="6"/>
    <n v="4.4279999999999999"/>
  </r>
  <r>
    <n v="163"/>
    <x v="5"/>
    <x v="14"/>
    <x v="6"/>
    <s v="Percent change"/>
    <s v="Units"/>
    <x v="0"/>
    <n v="1.288"/>
  </r>
  <r>
    <n v="163"/>
    <x v="5"/>
    <x v="14"/>
    <x v="6"/>
    <s v="Percent change"/>
    <s v="Units"/>
    <x v="1"/>
    <n v="-15.013"/>
  </r>
  <r>
    <n v="163"/>
    <x v="5"/>
    <x v="14"/>
    <x v="6"/>
    <s v="Percent change"/>
    <s v="Units"/>
    <x v="2"/>
    <n v="14.917"/>
  </r>
  <r>
    <n v="163"/>
    <x v="5"/>
    <x v="14"/>
    <x v="6"/>
    <s v="Percent change"/>
    <s v="Units"/>
    <x v="3"/>
    <n v="6.9880000000000004"/>
  </r>
  <r>
    <n v="163"/>
    <x v="5"/>
    <x v="14"/>
    <x v="6"/>
    <s v="Percent change"/>
    <s v="Units"/>
    <x v="4"/>
    <n v="0.33"/>
  </r>
  <r>
    <n v="163"/>
    <x v="5"/>
    <x v="14"/>
    <x v="6"/>
    <s v="Percent change"/>
    <s v="Units"/>
    <x v="5"/>
    <n v="3.2519999999999998"/>
  </r>
  <r>
    <n v="163"/>
    <x v="5"/>
    <x v="14"/>
    <x v="6"/>
    <s v="Percent change"/>
    <s v="Units"/>
    <x v="6"/>
    <n v="4.4279999999999999"/>
  </r>
  <r>
    <n v="110"/>
    <x v="0"/>
    <x v="14"/>
    <x v="6"/>
    <s v="Percent change"/>
    <s v="Units"/>
    <x v="0"/>
    <n v="1.288"/>
  </r>
  <r>
    <n v="110"/>
    <x v="0"/>
    <x v="14"/>
    <x v="6"/>
    <s v="Percent change"/>
    <s v="Units"/>
    <x v="1"/>
    <n v="-15.013"/>
  </r>
  <r>
    <n v="110"/>
    <x v="0"/>
    <x v="14"/>
    <x v="6"/>
    <s v="Percent change"/>
    <s v="Units"/>
    <x v="2"/>
    <n v="14.917"/>
  </r>
  <r>
    <n v="110"/>
    <x v="0"/>
    <x v="14"/>
    <x v="6"/>
    <s v="Percent change"/>
    <s v="Units"/>
    <x v="3"/>
    <n v="6.9880000000000004"/>
  </r>
  <r>
    <n v="110"/>
    <x v="0"/>
    <x v="14"/>
    <x v="6"/>
    <s v="Percent change"/>
    <s v="Units"/>
    <x v="4"/>
    <n v="0.33"/>
  </r>
  <r>
    <n v="110"/>
    <x v="0"/>
    <x v="14"/>
    <x v="6"/>
    <s v="Percent change"/>
    <s v="Units"/>
    <x v="5"/>
    <n v="3.2519999999999998"/>
  </r>
  <r>
    <n v="110"/>
    <x v="0"/>
    <x v="14"/>
    <x v="6"/>
    <s v="Percent change"/>
    <s v="Units"/>
    <x v="6"/>
    <n v="4.4279999999999999"/>
  </r>
  <r>
    <n v="1"/>
    <x v="2"/>
    <x v="136"/>
    <x v="6"/>
    <s v="Percent change"/>
    <s v="Units"/>
    <x v="0"/>
    <n v="-8.5190000000000001"/>
  </r>
  <r>
    <n v="1"/>
    <x v="2"/>
    <x v="136"/>
    <x v="6"/>
    <s v="Percent change"/>
    <s v="Units"/>
    <x v="1"/>
    <n v="-15.882999999999999"/>
  </r>
  <r>
    <n v="1"/>
    <x v="2"/>
    <x v="136"/>
    <x v="6"/>
    <s v="Percent change"/>
    <s v="Units"/>
    <x v="2"/>
    <n v="32.372"/>
  </r>
  <r>
    <n v="1"/>
    <x v="2"/>
    <x v="136"/>
    <x v="6"/>
    <s v="Percent change"/>
    <s v="Units"/>
    <x v="3"/>
    <n v="15.2"/>
  </r>
  <r>
    <n v="1"/>
    <x v="2"/>
    <x v="136"/>
    <x v="6"/>
    <s v="Percent change"/>
    <s v="Units"/>
    <x v="4"/>
    <n v="1.327"/>
  </r>
  <r>
    <n v="1"/>
    <x v="2"/>
    <x v="136"/>
    <x v="6"/>
    <s v="Percent change"/>
    <s v="Units"/>
    <x v="5"/>
    <n v="3.2469999999999999"/>
  </r>
  <r>
    <n v="1"/>
    <x v="2"/>
    <x v="136"/>
    <x v="6"/>
    <s v="Percent change"/>
    <s v="Units"/>
    <x v="6"/>
    <n v="-0.253"/>
  </r>
  <r>
    <n v="603"/>
    <x v="12"/>
    <x v="136"/>
    <x v="6"/>
    <s v="Percent change"/>
    <s v="Units"/>
    <x v="0"/>
    <n v="-8.5190000000000001"/>
  </r>
  <r>
    <n v="603"/>
    <x v="12"/>
    <x v="136"/>
    <x v="6"/>
    <s v="Percent change"/>
    <s v="Units"/>
    <x v="1"/>
    <n v="-15.882999999999999"/>
  </r>
  <r>
    <n v="603"/>
    <x v="12"/>
    <x v="136"/>
    <x v="6"/>
    <s v="Percent change"/>
    <s v="Units"/>
    <x v="2"/>
    <n v="32.372"/>
  </r>
  <r>
    <n v="603"/>
    <x v="12"/>
    <x v="136"/>
    <x v="6"/>
    <s v="Percent change"/>
    <s v="Units"/>
    <x v="3"/>
    <n v="15.2"/>
  </r>
  <r>
    <n v="603"/>
    <x v="12"/>
    <x v="136"/>
    <x v="6"/>
    <s v="Percent change"/>
    <s v="Units"/>
    <x v="4"/>
    <n v="1.327"/>
  </r>
  <r>
    <n v="603"/>
    <x v="12"/>
    <x v="136"/>
    <x v="6"/>
    <s v="Percent change"/>
    <s v="Units"/>
    <x v="5"/>
    <n v="3.2469999999999999"/>
  </r>
  <r>
    <n v="603"/>
    <x v="12"/>
    <x v="136"/>
    <x v="6"/>
    <s v="Percent change"/>
    <s v="Units"/>
    <x v="6"/>
    <n v="-0.253"/>
  </r>
  <r>
    <n v="200"/>
    <x v="3"/>
    <x v="136"/>
    <x v="6"/>
    <s v="Percent change"/>
    <s v="Units"/>
    <x v="0"/>
    <n v="-8.5190000000000001"/>
  </r>
  <r>
    <n v="200"/>
    <x v="3"/>
    <x v="136"/>
    <x v="6"/>
    <s v="Percent change"/>
    <s v="Units"/>
    <x v="1"/>
    <n v="-15.882999999999999"/>
  </r>
  <r>
    <n v="200"/>
    <x v="3"/>
    <x v="136"/>
    <x v="6"/>
    <s v="Percent change"/>
    <s v="Units"/>
    <x v="2"/>
    <n v="32.372"/>
  </r>
  <r>
    <n v="200"/>
    <x v="3"/>
    <x v="136"/>
    <x v="6"/>
    <s v="Percent change"/>
    <s v="Units"/>
    <x v="3"/>
    <n v="15.2"/>
  </r>
  <r>
    <n v="200"/>
    <x v="3"/>
    <x v="136"/>
    <x v="6"/>
    <s v="Percent change"/>
    <s v="Units"/>
    <x v="4"/>
    <n v="1.327"/>
  </r>
  <r>
    <n v="200"/>
    <x v="3"/>
    <x v="136"/>
    <x v="6"/>
    <s v="Percent change"/>
    <s v="Units"/>
    <x v="5"/>
    <n v="3.2469999999999999"/>
  </r>
  <r>
    <n v="200"/>
    <x v="3"/>
    <x v="136"/>
    <x v="6"/>
    <s v="Percent change"/>
    <s v="Units"/>
    <x v="6"/>
    <n v="-0.253"/>
  </r>
  <r>
    <n v="1"/>
    <x v="2"/>
    <x v="141"/>
    <x v="8"/>
    <s v="Percent change"/>
    <s v="Units"/>
    <x v="0"/>
    <n v="5.5129999999999999"/>
  </r>
  <r>
    <n v="1"/>
    <x v="2"/>
    <x v="141"/>
    <x v="8"/>
    <s v="Percent change"/>
    <s v="Units"/>
    <x v="1"/>
    <n v="-11.741"/>
  </r>
  <r>
    <n v="1"/>
    <x v="2"/>
    <x v="141"/>
    <x v="8"/>
    <s v="Percent change"/>
    <s v="Units"/>
    <x v="2"/>
    <n v="0.55400000000000005"/>
  </r>
  <r>
    <n v="1"/>
    <x v="2"/>
    <x v="141"/>
    <x v="8"/>
    <s v="Percent change"/>
    <s v="Units"/>
    <x v="3"/>
    <n v="14.978"/>
  </r>
  <r>
    <n v="1"/>
    <x v="2"/>
    <x v="141"/>
    <x v="8"/>
    <s v="Percent change"/>
    <s v="Units"/>
    <x v="4"/>
    <n v="3.6789999999999998"/>
  </r>
  <r>
    <n v="1"/>
    <x v="2"/>
    <x v="141"/>
    <x v="8"/>
    <s v="Percent change"/>
    <s v="Units"/>
    <x v="5"/>
    <n v="3.2290000000000001"/>
  </r>
  <r>
    <n v="1"/>
    <x v="2"/>
    <x v="141"/>
    <x v="8"/>
    <s v="Percent change"/>
    <s v="Units"/>
    <x v="6"/>
    <n v="3.7869999999999999"/>
  </r>
  <r>
    <n v="603"/>
    <x v="12"/>
    <x v="141"/>
    <x v="8"/>
    <s v="Percent change"/>
    <s v="Units"/>
    <x v="0"/>
    <n v="5.5129999999999999"/>
  </r>
  <r>
    <n v="603"/>
    <x v="12"/>
    <x v="141"/>
    <x v="8"/>
    <s v="Percent change"/>
    <s v="Units"/>
    <x v="1"/>
    <n v="-11.741"/>
  </r>
  <r>
    <n v="603"/>
    <x v="12"/>
    <x v="141"/>
    <x v="8"/>
    <s v="Percent change"/>
    <s v="Units"/>
    <x v="2"/>
    <n v="0.55400000000000005"/>
  </r>
  <r>
    <n v="603"/>
    <x v="12"/>
    <x v="141"/>
    <x v="8"/>
    <s v="Percent change"/>
    <s v="Units"/>
    <x v="3"/>
    <n v="14.978"/>
  </r>
  <r>
    <n v="603"/>
    <x v="12"/>
    <x v="141"/>
    <x v="8"/>
    <s v="Percent change"/>
    <s v="Units"/>
    <x v="4"/>
    <n v="3.6789999999999998"/>
  </r>
  <r>
    <n v="603"/>
    <x v="12"/>
    <x v="141"/>
    <x v="8"/>
    <s v="Percent change"/>
    <s v="Units"/>
    <x v="5"/>
    <n v="3.2290000000000001"/>
  </r>
  <r>
    <n v="603"/>
    <x v="12"/>
    <x v="141"/>
    <x v="8"/>
    <s v="Percent change"/>
    <s v="Units"/>
    <x v="6"/>
    <n v="3.7869999999999999"/>
  </r>
  <r>
    <n v="200"/>
    <x v="3"/>
    <x v="141"/>
    <x v="8"/>
    <s v="Percent change"/>
    <s v="Units"/>
    <x v="0"/>
    <n v="5.5129999999999999"/>
  </r>
  <r>
    <n v="200"/>
    <x v="3"/>
    <x v="141"/>
    <x v="8"/>
    <s v="Percent change"/>
    <s v="Units"/>
    <x v="1"/>
    <n v="-11.741"/>
  </r>
  <r>
    <n v="200"/>
    <x v="3"/>
    <x v="141"/>
    <x v="8"/>
    <s v="Percent change"/>
    <s v="Units"/>
    <x v="2"/>
    <n v="0.55400000000000005"/>
  </r>
  <r>
    <n v="200"/>
    <x v="3"/>
    <x v="141"/>
    <x v="8"/>
    <s v="Percent change"/>
    <s v="Units"/>
    <x v="3"/>
    <n v="14.978"/>
  </r>
  <r>
    <n v="200"/>
    <x v="3"/>
    <x v="141"/>
    <x v="8"/>
    <s v="Percent change"/>
    <s v="Units"/>
    <x v="4"/>
    <n v="3.6789999999999998"/>
  </r>
  <r>
    <n v="200"/>
    <x v="3"/>
    <x v="141"/>
    <x v="8"/>
    <s v="Percent change"/>
    <s v="Units"/>
    <x v="5"/>
    <n v="3.2290000000000001"/>
  </r>
  <r>
    <n v="200"/>
    <x v="3"/>
    <x v="141"/>
    <x v="8"/>
    <s v="Percent change"/>
    <s v="Units"/>
    <x v="6"/>
    <n v="3.7869999999999999"/>
  </r>
  <r>
    <n v="200"/>
    <x v="3"/>
    <x v="108"/>
    <x v="4"/>
    <s v="Percent change"/>
    <s v="Units"/>
    <x v="0"/>
    <n v="0.38100000000000001"/>
  </r>
  <r>
    <n v="200"/>
    <x v="3"/>
    <x v="108"/>
    <x v="4"/>
    <s v="Percent change"/>
    <s v="Units"/>
    <x v="1"/>
    <n v="-2.548"/>
  </r>
  <r>
    <n v="200"/>
    <x v="3"/>
    <x v="108"/>
    <x v="4"/>
    <s v="Percent change"/>
    <s v="Units"/>
    <x v="2"/>
    <n v="29.472999999999999"/>
  </r>
  <r>
    <n v="200"/>
    <x v="3"/>
    <x v="108"/>
    <x v="4"/>
    <s v="Percent change"/>
    <s v="Units"/>
    <x v="3"/>
    <n v="-15.811"/>
  </r>
  <r>
    <n v="200"/>
    <x v="3"/>
    <x v="108"/>
    <x v="4"/>
    <s v="Percent change"/>
    <s v="Units"/>
    <x v="4"/>
    <n v="10.811999999999999"/>
  </r>
  <r>
    <n v="200"/>
    <x v="3"/>
    <x v="108"/>
    <x v="4"/>
    <s v="Percent change"/>
    <s v="Units"/>
    <x v="5"/>
    <n v="3.2280000000000002"/>
  </r>
  <r>
    <n v="200"/>
    <x v="3"/>
    <x v="108"/>
    <x v="4"/>
    <s v="Percent change"/>
    <s v="Units"/>
    <x v="6"/>
    <n v="2.0779999999999998"/>
  </r>
  <r>
    <n v="1"/>
    <x v="2"/>
    <x v="108"/>
    <x v="4"/>
    <s v="Percent change"/>
    <s v="Units"/>
    <x v="0"/>
    <n v="0.38100000000000001"/>
  </r>
  <r>
    <n v="1"/>
    <x v="2"/>
    <x v="108"/>
    <x v="4"/>
    <s v="Percent change"/>
    <s v="Units"/>
    <x v="1"/>
    <n v="-2.548"/>
  </r>
  <r>
    <n v="1"/>
    <x v="2"/>
    <x v="108"/>
    <x v="4"/>
    <s v="Percent change"/>
    <s v="Units"/>
    <x v="2"/>
    <n v="29.472999999999999"/>
  </r>
  <r>
    <n v="1"/>
    <x v="2"/>
    <x v="108"/>
    <x v="4"/>
    <s v="Percent change"/>
    <s v="Units"/>
    <x v="3"/>
    <n v="-15.811"/>
  </r>
  <r>
    <n v="1"/>
    <x v="2"/>
    <x v="108"/>
    <x v="4"/>
    <s v="Percent change"/>
    <s v="Units"/>
    <x v="4"/>
    <n v="10.811999999999999"/>
  </r>
  <r>
    <n v="1"/>
    <x v="2"/>
    <x v="108"/>
    <x v="4"/>
    <s v="Percent change"/>
    <s v="Units"/>
    <x v="5"/>
    <n v="3.2280000000000002"/>
  </r>
  <r>
    <n v="1"/>
    <x v="2"/>
    <x v="108"/>
    <x v="4"/>
    <s v="Percent change"/>
    <s v="Units"/>
    <x v="6"/>
    <n v="2.0779999999999998"/>
  </r>
  <r>
    <n v="400"/>
    <x v="11"/>
    <x v="108"/>
    <x v="4"/>
    <s v="Percent change"/>
    <s v="Units"/>
    <x v="0"/>
    <n v="0.38100000000000001"/>
  </r>
  <r>
    <n v="400"/>
    <x v="11"/>
    <x v="108"/>
    <x v="4"/>
    <s v="Percent change"/>
    <s v="Units"/>
    <x v="1"/>
    <n v="-2.548"/>
  </r>
  <r>
    <n v="400"/>
    <x v="11"/>
    <x v="108"/>
    <x v="4"/>
    <s v="Percent change"/>
    <s v="Units"/>
    <x v="2"/>
    <n v="29.472999999999999"/>
  </r>
  <r>
    <n v="400"/>
    <x v="11"/>
    <x v="108"/>
    <x v="4"/>
    <s v="Percent change"/>
    <s v="Units"/>
    <x v="3"/>
    <n v="-15.811"/>
  </r>
  <r>
    <n v="400"/>
    <x v="11"/>
    <x v="108"/>
    <x v="4"/>
    <s v="Percent change"/>
    <s v="Units"/>
    <x v="4"/>
    <n v="10.811999999999999"/>
  </r>
  <r>
    <n v="400"/>
    <x v="11"/>
    <x v="108"/>
    <x v="4"/>
    <s v="Percent change"/>
    <s v="Units"/>
    <x v="5"/>
    <n v="3.2280000000000002"/>
  </r>
  <r>
    <n v="400"/>
    <x v="11"/>
    <x v="108"/>
    <x v="4"/>
    <s v="Percent change"/>
    <s v="Units"/>
    <x v="6"/>
    <n v="2.0779999999999998"/>
  </r>
  <r>
    <n v="110"/>
    <x v="0"/>
    <x v="18"/>
    <x v="4"/>
    <s v="Percent change"/>
    <s v="Units"/>
    <x v="0"/>
    <n v="-0.66100000000000003"/>
  </r>
  <r>
    <n v="110"/>
    <x v="0"/>
    <x v="18"/>
    <x v="4"/>
    <s v="Percent change"/>
    <s v="Units"/>
    <x v="1"/>
    <n v="-5.6619999999999999"/>
  </r>
  <r>
    <n v="110"/>
    <x v="0"/>
    <x v="18"/>
    <x v="4"/>
    <s v="Percent change"/>
    <s v="Units"/>
    <x v="2"/>
    <n v="13.545"/>
  </r>
  <r>
    <n v="110"/>
    <x v="0"/>
    <x v="18"/>
    <x v="4"/>
    <s v="Percent change"/>
    <s v="Units"/>
    <x v="3"/>
    <n v="6.2930000000000001"/>
  </r>
  <r>
    <n v="110"/>
    <x v="0"/>
    <x v="18"/>
    <x v="4"/>
    <s v="Percent change"/>
    <s v="Units"/>
    <x v="4"/>
    <n v="2.6549999999999998"/>
  </r>
  <r>
    <n v="110"/>
    <x v="0"/>
    <x v="18"/>
    <x v="4"/>
    <s v="Percent change"/>
    <s v="Units"/>
    <x v="5"/>
    <n v="3.22"/>
  </r>
  <r>
    <n v="110"/>
    <x v="0"/>
    <x v="18"/>
    <x v="4"/>
    <s v="Percent change"/>
    <s v="Units"/>
    <x v="6"/>
    <n v="3.2519999999999998"/>
  </r>
  <r>
    <n v="1"/>
    <x v="2"/>
    <x v="18"/>
    <x v="4"/>
    <s v="Percent change"/>
    <s v="Units"/>
    <x v="0"/>
    <n v="-0.66100000000000003"/>
  </r>
  <r>
    <n v="1"/>
    <x v="2"/>
    <x v="18"/>
    <x v="4"/>
    <s v="Percent change"/>
    <s v="Units"/>
    <x v="1"/>
    <n v="-5.6619999999999999"/>
  </r>
  <r>
    <n v="1"/>
    <x v="2"/>
    <x v="18"/>
    <x v="4"/>
    <s v="Percent change"/>
    <s v="Units"/>
    <x v="2"/>
    <n v="13.545"/>
  </r>
  <r>
    <n v="1"/>
    <x v="2"/>
    <x v="18"/>
    <x v="4"/>
    <s v="Percent change"/>
    <s v="Units"/>
    <x v="3"/>
    <n v="6.2930000000000001"/>
  </r>
  <r>
    <n v="1"/>
    <x v="2"/>
    <x v="18"/>
    <x v="4"/>
    <s v="Percent change"/>
    <s v="Units"/>
    <x v="4"/>
    <n v="2.6549999999999998"/>
  </r>
  <r>
    <n v="1"/>
    <x v="2"/>
    <x v="18"/>
    <x v="4"/>
    <s v="Percent change"/>
    <s v="Units"/>
    <x v="5"/>
    <n v="3.22"/>
  </r>
  <r>
    <n v="1"/>
    <x v="2"/>
    <x v="18"/>
    <x v="4"/>
    <s v="Percent change"/>
    <s v="Units"/>
    <x v="6"/>
    <n v="3.2519999999999998"/>
  </r>
  <r>
    <n v="123"/>
    <x v="9"/>
    <x v="18"/>
    <x v="4"/>
    <s v="Percent change"/>
    <s v="Units"/>
    <x v="0"/>
    <n v="-0.66100000000000003"/>
  </r>
  <r>
    <n v="123"/>
    <x v="9"/>
    <x v="18"/>
    <x v="4"/>
    <s v="Percent change"/>
    <s v="Units"/>
    <x v="1"/>
    <n v="-5.6619999999999999"/>
  </r>
  <r>
    <n v="123"/>
    <x v="9"/>
    <x v="18"/>
    <x v="4"/>
    <s v="Percent change"/>
    <s v="Units"/>
    <x v="2"/>
    <n v="13.545"/>
  </r>
  <r>
    <n v="123"/>
    <x v="9"/>
    <x v="18"/>
    <x v="4"/>
    <s v="Percent change"/>
    <s v="Units"/>
    <x v="3"/>
    <n v="6.2930000000000001"/>
  </r>
  <r>
    <n v="123"/>
    <x v="9"/>
    <x v="18"/>
    <x v="4"/>
    <s v="Percent change"/>
    <s v="Units"/>
    <x v="4"/>
    <n v="2.6549999999999998"/>
  </r>
  <r>
    <n v="123"/>
    <x v="9"/>
    <x v="18"/>
    <x v="4"/>
    <s v="Percent change"/>
    <s v="Units"/>
    <x v="5"/>
    <n v="3.22"/>
  </r>
  <r>
    <n v="123"/>
    <x v="9"/>
    <x v="18"/>
    <x v="4"/>
    <s v="Percent change"/>
    <s v="Units"/>
    <x v="6"/>
    <n v="3.2519999999999998"/>
  </r>
  <r>
    <n v="200"/>
    <x v="3"/>
    <x v="57"/>
    <x v="8"/>
    <s v="Percent change"/>
    <s v="Units"/>
    <x v="0"/>
    <n v="3.1989999999999998"/>
  </r>
  <r>
    <n v="200"/>
    <x v="3"/>
    <x v="57"/>
    <x v="8"/>
    <s v="Percent change"/>
    <s v="Units"/>
    <x v="1"/>
    <n v="-3.7530000000000001"/>
  </r>
  <r>
    <n v="200"/>
    <x v="3"/>
    <x v="57"/>
    <x v="8"/>
    <s v="Percent change"/>
    <s v="Units"/>
    <x v="2"/>
    <n v="3.4460000000000002"/>
  </r>
  <r>
    <n v="200"/>
    <x v="3"/>
    <x v="57"/>
    <x v="8"/>
    <s v="Percent change"/>
    <s v="Units"/>
    <x v="3"/>
    <n v="-29.079000000000001"/>
  </r>
  <r>
    <n v="200"/>
    <x v="3"/>
    <x v="57"/>
    <x v="8"/>
    <s v="Percent change"/>
    <s v="Units"/>
    <x v="4"/>
    <n v="5.0030000000000001"/>
  </r>
  <r>
    <n v="200"/>
    <x v="3"/>
    <x v="57"/>
    <x v="8"/>
    <s v="Percent change"/>
    <s v="Units"/>
    <x v="5"/>
    <n v="3.202"/>
  </r>
  <r>
    <n v="200"/>
    <x v="3"/>
    <x v="57"/>
    <x v="8"/>
    <s v="Percent change"/>
    <s v="Units"/>
    <x v="6"/>
    <n v="6.4649999999999999"/>
  </r>
  <r>
    <n v="903"/>
    <x v="8"/>
    <x v="57"/>
    <x v="8"/>
    <s v="Percent change"/>
    <s v="Units"/>
    <x v="0"/>
    <n v="3.1989999999999998"/>
  </r>
  <r>
    <n v="903"/>
    <x v="8"/>
    <x v="57"/>
    <x v="8"/>
    <s v="Percent change"/>
    <s v="Units"/>
    <x v="1"/>
    <n v="-3.7530000000000001"/>
  </r>
  <r>
    <n v="903"/>
    <x v="8"/>
    <x v="57"/>
    <x v="8"/>
    <s v="Percent change"/>
    <s v="Units"/>
    <x v="2"/>
    <n v="3.4460000000000002"/>
  </r>
  <r>
    <n v="903"/>
    <x v="8"/>
    <x v="57"/>
    <x v="8"/>
    <s v="Percent change"/>
    <s v="Units"/>
    <x v="3"/>
    <n v="-29.079000000000001"/>
  </r>
  <r>
    <n v="903"/>
    <x v="8"/>
    <x v="57"/>
    <x v="8"/>
    <s v="Percent change"/>
    <s v="Units"/>
    <x v="4"/>
    <n v="5.0030000000000001"/>
  </r>
  <r>
    <n v="903"/>
    <x v="8"/>
    <x v="57"/>
    <x v="8"/>
    <s v="Percent change"/>
    <s v="Units"/>
    <x v="5"/>
    <n v="3.202"/>
  </r>
  <r>
    <n v="903"/>
    <x v="8"/>
    <x v="57"/>
    <x v="8"/>
    <s v="Percent change"/>
    <s v="Units"/>
    <x v="6"/>
    <n v="6.4649999999999999"/>
  </r>
  <r>
    <n v="1"/>
    <x v="2"/>
    <x v="57"/>
    <x v="8"/>
    <s v="Percent change"/>
    <s v="Units"/>
    <x v="0"/>
    <n v="3.1989999999999998"/>
  </r>
  <r>
    <n v="1"/>
    <x v="2"/>
    <x v="57"/>
    <x v="8"/>
    <s v="Percent change"/>
    <s v="Units"/>
    <x v="1"/>
    <n v="-3.7530000000000001"/>
  </r>
  <r>
    <n v="1"/>
    <x v="2"/>
    <x v="57"/>
    <x v="8"/>
    <s v="Percent change"/>
    <s v="Units"/>
    <x v="2"/>
    <n v="3.4460000000000002"/>
  </r>
  <r>
    <n v="1"/>
    <x v="2"/>
    <x v="57"/>
    <x v="8"/>
    <s v="Percent change"/>
    <s v="Units"/>
    <x v="3"/>
    <n v="-29.079000000000001"/>
  </r>
  <r>
    <n v="1"/>
    <x v="2"/>
    <x v="57"/>
    <x v="8"/>
    <s v="Percent change"/>
    <s v="Units"/>
    <x v="4"/>
    <n v="5.0030000000000001"/>
  </r>
  <r>
    <n v="1"/>
    <x v="2"/>
    <x v="57"/>
    <x v="8"/>
    <s v="Percent change"/>
    <s v="Units"/>
    <x v="5"/>
    <n v="3.202"/>
  </r>
  <r>
    <n v="1"/>
    <x v="2"/>
    <x v="57"/>
    <x v="8"/>
    <s v="Percent change"/>
    <s v="Units"/>
    <x v="6"/>
    <n v="6.4649999999999999"/>
  </r>
  <r>
    <n v="200"/>
    <x v="3"/>
    <x v="105"/>
    <x v="6"/>
    <s v="Percent change"/>
    <s v="Units"/>
    <x v="0"/>
    <n v="17.754000000000001"/>
  </r>
  <r>
    <n v="200"/>
    <x v="3"/>
    <x v="105"/>
    <x v="6"/>
    <s v="Percent change"/>
    <s v="Units"/>
    <x v="1"/>
    <n v="-18.11"/>
  </r>
  <r>
    <n v="200"/>
    <x v="3"/>
    <x v="105"/>
    <x v="6"/>
    <s v="Percent change"/>
    <s v="Units"/>
    <x v="2"/>
    <n v="-23.895"/>
  </r>
  <r>
    <n v="200"/>
    <x v="3"/>
    <x v="105"/>
    <x v="6"/>
    <s v="Percent change"/>
    <s v="Units"/>
    <x v="3"/>
    <n v="8"/>
  </r>
  <r>
    <n v="200"/>
    <x v="3"/>
    <x v="105"/>
    <x v="6"/>
    <s v="Percent change"/>
    <s v="Units"/>
    <x v="4"/>
    <n v="2.0880000000000001"/>
  </r>
  <r>
    <n v="200"/>
    <x v="3"/>
    <x v="105"/>
    <x v="6"/>
    <s v="Percent change"/>
    <s v="Units"/>
    <x v="5"/>
    <n v="3.1989999999999998"/>
  </r>
  <r>
    <n v="200"/>
    <x v="3"/>
    <x v="105"/>
    <x v="6"/>
    <s v="Percent change"/>
    <s v="Units"/>
    <x v="6"/>
    <n v="4.2809999999999997"/>
  </r>
  <r>
    <n v="205"/>
    <x v="7"/>
    <x v="105"/>
    <x v="6"/>
    <s v="Percent change"/>
    <s v="Units"/>
    <x v="0"/>
    <n v="17.754000000000001"/>
  </r>
  <r>
    <n v="205"/>
    <x v="7"/>
    <x v="105"/>
    <x v="6"/>
    <s v="Percent change"/>
    <s v="Units"/>
    <x v="1"/>
    <n v="-18.11"/>
  </r>
  <r>
    <n v="205"/>
    <x v="7"/>
    <x v="105"/>
    <x v="6"/>
    <s v="Percent change"/>
    <s v="Units"/>
    <x v="2"/>
    <n v="-23.895"/>
  </r>
  <r>
    <n v="205"/>
    <x v="7"/>
    <x v="105"/>
    <x v="6"/>
    <s v="Percent change"/>
    <s v="Units"/>
    <x v="3"/>
    <n v="8"/>
  </r>
  <r>
    <n v="205"/>
    <x v="7"/>
    <x v="105"/>
    <x v="6"/>
    <s v="Percent change"/>
    <s v="Units"/>
    <x v="4"/>
    <n v="2.0880000000000001"/>
  </r>
  <r>
    <n v="205"/>
    <x v="7"/>
    <x v="105"/>
    <x v="6"/>
    <s v="Percent change"/>
    <s v="Units"/>
    <x v="5"/>
    <n v="3.1989999999999998"/>
  </r>
  <r>
    <n v="205"/>
    <x v="7"/>
    <x v="105"/>
    <x v="6"/>
    <s v="Percent change"/>
    <s v="Units"/>
    <x v="6"/>
    <n v="4.2809999999999997"/>
  </r>
  <r>
    <n v="1"/>
    <x v="2"/>
    <x v="105"/>
    <x v="6"/>
    <s v="Percent change"/>
    <s v="Units"/>
    <x v="0"/>
    <n v="17.754000000000001"/>
  </r>
  <r>
    <n v="1"/>
    <x v="2"/>
    <x v="105"/>
    <x v="6"/>
    <s v="Percent change"/>
    <s v="Units"/>
    <x v="1"/>
    <n v="-18.11"/>
  </r>
  <r>
    <n v="1"/>
    <x v="2"/>
    <x v="105"/>
    <x v="6"/>
    <s v="Percent change"/>
    <s v="Units"/>
    <x v="2"/>
    <n v="-23.895"/>
  </r>
  <r>
    <n v="1"/>
    <x v="2"/>
    <x v="105"/>
    <x v="6"/>
    <s v="Percent change"/>
    <s v="Units"/>
    <x v="3"/>
    <n v="8"/>
  </r>
  <r>
    <n v="1"/>
    <x v="2"/>
    <x v="105"/>
    <x v="6"/>
    <s v="Percent change"/>
    <s v="Units"/>
    <x v="4"/>
    <n v="2.0880000000000001"/>
  </r>
  <r>
    <n v="1"/>
    <x v="2"/>
    <x v="105"/>
    <x v="6"/>
    <s v="Percent change"/>
    <s v="Units"/>
    <x v="5"/>
    <n v="3.1989999999999998"/>
  </r>
  <r>
    <n v="1"/>
    <x v="2"/>
    <x v="105"/>
    <x v="6"/>
    <s v="Percent change"/>
    <s v="Units"/>
    <x v="6"/>
    <n v="4.2809999999999997"/>
  </r>
  <r>
    <n v="603"/>
    <x v="12"/>
    <x v="25"/>
    <x v="8"/>
    <s v="Percent change"/>
    <s v="Units"/>
    <x v="0"/>
    <n v="-6.3070000000000004"/>
  </r>
  <r>
    <n v="603"/>
    <x v="12"/>
    <x v="25"/>
    <x v="8"/>
    <s v="Percent change"/>
    <s v="Units"/>
    <x v="1"/>
    <n v="-7.782"/>
  </r>
  <r>
    <n v="603"/>
    <x v="12"/>
    <x v="25"/>
    <x v="8"/>
    <s v="Percent change"/>
    <s v="Units"/>
    <x v="2"/>
    <n v="8.4250000000000007"/>
  </r>
  <r>
    <n v="603"/>
    <x v="12"/>
    <x v="25"/>
    <x v="8"/>
    <s v="Percent change"/>
    <s v="Units"/>
    <x v="3"/>
    <n v="6.4850000000000003"/>
  </r>
  <r>
    <n v="603"/>
    <x v="12"/>
    <x v="25"/>
    <x v="8"/>
    <s v="Percent change"/>
    <s v="Units"/>
    <x v="4"/>
    <n v="5.3129999999999997"/>
  </r>
  <r>
    <n v="603"/>
    <x v="12"/>
    <x v="25"/>
    <x v="8"/>
    <s v="Percent change"/>
    <s v="Units"/>
    <x v="5"/>
    <n v="3.1960000000000002"/>
  </r>
  <r>
    <n v="603"/>
    <x v="12"/>
    <x v="25"/>
    <x v="8"/>
    <s v="Percent change"/>
    <s v="Units"/>
    <x v="6"/>
    <n v="3.2189999999999999"/>
  </r>
  <r>
    <n v="1"/>
    <x v="2"/>
    <x v="25"/>
    <x v="8"/>
    <s v="Percent change"/>
    <s v="Units"/>
    <x v="0"/>
    <n v="-6.3070000000000004"/>
  </r>
  <r>
    <n v="1"/>
    <x v="2"/>
    <x v="25"/>
    <x v="8"/>
    <s v="Percent change"/>
    <s v="Units"/>
    <x v="1"/>
    <n v="-7.782"/>
  </r>
  <r>
    <n v="1"/>
    <x v="2"/>
    <x v="25"/>
    <x v="8"/>
    <s v="Percent change"/>
    <s v="Units"/>
    <x v="2"/>
    <n v="8.4250000000000007"/>
  </r>
  <r>
    <n v="1"/>
    <x v="2"/>
    <x v="25"/>
    <x v="8"/>
    <s v="Percent change"/>
    <s v="Units"/>
    <x v="3"/>
    <n v="6.4850000000000003"/>
  </r>
  <r>
    <n v="1"/>
    <x v="2"/>
    <x v="25"/>
    <x v="8"/>
    <s v="Percent change"/>
    <s v="Units"/>
    <x v="4"/>
    <n v="5.3129999999999997"/>
  </r>
  <r>
    <n v="1"/>
    <x v="2"/>
    <x v="25"/>
    <x v="8"/>
    <s v="Percent change"/>
    <s v="Units"/>
    <x v="5"/>
    <n v="3.1960000000000002"/>
  </r>
  <r>
    <n v="1"/>
    <x v="2"/>
    <x v="25"/>
    <x v="8"/>
    <s v="Percent change"/>
    <s v="Units"/>
    <x v="6"/>
    <n v="3.2189999999999999"/>
  </r>
  <r>
    <n v="200"/>
    <x v="3"/>
    <x v="25"/>
    <x v="8"/>
    <s v="Percent change"/>
    <s v="Units"/>
    <x v="0"/>
    <n v="-6.3070000000000004"/>
  </r>
  <r>
    <n v="200"/>
    <x v="3"/>
    <x v="25"/>
    <x v="8"/>
    <s v="Percent change"/>
    <s v="Units"/>
    <x v="1"/>
    <n v="-7.782"/>
  </r>
  <r>
    <n v="200"/>
    <x v="3"/>
    <x v="25"/>
    <x v="8"/>
    <s v="Percent change"/>
    <s v="Units"/>
    <x v="2"/>
    <n v="8.4250000000000007"/>
  </r>
  <r>
    <n v="200"/>
    <x v="3"/>
    <x v="25"/>
    <x v="8"/>
    <s v="Percent change"/>
    <s v="Units"/>
    <x v="3"/>
    <n v="6.4850000000000003"/>
  </r>
  <r>
    <n v="200"/>
    <x v="3"/>
    <x v="25"/>
    <x v="8"/>
    <s v="Percent change"/>
    <s v="Units"/>
    <x v="4"/>
    <n v="5.3129999999999997"/>
  </r>
  <r>
    <n v="200"/>
    <x v="3"/>
    <x v="25"/>
    <x v="8"/>
    <s v="Percent change"/>
    <s v="Units"/>
    <x v="5"/>
    <n v="3.1960000000000002"/>
  </r>
  <r>
    <n v="200"/>
    <x v="3"/>
    <x v="25"/>
    <x v="8"/>
    <s v="Percent change"/>
    <s v="Units"/>
    <x v="6"/>
    <n v="3.2189999999999999"/>
  </r>
  <r>
    <n v="1"/>
    <x v="2"/>
    <x v="9"/>
    <x v="4"/>
    <s v="Percent change"/>
    <s v="Units"/>
    <x v="0"/>
    <n v="2.2749999999999999"/>
  </r>
  <r>
    <n v="1"/>
    <x v="2"/>
    <x v="9"/>
    <x v="4"/>
    <s v="Percent change"/>
    <s v="Units"/>
    <x v="1"/>
    <n v="-8.9920000000000009"/>
  </r>
  <r>
    <n v="1"/>
    <x v="2"/>
    <x v="9"/>
    <x v="4"/>
    <s v="Percent change"/>
    <s v="Units"/>
    <x v="2"/>
    <n v="2.7210000000000001"/>
  </r>
  <r>
    <n v="1"/>
    <x v="2"/>
    <x v="9"/>
    <x v="4"/>
    <s v="Percent change"/>
    <s v="Units"/>
    <x v="3"/>
    <n v="3.2320000000000002"/>
  </r>
  <r>
    <n v="1"/>
    <x v="2"/>
    <x v="9"/>
    <x v="4"/>
    <s v="Percent change"/>
    <s v="Units"/>
    <x v="4"/>
    <n v="5.7140000000000004"/>
  </r>
  <r>
    <n v="1"/>
    <x v="2"/>
    <x v="9"/>
    <x v="4"/>
    <s v="Percent change"/>
    <s v="Units"/>
    <x v="5"/>
    <n v="3.1890000000000001"/>
  </r>
  <r>
    <n v="1"/>
    <x v="2"/>
    <x v="9"/>
    <x v="4"/>
    <s v="Percent change"/>
    <s v="Units"/>
    <x v="6"/>
    <n v="2.78"/>
  </r>
  <r>
    <n v="110"/>
    <x v="0"/>
    <x v="9"/>
    <x v="4"/>
    <s v="Percent change"/>
    <s v="Units"/>
    <x v="0"/>
    <n v="2.2749999999999999"/>
  </r>
  <r>
    <n v="110"/>
    <x v="0"/>
    <x v="9"/>
    <x v="4"/>
    <s v="Percent change"/>
    <s v="Units"/>
    <x v="1"/>
    <n v="-8.9920000000000009"/>
  </r>
  <r>
    <n v="110"/>
    <x v="0"/>
    <x v="9"/>
    <x v="4"/>
    <s v="Percent change"/>
    <s v="Units"/>
    <x v="2"/>
    <n v="2.7210000000000001"/>
  </r>
  <r>
    <n v="110"/>
    <x v="0"/>
    <x v="9"/>
    <x v="4"/>
    <s v="Percent change"/>
    <s v="Units"/>
    <x v="3"/>
    <n v="3.2320000000000002"/>
  </r>
  <r>
    <n v="110"/>
    <x v="0"/>
    <x v="9"/>
    <x v="4"/>
    <s v="Percent change"/>
    <s v="Units"/>
    <x v="4"/>
    <n v="5.7140000000000004"/>
  </r>
  <r>
    <n v="110"/>
    <x v="0"/>
    <x v="9"/>
    <x v="4"/>
    <s v="Percent change"/>
    <s v="Units"/>
    <x v="5"/>
    <n v="3.1890000000000001"/>
  </r>
  <r>
    <n v="110"/>
    <x v="0"/>
    <x v="9"/>
    <x v="4"/>
    <s v="Percent change"/>
    <s v="Units"/>
    <x v="6"/>
    <n v="2.78"/>
  </r>
  <r>
    <n v="119"/>
    <x v="1"/>
    <x v="9"/>
    <x v="4"/>
    <s v="Percent change"/>
    <s v="Units"/>
    <x v="0"/>
    <n v="2.2749999999999999"/>
  </r>
  <r>
    <n v="119"/>
    <x v="1"/>
    <x v="9"/>
    <x v="4"/>
    <s v="Percent change"/>
    <s v="Units"/>
    <x v="1"/>
    <n v="-8.9920000000000009"/>
  </r>
  <r>
    <n v="119"/>
    <x v="1"/>
    <x v="9"/>
    <x v="4"/>
    <s v="Percent change"/>
    <s v="Units"/>
    <x v="2"/>
    <n v="2.7210000000000001"/>
  </r>
  <r>
    <n v="119"/>
    <x v="1"/>
    <x v="9"/>
    <x v="4"/>
    <s v="Percent change"/>
    <s v="Units"/>
    <x v="3"/>
    <n v="3.2320000000000002"/>
  </r>
  <r>
    <n v="119"/>
    <x v="1"/>
    <x v="9"/>
    <x v="4"/>
    <s v="Percent change"/>
    <s v="Units"/>
    <x v="4"/>
    <n v="5.7140000000000004"/>
  </r>
  <r>
    <n v="119"/>
    <x v="1"/>
    <x v="9"/>
    <x v="4"/>
    <s v="Percent change"/>
    <s v="Units"/>
    <x v="5"/>
    <n v="3.1890000000000001"/>
  </r>
  <r>
    <n v="119"/>
    <x v="1"/>
    <x v="9"/>
    <x v="4"/>
    <s v="Percent change"/>
    <s v="Units"/>
    <x v="6"/>
    <n v="2.78"/>
  </r>
  <r>
    <n v="205"/>
    <x v="7"/>
    <x v="43"/>
    <x v="1"/>
    <s v="Percent change"/>
    <s v="Units"/>
    <x v="0"/>
    <n v="2.2490000000000001"/>
  </r>
  <r>
    <n v="205"/>
    <x v="7"/>
    <x v="43"/>
    <x v="1"/>
    <s v="Percent change"/>
    <s v="Units"/>
    <x v="1"/>
    <n v="3.0430000000000001"/>
  </r>
  <r>
    <n v="205"/>
    <x v="7"/>
    <x v="43"/>
    <x v="1"/>
    <s v="Percent change"/>
    <s v="Units"/>
    <x v="2"/>
    <n v="4.524"/>
  </r>
  <r>
    <n v="205"/>
    <x v="7"/>
    <x v="43"/>
    <x v="1"/>
    <s v="Percent change"/>
    <s v="Units"/>
    <x v="3"/>
    <n v="11.645"/>
  </r>
  <r>
    <n v="205"/>
    <x v="7"/>
    <x v="43"/>
    <x v="1"/>
    <s v="Percent change"/>
    <s v="Units"/>
    <x v="4"/>
    <n v="7.5830000000000002"/>
  </r>
  <r>
    <n v="205"/>
    <x v="7"/>
    <x v="43"/>
    <x v="1"/>
    <s v="Percent change"/>
    <s v="Units"/>
    <x v="5"/>
    <n v="3.18"/>
  </r>
  <r>
    <n v="205"/>
    <x v="7"/>
    <x v="43"/>
    <x v="1"/>
    <s v="Percent change"/>
    <s v="Units"/>
    <x v="6"/>
    <n v="3"/>
  </r>
  <r>
    <n v="200"/>
    <x v="3"/>
    <x v="43"/>
    <x v="1"/>
    <s v="Percent change"/>
    <s v="Units"/>
    <x v="0"/>
    <n v="2.2490000000000001"/>
  </r>
  <r>
    <n v="200"/>
    <x v="3"/>
    <x v="43"/>
    <x v="1"/>
    <s v="Percent change"/>
    <s v="Units"/>
    <x v="1"/>
    <n v="3.0430000000000001"/>
  </r>
  <r>
    <n v="200"/>
    <x v="3"/>
    <x v="43"/>
    <x v="1"/>
    <s v="Percent change"/>
    <s v="Units"/>
    <x v="2"/>
    <n v="4.524"/>
  </r>
  <r>
    <n v="200"/>
    <x v="3"/>
    <x v="43"/>
    <x v="1"/>
    <s v="Percent change"/>
    <s v="Units"/>
    <x v="3"/>
    <n v="11.645"/>
  </r>
  <r>
    <n v="200"/>
    <x v="3"/>
    <x v="43"/>
    <x v="1"/>
    <s v="Percent change"/>
    <s v="Units"/>
    <x v="4"/>
    <n v="7.5830000000000002"/>
  </r>
  <r>
    <n v="200"/>
    <x v="3"/>
    <x v="43"/>
    <x v="1"/>
    <s v="Percent change"/>
    <s v="Units"/>
    <x v="5"/>
    <n v="3.18"/>
  </r>
  <r>
    <n v="200"/>
    <x v="3"/>
    <x v="43"/>
    <x v="1"/>
    <s v="Percent change"/>
    <s v="Units"/>
    <x v="6"/>
    <n v="3"/>
  </r>
  <r>
    <n v="1"/>
    <x v="2"/>
    <x v="43"/>
    <x v="1"/>
    <s v="Percent change"/>
    <s v="Units"/>
    <x v="0"/>
    <n v="2.2490000000000001"/>
  </r>
  <r>
    <n v="1"/>
    <x v="2"/>
    <x v="43"/>
    <x v="1"/>
    <s v="Percent change"/>
    <s v="Units"/>
    <x v="1"/>
    <n v="3.0430000000000001"/>
  </r>
  <r>
    <n v="1"/>
    <x v="2"/>
    <x v="43"/>
    <x v="1"/>
    <s v="Percent change"/>
    <s v="Units"/>
    <x v="2"/>
    <n v="4.524"/>
  </r>
  <r>
    <n v="1"/>
    <x v="2"/>
    <x v="43"/>
    <x v="1"/>
    <s v="Percent change"/>
    <s v="Units"/>
    <x v="3"/>
    <n v="11.645"/>
  </r>
  <r>
    <n v="1"/>
    <x v="2"/>
    <x v="43"/>
    <x v="1"/>
    <s v="Percent change"/>
    <s v="Units"/>
    <x v="4"/>
    <n v="7.5830000000000002"/>
  </r>
  <r>
    <n v="1"/>
    <x v="2"/>
    <x v="43"/>
    <x v="1"/>
    <s v="Percent change"/>
    <s v="Units"/>
    <x v="5"/>
    <n v="3.18"/>
  </r>
  <r>
    <n v="1"/>
    <x v="2"/>
    <x v="43"/>
    <x v="1"/>
    <s v="Percent change"/>
    <s v="Units"/>
    <x v="6"/>
    <n v="3"/>
  </r>
  <r>
    <n v="1"/>
    <x v="2"/>
    <x v="58"/>
    <x v="1"/>
    <s v="Percent change"/>
    <s v="Units"/>
    <x v="0"/>
    <n v="1.0920000000000001"/>
  </r>
  <r>
    <n v="1"/>
    <x v="2"/>
    <x v="58"/>
    <x v="1"/>
    <s v="Percent change"/>
    <s v="Units"/>
    <x v="1"/>
    <n v="2.1019999999999999"/>
  </r>
  <r>
    <n v="1"/>
    <x v="2"/>
    <x v="58"/>
    <x v="1"/>
    <s v="Percent change"/>
    <s v="Units"/>
    <x v="2"/>
    <n v="3.4239999999999999"/>
  </r>
  <r>
    <n v="1"/>
    <x v="2"/>
    <x v="58"/>
    <x v="1"/>
    <s v="Percent change"/>
    <s v="Units"/>
    <x v="3"/>
    <n v="3.9809999999999999"/>
  </r>
  <r>
    <n v="1"/>
    <x v="2"/>
    <x v="58"/>
    <x v="1"/>
    <s v="Percent change"/>
    <s v="Units"/>
    <x v="4"/>
    <n v="3.6419999999999999"/>
  </r>
  <r>
    <n v="1"/>
    <x v="2"/>
    <x v="58"/>
    <x v="1"/>
    <s v="Percent change"/>
    <s v="Units"/>
    <x v="5"/>
    <n v="3.1680000000000001"/>
  </r>
  <r>
    <n v="1"/>
    <x v="2"/>
    <x v="58"/>
    <x v="1"/>
    <s v="Percent change"/>
    <s v="Units"/>
    <x v="6"/>
    <n v="2.7280000000000002"/>
  </r>
  <r>
    <n v="400"/>
    <x v="11"/>
    <x v="58"/>
    <x v="1"/>
    <s v="Percent change"/>
    <s v="Units"/>
    <x v="0"/>
    <n v="1.0920000000000001"/>
  </r>
  <r>
    <n v="400"/>
    <x v="11"/>
    <x v="58"/>
    <x v="1"/>
    <s v="Percent change"/>
    <s v="Units"/>
    <x v="1"/>
    <n v="2.1019999999999999"/>
  </r>
  <r>
    <n v="400"/>
    <x v="11"/>
    <x v="58"/>
    <x v="1"/>
    <s v="Percent change"/>
    <s v="Units"/>
    <x v="2"/>
    <n v="3.4239999999999999"/>
  </r>
  <r>
    <n v="400"/>
    <x v="11"/>
    <x v="58"/>
    <x v="1"/>
    <s v="Percent change"/>
    <s v="Units"/>
    <x v="3"/>
    <n v="3.9809999999999999"/>
  </r>
  <r>
    <n v="400"/>
    <x v="11"/>
    <x v="58"/>
    <x v="1"/>
    <s v="Percent change"/>
    <s v="Units"/>
    <x v="4"/>
    <n v="3.6419999999999999"/>
  </r>
  <r>
    <n v="400"/>
    <x v="11"/>
    <x v="58"/>
    <x v="1"/>
    <s v="Percent change"/>
    <s v="Units"/>
    <x v="5"/>
    <n v="3.1680000000000001"/>
  </r>
  <r>
    <n v="400"/>
    <x v="11"/>
    <x v="58"/>
    <x v="1"/>
    <s v="Percent change"/>
    <s v="Units"/>
    <x v="6"/>
    <n v="2.7280000000000002"/>
  </r>
  <r>
    <n v="200"/>
    <x v="3"/>
    <x v="58"/>
    <x v="1"/>
    <s v="Percent change"/>
    <s v="Units"/>
    <x v="0"/>
    <n v="1.0920000000000001"/>
  </r>
  <r>
    <n v="200"/>
    <x v="3"/>
    <x v="58"/>
    <x v="1"/>
    <s v="Percent change"/>
    <s v="Units"/>
    <x v="1"/>
    <n v="2.1019999999999999"/>
  </r>
  <r>
    <n v="200"/>
    <x v="3"/>
    <x v="58"/>
    <x v="1"/>
    <s v="Percent change"/>
    <s v="Units"/>
    <x v="2"/>
    <n v="3.4239999999999999"/>
  </r>
  <r>
    <n v="200"/>
    <x v="3"/>
    <x v="58"/>
    <x v="1"/>
    <s v="Percent change"/>
    <s v="Units"/>
    <x v="3"/>
    <n v="3.9809999999999999"/>
  </r>
  <r>
    <n v="200"/>
    <x v="3"/>
    <x v="58"/>
    <x v="1"/>
    <s v="Percent change"/>
    <s v="Units"/>
    <x v="4"/>
    <n v="3.6419999999999999"/>
  </r>
  <r>
    <n v="200"/>
    <x v="3"/>
    <x v="58"/>
    <x v="1"/>
    <s v="Percent change"/>
    <s v="Units"/>
    <x v="5"/>
    <n v="3.1680000000000001"/>
  </r>
  <r>
    <n v="200"/>
    <x v="3"/>
    <x v="58"/>
    <x v="1"/>
    <s v="Percent change"/>
    <s v="Units"/>
    <x v="6"/>
    <n v="2.7280000000000002"/>
  </r>
  <r>
    <n v="123"/>
    <x v="9"/>
    <x v="113"/>
    <x v="4"/>
    <s v="Percent change"/>
    <s v="Units"/>
    <x v="0"/>
    <n v="-5.3490000000000002"/>
  </r>
  <r>
    <n v="123"/>
    <x v="9"/>
    <x v="113"/>
    <x v="4"/>
    <s v="Percent change"/>
    <s v="Units"/>
    <x v="1"/>
    <n v="-30.687999999999999"/>
  </r>
  <r>
    <n v="123"/>
    <x v="9"/>
    <x v="113"/>
    <x v="4"/>
    <s v="Percent change"/>
    <s v="Units"/>
    <x v="2"/>
    <n v="14.603"/>
  </r>
  <r>
    <n v="123"/>
    <x v="9"/>
    <x v="113"/>
    <x v="4"/>
    <s v="Percent change"/>
    <s v="Units"/>
    <x v="3"/>
    <n v="22.254000000000001"/>
  </r>
  <r>
    <n v="123"/>
    <x v="9"/>
    <x v="113"/>
    <x v="4"/>
    <s v="Percent change"/>
    <s v="Units"/>
    <x v="4"/>
    <n v="4.8120000000000003"/>
  </r>
  <r>
    <n v="123"/>
    <x v="9"/>
    <x v="113"/>
    <x v="4"/>
    <s v="Percent change"/>
    <s v="Units"/>
    <x v="5"/>
    <n v="3.165"/>
  </r>
  <r>
    <n v="123"/>
    <x v="9"/>
    <x v="113"/>
    <x v="4"/>
    <s v="Percent change"/>
    <s v="Units"/>
    <x v="6"/>
    <n v="3.0659999999999998"/>
  </r>
  <r>
    <n v="1"/>
    <x v="2"/>
    <x v="113"/>
    <x v="4"/>
    <s v="Percent change"/>
    <s v="Units"/>
    <x v="0"/>
    <n v="-5.3490000000000002"/>
  </r>
  <r>
    <n v="1"/>
    <x v="2"/>
    <x v="113"/>
    <x v="4"/>
    <s v="Percent change"/>
    <s v="Units"/>
    <x v="1"/>
    <n v="-30.687999999999999"/>
  </r>
  <r>
    <n v="1"/>
    <x v="2"/>
    <x v="113"/>
    <x v="4"/>
    <s v="Percent change"/>
    <s v="Units"/>
    <x v="2"/>
    <n v="14.603"/>
  </r>
  <r>
    <n v="1"/>
    <x v="2"/>
    <x v="113"/>
    <x v="4"/>
    <s v="Percent change"/>
    <s v="Units"/>
    <x v="3"/>
    <n v="22.254000000000001"/>
  </r>
  <r>
    <n v="1"/>
    <x v="2"/>
    <x v="113"/>
    <x v="4"/>
    <s v="Percent change"/>
    <s v="Units"/>
    <x v="4"/>
    <n v="4.8120000000000003"/>
  </r>
  <r>
    <n v="1"/>
    <x v="2"/>
    <x v="113"/>
    <x v="4"/>
    <s v="Percent change"/>
    <s v="Units"/>
    <x v="5"/>
    <n v="3.165"/>
  </r>
  <r>
    <n v="1"/>
    <x v="2"/>
    <x v="113"/>
    <x v="4"/>
    <s v="Percent change"/>
    <s v="Units"/>
    <x v="6"/>
    <n v="3.0659999999999998"/>
  </r>
  <r>
    <n v="110"/>
    <x v="0"/>
    <x v="113"/>
    <x v="4"/>
    <s v="Percent change"/>
    <s v="Units"/>
    <x v="0"/>
    <n v="-5.3490000000000002"/>
  </r>
  <r>
    <n v="110"/>
    <x v="0"/>
    <x v="113"/>
    <x v="4"/>
    <s v="Percent change"/>
    <s v="Units"/>
    <x v="1"/>
    <n v="-30.687999999999999"/>
  </r>
  <r>
    <n v="110"/>
    <x v="0"/>
    <x v="113"/>
    <x v="4"/>
    <s v="Percent change"/>
    <s v="Units"/>
    <x v="2"/>
    <n v="14.603"/>
  </r>
  <r>
    <n v="110"/>
    <x v="0"/>
    <x v="113"/>
    <x v="4"/>
    <s v="Percent change"/>
    <s v="Units"/>
    <x v="3"/>
    <n v="22.254000000000001"/>
  </r>
  <r>
    <n v="110"/>
    <x v="0"/>
    <x v="113"/>
    <x v="4"/>
    <s v="Percent change"/>
    <s v="Units"/>
    <x v="4"/>
    <n v="4.8120000000000003"/>
  </r>
  <r>
    <n v="110"/>
    <x v="0"/>
    <x v="113"/>
    <x v="4"/>
    <s v="Percent change"/>
    <s v="Units"/>
    <x v="5"/>
    <n v="3.165"/>
  </r>
  <r>
    <n v="110"/>
    <x v="0"/>
    <x v="113"/>
    <x v="4"/>
    <s v="Percent change"/>
    <s v="Units"/>
    <x v="6"/>
    <n v="3.0659999999999998"/>
  </r>
  <r>
    <n v="200"/>
    <x v="3"/>
    <x v="10"/>
    <x v="8"/>
    <s v="Percent change"/>
    <s v="Units"/>
    <x v="0"/>
    <n v="2.198"/>
  </r>
  <r>
    <n v="200"/>
    <x v="3"/>
    <x v="10"/>
    <x v="8"/>
    <s v="Percent change"/>
    <s v="Units"/>
    <x v="1"/>
    <n v="-2.6539999999999999"/>
  </r>
  <r>
    <n v="200"/>
    <x v="3"/>
    <x v="10"/>
    <x v="8"/>
    <s v="Percent change"/>
    <s v="Units"/>
    <x v="2"/>
    <n v="5.9880000000000004"/>
  </r>
  <r>
    <n v="200"/>
    <x v="3"/>
    <x v="10"/>
    <x v="8"/>
    <s v="Percent change"/>
    <s v="Units"/>
    <x v="3"/>
    <n v="-1.2010000000000001"/>
  </r>
  <r>
    <n v="200"/>
    <x v="3"/>
    <x v="10"/>
    <x v="8"/>
    <s v="Percent change"/>
    <s v="Units"/>
    <x v="4"/>
    <n v="3.585"/>
  </r>
  <r>
    <n v="200"/>
    <x v="3"/>
    <x v="10"/>
    <x v="8"/>
    <s v="Percent change"/>
    <s v="Units"/>
    <x v="5"/>
    <n v="3.1629999999999998"/>
  </r>
  <r>
    <n v="200"/>
    <x v="3"/>
    <x v="10"/>
    <x v="8"/>
    <s v="Percent change"/>
    <s v="Units"/>
    <x v="6"/>
    <n v="1.8109999999999999"/>
  </r>
  <r>
    <n v="1"/>
    <x v="2"/>
    <x v="10"/>
    <x v="8"/>
    <s v="Percent change"/>
    <s v="Units"/>
    <x v="0"/>
    <n v="2.198"/>
  </r>
  <r>
    <n v="1"/>
    <x v="2"/>
    <x v="10"/>
    <x v="8"/>
    <s v="Percent change"/>
    <s v="Units"/>
    <x v="1"/>
    <n v="-2.6539999999999999"/>
  </r>
  <r>
    <n v="1"/>
    <x v="2"/>
    <x v="10"/>
    <x v="8"/>
    <s v="Percent change"/>
    <s v="Units"/>
    <x v="2"/>
    <n v="5.9880000000000004"/>
  </r>
  <r>
    <n v="1"/>
    <x v="2"/>
    <x v="10"/>
    <x v="8"/>
    <s v="Percent change"/>
    <s v="Units"/>
    <x v="3"/>
    <n v="-1.2010000000000001"/>
  </r>
  <r>
    <n v="1"/>
    <x v="2"/>
    <x v="10"/>
    <x v="8"/>
    <s v="Percent change"/>
    <s v="Units"/>
    <x v="4"/>
    <n v="3.585"/>
  </r>
  <r>
    <n v="1"/>
    <x v="2"/>
    <x v="10"/>
    <x v="8"/>
    <s v="Percent change"/>
    <s v="Units"/>
    <x v="5"/>
    <n v="3.1629999999999998"/>
  </r>
  <r>
    <n v="1"/>
    <x v="2"/>
    <x v="10"/>
    <x v="8"/>
    <s v="Percent change"/>
    <s v="Units"/>
    <x v="6"/>
    <n v="1.8109999999999999"/>
  </r>
  <r>
    <n v="903"/>
    <x v="8"/>
    <x v="10"/>
    <x v="8"/>
    <s v="Percent change"/>
    <s v="Units"/>
    <x v="0"/>
    <n v="2.198"/>
  </r>
  <r>
    <n v="903"/>
    <x v="8"/>
    <x v="10"/>
    <x v="8"/>
    <s v="Percent change"/>
    <s v="Units"/>
    <x v="1"/>
    <n v="-2.6539999999999999"/>
  </r>
  <r>
    <n v="903"/>
    <x v="8"/>
    <x v="10"/>
    <x v="8"/>
    <s v="Percent change"/>
    <s v="Units"/>
    <x v="2"/>
    <n v="5.9880000000000004"/>
  </r>
  <r>
    <n v="903"/>
    <x v="8"/>
    <x v="10"/>
    <x v="8"/>
    <s v="Percent change"/>
    <s v="Units"/>
    <x v="3"/>
    <n v="-1.2010000000000001"/>
  </r>
  <r>
    <n v="903"/>
    <x v="8"/>
    <x v="10"/>
    <x v="8"/>
    <s v="Percent change"/>
    <s v="Units"/>
    <x v="4"/>
    <n v="3.585"/>
  </r>
  <r>
    <n v="903"/>
    <x v="8"/>
    <x v="10"/>
    <x v="8"/>
    <s v="Percent change"/>
    <s v="Units"/>
    <x v="5"/>
    <n v="3.1629999999999998"/>
  </r>
  <r>
    <n v="903"/>
    <x v="8"/>
    <x v="10"/>
    <x v="8"/>
    <s v="Percent change"/>
    <s v="Units"/>
    <x v="6"/>
    <n v="1.8109999999999999"/>
  </r>
  <r>
    <n v="1"/>
    <x v="2"/>
    <x v="128"/>
    <x v="4"/>
    <s v="Percent change"/>
    <s v="Units"/>
    <x v="0"/>
    <n v="9.6859999999999999"/>
  </r>
  <r>
    <n v="1"/>
    <x v="2"/>
    <x v="128"/>
    <x v="4"/>
    <s v="Percent change"/>
    <s v="Units"/>
    <x v="1"/>
    <n v="-1.8129999999999999"/>
  </r>
  <r>
    <n v="1"/>
    <x v="2"/>
    <x v="128"/>
    <x v="4"/>
    <s v="Percent change"/>
    <s v="Units"/>
    <x v="2"/>
    <n v="7.5750000000000002"/>
  </r>
  <r>
    <n v="1"/>
    <x v="2"/>
    <x v="128"/>
    <x v="4"/>
    <s v="Percent change"/>
    <s v="Units"/>
    <x v="3"/>
    <n v="8.56"/>
  </r>
  <r>
    <n v="1"/>
    <x v="2"/>
    <x v="128"/>
    <x v="4"/>
    <s v="Percent change"/>
    <s v="Units"/>
    <x v="4"/>
    <n v="8.6649999999999991"/>
  </r>
  <r>
    <n v="1"/>
    <x v="2"/>
    <x v="128"/>
    <x v="4"/>
    <s v="Percent change"/>
    <s v="Units"/>
    <x v="5"/>
    <n v="3.145"/>
  </r>
  <r>
    <n v="1"/>
    <x v="2"/>
    <x v="128"/>
    <x v="4"/>
    <s v="Percent change"/>
    <s v="Units"/>
    <x v="6"/>
    <n v="2.8759999999999999"/>
  </r>
  <r>
    <n v="110"/>
    <x v="0"/>
    <x v="128"/>
    <x v="4"/>
    <s v="Percent change"/>
    <s v="Units"/>
    <x v="0"/>
    <n v="9.6859999999999999"/>
  </r>
  <r>
    <n v="110"/>
    <x v="0"/>
    <x v="128"/>
    <x v="4"/>
    <s v="Percent change"/>
    <s v="Units"/>
    <x v="1"/>
    <n v="-1.8129999999999999"/>
  </r>
  <r>
    <n v="110"/>
    <x v="0"/>
    <x v="128"/>
    <x v="4"/>
    <s v="Percent change"/>
    <s v="Units"/>
    <x v="2"/>
    <n v="7.5750000000000002"/>
  </r>
  <r>
    <n v="110"/>
    <x v="0"/>
    <x v="128"/>
    <x v="4"/>
    <s v="Percent change"/>
    <s v="Units"/>
    <x v="3"/>
    <n v="8.56"/>
  </r>
  <r>
    <n v="110"/>
    <x v="0"/>
    <x v="128"/>
    <x v="4"/>
    <s v="Percent change"/>
    <s v="Units"/>
    <x v="4"/>
    <n v="8.6649999999999991"/>
  </r>
  <r>
    <n v="110"/>
    <x v="0"/>
    <x v="128"/>
    <x v="4"/>
    <s v="Percent change"/>
    <s v="Units"/>
    <x v="5"/>
    <n v="3.145"/>
  </r>
  <r>
    <n v="110"/>
    <x v="0"/>
    <x v="128"/>
    <x v="4"/>
    <s v="Percent change"/>
    <s v="Units"/>
    <x v="6"/>
    <n v="2.8759999999999999"/>
  </r>
  <r>
    <n v="1"/>
    <x v="2"/>
    <x v="59"/>
    <x v="8"/>
    <s v="Percent change"/>
    <s v="Units"/>
    <x v="0"/>
    <n v="2.891"/>
  </r>
  <r>
    <n v="1"/>
    <x v="2"/>
    <x v="59"/>
    <x v="8"/>
    <s v="Percent change"/>
    <s v="Units"/>
    <x v="1"/>
    <n v="-7.1779999999999999"/>
  </r>
  <r>
    <n v="1"/>
    <x v="2"/>
    <x v="59"/>
    <x v="8"/>
    <s v="Percent change"/>
    <s v="Units"/>
    <x v="2"/>
    <n v="8.0210000000000008"/>
  </r>
  <r>
    <n v="1"/>
    <x v="2"/>
    <x v="59"/>
    <x v="8"/>
    <s v="Percent change"/>
    <s v="Units"/>
    <x v="3"/>
    <n v="1.2589999999999999"/>
  </r>
  <r>
    <n v="1"/>
    <x v="2"/>
    <x v="59"/>
    <x v="8"/>
    <s v="Percent change"/>
    <s v="Units"/>
    <x v="4"/>
    <n v="3.0169999999999999"/>
  </r>
  <r>
    <n v="1"/>
    <x v="2"/>
    <x v="59"/>
    <x v="8"/>
    <s v="Percent change"/>
    <s v="Units"/>
    <x v="5"/>
    <n v="3.145"/>
  </r>
  <r>
    <n v="1"/>
    <x v="2"/>
    <x v="59"/>
    <x v="8"/>
    <s v="Percent change"/>
    <s v="Units"/>
    <x v="6"/>
    <n v="3.302"/>
  </r>
  <r>
    <n v="400"/>
    <x v="11"/>
    <x v="59"/>
    <x v="8"/>
    <s v="Percent change"/>
    <s v="Units"/>
    <x v="0"/>
    <n v="2.891"/>
  </r>
  <r>
    <n v="400"/>
    <x v="11"/>
    <x v="59"/>
    <x v="8"/>
    <s v="Percent change"/>
    <s v="Units"/>
    <x v="1"/>
    <n v="-7.1779999999999999"/>
  </r>
  <r>
    <n v="400"/>
    <x v="11"/>
    <x v="59"/>
    <x v="8"/>
    <s v="Percent change"/>
    <s v="Units"/>
    <x v="2"/>
    <n v="8.0210000000000008"/>
  </r>
  <r>
    <n v="400"/>
    <x v="11"/>
    <x v="59"/>
    <x v="8"/>
    <s v="Percent change"/>
    <s v="Units"/>
    <x v="3"/>
    <n v="1.2589999999999999"/>
  </r>
  <r>
    <n v="400"/>
    <x v="11"/>
    <x v="59"/>
    <x v="8"/>
    <s v="Percent change"/>
    <s v="Units"/>
    <x v="4"/>
    <n v="3.0169999999999999"/>
  </r>
  <r>
    <n v="400"/>
    <x v="11"/>
    <x v="59"/>
    <x v="8"/>
    <s v="Percent change"/>
    <s v="Units"/>
    <x v="5"/>
    <n v="3.145"/>
  </r>
  <r>
    <n v="400"/>
    <x v="11"/>
    <x v="59"/>
    <x v="8"/>
    <s v="Percent change"/>
    <s v="Units"/>
    <x v="6"/>
    <n v="3.302"/>
  </r>
  <r>
    <n v="200"/>
    <x v="3"/>
    <x v="59"/>
    <x v="8"/>
    <s v="Percent change"/>
    <s v="Units"/>
    <x v="0"/>
    <n v="2.891"/>
  </r>
  <r>
    <n v="200"/>
    <x v="3"/>
    <x v="59"/>
    <x v="8"/>
    <s v="Percent change"/>
    <s v="Units"/>
    <x v="1"/>
    <n v="-7.1779999999999999"/>
  </r>
  <r>
    <n v="200"/>
    <x v="3"/>
    <x v="59"/>
    <x v="8"/>
    <s v="Percent change"/>
    <s v="Units"/>
    <x v="2"/>
    <n v="8.0210000000000008"/>
  </r>
  <r>
    <n v="200"/>
    <x v="3"/>
    <x v="59"/>
    <x v="8"/>
    <s v="Percent change"/>
    <s v="Units"/>
    <x v="3"/>
    <n v="1.2589999999999999"/>
  </r>
  <r>
    <n v="200"/>
    <x v="3"/>
    <x v="59"/>
    <x v="8"/>
    <s v="Percent change"/>
    <s v="Units"/>
    <x v="4"/>
    <n v="3.0169999999999999"/>
  </r>
  <r>
    <n v="200"/>
    <x v="3"/>
    <x v="59"/>
    <x v="8"/>
    <s v="Percent change"/>
    <s v="Units"/>
    <x v="5"/>
    <n v="3.145"/>
  </r>
  <r>
    <n v="200"/>
    <x v="3"/>
    <x v="59"/>
    <x v="8"/>
    <s v="Percent change"/>
    <s v="Units"/>
    <x v="6"/>
    <n v="3.302"/>
  </r>
  <r>
    <n v="163"/>
    <x v="5"/>
    <x v="128"/>
    <x v="4"/>
    <s v="Percent change"/>
    <s v="Units"/>
    <x v="0"/>
    <n v="9.6859999999999999"/>
  </r>
  <r>
    <n v="163"/>
    <x v="5"/>
    <x v="128"/>
    <x v="4"/>
    <s v="Percent change"/>
    <s v="Units"/>
    <x v="1"/>
    <n v="-1.8129999999999999"/>
  </r>
  <r>
    <n v="163"/>
    <x v="5"/>
    <x v="128"/>
    <x v="4"/>
    <s v="Percent change"/>
    <s v="Units"/>
    <x v="2"/>
    <n v="7.5750000000000002"/>
  </r>
  <r>
    <n v="163"/>
    <x v="5"/>
    <x v="128"/>
    <x v="4"/>
    <s v="Percent change"/>
    <s v="Units"/>
    <x v="3"/>
    <n v="8.56"/>
  </r>
  <r>
    <n v="163"/>
    <x v="5"/>
    <x v="128"/>
    <x v="4"/>
    <s v="Percent change"/>
    <s v="Units"/>
    <x v="4"/>
    <n v="8.6649999999999991"/>
  </r>
  <r>
    <n v="163"/>
    <x v="5"/>
    <x v="128"/>
    <x v="4"/>
    <s v="Percent change"/>
    <s v="Units"/>
    <x v="5"/>
    <n v="3.145"/>
  </r>
  <r>
    <n v="163"/>
    <x v="5"/>
    <x v="128"/>
    <x v="4"/>
    <s v="Percent change"/>
    <s v="Units"/>
    <x v="6"/>
    <n v="2.8759999999999999"/>
  </r>
  <r>
    <n v="1"/>
    <x v="2"/>
    <x v="157"/>
    <x v="1"/>
    <s v="Percent change"/>
    <s v="Units"/>
    <x v="0"/>
    <n v="1.4430000000000001"/>
  </r>
  <r>
    <n v="1"/>
    <x v="2"/>
    <x v="157"/>
    <x v="1"/>
    <s v="Percent change"/>
    <s v="Units"/>
    <x v="1"/>
    <n v="1.226"/>
  </r>
  <r>
    <n v="1"/>
    <x v="2"/>
    <x v="157"/>
    <x v="1"/>
    <s v="Percent change"/>
    <s v="Units"/>
    <x v="2"/>
    <n v="7.202"/>
  </r>
  <r>
    <n v="1"/>
    <x v="2"/>
    <x v="157"/>
    <x v="1"/>
    <s v="Percent change"/>
    <s v="Units"/>
    <x v="3"/>
    <n v="8.6489999999999991"/>
  </r>
  <r>
    <n v="1"/>
    <x v="2"/>
    <x v="157"/>
    <x v="1"/>
    <s v="Percent change"/>
    <s v="Units"/>
    <x v="4"/>
    <n v="1.9650000000000001"/>
  </r>
  <r>
    <n v="1"/>
    <x v="2"/>
    <x v="157"/>
    <x v="1"/>
    <s v="Percent change"/>
    <s v="Units"/>
    <x v="5"/>
    <n v="3.1240000000000001"/>
  </r>
  <r>
    <n v="1"/>
    <x v="2"/>
    <x v="157"/>
    <x v="1"/>
    <s v="Percent change"/>
    <s v="Units"/>
    <x v="6"/>
    <n v="3.67"/>
  </r>
  <r>
    <n v="400"/>
    <x v="11"/>
    <x v="157"/>
    <x v="1"/>
    <s v="Percent change"/>
    <s v="Units"/>
    <x v="0"/>
    <n v="1.4430000000000001"/>
  </r>
  <r>
    <n v="400"/>
    <x v="11"/>
    <x v="157"/>
    <x v="1"/>
    <s v="Percent change"/>
    <s v="Units"/>
    <x v="1"/>
    <n v="1.226"/>
  </r>
  <r>
    <n v="400"/>
    <x v="11"/>
    <x v="157"/>
    <x v="1"/>
    <s v="Percent change"/>
    <s v="Units"/>
    <x v="2"/>
    <n v="7.202"/>
  </r>
  <r>
    <n v="400"/>
    <x v="11"/>
    <x v="157"/>
    <x v="1"/>
    <s v="Percent change"/>
    <s v="Units"/>
    <x v="3"/>
    <n v="8.6489999999999991"/>
  </r>
  <r>
    <n v="400"/>
    <x v="11"/>
    <x v="157"/>
    <x v="1"/>
    <s v="Percent change"/>
    <s v="Units"/>
    <x v="4"/>
    <n v="1.9650000000000001"/>
  </r>
  <r>
    <n v="400"/>
    <x v="11"/>
    <x v="157"/>
    <x v="1"/>
    <s v="Percent change"/>
    <s v="Units"/>
    <x v="5"/>
    <n v="3.1240000000000001"/>
  </r>
  <r>
    <n v="400"/>
    <x v="11"/>
    <x v="157"/>
    <x v="1"/>
    <s v="Percent change"/>
    <s v="Units"/>
    <x v="6"/>
    <n v="3.67"/>
  </r>
  <r>
    <n v="200"/>
    <x v="3"/>
    <x v="157"/>
    <x v="1"/>
    <s v="Percent change"/>
    <s v="Units"/>
    <x v="0"/>
    <n v="1.4430000000000001"/>
  </r>
  <r>
    <n v="200"/>
    <x v="3"/>
    <x v="157"/>
    <x v="1"/>
    <s v="Percent change"/>
    <s v="Units"/>
    <x v="1"/>
    <n v="1.226"/>
  </r>
  <r>
    <n v="200"/>
    <x v="3"/>
    <x v="157"/>
    <x v="1"/>
    <s v="Percent change"/>
    <s v="Units"/>
    <x v="2"/>
    <n v="7.202"/>
  </r>
  <r>
    <n v="200"/>
    <x v="3"/>
    <x v="157"/>
    <x v="1"/>
    <s v="Percent change"/>
    <s v="Units"/>
    <x v="3"/>
    <n v="8.6489999999999991"/>
  </r>
  <r>
    <n v="200"/>
    <x v="3"/>
    <x v="157"/>
    <x v="1"/>
    <s v="Percent change"/>
    <s v="Units"/>
    <x v="4"/>
    <n v="1.9650000000000001"/>
  </r>
  <r>
    <n v="200"/>
    <x v="3"/>
    <x v="157"/>
    <x v="1"/>
    <s v="Percent change"/>
    <s v="Units"/>
    <x v="5"/>
    <n v="3.1240000000000001"/>
  </r>
  <r>
    <n v="200"/>
    <x v="3"/>
    <x v="157"/>
    <x v="1"/>
    <s v="Percent change"/>
    <s v="Units"/>
    <x v="6"/>
    <n v="3.67"/>
  </r>
  <r>
    <n v="1"/>
    <x v="2"/>
    <x v="130"/>
    <x v="0"/>
    <s v="U.S. dollars"/>
    <s v="Billions"/>
    <x v="0"/>
    <n v="2.6179999999999999"/>
  </r>
  <r>
    <n v="1"/>
    <x v="2"/>
    <x v="130"/>
    <x v="0"/>
    <s v="U.S. dollars"/>
    <s v="Billions"/>
    <x v="1"/>
    <n v="2.5859999999999999"/>
  </r>
  <r>
    <n v="1"/>
    <x v="2"/>
    <x v="130"/>
    <x v="0"/>
    <s v="U.S. dollars"/>
    <s v="Billions"/>
    <x v="2"/>
    <n v="2.6230000000000002"/>
  </r>
  <r>
    <n v="1"/>
    <x v="2"/>
    <x v="130"/>
    <x v="0"/>
    <s v="U.S. dollars"/>
    <s v="Billions"/>
    <x v="3"/>
    <n v="2.8690000000000002"/>
  </r>
  <r>
    <n v="1"/>
    <x v="2"/>
    <x v="130"/>
    <x v="0"/>
    <s v="U.S. dollars"/>
    <s v="Billions"/>
    <x v="4"/>
    <n v="2.8969999999999998"/>
  </r>
  <r>
    <n v="1"/>
    <x v="2"/>
    <x v="130"/>
    <x v="0"/>
    <s v="U.S. dollars"/>
    <s v="Billions"/>
    <x v="5"/>
    <n v="3.11"/>
  </r>
  <r>
    <n v="1"/>
    <x v="2"/>
    <x v="130"/>
    <x v="0"/>
    <s v="U.S. dollars"/>
    <s v="Billions"/>
    <x v="6"/>
    <n v="3.395"/>
  </r>
  <r>
    <n v="505"/>
    <x v="4"/>
    <x v="130"/>
    <x v="0"/>
    <s v="U.S. dollars"/>
    <s v="Billions"/>
    <x v="0"/>
    <n v="2.6179999999999999"/>
  </r>
  <r>
    <n v="505"/>
    <x v="4"/>
    <x v="130"/>
    <x v="0"/>
    <s v="U.S. dollars"/>
    <s v="Billions"/>
    <x v="1"/>
    <n v="2.5859999999999999"/>
  </r>
  <r>
    <n v="505"/>
    <x v="4"/>
    <x v="130"/>
    <x v="0"/>
    <s v="U.S. dollars"/>
    <s v="Billions"/>
    <x v="2"/>
    <n v="2.6230000000000002"/>
  </r>
  <r>
    <n v="505"/>
    <x v="4"/>
    <x v="130"/>
    <x v="0"/>
    <s v="U.S. dollars"/>
    <s v="Billions"/>
    <x v="3"/>
    <n v="2.8690000000000002"/>
  </r>
  <r>
    <n v="505"/>
    <x v="4"/>
    <x v="130"/>
    <x v="0"/>
    <s v="U.S. dollars"/>
    <s v="Billions"/>
    <x v="4"/>
    <n v="2.8969999999999998"/>
  </r>
  <r>
    <n v="505"/>
    <x v="4"/>
    <x v="130"/>
    <x v="0"/>
    <s v="U.S. dollars"/>
    <s v="Billions"/>
    <x v="5"/>
    <n v="3.11"/>
  </r>
  <r>
    <n v="505"/>
    <x v="4"/>
    <x v="130"/>
    <x v="0"/>
    <s v="U.S. dollars"/>
    <s v="Billions"/>
    <x v="6"/>
    <n v="3.395"/>
  </r>
  <r>
    <n v="200"/>
    <x v="3"/>
    <x v="130"/>
    <x v="0"/>
    <s v="U.S. dollars"/>
    <s v="Billions"/>
    <x v="0"/>
    <n v="2.6179999999999999"/>
  </r>
  <r>
    <n v="200"/>
    <x v="3"/>
    <x v="130"/>
    <x v="0"/>
    <s v="U.S. dollars"/>
    <s v="Billions"/>
    <x v="1"/>
    <n v="2.5859999999999999"/>
  </r>
  <r>
    <n v="200"/>
    <x v="3"/>
    <x v="130"/>
    <x v="0"/>
    <s v="U.S. dollars"/>
    <s v="Billions"/>
    <x v="2"/>
    <n v="2.6230000000000002"/>
  </r>
  <r>
    <n v="200"/>
    <x v="3"/>
    <x v="130"/>
    <x v="0"/>
    <s v="U.S. dollars"/>
    <s v="Billions"/>
    <x v="3"/>
    <n v="2.8690000000000002"/>
  </r>
  <r>
    <n v="200"/>
    <x v="3"/>
    <x v="130"/>
    <x v="0"/>
    <s v="U.S. dollars"/>
    <s v="Billions"/>
    <x v="4"/>
    <n v="2.8969999999999998"/>
  </r>
  <r>
    <n v="200"/>
    <x v="3"/>
    <x v="130"/>
    <x v="0"/>
    <s v="U.S. dollars"/>
    <s v="Billions"/>
    <x v="5"/>
    <n v="3.11"/>
  </r>
  <r>
    <n v="200"/>
    <x v="3"/>
    <x v="130"/>
    <x v="0"/>
    <s v="U.S. dollars"/>
    <s v="Billions"/>
    <x v="6"/>
    <n v="3.395"/>
  </r>
  <r>
    <n v="200"/>
    <x v="3"/>
    <x v="47"/>
    <x v="8"/>
    <s v="Percent change"/>
    <s v="Units"/>
    <x v="0"/>
    <n v="4.5"/>
  </r>
  <r>
    <n v="200"/>
    <x v="3"/>
    <x v="47"/>
    <x v="8"/>
    <s v="Percent change"/>
    <s v="Units"/>
    <x v="1"/>
    <n v="-2.6"/>
  </r>
  <r>
    <n v="200"/>
    <x v="3"/>
    <x v="47"/>
    <x v="8"/>
    <s v="Percent change"/>
    <s v="Units"/>
    <x v="2"/>
    <n v="4.0999999999999996"/>
  </r>
  <r>
    <n v="200"/>
    <x v="3"/>
    <x v="47"/>
    <x v="8"/>
    <s v="Percent change"/>
    <s v="Units"/>
    <x v="3"/>
    <n v="3.2989999999999999"/>
  </r>
  <r>
    <n v="200"/>
    <x v="3"/>
    <x v="47"/>
    <x v="8"/>
    <s v="Percent change"/>
    <s v="Units"/>
    <x v="4"/>
    <n v="5.101"/>
  </r>
  <r>
    <n v="200"/>
    <x v="3"/>
    <x v="47"/>
    <x v="8"/>
    <s v="Percent change"/>
    <s v="Units"/>
    <x v="5"/>
    <n v="3.109"/>
  </r>
  <r>
    <n v="200"/>
    <x v="3"/>
    <x v="47"/>
    <x v="8"/>
    <s v="Percent change"/>
    <s v="Units"/>
    <x v="6"/>
    <n v="5.6479999999999997"/>
  </r>
  <r>
    <n v="400"/>
    <x v="11"/>
    <x v="47"/>
    <x v="8"/>
    <s v="Percent change"/>
    <s v="Units"/>
    <x v="0"/>
    <n v="4.5"/>
  </r>
  <r>
    <n v="400"/>
    <x v="11"/>
    <x v="47"/>
    <x v="8"/>
    <s v="Percent change"/>
    <s v="Units"/>
    <x v="1"/>
    <n v="-2.6"/>
  </r>
  <r>
    <n v="400"/>
    <x v="11"/>
    <x v="47"/>
    <x v="8"/>
    <s v="Percent change"/>
    <s v="Units"/>
    <x v="2"/>
    <n v="4.0999999999999996"/>
  </r>
  <r>
    <n v="400"/>
    <x v="11"/>
    <x v="47"/>
    <x v="8"/>
    <s v="Percent change"/>
    <s v="Units"/>
    <x v="3"/>
    <n v="3.2989999999999999"/>
  </r>
  <r>
    <n v="400"/>
    <x v="11"/>
    <x v="47"/>
    <x v="8"/>
    <s v="Percent change"/>
    <s v="Units"/>
    <x v="4"/>
    <n v="5.101"/>
  </r>
  <r>
    <n v="400"/>
    <x v="11"/>
    <x v="47"/>
    <x v="8"/>
    <s v="Percent change"/>
    <s v="Units"/>
    <x v="5"/>
    <n v="3.109"/>
  </r>
  <r>
    <n v="400"/>
    <x v="11"/>
    <x v="47"/>
    <x v="8"/>
    <s v="Percent change"/>
    <s v="Units"/>
    <x v="6"/>
    <n v="5.6479999999999997"/>
  </r>
  <r>
    <n v="1"/>
    <x v="2"/>
    <x v="47"/>
    <x v="8"/>
    <s v="Percent change"/>
    <s v="Units"/>
    <x v="0"/>
    <n v="4.5"/>
  </r>
  <r>
    <n v="1"/>
    <x v="2"/>
    <x v="47"/>
    <x v="8"/>
    <s v="Percent change"/>
    <s v="Units"/>
    <x v="1"/>
    <n v="-2.6"/>
  </r>
  <r>
    <n v="1"/>
    <x v="2"/>
    <x v="47"/>
    <x v="8"/>
    <s v="Percent change"/>
    <s v="Units"/>
    <x v="2"/>
    <n v="4.0999999999999996"/>
  </r>
  <r>
    <n v="1"/>
    <x v="2"/>
    <x v="47"/>
    <x v="8"/>
    <s v="Percent change"/>
    <s v="Units"/>
    <x v="3"/>
    <n v="3.2989999999999999"/>
  </r>
  <r>
    <n v="1"/>
    <x v="2"/>
    <x v="47"/>
    <x v="8"/>
    <s v="Percent change"/>
    <s v="Units"/>
    <x v="4"/>
    <n v="5.101"/>
  </r>
  <r>
    <n v="1"/>
    <x v="2"/>
    <x v="47"/>
    <x v="8"/>
    <s v="Percent change"/>
    <s v="Units"/>
    <x v="5"/>
    <n v="3.109"/>
  </r>
  <r>
    <n v="1"/>
    <x v="2"/>
    <x v="47"/>
    <x v="8"/>
    <s v="Percent change"/>
    <s v="Units"/>
    <x v="6"/>
    <n v="5.6479999999999997"/>
  </r>
  <r>
    <n v="505"/>
    <x v="4"/>
    <x v="117"/>
    <x v="8"/>
    <s v="Percent change"/>
    <s v="Units"/>
    <x v="0"/>
    <n v="6.657"/>
  </r>
  <r>
    <n v="505"/>
    <x v="4"/>
    <x v="117"/>
    <x v="8"/>
    <s v="Percent change"/>
    <s v="Units"/>
    <x v="1"/>
    <n v="-2.37"/>
  </r>
  <r>
    <n v="505"/>
    <x v="4"/>
    <x v="117"/>
    <x v="8"/>
    <s v="Percent change"/>
    <s v="Units"/>
    <x v="2"/>
    <n v="4.8380000000000001"/>
  </r>
  <r>
    <n v="505"/>
    <x v="4"/>
    <x v="117"/>
    <x v="8"/>
    <s v="Percent change"/>
    <s v="Units"/>
    <x v="3"/>
    <n v="5.6130000000000004"/>
  </r>
  <r>
    <n v="505"/>
    <x v="4"/>
    <x v="117"/>
    <x v="8"/>
    <s v="Percent change"/>
    <s v="Units"/>
    <x v="4"/>
    <n v="0.83199999999999996"/>
  </r>
  <r>
    <n v="505"/>
    <x v="4"/>
    <x v="117"/>
    <x v="8"/>
    <s v="Percent change"/>
    <s v="Units"/>
    <x v="5"/>
    <n v="3.1040000000000001"/>
  </r>
  <r>
    <n v="505"/>
    <x v="4"/>
    <x v="117"/>
    <x v="8"/>
    <s v="Percent change"/>
    <s v="Units"/>
    <x v="6"/>
    <n v="5.1909999999999998"/>
  </r>
  <r>
    <n v="1"/>
    <x v="2"/>
    <x v="117"/>
    <x v="8"/>
    <s v="Percent change"/>
    <s v="Units"/>
    <x v="0"/>
    <n v="6.657"/>
  </r>
  <r>
    <n v="1"/>
    <x v="2"/>
    <x v="117"/>
    <x v="8"/>
    <s v="Percent change"/>
    <s v="Units"/>
    <x v="1"/>
    <n v="-2.37"/>
  </r>
  <r>
    <n v="1"/>
    <x v="2"/>
    <x v="117"/>
    <x v="8"/>
    <s v="Percent change"/>
    <s v="Units"/>
    <x v="2"/>
    <n v="4.8380000000000001"/>
  </r>
  <r>
    <n v="1"/>
    <x v="2"/>
    <x v="117"/>
    <x v="8"/>
    <s v="Percent change"/>
    <s v="Units"/>
    <x v="3"/>
    <n v="5.6130000000000004"/>
  </r>
  <r>
    <n v="1"/>
    <x v="2"/>
    <x v="117"/>
    <x v="8"/>
    <s v="Percent change"/>
    <s v="Units"/>
    <x v="4"/>
    <n v="0.83199999999999996"/>
  </r>
  <r>
    <n v="1"/>
    <x v="2"/>
    <x v="117"/>
    <x v="8"/>
    <s v="Percent change"/>
    <s v="Units"/>
    <x v="5"/>
    <n v="3.1040000000000001"/>
  </r>
  <r>
    <n v="1"/>
    <x v="2"/>
    <x v="117"/>
    <x v="8"/>
    <s v="Percent change"/>
    <s v="Units"/>
    <x v="6"/>
    <n v="5.1909999999999998"/>
  </r>
  <r>
    <n v="200"/>
    <x v="3"/>
    <x v="117"/>
    <x v="8"/>
    <s v="Percent change"/>
    <s v="Units"/>
    <x v="0"/>
    <n v="6.657"/>
  </r>
  <r>
    <n v="200"/>
    <x v="3"/>
    <x v="117"/>
    <x v="8"/>
    <s v="Percent change"/>
    <s v="Units"/>
    <x v="1"/>
    <n v="-2.37"/>
  </r>
  <r>
    <n v="200"/>
    <x v="3"/>
    <x v="117"/>
    <x v="8"/>
    <s v="Percent change"/>
    <s v="Units"/>
    <x v="2"/>
    <n v="4.8380000000000001"/>
  </r>
  <r>
    <n v="200"/>
    <x v="3"/>
    <x v="117"/>
    <x v="8"/>
    <s v="Percent change"/>
    <s v="Units"/>
    <x v="3"/>
    <n v="5.6130000000000004"/>
  </r>
  <r>
    <n v="200"/>
    <x v="3"/>
    <x v="117"/>
    <x v="8"/>
    <s v="Percent change"/>
    <s v="Units"/>
    <x v="4"/>
    <n v="0.83199999999999996"/>
  </r>
  <r>
    <n v="200"/>
    <x v="3"/>
    <x v="117"/>
    <x v="8"/>
    <s v="Percent change"/>
    <s v="Units"/>
    <x v="5"/>
    <n v="3.1040000000000001"/>
  </r>
  <r>
    <n v="200"/>
    <x v="3"/>
    <x v="117"/>
    <x v="8"/>
    <s v="Percent change"/>
    <s v="Units"/>
    <x v="6"/>
    <n v="5.1909999999999998"/>
  </r>
  <r>
    <n v="903"/>
    <x v="8"/>
    <x v="16"/>
    <x v="8"/>
    <s v="Percent change"/>
    <s v="Units"/>
    <x v="0"/>
    <n v="0.81899999999999995"/>
  </r>
  <r>
    <n v="903"/>
    <x v="8"/>
    <x v="16"/>
    <x v="8"/>
    <s v="Percent change"/>
    <s v="Units"/>
    <x v="1"/>
    <n v="1.86"/>
  </r>
  <r>
    <n v="903"/>
    <x v="8"/>
    <x v="16"/>
    <x v="8"/>
    <s v="Percent change"/>
    <s v="Units"/>
    <x v="2"/>
    <n v="11.439"/>
  </r>
  <r>
    <n v="903"/>
    <x v="8"/>
    <x v="16"/>
    <x v="8"/>
    <s v="Percent change"/>
    <s v="Units"/>
    <x v="3"/>
    <n v="5.5330000000000004"/>
  </r>
  <r>
    <n v="903"/>
    <x v="8"/>
    <x v="16"/>
    <x v="8"/>
    <s v="Percent change"/>
    <s v="Units"/>
    <x v="4"/>
    <n v="4.5170000000000003"/>
  </r>
  <r>
    <n v="903"/>
    <x v="8"/>
    <x v="16"/>
    <x v="8"/>
    <s v="Percent change"/>
    <s v="Units"/>
    <x v="5"/>
    <n v="3.1019999999999999"/>
  </r>
  <r>
    <n v="903"/>
    <x v="8"/>
    <x v="16"/>
    <x v="8"/>
    <s v="Percent change"/>
    <s v="Units"/>
    <x v="6"/>
    <n v="3.1869999999999998"/>
  </r>
  <r>
    <n v="200"/>
    <x v="3"/>
    <x v="16"/>
    <x v="8"/>
    <s v="Percent change"/>
    <s v="Units"/>
    <x v="0"/>
    <n v="0.81899999999999995"/>
  </r>
  <r>
    <n v="200"/>
    <x v="3"/>
    <x v="16"/>
    <x v="8"/>
    <s v="Percent change"/>
    <s v="Units"/>
    <x v="1"/>
    <n v="1.86"/>
  </r>
  <r>
    <n v="200"/>
    <x v="3"/>
    <x v="16"/>
    <x v="8"/>
    <s v="Percent change"/>
    <s v="Units"/>
    <x v="2"/>
    <n v="11.439"/>
  </r>
  <r>
    <n v="200"/>
    <x v="3"/>
    <x v="16"/>
    <x v="8"/>
    <s v="Percent change"/>
    <s v="Units"/>
    <x v="3"/>
    <n v="5.5330000000000004"/>
  </r>
  <r>
    <n v="200"/>
    <x v="3"/>
    <x v="16"/>
    <x v="8"/>
    <s v="Percent change"/>
    <s v="Units"/>
    <x v="4"/>
    <n v="4.5170000000000003"/>
  </r>
  <r>
    <n v="200"/>
    <x v="3"/>
    <x v="16"/>
    <x v="8"/>
    <s v="Percent change"/>
    <s v="Units"/>
    <x v="5"/>
    <n v="3.1019999999999999"/>
  </r>
  <r>
    <n v="200"/>
    <x v="3"/>
    <x v="16"/>
    <x v="8"/>
    <s v="Percent change"/>
    <s v="Units"/>
    <x v="6"/>
    <n v="3.1869999999999998"/>
  </r>
  <r>
    <n v="1"/>
    <x v="2"/>
    <x v="16"/>
    <x v="8"/>
    <s v="Percent change"/>
    <s v="Units"/>
    <x v="0"/>
    <n v="0.81899999999999995"/>
  </r>
  <r>
    <n v="1"/>
    <x v="2"/>
    <x v="16"/>
    <x v="8"/>
    <s v="Percent change"/>
    <s v="Units"/>
    <x v="1"/>
    <n v="1.86"/>
  </r>
  <r>
    <n v="1"/>
    <x v="2"/>
    <x v="16"/>
    <x v="8"/>
    <s v="Percent change"/>
    <s v="Units"/>
    <x v="2"/>
    <n v="11.439"/>
  </r>
  <r>
    <n v="1"/>
    <x v="2"/>
    <x v="16"/>
    <x v="8"/>
    <s v="Percent change"/>
    <s v="Units"/>
    <x v="3"/>
    <n v="5.5330000000000004"/>
  </r>
  <r>
    <n v="1"/>
    <x v="2"/>
    <x v="16"/>
    <x v="8"/>
    <s v="Percent change"/>
    <s v="Units"/>
    <x v="4"/>
    <n v="4.5170000000000003"/>
  </r>
  <r>
    <n v="1"/>
    <x v="2"/>
    <x v="16"/>
    <x v="8"/>
    <s v="Percent change"/>
    <s v="Units"/>
    <x v="5"/>
    <n v="3.1019999999999999"/>
  </r>
  <r>
    <n v="1"/>
    <x v="2"/>
    <x v="16"/>
    <x v="8"/>
    <s v="Percent change"/>
    <s v="Units"/>
    <x v="6"/>
    <n v="3.1869999999999998"/>
  </r>
  <r>
    <n v="200"/>
    <x v="3"/>
    <x v="88"/>
    <x v="1"/>
    <s v="Percent change"/>
    <s v="Units"/>
    <x v="0"/>
    <n v="0.438"/>
  </r>
  <r>
    <n v="200"/>
    <x v="3"/>
    <x v="88"/>
    <x v="1"/>
    <s v="Percent change"/>
    <s v="Units"/>
    <x v="1"/>
    <n v="0.70199999999999996"/>
  </r>
  <r>
    <n v="200"/>
    <x v="3"/>
    <x v="88"/>
    <x v="1"/>
    <s v="Percent change"/>
    <s v="Units"/>
    <x v="2"/>
    <n v="-0.48099999999999998"/>
  </r>
  <r>
    <n v="200"/>
    <x v="3"/>
    <x v="88"/>
    <x v="1"/>
    <s v="Percent change"/>
    <s v="Units"/>
    <x v="3"/>
    <n v="13.188000000000001"/>
  </r>
  <r>
    <n v="200"/>
    <x v="3"/>
    <x v="88"/>
    <x v="1"/>
    <s v="Percent change"/>
    <s v="Units"/>
    <x v="4"/>
    <n v="12.335000000000001"/>
  </r>
  <r>
    <n v="200"/>
    <x v="3"/>
    <x v="88"/>
    <x v="1"/>
    <s v="Percent change"/>
    <s v="Units"/>
    <x v="5"/>
    <n v="3.101"/>
  </r>
  <r>
    <n v="200"/>
    <x v="3"/>
    <x v="88"/>
    <x v="1"/>
    <s v="Percent change"/>
    <s v="Units"/>
    <x v="6"/>
    <n v="2.21"/>
  </r>
  <r>
    <n v="505"/>
    <x v="4"/>
    <x v="88"/>
    <x v="1"/>
    <s v="Percent change"/>
    <s v="Units"/>
    <x v="0"/>
    <n v="0.438"/>
  </r>
  <r>
    <n v="505"/>
    <x v="4"/>
    <x v="88"/>
    <x v="1"/>
    <s v="Percent change"/>
    <s v="Units"/>
    <x v="1"/>
    <n v="0.70199999999999996"/>
  </r>
  <r>
    <n v="505"/>
    <x v="4"/>
    <x v="88"/>
    <x v="1"/>
    <s v="Percent change"/>
    <s v="Units"/>
    <x v="2"/>
    <n v="-0.48099999999999998"/>
  </r>
  <r>
    <n v="505"/>
    <x v="4"/>
    <x v="88"/>
    <x v="1"/>
    <s v="Percent change"/>
    <s v="Units"/>
    <x v="3"/>
    <n v="13.188000000000001"/>
  </r>
  <r>
    <n v="505"/>
    <x v="4"/>
    <x v="88"/>
    <x v="1"/>
    <s v="Percent change"/>
    <s v="Units"/>
    <x v="4"/>
    <n v="12.335000000000001"/>
  </r>
  <r>
    <n v="505"/>
    <x v="4"/>
    <x v="88"/>
    <x v="1"/>
    <s v="Percent change"/>
    <s v="Units"/>
    <x v="5"/>
    <n v="3.101"/>
  </r>
  <r>
    <n v="505"/>
    <x v="4"/>
    <x v="88"/>
    <x v="1"/>
    <s v="Percent change"/>
    <s v="Units"/>
    <x v="6"/>
    <n v="2.21"/>
  </r>
  <r>
    <n v="1"/>
    <x v="2"/>
    <x v="88"/>
    <x v="1"/>
    <s v="Percent change"/>
    <s v="Units"/>
    <x v="0"/>
    <n v="0.438"/>
  </r>
  <r>
    <n v="1"/>
    <x v="2"/>
    <x v="88"/>
    <x v="1"/>
    <s v="Percent change"/>
    <s v="Units"/>
    <x v="1"/>
    <n v="0.70199999999999996"/>
  </r>
  <r>
    <n v="1"/>
    <x v="2"/>
    <x v="88"/>
    <x v="1"/>
    <s v="Percent change"/>
    <s v="Units"/>
    <x v="2"/>
    <n v="-0.48099999999999998"/>
  </r>
  <r>
    <n v="1"/>
    <x v="2"/>
    <x v="88"/>
    <x v="1"/>
    <s v="Percent change"/>
    <s v="Units"/>
    <x v="3"/>
    <n v="13.188000000000001"/>
  </r>
  <r>
    <n v="1"/>
    <x v="2"/>
    <x v="88"/>
    <x v="1"/>
    <s v="Percent change"/>
    <s v="Units"/>
    <x v="4"/>
    <n v="12.335000000000001"/>
  </r>
  <r>
    <n v="1"/>
    <x v="2"/>
    <x v="88"/>
    <x v="1"/>
    <s v="Percent change"/>
    <s v="Units"/>
    <x v="5"/>
    <n v="3.101"/>
  </r>
  <r>
    <n v="1"/>
    <x v="2"/>
    <x v="88"/>
    <x v="1"/>
    <s v="Percent change"/>
    <s v="Units"/>
    <x v="6"/>
    <n v="2.21"/>
  </r>
  <r>
    <n v="110"/>
    <x v="0"/>
    <x v="51"/>
    <x v="1"/>
    <s v="Percent change"/>
    <s v="Units"/>
    <x v="0"/>
    <n v="1.62"/>
  </r>
  <r>
    <n v="110"/>
    <x v="0"/>
    <x v="51"/>
    <x v="1"/>
    <s v="Percent change"/>
    <s v="Units"/>
    <x v="1"/>
    <n v="1.7150000000000001"/>
  </r>
  <r>
    <n v="110"/>
    <x v="0"/>
    <x v="51"/>
    <x v="1"/>
    <s v="Percent change"/>
    <s v="Units"/>
    <x v="2"/>
    <n v="3.9409999999999998"/>
  </r>
  <r>
    <n v="110"/>
    <x v="0"/>
    <x v="51"/>
    <x v="1"/>
    <s v="Percent change"/>
    <s v="Units"/>
    <x v="3"/>
    <n v="7.1719999999999997"/>
  </r>
  <r>
    <n v="110"/>
    <x v="0"/>
    <x v="51"/>
    <x v="1"/>
    <s v="Percent change"/>
    <s v="Units"/>
    <x v="4"/>
    <n v="5.7329999999999997"/>
  </r>
  <r>
    <n v="110"/>
    <x v="0"/>
    <x v="51"/>
    <x v="1"/>
    <s v="Percent change"/>
    <s v="Units"/>
    <x v="5"/>
    <n v="3.0939999999999999"/>
  </r>
  <r>
    <n v="110"/>
    <x v="0"/>
    <x v="51"/>
    <x v="1"/>
    <s v="Percent change"/>
    <s v="Units"/>
    <x v="6"/>
    <n v="2.5230000000000001"/>
  </r>
  <r>
    <n v="1"/>
    <x v="2"/>
    <x v="51"/>
    <x v="1"/>
    <s v="Percent change"/>
    <s v="Units"/>
    <x v="0"/>
    <n v="1.62"/>
  </r>
  <r>
    <n v="1"/>
    <x v="2"/>
    <x v="51"/>
    <x v="1"/>
    <s v="Percent change"/>
    <s v="Units"/>
    <x v="1"/>
    <n v="1.7150000000000001"/>
  </r>
  <r>
    <n v="1"/>
    <x v="2"/>
    <x v="51"/>
    <x v="1"/>
    <s v="Percent change"/>
    <s v="Units"/>
    <x v="2"/>
    <n v="3.9409999999999998"/>
  </r>
  <r>
    <n v="1"/>
    <x v="2"/>
    <x v="51"/>
    <x v="1"/>
    <s v="Percent change"/>
    <s v="Units"/>
    <x v="3"/>
    <n v="7.1719999999999997"/>
  </r>
  <r>
    <n v="1"/>
    <x v="2"/>
    <x v="51"/>
    <x v="1"/>
    <s v="Percent change"/>
    <s v="Units"/>
    <x v="4"/>
    <n v="5.7329999999999997"/>
  </r>
  <r>
    <n v="1"/>
    <x v="2"/>
    <x v="51"/>
    <x v="1"/>
    <s v="Percent change"/>
    <s v="Units"/>
    <x v="5"/>
    <n v="3.0939999999999999"/>
  </r>
  <r>
    <n v="1"/>
    <x v="2"/>
    <x v="51"/>
    <x v="1"/>
    <s v="Percent change"/>
    <s v="Units"/>
    <x v="6"/>
    <n v="2.5230000000000001"/>
  </r>
  <r>
    <n v="123"/>
    <x v="9"/>
    <x v="51"/>
    <x v="1"/>
    <s v="Percent change"/>
    <s v="Units"/>
    <x v="0"/>
    <n v="1.62"/>
  </r>
  <r>
    <n v="123"/>
    <x v="9"/>
    <x v="51"/>
    <x v="1"/>
    <s v="Percent change"/>
    <s v="Units"/>
    <x v="1"/>
    <n v="1.7150000000000001"/>
  </r>
  <r>
    <n v="123"/>
    <x v="9"/>
    <x v="51"/>
    <x v="1"/>
    <s v="Percent change"/>
    <s v="Units"/>
    <x v="2"/>
    <n v="3.9409999999999998"/>
  </r>
  <r>
    <n v="123"/>
    <x v="9"/>
    <x v="51"/>
    <x v="1"/>
    <s v="Percent change"/>
    <s v="Units"/>
    <x v="3"/>
    <n v="7.1719999999999997"/>
  </r>
  <r>
    <n v="123"/>
    <x v="9"/>
    <x v="51"/>
    <x v="1"/>
    <s v="Percent change"/>
    <s v="Units"/>
    <x v="4"/>
    <n v="5.7329999999999997"/>
  </r>
  <r>
    <n v="123"/>
    <x v="9"/>
    <x v="51"/>
    <x v="1"/>
    <s v="Percent change"/>
    <s v="Units"/>
    <x v="5"/>
    <n v="3.0939999999999999"/>
  </r>
  <r>
    <n v="123"/>
    <x v="9"/>
    <x v="51"/>
    <x v="1"/>
    <s v="Percent change"/>
    <s v="Units"/>
    <x v="6"/>
    <n v="2.5230000000000001"/>
  </r>
  <r>
    <n v="200"/>
    <x v="3"/>
    <x v="185"/>
    <x v="1"/>
    <s v="Percent change"/>
    <s v="Units"/>
    <x v="0"/>
    <n v="-0.97099999999999997"/>
  </r>
  <r>
    <n v="200"/>
    <x v="3"/>
    <x v="185"/>
    <x v="1"/>
    <s v="Percent change"/>
    <s v="Units"/>
    <x v="1"/>
    <n v="5.32"/>
  </r>
  <r>
    <n v="200"/>
    <x v="3"/>
    <x v="185"/>
    <x v="1"/>
    <s v="Percent change"/>
    <s v="Units"/>
    <x v="2"/>
    <n v="-1.6240000000000001"/>
  </r>
  <r>
    <n v="200"/>
    <x v="3"/>
    <x v="185"/>
    <x v="1"/>
    <s v="Percent change"/>
    <s v="Units"/>
    <x v="3"/>
    <n v="6.8849999999999998"/>
  </r>
  <r>
    <n v="200"/>
    <x v="3"/>
    <x v="185"/>
    <x v="1"/>
    <s v="Percent change"/>
    <s v="Units"/>
    <x v="4"/>
    <n v="2.6819999999999999"/>
  </r>
  <r>
    <n v="200"/>
    <x v="3"/>
    <x v="185"/>
    <x v="1"/>
    <s v="Percent change"/>
    <s v="Units"/>
    <x v="5"/>
    <n v="3.0870000000000002"/>
  </r>
  <r>
    <n v="200"/>
    <x v="3"/>
    <x v="185"/>
    <x v="1"/>
    <s v="Percent change"/>
    <s v="Units"/>
    <x v="6"/>
    <n v="3.0870000000000002"/>
  </r>
  <r>
    <n v="603"/>
    <x v="12"/>
    <x v="185"/>
    <x v="1"/>
    <s v="Percent change"/>
    <s v="Units"/>
    <x v="0"/>
    <n v="-0.97099999999999997"/>
  </r>
  <r>
    <n v="603"/>
    <x v="12"/>
    <x v="185"/>
    <x v="1"/>
    <s v="Percent change"/>
    <s v="Units"/>
    <x v="1"/>
    <n v="5.32"/>
  </r>
  <r>
    <n v="603"/>
    <x v="12"/>
    <x v="185"/>
    <x v="1"/>
    <s v="Percent change"/>
    <s v="Units"/>
    <x v="2"/>
    <n v="-1.6240000000000001"/>
  </r>
  <r>
    <n v="603"/>
    <x v="12"/>
    <x v="185"/>
    <x v="1"/>
    <s v="Percent change"/>
    <s v="Units"/>
    <x v="3"/>
    <n v="6.8849999999999998"/>
  </r>
  <r>
    <n v="603"/>
    <x v="12"/>
    <x v="185"/>
    <x v="1"/>
    <s v="Percent change"/>
    <s v="Units"/>
    <x v="4"/>
    <n v="2.6819999999999999"/>
  </r>
  <r>
    <n v="603"/>
    <x v="12"/>
    <x v="185"/>
    <x v="1"/>
    <s v="Percent change"/>
    <s v="Units"/>
    <x v="5"/>
    <n v="3.0870000000000002"/>
  </r>
  <r>
    <n v="603"/>
    <x v="12"/>
    <x v="185"/>
    <x v="1"/>
    <s v="Percent change"/>
    <s v="Units"/>
    <x v="6"/>
    <n v="3.0870000000000002"/>
  </r>
  <r>
    <n v="1"/>
    <x v="2"/>
    <x v="185"/>
    <x v="1"/>
    <s v="Percent change"/>
    <s v="Units"/>
    <x v="0"/>
    <n v="-0.97099999999999997"/>
  </r>
  <r>
    <n v="1"/>
    <x v="2"/>
    <x v="185"/>
    <x v="1"/>
    <s v="Percent change"/>
    <s v="Units"/>
    <x v="1"/>
    <n v="5.32"/>
  </r>
  <r>
    <n v="1"/>
    <x v="2"/>
    <x v="185"/>
    <x v="1"/>
    <s v="Percent change"/>
    <s v="Units"/>
    <x v="2"/>
    <n v="-1.6240000000000001"/>
  </r>
  <r>
    <n v="1"/>
    <x v="2"/>
    <x v="185"/>
    <x v="1"/>
    <s v="Percent change"/>
    <s v="Units"/>
    <x v="3"/>
    <n v="6.8849999999999998"/>
  </r>
  <r>
    <n v="1"/>
    <x v="2"/>
    <x v="185"/>
    <x v="1"/>
    <s v="Percent change"/>
    <s v="Units"/>
    <x v="4"/>
    <n v="2.6819999999999999"/>
  </r>
  <r>
    <n v="1"/>
    <x v="2"/>
    <x v="185"/>
    <x v="1"/>
    <s v="Percent change"/>
    <s v="Units"/>
    <x v="5"/>
    <n v="3.0870000000000002"/>
  </r>
  <r>
    <n v="1"/>
    <x v="2"/>
    <x v="185"/>
    <x v="1"/>
    <s v="Percent change"/>
    <s v="Units"/>
    <x v="6"/>
    <n v="3.0870000000000002"/>
  </r>
  <r>
    <n v="1"/>
    <x v="2"/>
    <x v="154"/>
    <x v="8"/>
    <s v="Percent change"/>
    <s v="Units"/>
    <x v="0"/>
    <n v="2.0880000000000001"/>
  </r>
  <r>
    <n v="1"/>
    <x v="2"/>
    <x v="154"/>
    <x v="8"/>
    <s v="Percent change"/>
    <s v="Units"/>
    <x v="1"/>
    <n v="-3.302"/>
  </r>
  <r>
    <n v="1"/>
    <x v="2"/>
    <x v="154"/>
    <x v="8"/>
    <s v="Percent change"/>
    <s v="Units"/>
    <x v="2"/>
    <n v="8.9090000000000007"/>
  </r>
  <r>
    <n v="1"/>
    <x v="2"/>
    <x v="154"/>
    <x v="8"/>
    <s v="Percent change"/>
    <s v="Units"/>
    <x v="3"/>
    <n v="4.8440000000000003"/>
  </r>
  <r>
    <n v="1"/>
    <x v="2"/>
    <x v="154"/>
    <x v="8"/>
    <s v="Percent change"/>
    <s v="Units"/>
    <x v="4"/>
    <n v="3.2970000000000002"/>
  </r>
  <r>
    <n v="1"/>
    <x v="2"/>
    <x v="154"/>
    <x v="8"/>
    <s v="Percent change"/>
    <s v="Units"/>
    <x v="5"/>
    <n v="3.08"/>
  </r>
  <r>
    <n v="1"/>
    <x v="2"/>
    <x v="154"/>
    <x v="8"/>
    <s v="Percent change"/>
    <s v="Units"/>
    <x v="6"/>
    <n v="3.3929999999999998"/>
  </r>
  <r>
    <n v="903"/>
    <x v="8"/>
    <x v="154"/>
    <x v="8"/>
    <s v="Percent change"/>
    <s v="Units"/>
    <x v="0"/>
    <n v="2.0880000000000001"/>
  </r>
  <r>
    <n v="903"/>
    <x v="8"/>
    <x v="154"/>
    <x v="8"/>
    <s v="Percent change"/>
    <s v="Units"/>
    <x v="1"/>
    <n v="-3.302"/>
  </r>
  <r>
    <n v="903"/>
    <x v="8"/>
    <x v="154"/>
    <x v="8"/>
    <s v="Percent change"/>
    <s v="Units"/>
    <x v="2"/>
    <n v="8.9090000000000007"/>
  </r>
  <r>
    <n v="903"/>
    <x v="8"/>
    <x v="154"/>
    <x v="8"/>
    <s v="Percent change"/>
    <s v="Units"/>
    <x v="3"/>
    <n v="4.8440000000000003"/>
  </r>
  <r>
    <n v="903"/>
    <x v="8"/>
    <x v="154"/>
    <x v="8"/>
    <s v="Percent change"/>
    <s v="Units"/>
    <x v="4"/>
    <n v="3.2970000000000002"/>
  </r>
  <r>
    <n v="903"/>
    <x v="8"/>
    <x v="154"/>
    <x v="8"/>
    <s v="Percent change"/>
    <s v="Units"/>
    <x v="5"/>
    <n v="3.08"/>
  </r>
  <r>
    <n v="903"/>
    <x v="8"/>
    <x v="154"/>
    <x v="8"/>
    <s v="Percent change"/>
    <s v="Units"/>
    <x v="6"/>
    <n v="3.3929999999999998"/>
  </r>
  <r>
    <n v="200"/>
    <x v="3"/>
    <x v="154"/>
    <x v="8"/>
    <s v="Percent change"/>
    <s v="Units"/>
    <x v="0"/>
    <n v="2.0880000000000001"/>
  </r>
  <r>
    <n v="200"/>
    <x v="3"/>
    <x v="154"/>
    <x v="8"/>
    <s v="Percent change"/>
    <s v="Units"/>
    <x v="1"/>
    <n v="-3.302"/>
  </r>
  <r>
    <n v="200"/>
    <x v="3"/>
    <x v="154"/>
    <x v="8"/>
    <s v="Percent change"/>
    <s v="Units"/>
    <x v="2"/>
    <n v="8.9090000000000007"/>
  </r>
  <r>
    <n v="200"/>
    <x v="3"/>
    <x v="154"/>
    <x v="8"/>
    <s v="Percent change"/>
    <s v="Units"/>
    <x v="3"/>
    <n v="4.8440000000000003"/>
  </r>
  <r>
    <n v="200"/>
    <x v="3"/>
    <x v="154"/>
    <x v="8"/>
    <s v="Percent change"/>
    <s v="Units"/>
    <x v="4"/>
    <n v="3.2970000000000002"/>
  </r>
  <r>
    <n v="200"/>
    <x v="3"/>
    <x v="154"/>
    <x v="8"/>
    <s v="Percent change"/>
    <s v="Units"/>
    <x v="5"/>
    <n v="3.08"/>
  </r>
  <r>
    <n v="200"/>
    <x v="3"/>
    <x v="154"/>
    <x v="8"/>
    <s v="Percent change"/>
    <s v="Units"/>
    <x v="6"/>
    <n v="3.3929999999999998"/>
  </r>
  <r>
    <n v="200"/>
    <x v="3"/>
    <x v="129"/>
    <x v="0"/>
    <s v="U.S. dollars"/>
    <s v="Billions"/>
    <x v="0"/>
    <n v="3.012"/>
  </r>
  <r>
    <n v="200"/>
    <x v="3"/>
    <x v="129"/>
    <x v="0"/>
    <s v="U.S. dollars"/>
    <s v="Billions"/>
    <x v="1"/>
    <n v="3.0859999999999999"/>
  </r>
  <r>
    <n v="200"/>
    <x v="3"/>
    <x v="129"/>
    <x v="0"/>
    <s v="U.S. dollars"/>
    <s v="Billions"/>
    <x v="2"/>
    <n v="3.351"/>
  </r>
  <r>
    <n v="200"/>
    <x v="3"/>
    <x v="129"/>
    <x v="0"/>
    <s v="U.S. dollars"/>
    <s v="Billions"/>
    <x v="3"/>
    <n v="3.9169999999999998"/>
  </r>
  <r>
    <n v="200"/>
    <x v="3"/>
    <x v="129"/>
    <x v="0"/>
    <s v="U.S. dollars"/>
    <s v="Billions"/>
    <x v="4"/>
    <n v="4.2160000000000002"/>
  </r>
  <r>
    <n v="200"/>
    <x v="3"/>
    <x v="129"/>
    <x v="0"/>
    <s v="U.S. dollars"/>
    <s v="Billions"/>
    <x v="5"/>
    <n v="3.0750000000000002"/>
  </r>
  <r>
    <n v="200"/>
    <x v="3"/>
    <x v="129"/>
    <x v="0"/>
    <s v="U.S. dollars"/>
    <s v="Billions"/>
    <x v="6"/>
    <n v="3.2989999999999999"/>
  </r>
  <r>
    <n v="603"/>
    <x v="12"/>
    <x v="129"/>
    <x v="0"/>
    <s v="U.S. dollars"/>
    <s v="Billions"/>
    <x v="0"/>
    <n v="3.012"/>
  </r>
  <r>
    <n v="603"/>
    <x v="12"/>
    <x v="129"/>
    <x v="0"/>
    <s v="U.S. dollars"/>
    <s v="Billions"/>
    <x v="1"/>
    <n v="3.0859999999999999"/>
  </r>
  <r>
    <n v="603"/>
    <x v="12"/>
    <x v="129"/>
    <x v="0"/>
    <s v="U.S. dollars"/>
    <s v="Billions"/>
    <x v="2"/>
    <n v="3.351"/>
  </r>
  <r>
    <n v="603"/>
    <x v="12"/>
    <x v="129"/>
    <x v="0"/>
    <s v="U.S. dollars"/>
    <s v="Billions"/>
    <x v="3"/>
    <n v="3.9169999999999998"/>
  </r>
  <r>
    <n v="603"/>
    <x v="12"/>
    <x v="129"/>
    <x v="0"/>
    <s v="U.S. dollars"/>
    <s v="Billions"/>
    <x v="4"/>
    <n v="4.2160000000000002"/>
  </r>
  <r>
    <n v="603"/>
    <x v="12"/>
    <x v="129"/>
    <x v="0"/>
    <s v="U.S. dollars"/>
    <s v="Billions"/>
    <x v="5"/>
    <n v="3.0750000000000002"/>
  </r>
  <r>
    <n v="603"/>
    <x v="12"/>
    <x v="129"/>
    <x v="0"/>
    <s v="U.S. dollars"/>
    <s v="Billions"/>
    <x v="6"/>
    <n v="3.2989999999999999"/>
  </r>
  <r>
    <n v="1"/>
    <x v="2"/>
    <x v="129"/>
    <x v="0"/>
    <s v="U.S. dollars"/>
    <s v="Billions"/>
    <x v="0"/>
    <n v="3.012"/>
  </r>
  <r>
    <n v="1"/>
    <x v="2"/>
    <x v="129"/>
    <x v="0"/>
    <s v="U.S. dollars"/>
    <s v="Billions"/>
    <x v="1"/>
    <n v="3.0859999999999999"/>
  </r>
  <r>
    <n v="1"/>
    <x v="2"/>
    <x v="129"/>
    <x v="0"/>
    <s v="U.S. dollars"/>
    <s v="Billions"/>
    <x v="2"/>
    <n v="3.351"/>
  </r>
  <r>
    <n v="1"/>
    <x v="2"/>
    <x v="129"/>
    <x v="0"/>
    <s v="U.S. dollars"/>
    <s v="Billions"/>
    <x v="3"/>
    <n v="3.9169999999999998"/>
  </r>
  <r>
    <n v="1"/>
    <x v="2"/>
    <x v="129"/>
    <x v="0"/>
    <s v="U.S. dollars"/>
    <s v="Billions"/>
    <x v="4"/>
    <n v="4.2160000000000002"/>
  </r>
  <r>
    <n v="1"/>
    <x v="2"/>
    <x v="129"/>
    <x v="0"/>
    <s v="U.S. dollars"/>
    <s v="Billions"/>
    <x v="5"/>
    <n v="3.0750000000000002"/>
  </r>
  <r>
    <n v="1"/>
    <x v="2"/>
    <x v="129"/>
    <x v="0"/>
    <s v="U.S. dollars"/>
    <s v="Billions"/>
    <x v="6"/>
    <n v="3.2989999999999999"/>
  </r>
  <r>
    <n v="110"/>
    <x v="0"/>
    <x v="20"/>
    <x v="8"/>
    <s v="Percent change"/>
    <s v="Units"/>
    <x v="0"/>
    <n v="3.0640000000000001"/>
  </r>
  <r>
    <n v="110"/>
    <x v="0"/>
    <x v="20"/>
    <x v="8"/>
    <s v="Percent change"/>
    <s v="Units"/>
    <x v="1"/>
    <n v="3.387"/>
  </r>
  <r>
    <n v="110"/>
    <x v="0"/>
    <x v="20"/>
    <x v="8"/>
    <s v="Percent change"/>
    <s v="Units"/>
    <x v="2"/>
    <n v="6.62"/>
  </r>
  <r>
    <n v="110"/>
    <x v="0"/>
    <x v="20"/>
    <x v="8"/>
    <s v="Percent change"/>
    <s v="Units"/>
    <x v="3"/>
    <n v="2.5880000000000001"/>
  </r>
  <r>
    <n v="110"/>
    <x v="0"/>
    <x v="20"/>
    <x v="8"/>
    <s v="Percent change"/>
    <s v="Units"/>
    <x v="4"/>
    <n v="1.3959999999999999"/>
  </r>
  <r>
    <n v="110"/>
    <x v="0"/>
    <x v="20"/>
    <x v="8"/>
    <s v="Percent change"/>
    <s v="Units"/>
    <x v="5"/>
    <n v="3.0720000000000001"/>
  </r>
  <r>
    <n v="110"/>
    <x v="0"/>
    <x v="20"/>
    <x v="8"/>
    <s v="Percent change"/>
    <s v="Units"/>
    <x v="6"/>
    <n v="2.73"/>
  </r>
  <r>
    <n v="1"/>
    <x v="2"/>
    <x v="20"/>
    <x v="8"/>
    <s v="Percent change"/>
    <s v="Units"/>
    <x v="0"/>
    <n v="3.0640000000000001"/>
  </r>
  <r>
    <n v="1"/>
    <x v="2"/>
    <x v="20"/>
    <x v="8"/>
    <s v="Percent change"/>
    <s v="Units"/>
    <x v="1"/>
    <n v="3.387"/>
  </r>
  <r>
    <n v="1"/>
    <x v="2"/>
    <x v="20"/>
    <x v="8"/>
    <s v="Percent change"/>
    <s v="Units"/>
    <x v="2"/>
    <n v="6.62"/>
  </r>
  <r>
    <n v="1"/>
    <x v="2"/>
    <x v="20"/>
    <x v="8"/>
    <s v="Percent change"/>
    <s v="Units"/>
    <x v="3"/>
    <n v="2.5880000000000001"/>
  </r>
  <r>
    <n v="1"/>
    <x v="2"/>
    <x v="20"/>
    <x v="8"/>
    <s v="Percent change"/>
    <s v="Units"/>
    <x v="4"/>
    <n v="1.3959999999999999"/>
  </r>
  <r>
    <n v="1"/>
    <x v="2"/>
    <x v="20"/>
    <x v="8"/>
    <s v="Percent change"/>
    <s v="Units"/>
    <x v="5"/>
    <n v="3.0720000000000001"/>
  </r>
  <r>
    <n v="1"/>
    <x v="2"/>
    <x v="20"/>
    <x v="8"/>
    <s v="Percent change"/>
    <s v="Units"/>
    <x v="6"/>
    <n v="2.73"/>
  </r>
  <r>
    <n v="123"/>
    <x v="9"/>
    <x v="20"/>
    <x v="8"/>
    <s v="Percent change"/>
    <s v="Units"/>
    <x v="0"/>
    <n v="3.0640000000000001"/>
  </r>
  <r>
    <n v="123"/>
    <x v="9"/>
    <x v="20"/>
    <x v="8"/>
    <s v="Percent change"/>
    <s v="Units"/>
    <x v="1"/>
    <n v="3.387"/>
  </r>
  <r>
    <n v="123"/>
    <x v="9"/>
    <x v="20"/>
    <x v="8"/>
    <s v="Percent change"/>
    <s v="Units"/>
    <x v="2"/>
    <n v="6.62"/>
  </r>
  <r>
    <n v="123"/>
    <x v="9"/>
    <x v="20"/>
    <x v="8"/>
    <s v="Percent change"/>
    <s v="Units"/>
    <x v="3"/>
    <n v="2.5880000000000001"/>
  </r>
  <r>
    <n v="123"/>
    <x v="9"/>
    <x v="20"/>
    <x v="8"/>
    <s v="Percent change"/>
    <s v="Units"/>
    <x v="4"/>
    <n v="1.3959999999999999"/>
  </r>
  <r>
    <n v="123"/>
    <x v="9"/>
    <x v="20"/>
    <x v="8"/>
    <s v="Percent change"/>
    <s v="Units"/>
    <x v="5"/>
    <n v="3.0720000000000001"/>
  </r>
  <r>
    <n v="123"/>
    <x v="9"/>
    <x v="20"/>
    <x v="8"/>
    <s v="Percent change"/>
    <s v="Units"/>
    <x v="6"/>
    <n v="2.73"/>
  </r>
  <r>
    <n v="200"/>
    <x v="3"/>
    <x v="19"/>
    <x v="8"/>
    <s v="Percent change"/>
    <s v="Units"/>
    <x v="0"/>
    <n v="4.45"/>
  </r>
  <r>
    <n v="200"/>
    <x v="3"/>
    <x v="19"/>
    <x v="8"/>
    <s v="Percent change"/>
    <s v="Units"/>
    <x v="1"/>
    <n v="-2.02"/>
  </r>
  <r>
    <n v="200"/>
    <x v="3"/>
    <x v="19"/>
    <x v="8"/>
    <s v="Percent change"/>
    <s v="Units"/>
    <x v="2"/>
    <n v="6.9349999999999996"/>
  </r>
  <r>
    <n v="200"/>
    <x v="3"/>
    <x v="19"/>
    <x v="8"/>
    <s v="Percent change"/>
    <s v="Units"/>
    <x v="3"/>
    <n v="5.26"/>
  </r>
  <r>
    <n v="200"/>
    <x v="3"/>
    <x v="19"/>
    <x v="8"/>
    <s v="Percent change"/>
    <s v="Units"/>
    <x v="4"/>
    <n v="0.16"/>
  </r>
  <r>
    <n v="200"/>
    <x v="3"/>
    <x v="19"/>
    <x v="8"/>
    <s v="Percent change"/>
    <s v="Units"/>
    <x v="5"/>
    <n v="3.0680000000000001"/>
  </r>
  <r>
    <n v="200"/>
    <x v="3"/>
    <x v="19"/>
    <x v="8"/>
    <s v="Percent change"/>
    <s v="Units"/>
    <x v="6"/>
    <n v="3.476"/>
  </r>
  <r>
    <n v="1"/>
    <x v="2"/>
    <x v="19"/>
    <x v="8"/>
    <s v="Percent change"/>
    <s v="Units"/>
    <x v="0"/>
    <n v="4.45"/>
  </r>
  <r>
    <n v="1"/>
    <x v="2"/>
    <x v="19"/>
    <x v="8"/>
    <s v="Percent change"/>
    <s v="Units"/>
    <x v="1"/>
    <n v="-2.02"/>
  </r>
  <r>
    <n v="1"/>
    <x v="2"/>
    <x v="19"/>
    <x v="8"/>
    <s v="Percent change"/>
    <s v="Units"/>
    <x v="2"/>
    <n v="6.9349999999999996"/>
  </r>
  <r>
    <n v="1"/>
    <x v="2"/>
    <x v="19"/>
    <x v="8"/>
    <s v="Percent change"/>
    <s v="Units"/>
    <x v="3"/>
    <n v="5.26"/>
  </r>
  <r>
    <n v="1"/>
    <x v="2"/>
    <x v="19"/>
    <x v="8"/>
    <s v="Percent change"/>
    <s v="Units"/>
    <x v="4"/>
    <n v="0.16"/>
  </r>
  <r>
    <n v="1"/>
    <x v="2"/>
    <x v="19"/>
    <x v="8"/>
    <s v="Percent change"/>
    <s v="Units"/>
    <x v="5"/>
    <n v="3.0680000000000001"/>
  </r>
  <r>
    <n v="1"/>
    <x v="2"/>
    <x v="19"/>
    <x v="8"/>
    <s v="Percent change"/>
    <s v="Units"/>
    <x v="6"/>
    <n v="3.476"/>
  </r>
  <r>
    <n v="998"/>
    <x v="6"/>
    <x v="19"/>
    <x v="8"/>
    <s v="Percent change"/>
    <s v="Units"/>
    <x v="0"/>
    <n v="4.45"/>
  </r>
  <r>
    <n v="998"/>
    <x v="6"/>
    <x v="19"/>
    <x v="8"/>
    <s v="Percent change"/>
    <s v="Units"/>
    <x v="1"/>
    <n v="-2.02"/>
  </r>
  <r>
    <n v="998"/>
    <x v="6"/>
    <x v="19"/>
    <x v="8"/>
    <s v="Percent change"/>
    <s v="Units"/>
    <x v="2"/>
    <n v="6.9349999999999996"/>
  </r>
  <r>
    <n v="998"/>
    <x v="6"/>
    <x v="19"/>
    <x v="8"/>
    <s v="Percent change"/>
    <s v="Units"/>
    <x v="3"/>
    <n v="5.26"/>
  </r>
  <r>
    <n v="998"/>
    <x v="6"/>
    <x v="19"/>
    <x v="8"/>
    <s v="Percent change"/>
    <s v="Units"/>
    <x v="4"/>
    <n v="0.16"/>
  </r>
  <r>
    <n v="998"/>
    <x v="6"/>
    <x v="19"/>
    <x v="8"/>
    <s v="Percent change"/>
    <s v="Units"/>
    <x v="5"/>
    <n v="3.0680000000000001"/>
  </r>
  <r>
    <n v="998"/>
    <x v="6"/>
    <x v="19"/>
    <x v="8"/>
    <s v="Percent change"/>
    <s v="Units"/>
    <x v="6"/>
    <n v="3.476"/>
  </r>
  <r>
    <n v="903"/>
    <x v="8"/>
    <x v="19"/>
    <x v="8"/>
    <s v="Percent change"/>
    <s v="Units"/>
    <x v="0"/>
    <n v="4.45"/>
  </r>
  <r>
    <n v="903"/>
    <x v="8"/>
    <x v="19"/>
    <x v="8"/>
    <s v="Percent change"/>
    <s v="Units"/>
    <x v="1"/>
    <n v="-2.02"/>
  </r>
  <r>
    <n v="903"/>
    <x v="8"/>
    <x v="19"/>
    <x v="8"/>
    <s v="Percent change"/>
    <s v="Units"/>
    <x v="2"/>
    <n v="6.9349999999999996"/>
  </r>
  <r>
    <n v="903"/>
    <x v="8"/>
    <x v="19"/>
    <x v="8"/>
    <s v="Percent change"/>
    <s v="Units"/>
    <x v="3"/>
    <n v="5.26"/>
  </r>
  <r>
    <n v="903"/>
    <x v="8"/>
    <x v="19"/>
    <x v="8"/>
    <s v="Percent change"/>
    <s v="Units"/>
    <x v="4"/>
    <n v="0.16"/>
  </r>
  <r>
    <n v="903"/>
    <x v="8"/>
    <x v="19"/>
    <x v="8"/>
    <s v="Percent change"/>
    <s v="Units"/>
    <x v="5"/>
    <n v="3.0680000000000001"/>
  </r>
  <r>
    <n v="903"/>
    <x v="8"/>
    <x v="19"/>
    <x v="8"/>
    <s v="Percent change"/>
    <s v="Units"/>
    <x v="6"/>
    <n v="3.476"/>
  </r>
  <r>
    <n v="998"/>
    <x v="6"/>
    <x v="2"/>
    <x v="10"/>
    <s v="Percent"/>
    <s v="Units"/>
    <x v="0"/>
    <n v="3.448"/>
  </r>
  <r>
    <n v="998"/>
    <x v="6"/>
    <x v="2"/>
    <x v="10"/>
    <s v="Percent"/>
    <s v="Units"/>
    <x v="1"/>
    <n v="3.415"/>
  </r>
  <r>
    <n v="998"/>
    <x v="6"/>
    <x v="2"/>
    <x v="10"/>
    <s v="Percent"/>
    <s v="Units"/>
    <x v="2"/>
    <n v="3.3109999999999999"/>
  </r>
  <r>
    <n v="998"/>
    <x v="6"/>
    <x v="2"/>
    <x v="10"/>
    <s v="Percent"/>
    <s v="Units"/>
    <x v="3"/>
    <n v="3.2610000000000001"/>
  </r>
  <r>
    <n v="998"/>
    <x v="6"/>
    <x v="2"/>
    <x v="10"/>
    <s v="Percent"/>
    <s v="Units"/>
    <x v="4"/>
    <n v="3.1539999999999999"/>
  </r>
  <r>
    <n v="998"/>
    <x v="6"/>
    <x v="2"/>
    <x v="10"/>
    <s v="Percent"/>
    <s v="Units"/>
    <x v="5"/>
    <n v="3.0630000000000002"/>
  </r>
  <r>
    <n v="998"/>
    <x v="6"/>
    <x v="2"/>
    <x v="10"/>
    <s v="Percent"/>
    <s v="Units"/>
    <x v="6"/>
    <n v="3.0070000000000001"/>
  </r>
  <r>
    <n v="119"/>
    <x v="1"/>
    <x v="2"/>
    <x v="10"/>
    <s v="Percent"/>
    <s v="Units"/>
    <x v="0"/>
    <n v="3.448"/>
  </r>
  <r>
    <n v="119"/>
    <x v="1"/>
    <x v="2"/>
    <x v="10"/>
    <s v="Percent"/>
    <s v="Units"/>
    <x v="1"/>
    <n v="3.415"/>
  </r>
  <r>
    <n v="119"/>
    <x v="1"/>
    <x v="2"/>
    <x v="10"/>
    <s v="Percent"/>
    <s v="Units"/>
    <x v="2"/>
    <n v="3.3109999999999999"/>
  </r>
  <r>
    <n v="119"/>
    <x v="1"/>
    <x v="2"/>
    <x v="10"/>
    <s v="Percent"/>
    <s v="Units"/>
    <x v="3"/>
    <n v="3.2610000000000001"/>
  </r>
  <r>
    <n v="119"/>
    <x v="1"/>
    <x v="2"/>
    <x v="10"/>
    <s v="Percent"/>
    <s v="Units"/>
    <x v="4"/>
    <n v="3.1539999999999999"/>
  </r>
  <r>
    <n v="119"/>
    <x v="1"/>
    <x v="2"/>
    <x v="10"/>
    <s v="Percent"/>
    <s v="Units"/>
    <x v="5"/>
    <n v="3.0630000000000002"/>
  </r>
  <r>
    <n v="119"/>
    <x v="1"/>
    <x v="2"/>
    <x v="10"/>
    <s v="Percent"/>
    <s v="Units"/>
    <x v="6"/>
    <n v="3.0070000000000001"/>
  </r>
  <r>
    <n v="205"/>
    <x v="7"/>
    <x v="177"/>
    <x v="1"/>
    <s v="Percent change"/>
    <s v="Units"/>
    <x v="0"/>
    <n v="0.186"/>
  </r>
  <r>
    <n v="205"/>
    <x v="7"/>
    <x v="177"/>
    <x v="1"/>
    <s v="Percent change"/>
    <s v="Units"/>
    <x v="1"/>
    <n v="0.122"/>
  </r>
  <r>
    <n v="205"/>
    <x v="7"/>
    <x v="177"/>
    <x v="1"/>
    <s v="Percent change"/>
    <s v="Units"/>
    <x v="2"/>
    <n v="3.2389999999999999"/>
  </r>
  <r>
    <n v="205"/>
    <x v="7"/>
    <x v="177"/>
    <x v="1"/>
    <s v="Percent change"/>
    <s v="Units"/>
    <x v="3"/>
    <n v="6.274"/>
  </r>
  <r>
    <n v="205"/>
    <x v="7"/>
    <x v="177"/>
    <x v="1"/>
    <s v="Percent change"/>
    <s v="Units"/>
    <x v="4"/>
    <n v="4.3899999999999997"/>
  </r>
  <r>
    <n v="205"/>
    <x v="7"/>
    <x v="177"/>
    <x v="1"/>
    <s v="Percent change"/>
    <s v="Units"/>
    <x v="5"/>
    <n v="3.0630000000000002"/>
  </r>
  <r>
    <n v="205"/>
    <x v="7"/>
    <x v="177"/>
    <x v="1"/>
    <s v="Percent change"/>
    <s v="Units"/>
    <x v="6"/>
    <n v="2.254"/>
  </r>
  <r>
    <n v="1"/>
    <x v="2"/>
    <x v="177"/>
    <x v="1"/>
    <s v="Percent change"/>
    <s v="Units"/>
    <x v="0"/>
    <n v="0.186"/>
  </r>
  <r>
    <n v="1"/>
    <x v="2"/>
    <x v="177"/>
    <x v="1"/>
    <s v="Percent change"/>
    <s v="Units"/>
    <x v="1"/>
    <n v="0.122"/>
  </r>
  <r>
    <n v="1"/>
    <x v="2"/>
    <x v="177"/>
    <x v="1"/>
    <s v="Percent change"/>
    <s v="Units"/>
    <x v="2"/>
    <n v="3.2389999999999999"/>
  </r>
  <r>
    <n v="1"/>
    <x v="2"/>
    <x v="177"/>
    <x v="1"/>
    <s v="Percent change"/>
    <s v="Units"/>
    <x v="3"/>
    <n v="6.274"/>
  </r>
  <r>
    <n v="1"/>
    <x v="2"/>
    <x v="177"/>
    <x v="1"/>
    <s v="Percent change"/>
    <s v="Units"/>
    <x v="4"/>
    <n v="4.3899999999999997"/>
  </r>
  <r>
    <n v="1"/>
    <x v="2"/>
    <x v="177"/>
    <x v="1"/>
    <s v="Percent change"/>
    <s v="Units"/>
    <x v="5"/>
    <n v="3.0630000000000002"/>
  </r>
  <r>
    <n v="1"/>
    <x v="2"/>
    <x v="177"/>
    <x v="1"/>
    <s v="Percent change"/>
    <s v="Units"/>
    <x v="6"/>
    <n v="2.254"/>
  </r>
  <r>
    <n v="110"/>
    <x v="0"/>
    <x v="2"/>
    <x v="10"/>
    <s v="Percent"/>
    <s v="Units"/>
    <x v="0"/>
    <n v="3.448"/>
  </r>
  <r>
    <n v="110"/>
    <x v="0"/>
    <x v="2"/>
    <x v="10"/>
    <s v="Percent"/>
    <s v="Units"/>
    <x v="1"/>
    <n v="3.415"/>
  </r>
  <r>
    <n v="110"/>
    <x v="0"/>
    <x v="2"/>
    <x v="10"/>
    <s v="Percent"/>
    <s v="Units"/>
    <x v="2"/>
    <n v="3.3109999999999999"/>
  </r>
  <r>
    <n v="110"/>
    <x v="0"/>
    <x v="2"/>
    <x v="10"/>
    <s v="Percent"/>
    <s v="Units"/>
    <x v="3"/>
    <n v="3.2610000000000001"/>
  </r>
  <r>
    <n v="110"/>
    <x v="0"/>
    <x v="2"/>
    <x v="10"/>
    <s v="Percent"/>
    <s v="Units"/>
    <x v="4"/>
    <n v="3.1539999999999999"/>
  </r>
  <r>
    <n v="110"/>
    <x v="0"/>
    <x v="2"/>
    <x v="10"/>
    <s v="Percent"/>
    <s v="Units"/>
    <x v="5"/>
    <n v="3.0630000000000002"/>
  </r>
  <r>
    <n v="110"/>
    <x v="0"/>
    <x v="2"/>
    <x v="10"/>
    <s v="Percent"/>
    <s v="Units"/>
    <x v="6"/>
    <n v="3.0070000000000001"/>
  </r>
  <r>
    <n v="200"/>
    <x v="3"/>
    <x v="177"/>
    <x v="1"/>
    <s v="Percent change"/>
    <s v="Units"/>
    <x v="0"/>
    <n v="0.186"/>
  </r>
  <r>
    <n v="200"/>
    <x v="3"/>
    <x v="177"/>
    <x v="1"/>
    <s v="Percent change"/>
    <s v="Units"/>
    <x v="1"/>
    <n v="0.122"/>
  </r>
  <r>
    <n v="200"/>
    <x v="3"/>
    <x v="177"/>
    <x v="1"/>
    <s v="Percent change"/>
    <s v="Units"/>
    <x v="2"/>
    <n v="3.2389999999999999"/>
  </r>
  <r>
    <n v="200"/>
    <x v="3"/>
    <x v="177"/>
    <x v="1"/>
    <s v="Percent change"/>
    <s v="Units"/>
    <x v="3"/>
    <n v="6.274"/>
  </r>
  <r>
    <n v="200"/>
    <x v="3"/>
    <x v="177"/>
    <x v="1"/>
    <s v="Percent change"/>
    <s v="Units"/>
    <x v="4"/>
    <n v="4.3899999999999997"/>
  </r>
  <r>
    <n v="200"/>
    <x v="3"/>
    <x v="177"/>
    <x v="1"/>
    <s v="Percent change"/>
    <s v="Units"/>
    <x v="5"/>
    <n v="3.0630000000000002"/>
  </r>
  <r>
    <n v="200"/>
    <x v="3"/>
    <x v="177"/>
    <x v="1"/>
    <s v="Percent change"/>
    <s v="Units"/>
    <x v="6"/>
    <n v="2.254"/>
  </r>
  <r>
    <n v="200"/>
    <x v="3"/>
    <x v="147"/>
    <x v="8"/>
    <s v="Percent change"/>
    <s v="Units"/>
    <x v="0"/>
    <n v="-0.58099999999999996"/>
  </r>
  <r>
    <n v="200"/>
    <x v="3"/>
    <x v="147"/>
    <x v="8"/>
    <s v="Percent change"/>
    <s v="Units"/>
    <x v="1"/>
    <n v="-17.04"/>
  </r>
  <r>
    <n v="200"/>
    <x v="3"/>
    <x v="147"/>
    <x v="8"/>
    <s v="Percent change"/>
    <s v="Units"/>
    <x v="2"/>
    <n v="-4.8810000000000002"/>
  </r>
  <r>
    <n v="200"/>
    <x v="3"/>
    <x v="147"/>
    <x v="8"/>
    <s v="Percent change"/>
    <s v="Units"/>
    <x v="3"/>
    <n v="20.015999999999998"/>
  </r>
  <r>
    <n v="200"/>
    <x v="3"/>
    <x v="147"/>
    <x v="8"/>
    <s v="Percent change"/>
    <s v="Units"/>
    <x v="4"/>
    <n v="8.0449999999999999"/>
  </r>
  <r>
    <n v="200"/>
    <x v="3"/>
    <x v="147"/>
    <x v="8"/>
    <s v="Percent change"/>
    <s v="Units"/>
    <x v="5"/>
    <n v="3.0489999999999999"/>
  </r>
  <r>
    <n v="200"/>
    <x v="3"/>
    <x v="147"/>
    <x v="8"/>
    <s v="Percent change"/>
    <s v="Units"/>
    <x v="6"/>
    <n v="3.3780000000000001"/>
  </r>
  <r>
    <n v="1"/>
    <x v="2"/>
    <x v="147"/>
    <x v="8"/>
    <s v="Percent change"/>
    <s v="Units"/>
    <x v="0"/>
    <n v="-0.58099999999999996"/>
  </r>
  <r>
    <n v="1"/>
    <x v="2"/>
    <x v="147"/>
    <x v="8"/>
    <s v="Percent change"/>
    <s v="Units"/>
    <x v="1"/>
    <n v="-17.04"/>
  </r>
  <r>
    <n v="1"/>
    <x v="2"/>
    <x v="147"/>
    <x v="8"/>
    <s v="Percent change"/>
    <s v="Units"/>
    <x v="2"/>
    <n v="-4.8810000000000002"/>
  </r>
  <r>
    <n v="1"/>
    <x v="2"/>
    <x v="147"/>
    <x v="8"/>
    <s v="Percent change"/>
    <s v="Units"/>
    <x v="3"/>
    <n v="20.015999999999998"/>
  </r>
  <r>
    <n v="1"/>
    <x v="2"/>
    <x v="147"/>
    <x v="8"/>
    <s v="Percent change"/>
    <s v="Units"/>
    <x v="4"/>
    <n v="8.0449999999999999"/>
  </r>
  <r>
    <n v="1"/>
    <x v="2"/>
    <x v="147"/>
    <x v="8"/>
    <s v="Percent change"/>
    <s v="Units"/>
    <x v="5"/>
    <n v="3.0489999999999999"/>
  </r>
  <r>
    <n v="1"/>
    <x v="2"/>
    <x v="147"/>
    <x v="8"/>
    <s v="Percent change"/>
    <s v="Units"/>
    <x v="6"/>
    <n v="3.3780000000000001"/>
  </r>
  <r>
    <n v="505"/>
    <x v="4"/>
    <x v="147"/>
    <x v="8"/>
    <s v="Percent change"/>
    <s v="Units"/>
    <x v="0"/>
    <n v="-0.58099999999999996"/>
  </r>
  <r>
    <n v="505"/>
    <x v="4"/>
    <x v="147"/>
    <x v="8"/>
    <s v="Percent change"/>
    <s v="Units"/>
    <x v="1"/>
    <n v="-17.04"/>
  </r>
  <r>
    <n v="505"/>
    <x v="4"/>
    <x v="147"/>
    <x v="8"/>
    <s v="Percent change"/>
    <s v="Units"/>
    <x v="2"/>
    <n v="-4.8810000000000002"/>
  </r>
  <r>
    <n v="505"/>
    <x v="4"/>
    <x v="147"/>
    <x v="8"/>
    <s v="Percent change"/>
    <s v="Units"/>
    <x v="3"/>
    <n v="20.015999999999998"/>
  </r>
  <r>
    <n v="505"/>
    <x v="4"/>
    <x v="147"/>
    <x v="8"/>
    <s v="Percent change"/>
    <s v="Units"/>
    <x v="4"/>
    <n v="8.0449999999999999"/>
  </r>
  <r>
    <n v="505"/>
    <x v="4"/>
    <x v="147"/>
    <x v="8"/>
    <s v="Percent change"/>
    <s v="Units"/>
    <x v="5"/>
    <n v="3.0489999999999999"/>
  </r>
  <r>
    <n v="505"/>
    <x v="4"/>
    <x v="147"/>
    <x v="8"/>
    <s v="Percent change"/>
    <s v="Units"/>
    <x v="6"/>
    <n v="3.3780000000000001"/>
  </r>
  <r>
    <n v="163"/>
    <x v="5"/>
    <x v="14"/>
    <x v="4"/>
    <s v="Percent change"/>
    <s v="Units"/>
    <x v="0"/>
    <n v="2.2130000000000001"/>
  </r>
  <r>
    <n v="163"/>
    <x v="5"/>
    <x v="14"/>
    <x v="4"/>
    <s v="Percent change"/>
    <s v="Units"/>
    <x v="1"/>
    <n v="-20.053999999999998"/>
  </r>
  <r>
    <n v="163"/>
    <x v="5"/>
    <x v="14"/>
    <x v="4"/>
    <s v="Percent change"/>
    <s v="Units"/>
    <x v="2"/>
    <n v="13.496"/>
  </r>
  <r>
    <n v="163"/>
    <x v="5"/>
    <x v="14"/>
    <x v="4"/>
    <s v="Percent change"/>
    <s v="Units"/>
    <x v="3"/>
    <n v="15.154"/>
  </r>
  <r>
    <n v="163"/>
    <x v="5"/>
    <x v="14"/>
    <x v="4"/>
    <s v="Percent change"/>
    <s v="Units"/>
    <x v="4"/>
    <n v="2.3220000000000001"/>
  </r>
  <r>
    <n v="163"/>
    <x v="5"/>
    <x v="14"/>
    <x v="4"/>
    <s v="Percent change"/>
    <s v="Units"/>
    <x v="5"/>
    <n v="3.0470000000000002"/>
  </r>
  <r>
    <n v="163"/>
    <x v="5"/>
    <x v="14"/>
    <x v="4"/>
    <s v="Percent change"/>
    <s v="Units"/>
    <x v="6"/>
    <n v="3.8769999999999998"/>
  </r>
  <r>
    <n v="1"/>
    <x v="2"/>
    <x v="14"/>
    <x v="4"/>
    <s v="Percent change"/>
    <s v="Units"/>
    <x v="0"/>
    <n v="2.2130000000000001"/>
  </r>
  <r>
    <n v="1"/>
    <x v="2"/>
    <x v="14"/>
    <x v="4"/>
    <s v="Percent change"/>
    <s v="Units"/>
    <x v="1"/>
    <n v="-20.053999999999998"/>
  </r>
  <r>
    <n v="1"/>
    <x v="2"/>
    <x v="14"/>
    <x v="4"/>
    <s v="Percent change"/>
    <s v="Units"/>
    <x v="2"/>
    <n v="13.496"/>
  </r>
  <r>
    <n v="1"/>
    <x v="2"/>
    <x v="14"/>
    <x v="4"/>
    <s v="Percent change"/>
    <s v="Units"/>
    <x v="3"/>
    <n v="15.154"/>
  </r>
  <r>
    <n v="1"/>
    <x v="2"/>
    <x v="14"/>
    <x v="4"/>
    <s v="Percent change"/>
    <s v="Units"/>
    <x v="4"/>
    <n v="2.3220000000000001"/>
  </r>
  <r>
    <n v="1"/>
    <x v="2"/>
    <x v="14"/>
    <x v="4"/>
    <s v="Percent change"/>
    <s v="Units"/>
    <x v="5"/>
    <n v="3.0470000000000002"/>
  </r>
  <r>
    <n v="1"/>
    <x v="2"/>
    <x v="14"/>
    <x v="4"/>
    <s v="Percent change"/>
    <s v="Units"/>
    <x v="6"/>
    <n v="3.8769999999999998"/>
  </r>
  <r>
    <n v="110"/>
    <x v="0"/>
    <x v="14"/>
    <x v="4"/>
    <s v="Percent change"/>
    <s v="Units"/>
    <x v="0"/>
    <n v="2.2130000000000001"/>
  </r>
  <r>
    <n v="110"/>
    <x v="0"/>
    <x v="14"/>
    <x v="4"/>
    <s v="Percent change"/>
    <s v="Units"/>
    <x v="1"/>
    <n v="-20.053999999999998"/>
  </r>
  <r>
    <n v="110"/>
    <x v="0"/>
    <x v="14"/>
    <x v="4"/>
    <s v="Percent change"/>
    <s v="Units"/>
    <x v="2"/>
    <n v="13.496"/>
  </r>
  <r>
    <n v="110"/>
    <x v="0"/>
    <x v="14"/>
    <x v="4"/>
    <s v="Percent change"/>
    <s v="Units"/>
    <x v="3"/>
    <n v="15.154"/>
  </r>
  <r>
    <n v="110"/>
    <x v="0"/>
    <x v="14"/>
    <x v="4"/>
    <s v="Percent change"/>
    <s v="Units"/>
    <x v="4"/>
    <n v="2.3220000000000001"/>
  </r>
  <r>
    <n v="110"/>
    <x v="0"/>
    <x v="14"/>
    <x v="4"/>
    <s v="Percent change"/>
    <s v="Units"/>
    <x v="5"/>
    <n v="3.0470000000000002"/>
  </r>
  <r>
    <n v="110"/>
    <x v="0"/>
    <x v="14"/>
    <x v="4"/>
    <s v="Percent change"/>
    <s v="Units"/>
    <x v="6"/>
    <n v="3.8769999999999998"/>
  </r>
  <r>
    <n v="1"/>
    <x v="2"/>
    <x v="184"/>
    <x v="6"/>
    <s v="Percent change"/>
    <s v="Units"/>
    <x v="0"/>
    <n v="13.576000000000001"/>
  </r>
  <r>
    <n v="1"/>
    <x v="2"/>
    <x v="184"/>
    <x v="6"/>
    <s v="Percent change"/>
    <s v="Units"/>
    <x v="1"/>
    <n v="-5.7110000000000003"/>
  </r>
  <r>
    <n v="1"/>
    <x v="2"/>
    <x v="184"/>
    <x v="6"/>
    <s v="Percent change"/>
    <s v="Units"/>
    <x v="2"/>
    <n v="-5.8410000000000002"/>
  </r>
  <r>
    <n v="1"/>
    <x v="2"/>
    <x v="184"/>
    <x v="6"/>
    <s v="Percent change"/>
    <s v="Units"/>
    <x v="3"/>
    <n v="-4.5179999999999998"/>
  </r>
  <r>
    <n v="1"/>
    <x v="2"/>
    <x v="184"/>
    <x v="6"/>
    <s v="Percent change"/>
    <s v="Units"/>
    <x v="4"/>
    <n v="0.55600000000000005"/>
  </r>
  <r>
    <n v="1"/>
    <x v="2"/>
    <x v="184"/>
    <x v="6"/>
    <s v="Percent change"/>
    <s v="Units"/>
    <x v="5"/>
    <n v="3.036"/>
  </r>
  <r>
    <n v="1"/>
    <x v="2"/>
    <x v="184"/>
    <x v="6"/>
    <s v="Percent change"/>
    <s v="Units"/>
    <x v="6"/>
    <n v="7.766"/>
  </r>
  <r>
    <n v="603"/>
    <x v="12"/>
    <x v="184"/>
    <x v="6"/>
    <s v="Percent change"/>
    <s v="Units"/>
    <x v="0"/>
    <n v="13.576000000000001"/>
  </r>
  <r>
    <n v="603"/>
    <x v="12"/>
    <x v="184"/>
    <x v="6"/>
    <s v="Percent change"/>
    <s v="Units"/>
    <x v="1"/>
    <n v="-5.7110000000000003"/>
  </r>
  <r>
    <n v="603"/>
    <x v="12"/>
    <x v="184"/>
    <x v="6"/>
    <s v="Percent change"/>
    <s v="Units"/>
    <x v="2"/>
    <n v="-5.8410000000000002"/>
  </r>
  <r>
    <n v="603"/>
    <x v="12"/>
    <x v="184"/>
    <x v="6"/>
    <s v="Percent change"/>
    <s v="Units"/>
    <x v="3"/>
    <n v="-4.5179999999999998"/>
  </r>
  <r>
    <n v="603"/>
    <x v="12"/>
    <x v="184"/>
    <x v="6"/>
    <s v="Percent change"/>
    <s v="Units"/>
    <x v="4"/>
    <n v="0.55600000000000005"/>
  </r>
  <r>
    <n v="603"/>
    <x v="12"/>
    <x v="184"/>
    <x v="6"/>
    <s v="Percent change"/>
    <s v="Units"/>
    <x v="5"/>
    <n v="3.036"/>
  </r>
  <r>
    <n v="603"/>
    <x v="12"/>
    <x v="184"/>
    <x v="6"/>
    <s v="Percent change"/>
    <s v="Units"/>
    <x v="6"/>
    <n v="7.766"/>
  </r>
  <r>
    <n v="200"/>
    <x v="3"/>
    <x v="184"/>
    <x v="6"/>
    <s v="Percent change"/>
    <s v="Units"/>
    <x v="0"/>
    <n v="13.576000000000001"/>
  </r>
  <r>
    <n v="200"/>
    <x v="3"/>
    <x v="184"/>
    <x v="6"/>
    <s v="Percent change"/>
    <s v="Units"/>
    <x v="1"/>
    <n v="-5.7110000000000003"/>
  </r>
  <r>
    <n v="200"/>
    <x v="3"/>
    <x v="184"/>
    <x v="6"/>
    <s v="Percent change"/>
    <s v="Units"/>
    <x v="2"/>
    <n v="-5.8410000000000002"/>
  </r>
  <r>
    <n v="200"/>
    <x v="3"/>
    <x v="184"/>
    <x v="6"/>
    <s v="Percent change"/>
    <s v="Units"/>
    <x v="3"/>
    <n v="-4.5179999999999998"/>
  </r>
  <r>
    <n v="200"/>
    <x v="3"/>
    <x v="184"/>
    <x v="6"/>
    <s v="Percent change"/>
    <s v="Units"/>
    <x v="4"/>
    <n v="0.55600000000000005"/>
  </r>
  <r>
    <n v="200"/>
    <x v="3"/>
    <x v="184"/>
    <x v="6"/>
    <s v="Percent change"/>
    <s v="Units"/>
    <x v="5"/>
    <n v="3.036"/>
  </r>
  <r>
    <n v="200"/>
    <x v="3"/>
    <x v="184"/>
    <x v="6"/>
    <s v="Percent change"/>
    <s v="Units"/>
    <x v="6"/>
    <n v="7.766"/>
  </r>
  <r>
    <n v="1"/>
    <x v="2"/>
    <x v="91"/>
    <x v="6"/>
    <s v="Percent change"/>
    <s v="Units"/>
    <x v="0"/>
    <n v="5.2789999999999999"/>
  </r>
  <r>
    <n v="1"/>
    <x v="2"/>
    <x v="91"/>
    <x v="6"/>
    <s v="Percent change"/>
    <s v="Units"/>
    <x v="1"/>
    <n v="-8.9529999999999994"/>
  </r>
  <r>
    <n v="1"/>
    <x v="2"/>
    <x v="91"/>
    <x v="6"/>
    <s v="Percent change"/>
    <s v="Units"/>
    <x v="2"/>
    <n v="6.6420000000000003"/>
  </r>
  <r>
    <n v="1"/>
    <x v="2"/>
    <x v="91"/>
    <x v="6"/>
    <s v="Percent change"/>
    <s v="Units"/>
    <x v="3"/>
    <n v="-12.182"/>
  </r>
  <r>
    <n v="1"/>
    <x v="2"/>
    <x v="91"/>
    <x v="6"/>
    <s v="Percent change"/>
    <s v="Units"/>
    <x v="4"/>
    <n v="3.9319999999999999"/>
  </r>
  <r>
    <n v="1"/>
    <x v="2"/>
    <x v="91"/>
    <x v="6"/>
    <s v="Percent change"/>
    <s v="Units"/>
    <x v="5"/>
    <n v="3.0350000000000001"/>
  </r>
  <r>
    <n v="1"/>
    <x v="2"/>
    <x v="91"/>
    <x v="6"/>
    <s v="Percent change"/>
    <s v="Units"/>
    <x v="6"/>
    <n v="2.3239999999999998"/>
  </r>
  <r>
    <n v="200"/>
    <x v="3"/>
    <x v="91"/>
    <x v="6"/>
    <s v="Percent change"/>
    <s v="Units"/>
    <x v="0"/>
    <n v="5.2789999999999999"/>
  </r>
  <r>
    <n v="200"/>
    <x v="3"/>
    <x v="91"/>
    <x v="6"/>
    <s v="Percent change"/>
    <s v="Units"/>
    <x v="1"/>
    <n v="-8.9529999999999994"/>
  </r>
  <r>
    <n v="200"/>
    <x v="3"/>
    <x v="91"/>
    <x v="6"/>
    <s v="Percent change"/>
    <s v="Units"/>
    <x v="2"/>
    <n v="6.6420000000000003"/>
  </r>
  <r>
    <n v="200"/>
    <x v="3"/>
    <x v="91"/>
    <x v="6"/>
    <s v="Percent change"/>
    <s v="Units"/>
    <x v="3"/>
    <n v="-12.182"/>
  </r>
  <r>
    <n v="200"/>
    <x v="3"/>
    <x v="91"/>
    <x v="6"/>
    <s v="Percent change"/>
    <s v="Units"/>
    <x v="4"/>
    <n v="3.9319999999999999"/>
  </r>
  <r>
    <n v="200"/>
    <x v="3"/>
    <x v="91"/>
    <x v="6"/>
    <s v="Percent change"/>
    <s v="Units"/>
    <x v="5"/>
    <n v="3.0350000000000001"/>
  </r>
  <r>
    <n v="200"/>
    <x v="3"/>
    <x v="91"/>
    <x v="6"/>
    <s v="Percent change"/>
    <s v="Units"/>
    <x v="6"/>
    <n v="2.3239999999999998"/>
  </r>
  <r>
    <n v="903"/>
    <x v="8"/>
    <x v="91"/>
    <x v="6"/>
    <s v="Percent change"/>
    <s v="Units"/>
    <x v="0"/>
    <n v="5.2789999999999999"/>
  </r>
  <r>
    <n v="903"/>
    <x v="8"/>
    <x v="91"/>
    <x v="6"/>
    <s v="Percent change"/>
    <s v="Units"/>
    <x v="1"/>
    <n v="-8.9529999999999994"/>
  </r>
  <r>
    <n v="903"/>
    <x v="8"/>
    <x v="91"/>
    <x v="6"/>
    <s v="Percent change"/>
    <s v="Units"/>
    <x v="2"/>
    <n v="6.6420000000000003"/>
  </r>
  <r>
    <n v="903"/>
    <x v="8"/>
    <x v="91"/>
    <x v="6"/>
    <s v="Percent change"/>
    <s v="Units"/>
    <x v="3"/>
    <n v="-12.182"/>
  </r>
  <r>
    <n v="903"/>
    <x v="8"/>
    <x v="91"/>
    <x v="6"/>
    <s v="Percent change"/>
    <s v="Units"/>
    <x v="4"/>
    <n v="3.9319999999999999"/>
  </r>
  <r>
    <n v="903"/>
    <x v="8"/>
    <x v="91"/>
    <x v="6"/>
    <s v="Percent change"/>
    <s v="Units"/>
    <x v="5"/>
    <n v="3.0350000000000001"/>
  </r>
  <r>
    <n v="903"/>
    <x v="8"/>
    <x v="91"/>
    <x v="6"/>
    <s v="Percent change"/>
    <s v="Units"/>
    <x v="6"/>
    <n v="2.3239999999999998"/>
  </r>
  <r>
    <n v="1"/>
    <x v="2"/>
    <x v="121"/>
    <x v="1"/>
    <s v="Percent change"/>
    <s v="Units"/>
    <x v="0"/>
    <n v="0.55900000000000005"/>
  </r>
  <r>
    <n v="1"/>
    <x v="2"/>
    <x v="121"/>
    <x v="1"/>
    <s v="Percent change"/>
    <s v="Units"/>
    <x v="1"/>
    <n v="-1.052"/>
  </r>
  <r>
    <n v="1"/>
    <x v="2"/>
    <x v="121"/>
    <x v="1"/>
    <s v="Percent change"/>
    <s v="Units"/>
    <x v="2"/>
    <n v="1.998"/>
  </r>
  <r>
    <n v="1"/>
    <x v="2"/>
    <x v="121"/>
    <x v="1"/>
    <s v="Percent change"/>
    <s v="Units"/>
    <x v="3"/>
    <n v="14.012"/>
  </r>
  <r>
    <n v="1"/>
    <x v="2"/>
    <x v="121"/>
    <x v="1"/>
    <s v="Percent change"/>
    <s v="Units"/>
    <x v="4"/>
    <n v="6.0979999999999999"/>
  </r>
  <r>
    <n v="1"/>
    <x v="2"/>
    <x v="121"/>
    <x v="1"/>
    <s v="Percent change"/>
    <s v="Units"/>
    <x v="5"/>
    <n v="3.032"/>
  </r>
  <r>
    <n v="1"/>
    <x v="2"/>
    <x v="121"/>
    <x v="1"/>
    <s v="Percent change"/>
    <s v="Units"/>
    <x v="6"/>
    <n v="2.6720000000000002"/>
  </r>
  <r>
    <n v="200"/>
    <x v="3"/>
    <x v="121"/>
    <x v="1"/>
    <s v="Percent change"/>
    <s v="Units"/>
    <x v="0"/>
    <n v="0.55900000000000005"/>
  </r>
  <r>
    <n v="200"/>
    <x v="3"/>
    <x v="121"/>
    <x v="1"/>
    <s v="Percent change"/>
    <s v="Units"/>
    <x v="1"/>
    <n v="-1.052"/>
  </r>
  <r>
    <n v="200"/>
    <x v="3"/>
    <x v="121"/>
    <x v="1"/>
    <s v="Percent change"/>
    <s v="Units"/>
    <x v="2"/>
    <n v="1.998"/>
  </r>
  <r>
    <n v="200"/>
    <x v="3"/>
    <x v="121"/>
    <x v="1"/>
    <s v="Percent change"/>
    <s v="Units"/>
    <x v="3"/>
    <n v="14.012"/>
  </r>
  <r>
    <n v="200"/>
    <x v="3"/>
    <x v="121"/>
    <x v="1"/>
    <s v="Percent change"/>
    <s v="Units"/>
    <x v="4"/>
    <n v="6.0979999999999999"/>
  </r>
  <r>
    <n v="200"/>
    <x v="3"/>
    <x v="121"/>
    <x v="1"/>
    <s v="Percent change"/>
    <s v="Units"/>
    <x v="5"/>
    <n v="3.032"/>
  </r>
  <r>
    <n v="200"/>
    <x v="3"/>
    <x v="121"/>
    <x v="1"/>
    <s v="Percent change"/>
    <s v="Units"/>
    <x v="6"/>
    <n v="2.6720000000000002"/>
  </r>
  <r>
    <n v="903"/>
    <x v="8"/>
    <x v="121"/>
    <x v="1"/>
    <s v="Percent change"/>
    <s v="Units"/>
    <x v="0"/>
    <n v="0.55900000000000005"/>
  </r>
  <r>
    <n v="903"/>
    <x v="8"/>
    <x v="121"/>
    <x v="1"/>
    <s v="Percent change"/>
    <s v="Units"/>
    <x v="1"/>
    <n v="-1.052"/>
  </r>
  <r>
    <n v="903"/>
    <x v="8"/>
    <x v="121"/>
    <x v="1"/>
    <s v="Percent change"/>
    <s v="Units"/>
    <x v="2"/>
    <n v="1.998"/>
  </r>
  <r>
    <n v="903"/>
    <x v="8"/>
    <x v="121"/>
    <x v="1"/>
    <s v="Percent change"/>
    <s v="Units"/>
    <x v="3"/>
    <n v="14.012"/>
  </r>
  <r>
    <n v="903"/>
    <x v="8"/>
    <x v="121"/>
    <x v="1"/>
    <s v="Percent change"/>
    <s v="Units"/>
    <x v="4"/>
    <n v="6.0979999999999999"/>
  </r>
  <r>
    <n v="903"/>
    <x v="8"/>
    <x v="121"/>
    <x v="1"/>
    <s v="Percent change"/>
    <s v="Units"/>
    <x v="5"/>
    <n v="3.032"/>
  </r>
  <r>
    <n v="903"/>
    <x v="8"/>
    <x v="121"/>
    <x v="1"/>
    <s v="Percent change"/>
    <s v="Units"/>
    <x v="6"/>
    <n v="2.6720000000000002"/>
  </r>
  <r>
    <n v="123"/>
    <x v="9"/>
    <x v="12"/>
    <x v="4"/>
    <s v="Percent change"/>
    <s v="Units"/>
    <x v="0"/>
    <n v="3.226"/>
  </r>
  <r>
    <n v="123"/>
    <x v="9"/>
    <x v="12"/>
    <x v="4"/>
    <s v="Percent change"/>
    <s v="Units"/>
    <x v="1"/>
    <n v="-9.8889999999999993"/>
  </r>
  <r>
    <n v="123"/>
    <x v="9"/>
    <x v="12"/>
    <x v="4"/>
    <s v="Percent change"/>
    <s v="Units"/>
    <x v="2"/>
    <n v="-2.2130000000000001"/>
  </r>
  <r>
    <n v="123"/>
    <x v="9"/>
    <x v="12"/>
    <x v="4"/>
    <s v="Percent change"/>
    <s v="Units"/>
    <x v="3"/>
    <n v="2.4849999999999999"/>
  </r>
  <r>
    <n v="123"/>
    <x v="9"/>
    <x v="12"/>
    <x v="4"/>
    <s v="Percent change"/>
    <s v="Units"/>
    <x v="4"/>
    <n v="6.8310000000000004"/>
  </r>
  <r>
    <n v="123"/>
    <x v="9"/>
    <x v="12"/>
    <x v="4"/>
    <s v="Percent change"/>
    <s v="Units"/>
    <x v="5"/>
    <n v="3.0270000000000001"/>
  </r>
  <r>
    <n v="123"/>
    <x v="9"/>
    <x v="12"/>
    <x v="4"/>
    <s v="Percent change"/>
    <s v="Units"/>
    <x v="6"/>
    <n v="2.1360000000000001"/>
  </r>
  <r>
    <n v="1"/>
    <x v="2"/>
    <x v="12"/>
    <x v="4"/>
    <s v="Percent change"/>
    <s v="Units"/>
    <x v="0"/>
    <n v="3.226"/>
  </r>
  <r>
    <n v="1"/>
    <x v="2"/>
    <x v="12"/>
    <x v="4"/>
    <s v="Percent change"/>
    <s v="Units"/>
    <x v="1"/>
    <n v="-9.8889999999999993"/>
  </r>
  <r>
    <n v="1"/>
    <x v="2"/>
    <x v="12"/>
    <x v="4"/>
    <s v="Percent change"/>
    <s v="Units"/>
    <x v="2"/>
    <n v="-2.2130000000000001"/>
  </r>
  <r>
    <n v="1"/>
    <x v="2"/>
    <x v="12"/>
    <x v="4"/>
    <s v="Percent change"/>
    <s v="Units"/>
    <x v="3"/>
    <n v="2.4849999999999999"/>
  </r>
  <r>
    <n v="1"/>
    <x v="2"/>
    <x v="12"/>
    <x v="4"/>
    <s v="Percent change"/>
    <s v="Units"/>
    <x v="4"/>
    <n v="6.8310000000000004"/>
  </r>
  <r>
    <n v="1"/>
    <x v="2"/>
    <x v="12"/>
    <x v="4"/>
    <s v="Percent change"/>
    <s v="Units"/>
    <x v="5"/>
    <n v="3.0270000000000001"/>
  </r>
  <r>
    <n v="1"/>
    <x v="2"/>
    <x v="12"/>
    <x v="4"/>
    <s v="Percent change"/>
    <s v="Units"/>
    <x v="6"/>
    <n v="2.1360000000000001"/>
  </r>
  <r>
    <n v="110"/>
    <x v="0"/>
    <x v="12"/>
    <x v="4"/>
    <s v="Percent change"/>
    <s v="Units"/>
    <x v="0"/>
    <n v="3.226"/>
  </r>
  <r>
    <n v="110"/>
    <x v="0"/>
    <x v="12"/>
    <x v="4"/>
    <s v="Percent change"/>
    <s v="Units"/>
    <x v="1"/>
    <n v="-9.8889999999999993"/>
  </r>
  <r>
    <n v="110"/>
    <x v="0"/>
    <x v="12"/>
    <x v="4"/>
    <s v="Percent change"/>
    <s v="Units"/>
    <x v="2"/>
    <n v="-2.2130000000000001"/>
  </r>
  <r>
    <n v="110"/>
    <x v="0"/>
    <x v="12"/>
    <x v="4"/>
    <s v="Percent change"/>
    <s v="Units"/>
    <x v="3"/>
    <n v="2.4849999999999999"/>
  </r>
  <r>
    <n v="110"/>
    <x v="0"/>
    <x v="12"/>
    <x v="4"/>
    <s v="Percent change"/>
    <s v="Units"/>
    <x v="4"/>
    <n v="6.8310000000000004"/>
  </r>
  <r>
    <n v="110"/>
    <x v="0"/>
    <x v="12"/>
    <x v="4"/>
    <s v="Percent change"/>
    <s v="Units"/>
    <x v="5"/>
    <n v="3.0270000000000001"/>
  </r>
  <r>
    <n v="110"/>
    <x v="0"/>
    <x v="12"/>
    <x v="4"/>
    <s v="Percent change"/>
    <s v="Units"/>
    <x v="6"/>
    <n v="2.1360000000000001"/>
  </r>
  <r>
    <n v="200"/>
    <x v="3"/>
    <x v="7"/>
    <x v="4"/>
    <s v="Percent change"/>
    <s v="Units"/>
    <x v="0"/>
    <n v="-1.6739999999999999"/>
  </r>
  <r>
    <n v="200"/>
    <x v="3"/>
    <x v="7"/>
    <x v="4"/>
    <s v="Percent change"/>
    <s v="Units"/>
    <x v="1"/>
    <n v="-1.3340000000000001"/>
  </r>
  <r>
    <n v="200"/>
    <x v="3"/>
    <x v="7"/>
    <x v="4"/>
    <s v="Percent change"/>
    <s v="Units"/>
    <x v="2"/>
    <n v="2.2829999999999999"/>
  </r>
  <r>
    <n v="200"/>
    <x v="3"/>
    <x v="7"/>
    <x v="4"/>
    <s v="Percent change"/>
    <s v="Units"/>
    <x v="3"/>
    <n v="6.133"/>
  </r>
  <r>
    <n v="200"/>
    <x v="3"/>
    <x v="7"/>
    <x v="4"/>
    <s v="Percent change"/>
    <s v="Units"/>
    <x v="4"/>
    <n v="9.3629999999999995"/>
  </r>
  <r>
    <n v="200"/>
    <x v="3"/>
    <x v="7"/>
    <x v="4"/>
    <s v="Percent change"/>
    <s v="Units"/>
    <x v="5"/>
    <n v="3.0209999999999999"/>
  </r>
  <r>
    <n v="200"/>
    <x v="3"/>
    <x v="7"/>
    <x v="4"/>
    <s v="Percent change"/>
    <s v="Units"/>
    <x v="6"/>
    <n v="4.0709999999999997"/>
  </r>
  <r>
    <n v="205"/>
    <x v="7"/>
    <x v="7"/>
    <x v="4"/>
    <s v="Percent change"/>
    <s v="Units"/>
    <x v="0"/>
    <n v="-1.6739999999999999"/>
  </r>
  <r>
    <n v="205"/>
    <x v="7"/>
    <x v="7"/>
    <x v="4"/>
    <s v="Percent change"/>
    <s v="Units"/>
    <x v="1"/>
    <n v="-1.3340000000000001"/>
  </r>
  <r>
    <n v="205"/>
    <x v="7"/>
    <x v="7"/>
    <x v="4"/>
    <s v="Percent change"/>
    <s v="Units"/>
    <x v="2"/>
    <n v="2.2829999999999999"/>
  </r>
  <r>
    <n v="205"/>
    <x v="7"/>
    <x v="7"/>
    <x v="4"/>
    <s v="Percent change"/>
    <s v="Units"/>
    <x v="3"/>
    <n v="6.133"/>
  </r>
  <r>
    <n v="205"/>
    <x v="7"/>
    <x v="7"/>
    <x v="4"/>
    <s v="Percent change"/>
    <s v="Units"/>
    <x v="4"/>
    <n v="9.3629999999999995"/>
  </r>
  <r>
    <n v="205"/>
    <x v="7"/>
    <x v="7"/>
    <x v="4"/>
    <s v="Percent change"/>
    <s v="Units"/>
    <x v="5"/>
    <n v="3.0209999999999999"/>
  </r>
  <r>
    <n v="205"/>
    <x v="7"/>
    <x v="7"/>
    <x v="4"/>
    <s v="Percent change"/>
    <s v="Units"/>
    <x v="6"/>
    <n v="4.0709999999999997"/>
  </r>
  <r>
    <n v="1"/>
    <x v="2"/>
    <x v="7"/>
    <x v="4"/>
    <s v="Percent change"/>
    <s v="Units"/>
    <x v="0"/>
    <n v="-1.6739999999999999"/>
  </r>
  <r>
    <n v="1"/>
    <x v="2"/>
    <x v="7"/>
    <x v="4"/>
    <s v="Percent change"/>
    <s v="Units"/>
    <x v="1"/>
    <n v="-1.3340000000000001"/>
  </r>
  <r>
    <n v="1"/>
    <x v="2"/>
    <x v="7"/>
    <x v="4"/>
    <s v="Percent change"/>
    <s v="Units"/>
    <x v="2"/>
    <n v="2.2829999999999999"/>
  </r>
  <r>
    <n v="1"/>
    <x v="2"/>
    <x v="7"/>
    <x v="4"/>
    <s v="Percent change"/>
    <s v="Units"/>
    <x v="3"/>
    <n v="6.133"/>
  </r>
  <r>
    <n v="1"/>
    <x v="2"/>
    <x v="7"/>
    <x v="4"/>
    <s v="Percent change"/>
    <s v="Units"/>
    <x v="4"/>
    <n v="9.3629999999999995"/>
  </r>
  <r>
    <n v="1"/>
    <x v="2"/>
    <x v="7"/>
    <x v="4"/>
    <s v="Percent change"/>
    <s v="Units"/>
    <x v="5"/>
    <n v="3.0209999999999999"/>
  </r>
  <r>
    <n v="1"/>
    <x v="2"/>
    <x v="7"/>
    <x v="4"/>
    <s v="Percent change"/>
    <s v="Units"/>
    <x v="6"/>
    <n v="4.0709999999999997"/>
  </r>
  <r>
    <n v="163"/>
    <x v="5"/>
    <x v="24"/>
    <x v="4"/>
    <s v="Percent change"/>
    <s v="Units"/>
    <x v="0"/>
    <n v="11.848000000000001"/>
  </r>
  <r>
    <n v="163"/>
    <x v="5"/>
    <x v="24"/>
    <x v="4"/>
    <s v="Percent change"/>
    <s v="Units"/>
    <x v="1"/>
    <n v="11.531000000000001"/>
  </r>
  <r>
    <n v="163"/>
    <x v="5"/>
    <x v="24"/>
    <x v="4"/>
    <s v="Percent change"/>
    <s v="Units"/>
    <x v="2"/>
    <n v="15.103"/>
  </r>
  <r>
    <n v="163"/>
    <x v="5"/>
    <x v="24"/>
    <x v="4"/>
    <s v="Percent change"/>
    <s v="Units"/>
    <x v="3"/>
    <n v="13.922000000000001"/>
  </r>
  <r>
    <n v="163"/>
    <x v="5"/>
    <x v="24"/>
    <x v="4"/>
    <s v="Percent change"/>
    <s v="Units"/>
    <x v="4"/>
    <n v="-4.7619999999999996"/>
  </r>
  <r>
    <n v="163"/>
    <x v="5"/>
    <x v="24"/>
    <x v="4"/>
    <s v="Percent change"/>
    <s v="Units"/>
    <x v="5"/>
    <n v="3"/>
  </r>
  <r>
    <n v="163"/>
    <x v="5"/>
    <x v="24"/>
    <x v="4"/>
    <s v="Percent change"/>
    <s v="Units"/>
    <x v="6"/>
    <n v="3"/>
  </r>
  <r>
    <n v="163"/>
    <x v="5"/>
    <x v="110"/>
    <x v="4"/>
    <s v="Percent change"/>
    <s v="Units"/>
    <x v="0"/>
    <n v="1.298"/>
  </r>
  <r>
    <n v="163"/>
    <x v="5"/>
    <x v="110"/>
    <x v="4"/>
    <s v="Percent change"/>
    <s v="Units"/>
    <x v="1"/>
    <n v="0.35499999999999998"/>
  </r>
  <r>
    <n v="163"/>
    <x v="5"/>
    <x v="110"/>
    <x v="4"/>
    <s v="Percent change"/>
    <s v="Units"/>
    <x v="2"/>
    <n v="9.0449999999999999"/>
  </r>
  <r>
    <n v="163"/>
    <x v="5"/>
    <x v="110"/>
    <x v="4"/>
    <s v="Percent change"/>
    <s v="Units"/>
    <x v="3"/>
    <n v="10.315"/>
  </r>
  <r>
    <n v="163"/>
    <x v="5"/>
    <x v="110"/>
    <x v="4"/>
    <s v="Percent change"/>
    <s v="Units"/>
    <x v="4"/>
    <n v="-5.9249999999999998"/>
  </r>
  <r>
    <n v="163"/>
    <x v="5"/>
    <x v="110"/>
    <x v="4"/>
    <s v="Percent change"/>
    <s v="Units"/>
    <x v="5"/>
    <n v="3"/>
  </r>
  <r>
    <n v="163"/>
    <x v="5"/>
    <x v="110"/>
    <x v="4"/>
    <s v="Percent change"/>
    <s v="Units"/>
    <x v="6"/>
    <n v="2.6"/>
  </r>
  <r>
    <n v="1"/>
    <x v="2"/>
    <x v="78"/>
    <x v="8"/>
    <s v="Percent change"/>
    <s v="Units"/>
    <x v="0"/>
    <n v="3.3980000000000001"/>
  </r>
  <r>
    <n v="1"/>
    <x v="2"/>
    <x v="78"/>
    <x v="8"/>
    <s v="Percent change"/>
    <s v="Units"/>
    <x v="1"/>
    <n v="-8.5909999999999993"/>
  </r>
  <r>
    <n v="1"/>
    <x v="2"/>
    <x v="78"/>
    <x v="8"/>
    <s v="Percent change"/>
    <s v="Units"/>
    <x v="2"/>
    <n v="13.788"/>
  </r>
  <r>
    <n v="1"/>
    <x v="2"/>
    <x v="78"/>
    <x v="8"/>
    <s v="Percent change"/>
    <s v="Units"/>
    <x v="3"/>
    <n v="6.343"/>
  </r>
  <r>
    <n v="1"/>
    <x v="2"/>
    <x v="78"/>
    <x v="8"/>
    <s v="Percent change"/>
    <s v="Units"/>
    <x v="4"/>
    <n v="2.831"/>
  </r>
  <r>
    <n v="1"/>
    <x v="2"/>
    <x v="78"/>
    <x v="8"/>
    <s v="Percent change"/>
    <s v="Units"/>
    <x v="5"/>
    <n v="3"/>
  </r>
  <r>
    <n v="1"/>
    <x v="2"/>
    <x v="78"/>
    <x v="8"/>
    <s v="Percent change"/>
    <s v="Units"/>
    <x v="6"/>
    <n v="2.7370000000000001"/>
  </r>
  <r>
    <n v="163"/>
    <x v="5"/>
    <x v="110"/>
    <x v="6"/>
    <s v="Percent change"/>
    <s v="Units"/>
    <x v="0"/>
    <n v="2.2240000000000002"/>
  </r>
  <r>
    <n v="163"/>
    <x v="5"/>
    <x v="110"/>
    <x v="6"/>
    <s v="Percent change"/>
    <s v="Units"/>
    <x v="1"/>
    <n v="-1.143"/>
  </r>
  <r>
    <n v="163"/>
    <x v="5"/>
    <x v="110"/>
    <x v="6"/>
    <s v="Percent change"/>
    <s v="Units"/>
    <x v="2"/>
    <n v="15.061"/>
  </r>
  <r>
    <n v="163"/>
    <x v="5"/>
    <x v="110"/>
    <x v="6"/>
    <s v="Percent change"/>
    <s v="Units"/>
    <x v="3"/>
    <n v="11.093999999999999"/>
  </r>
  <r>
    <n v="163"/>
    <x v="5"/>
    <x v="110"/>
    <x v="6"/>
    <s v="Percent change"/>
    <s v="Units"/>
    <x v="4"/>
    <n v="-2.8570000000000002"/>
  </r>
  <r>
    <n v="163"/>
    <x v="5"/>
    <x v="110"/>
    <x v="6"/>
    <s v="Percent change"/>
    <s v="Units"/>
    <x v="5"/>
    <n v="3"/>
  </r>
  <r>
    <n v="163"/>
    <x v="5"/>
    <x v="110"/>
    <x v="6"/>
    <s v="Percent change"/>
    <s v="Units"/>
    <x v="6"/>
    <n v="2.5"/>
  </r>
  <r>
    <n v="998"/>
    <x v="6"/>
    <x v="78"/>
    <x v="8"/>
    <s v="Percent change"/>
    <s v="Units"/>
    <x v="0"/>
    <n v="3.3980000000000001"/>
  </r>
  <r>
    <n v="998"/>
    <x v="6"/>
    <x v="78"/>
    <x v="8"/>
    <s v="Percent change"/>
    <s v="Units"/>
    <x v="1"/>
    <n v="-8.5909999999999993"/>
  </r>
  <r>
    <n v="998"/>
    <x v="6"/>
    <x v="78"/>
    <x v="8"/>
    <s v="Percent change"/>
    <s v="Units"/>
    <x v="2"/>
    <n v="13.788"/>
  </r>
  <r>
    <n v="998"/>
    <x v="6"/>
    <x v="78"/>
    <x v="8"/>
    <s v="Percent change"/>
    <s v="Units"/>
    <x v="3"/>
    <n v="6.343"/>
  </r>
  <r>
    <n v="998"/>
    <x v="6"/>
    <x v="78"/>
    <x v="8"/>
    <s v="Percent change"/>
    <s v="Units"/>
    <x v="4"/>
    <n v="2.831"/>
  </r>
  <r>
    <n v="998"/>
    <x v="6"/>
    <x v="78"/>
    <x v="8"/>
    <s v="Percent change"/>
    <s v="Units"/>
    <x v="5"/>
    <n v="3"/>
  </r>
  <r>
    <n v="998"/>
    <x v="6"/>
    <x v="78"/>
    <x v="8"/>
    <s v="Percent change"/>
    <s v="Units"/>
    <x v="6"/>
    <n v="2.7370000000000001"/>
  </r>
  <r>
    <n v="1"/>
    <x v="2"/>
    <x v="184"/>
    <x v="1"/>
    <s v="Percent change"/>
    <s v="Units"/>
    <x v="0"/>
    <n v="0.28599999999999998"/>
  </r>
  <r>
    <n v="1"/>
    <x v="2"/>
    <x v="184"/>
    <x v="1"/>
    <s v="Percent change"/>
    <s v="Units"/>
    <x v="1"/>
    <n v="1.4630000000000001"/>
  </r>
  <r>
    <n v="1"/>
    <x v="2"/>
    <x v="184"/>
    <x v="1"/>
    <s v="Percent change"/>
    <s v="Units"/>
    <x v="2"/>
    <n v="3.274"/>
  </r>
  <r>
    <n v="1"/>
    <x v="2"/>
    <x v="184"/>
    <x v="1"/>
    <s v="Percent change"/>
    <s v="Units"/>
    <x v="3"/>
    <n v="7.9169999999999998"/>
  </r>
  <r>
    <n v="1"/>
    <x v="2"/>
    <x v="184"/>
    <x v="1"/>
    <s v="Percent change"/>
    <s v="Units"/>
    <x v="4"/>
    <n v="7.1639999999999997"/>
  </r>
  <r>
    <n v="1"/>
    <x v="2"/>
    <x v="184"/>
    <x v="1"/>
    <s v="Percent change"/>
    <s v="Units"/>
    <x v="5"/>
    <n v="3"/>
  </r>
  <r>
    <n v="1"/>
    <x v="2"/>
    <x v="184"/>
    <x v="1"/>
    <s v="Percent change"/>
    <s v="Units"/>
    <x v="6"/>
    <n v="2"/>
  </r>
  <r>
    <n v="1"/>
    <x v="2"/>
    <x v="24"/>
    <x v="4"/>
    <s v="Percent change"/>
    <s v="Units"/>
    <x v="0"/>
    <n v="11.848000000000001"/>
  </r>
  <r>
    <n v="1"/>
    <x v="2"/>
    <x v="24"/>
    <x v="4"/>
    <s v="Percent change"/>
    <s v="Units"/>
    <x v="1"/>
    <n v="11.531000000000001"/>
  </r>
  <r>
    <n v="1"/>
    <x v="2"/>
    <x v="24"/>
    <x v="4"/>
    <s v="Percent change"/>
    <s v="Units"/>
    <x v="2"/>
    <n v="15.103"/>
  </r>
  <r>
    <n v="1"/>
    <x v="2"/>
    <x v="24"/>
    <x v="4"/>
    <s v="Percent change"/>
    <s v="Units"/>
    <x v="3"/>
    <n v="13.922000000000001"/>
  </r>
  <r>
    <n v="1"/>
    <x v="2"/>
    <x v="24"/>
    <x v="4"/>
    <s v="Percent change"/>
    <s v="Units"/>
    <x v="4"/>
    <n v="-4.7619999999999996"/>
  </r>
  <r>
    <n v="1"/>
    <x v="2"/>
    <x v="24"/>
    <x v="4"/>
    <s v="Percent change"/>
    <s v="Units"/>
    <x v="5"/>
    <n v="3"/>
  </r>
  <r>
    <n v="1"/>
    <x v="2"/>
    <x v="24"/>
    <x v="4"/>
    <s v="Percent change"/>
    <s v="Units"/>
    <x v="6"/>
    <n v="3"/>
  </r>
  <r>
    <n v="110"/>
    <x v="0"/>
    <x v="110"/>
    <x v="6"/>
    <s v="Percent change"/>
    <s v="Units"/>
    <x v="0"/>
    <n v="2.2240000000000002"/>
  </r>
  <r>
    <n v="110"/>
    <x v="0"/>
    <x v="110"/>
    <x v="6"/>
    <s v="Percent change"/>
    <s v="Units"/>
    <x v="1"/>
    <n v="-1.143"/>
  </r>
  <r>
    <n v="110"/>
    <x v="0"/>
    <x v="110"/>
    <x v="6"/>
    <s v="Percent change"/>
    <s v="Units"/>
    <x v="2"/>
    <n v="15.061"/>
  </r>
  <r>
    <n v="110"/>
    <x v="0"/>
    <x v="110"/>
    <x v="6"/>
    <s v="Percent change"/>
    <s v="Units"/>
    <x v="3"/>
    <n v="11.093999999999999"/>
  </r>
  <r>
    <n v="110"/>
    <x v="0"/>
    <x v="110"/>
    <x v="6"/>
    <s v="Percent change"/>
    <s v="Units"/>
    <x v="4"/>
    <n v="-2.8570000000000002"/>
  </r>
  <r>
    <n v="110"/>
    <x v="0"/>
    <x v="110"/>
    <x v="6"/>
    <s v="Percent change"/>
    <s v="Units"/>
    <x v="5"/>
    <n v="3"/>
  </r>
  <r>
    <n v="110"/>
    <x v="0"/>
    <x v="110"/>
    <x v="6"/>
    <s v="Percent change"/>
    <s v="Units"/>
    <x v="6"/>
    <n v="2.5"/>
  </r>
  <r>
    <n v="1"/>
    <x v="2"/>
    <x v="140"/>
    <x v="8"/>
    <s v="Percent change"/>
    <s v="Units"/>
    <x v="0"/>
    <n v="2.4319999999999999"/>
  </r>
  <r>
    <n v="1"/>
    <x v="2"/>
    <x v="140"/>
    <x v="8"/>
    <s v="Percent change"/>
    <s v="Units"/>
    <x v="1"/>
    <n v="-7.9009999999999998"/>
  </r>
  <r>
    <n v="1"/>
    <x v="2"/>
    <x v="140"/>
    <x v="8"/>
    <s v="Percent change"/>
    <s v="Units"/>
    <x v="2"/>
    <n v="11.904"/>
  </r>
  <r>
    <n v="1"/>
    <x v="2"/>
    <x v="140"/>
    <x v="8"/>
    <s v="Percent change"/>
    <s v="Units"/>
    <x v="3"/>
    <n v="2.7989999999999999"/>
  </r>
  <r>
    <n v="1"/>
    <x v="2"/>
    <x v="140"/>
    <x v="8"/>
    <s v="Percent change"/>
    <s v="Units"/>
    <x v="4"/>
    <n v="3.4980000000000002"/>
  </r>
  <r>
    <n v="1"/>
    <x v="2"/>
    <x v="140"/>
    <x v="8"/>
    <s v="Percent change"/>
    <s v="Units"/>
    <x v="5"/>
    <n v="3"/>
  </r>
  <r>
    <n v="1"/>
    <x v="2"/>
    <x v="140"/>
    <x v="8"/>
    <s v="Percent change"/>
    <s v="Units"/>
    <x v="6"/>
    <n v="2.2999999999999998"/>
  </r>
  <r>
    <n v="110"/>
    <x v="0"/>
    <x v="13"/>
    <x v="11"/>
    <s v="Percent of total labor force"/>
    <s v="Units"/>
    <x v="0"/>
    <n v="3.7829999999999999"/>
  </r>
  <r>
    <n v="110"/>
    <x v="0"/>
    <x v="13"/>
    <x v="11"/>
    <s v="Percent of total labor force"/>
    <s v="Units"/>
    <x v="1"/>
    <n v="3.9420000000000002"/>
  </r>
  <r>
    <n v="110"/>
    <x v="0"/>
    <x v="13"/>
    <x v="11"/>
    <s v="Percent of total labor force"/>
    <s v="Units"/>
    <x v="2"/>
    <n v="3.6749999999999998"/>
  </r>
  <r>
    <n v="110"/>
    <x v="0"/>
    <x v="13"/>
    <x v="11"/>
    <s v="Percent of total labor force"/>
    <s v="Units"/>
    <x v="3"/>
    <n v="2.883"/>
  </r>
  <r>
    <n v="110"/>
    <x v="0"/>
    <x v="13"/>
    <x v="11"/>
    <s v="Percent of total labor force"/>
    <s v="Units"/>
    <x v="4"/>
    <n v="2.7"/>
  </r>
  <r>
    <n v="110"/>
    <x v="0"/>
    <x v="13"/>
    <x v="11"/>
    <s v="Percent of total labor force"/>
    <s v="Units"/>
    <x v="5"/>
    <n v="3"/>
  </r>
  <r>
    <n v="110"/>
    <x v="0"/>
    <x v="13"/>
    <x v="11"/>
    <s v="Percent of total labor force"/>
    <s v="Units"/>
    <x v="6"/>
    <n v="3.1"/>
  </r>
  <r>
    <n v="1"/>
    <x v="2"/>
    <x v="110"/>
    <x v="4"/>
    <s v="Percent change"/>
    <s v="Units"/>
    <x v="0"/>
    <n v="1.298"/>
  </r>
  <r>
    <n v="1"/>
    <x v="2"/>
    <x v="110"/>
    <x v="4"/>
    <s v="Percent change"/>
    <s v="Units"/>
    <x v="1"/>
    <n v="0.35499999999999998"/>
  </r>
  <r>
    <n v="1"/>
    <x v="2"/>
    <x v="110"/>
    <x v="4"/>
    <s v="Percent change"/>
    <s v="Units"/>
    <x v="2"/>
    <n v="9.0449999999999999"/>
  </r>
  <r>
    <n v="1"/>
    <x v="2"/>
    <x v="110"/>
    <x v="4"/>
    <s v="Percent change"/>
    <s v="Units"/>
    <x v="3"/>
    <n v="10.315"/>
  </r>
  <r>
    <n v="1"/>
    <x v="2"/>
    <x v="110"/>
    <x v="4"/>
    <s v="Percent change"/>
    <s v="Units"/>
    <x v="4"/>
    <n v="-5.9249999999999998"/>
  </r>
  <r>
    <n v="1"/>
    <x v="2"/>
    <x v="110"/>
    <x v="4"/>
    <s v="Percent change"/>
    <s v="Units"/>
    <x v="5"/>
    <n v="3"/>
  </r>
  <r>
    <n v="1"/>
    <x v="2"/>
    <x v="110"/>
    <x v="4"/>
    <s v="Percent change"/>
    <s v="Units"/>
    <x v="6"/>
    <n v="2.6"/>
  </r>
  <r>
    <n v="603"/>
    <x v="12"/>
    <x v="184"/>
    <x v="1"/>
    <s v="Percent change"/>
    <s v="Units"/>
    <x v="0"/>
    <n v="0.28599999999999998"/>
  </r>
  <r>
    <n v="603"/>
    <x v="12"/>
    <x v="184"/>
    <x v="1"/>
    <s v="Percent change"/>
    <s v="Units"/>
    <x v="1"/>
    <n v="1.4630000000000001"/>
  </r>
  <r>
    <n v="603"/>
    <x v="12"/>
    <x v="184"/>
    <x v="1"/>
    <s v="Percent change"/>
    <s v="Units"/>
    <x v="2"/>
    <n v="3.274"/>
  </r>
  <r>
    <n v="603"/>
    <x v="12"/>
    <x v="184"/>
    <x v="1"/>
    <s v="Percent change"/>
    <s v="Units"/>
    <x v="3"/>
    <n v="7.9169999999999998"/>
  </r>
  <r>
    <n v="603"/>
    <x v="12"/>
    <x v="184"/>
    <x v="1"/>
    <s v="Percent change"/>
    <s v="Units"/>
    <x v="4"/>
    <n v="7.1639999999999997"/>
  </r>
  <r>
    <n v="603"/>
    <x v="12"/>
    <x v="184"/>
    <x v="1"/>
    <s v="Percent change"/>
    <s v="Units"/>
    <x v="5"/>
    <n v="3"/>
  </r>
  <r>
    <n v="603"/>
    <x v="12"/>
    <x v="184"/>
    <x v="1"/>
    <s v="Percent change"/>
    <s v="Units"/>
    <x v="6"/>
    <n v="2"/>
  </r>
  <r>
    <n v="110"/>
    <x v="0"/>
    <x v="78"/>
    <x v="8"/>
    <s v="Percent change"/>
    <s v="Units"/>
    <x v="0"/>
    <n v="3.3980000000000001"/>
  </r>
  <r>
    <n v="110"/>
    <x v="0"/>
    <x v="78"/>
    <x v="8"/>
    <s v="Percent change"/>
    <s v="Units"/>
    <x v="1"/>
    <n v="-8.5909999999999993"/>
  </r>
  <r>
    <n v="110"/>
    <x v="0"/>
    <x v="78"/>
    <x v="8"/>
    <s v="Percent change"/>
    <s v="Units"/>
    <x v="2"/>
    <n v="13.788"/>
  </r>
  <r>
    <n v="110"/>
    <x v="0"/>
    <x v="78"/>
    <x v="8"/>
    <s v="Percent change"/>
    <s v="Units"/>
    <x v="3"/>
    <n v="6.343"/>
  </r>
  <r>
    <n v="110"/>
    <x v="0"/>
    <x v="78"/>
    <x v="8"/>
    <s v="Percent change"/>
    <s v="Units"/>
    <x v="4"/>
    <n v="2.831"/>
  </r>
  <r>
    <n v="110"/>
    <x v="0"/>
    <x v="78"/>
    <x v="8"/>
    <s v="Percent change"/>
    <s v="Units"/>
    <x v="5"/>
    <n v="3"/>
  </r>
  <r>
    <n v="110"/>
    <x v="0"/>
    <x v="78"/>
    <x v="8"/>
    <s v="Percent change"/>
    <s v="Units"/>
    <x v="6"/>
    <n v="2.7370000000000001"/>
  </r>
  <r>
    <n v="1"/>
    <x v="2"/>
    <x v="92"/>
    <x v="8"/>
    <s v="Percent change"/>
    <s v="Units"/>
    <x v="0"/>
    <n v="10.358000000000001"/>
  </r>
  <r>
    <n v="1"/>
    <x v="2"/>
    <x v="92"/>
    <x v="8"/>
    <s v="Percent change"/>
    <s v="Units"/>
    <x v="1"/>
    <n v="-2.8460000000000001"/>
  </r>
  <r>
    <n v="1"/>
    <x v="2"/>
    <x v="92"/>
    <x v="8"/>
    <s v="Percent change"/>
    <s v="Units"/>
    <x v="2"/>
    <n v="1.1120000000000001"/>
  </r>
  <r>
    <n v="1"/>
    <x v="2"/>
    <x v="92"/>
    <x v="8"/>
    <s v="Percent change"/>
    <s v="Units"/>
    <x v="3"/>
    <n v="-0.67600000000000005"/>
  </r>
  <r>
    <n v="1"/>
    <x v="2"/>
    <x v="92"/>
    <x v="8"/>
    <s v="Percent change"/>
    <s v="Units"/>
    <x v="4"/>
    <n v="3"/>
  </r>
  <r>
    <n v="1"/>
    <x v="2"/>
    <x v="92"/>
    <x v="8"/>
    <s v="Percent change"/>
    <s v="Units"/>
    <x v="5"/>
    <n v="3"/>
  </r>
  <r>
    <n v="1"/>
    <x v="2"/>
    <x v="92"/>
    <x v="8"/>
    <s v="Percent change"/>
    <s v="Units"/>
    <x v="6"/>
    <n v="2"/>
  </r>
  <r>
    <n v="200"/>
    <x v="3"/>
    <x v="92"/>
    <x v="8"/>
    <s v="Percent change"/>
    <s v="Units"/>
    <x v="0"/>
    <n v="10.358000000000001"/>
  </r>
  <r>
    <n v="200"/>
    <x v="3"/>
    <x v="92"/>
    <x v="8"/>
    <s v="Percent change"/>
    <s v="Units"/>
    <x v="1"/>
    <n v="-2.8460000000000001"/>
  </r>
  <r>
    <n v="200"/>
    <x v="3"/>
    <x v="92"/>
    <x v="8"/>
    <s v="Percent change"/>
    <s v="Units"/>
    <x v="2"/>
    <n v="1.1120000000000001"/>
  </r>
  <r>
    <n v="200"/>
    <x v="3"/>
    <x v="92"/>
    <x v="8"/>
    <s v="Percent change"/>
    <s v="Units"/>
    <x v="3"/>
    <n v="-0.67600000000000005"/>
  </r>
  <r>
    <n v="200"/>
    <x v="3"/>
    <x v="92"/>
    <x v="8"/>
    <s v="Percent change"/>
    <s v="Units"/>
    <x v="4"/>
    <n v="3"/>
  </r>
  <r>
    <n v="200"/>
    <x v="3"/>
    <x v="92"/>
    <x v="8"/>
    <s v="Percent change"/>
    <s v="Units"/>
    <x v="5"/>
    <n v="3"/>
  </r>
  <r>
    <n v="200"/>
    <x v="3"/>
    <x v="92"/>
    <x v="8"/>
    <s v="Percent change"/>
    <s v="Units"/>
    <x v="6"/>
    <n v="2"/>
  </r>
  <r>
    <n v="1"/>
    <x v="2"/>
    <x v="110"/>
    <x v="6"/>
    <s v="Percent change"/>
    <s v="Units"/>
    <x v="0"/>
    <n v="2.2240000000000002"/>
  </r>
  <r>
    <n v="1"/>
    <x v="2"/>
    <x v="110"/>
    <x v="6"/>
    <s v="Percent change"/>
    <s v="Units"/>
    <x v="1"/>
    <n v="-1.143"/>
  </r>
  <r>
    <n v="1"/>
    <x v="2"/>
    <x v="110"/>
    <x v="6"/>
    <s v="Percent change"/>
    <s v="Units"/>
    <x v="2"/>
    <n v="15.061"/>
  </r>
  <r>
    <n v="1"/>
    <x v="2"/>
    <x v="110"/>
    <x v="6"/>
    <s v="Percent change"/>
    <s v="Units"/>
    <x v="3"/>
    <n v="11.093999999999999"/>
  </r>
  <r>
    <n v="1"/>
    <x v="2"/>
    <x v="110"/>
    <x v="6"/>
    <s v="Percent change"/>
    <s v="Units"/>
    <x v="4"/>
    <n v="-2.8570000000000002"/>
  </r>
  <r>
    <n v="1"/>
    <x v="2"/>
    <x v="110"/>
    <x v="6"/>
    <s v="Percent change"/>
    <s v="Units"/>
    <x v="5"/>
    <n v="3"/>
  </r>
  <r>
    <n v="1"/>
    <x v="2"/>
    <x v="110"/>
    <x v="6"/>
    <s v="Percent change"/>
    <s v="Units"/>
    <x v="6"/>
    <n v="2.5"/>
  </r>
  <r>
    <n v="200"/>
    <x v="3"/>
    <x v="144"/>
    <x v="1"/>
    <s v="Percent change"/>
    <s v="Units"/>
    <x v="0"/>
    <n v="-0.93300000000000005"/>
  </r>
  <r>
    <n v="200"/>
    <x v="3"/>
    <x v="144"/>
    <x v="1"/>
    <s v="Percent change"/>
    <s v="Units"/>
    <x v="1"/>
    <n v="3.0489999999999999"/>
  </r>
  <r>
    <n v="200"/>
    <x v="3"/>
    <x v="144"/>
    <x v="1"/>
    <s v="Percent change"/>
    <s v="Units"/>
    <x v="2"/>
    <n v="1.7"/>
  </r>
  <r>
    <n v="200"/>
    <x v="3"/>
    <x v="144"/>
    <x v="1"/>
    <s v="Percent change"/>
    <s v="Units"/>
    <x v="3"/>
    <n v="1.4"/>
  </r>
  <r>
    <n v="200"/>
    <x v="3"/>
    <x v="144"/>
    <x v="1"/>
    <s v="Percent change"/>
    <s v="Units"/>
    <x v="4"/>
    <n v="2.8"/>
  </r>
  <r>
    <n v="200"/>
    <x v="3"/>
    <x v="144"/>
    <x v="1"/>
    <s v="Percent change"/>
    <s v="Units"/>
    <x v="5"/>
    <n v="3"/>
  </r>
  <r>
    <n v="200"/>
    <x v="3"/>
    <x v="144"/>
    <x v="1"/>
    <s v="Percent change"/>
    <s v="Units"/>
    <x v="6"/>
    <n v="2"/>
  </r>
  <r>
    <n v="110"/>
    <x v="0"/>
    <x v="110"/>
    <x v="4"/>
    <s v="Percent change"/>
    <s v="Units"/>
    <x v="0"/>
    <n v="1.298"/>
  </r>
  <r>
    <n v="110"/>
    <x v="0"/>
    <x v="110"/>
    <x v="4"/>
    <s v="Percent change"/>
    <s v="Units"/>
    <x v="1"/>
    <n v="0.35499999999999998"/>
  </r>
  <r>
    <n v="110"/>
    <x v="0"/>
    <x v="110"/>
    <x v="4"/>
    <s v="Percent change"/>
    <s v="Units"/>
    <x v="2"/>
    <n v="9.0449999999999999"/>
  </r>
  <r>
    <n v="110"/>
    <x v="0"/>
    <x v="110"/>
    <x v="4"/>
    <s v="Percent change"/>
    <s v="Units"/>
    <x v="3"/>
    <n v="10.315"/>
  </r>
  <r>
    <n v="110"/>
    <x v="0"/>
    <x v="110"/>
    <x v="4"/>
    <s v="Percent change"/>
    <s v="Units"/>
    <x v="4"/>
    <n v="-5.9249999999999998"/>
  </r>
  <r>
    <n v="110"/>
    <x v="0"/>
    <x v="110"/>
    <x v="4"/>
    <s v="Percent change"/>
    <s v="Units"/>
    <x v="5"/>
    <n v="3"/>
  </r>
  <r>
    <n v="110"/>
    <x v="0"/>
    <x v="110"/>
    <x v="4"/>
    <s v="Percent change"/>
    <s v="Units"/>
    <x v="6"/>
    <n v="2.6"/>
  </r>
  <r>
    <n v="110"/>
    <x v="0"/>
    <x v="24"/>
    <x v="4"/>
    <s v="Percent change"/>
    <s v="Units"/>
    <x v="0"/>
    <n v="11.848000000000001"/>
  </r>
  <r>
    <n v="110"/>
    <x v="0"/>
    <x v="24"/>
    <x v="4"/>
    <s v="Percent change"/>
    <s v="Units"/>
    <x v="1"/>
    <n v="11.531000000000001"/>
  </r>
  <r>
    <n v="110"/>
    <x v="0"/>
    <x v="24"/>
    <x v="4"/>
    <s v="Percent change"/>
    <s v="Units"/>
    <x v="2"/>
    <n v="15.103"/>
  </r>
  <r>
    <n v="110"/>
    <x v="0"/>
    <x v="24"/>
    <x v="4"/>
    <s v="Percent change"/>
    <s v="Units"/>
    <x v="3"/>
    <n v="13.922000000000001"/>
  </r>
  <r>
    <n v="110"/>
    <x v="0"/>
    <x v="24"/>
    <x v="4"/>
    <s v="Percent change"/>
    <s v="Units"/>
    <x v="4"/>
    <n v="-4.7619999999999996"/>
  </r>
  <r>
    <n v="110"/>
    <x v="0"/>
    <x v="24"/>
    <x v="4"/>
    <s v="Percent change"/>
    <s v="Units"/>
    <x v="5"/>
    <n v="3"/>
  </r>
  <r>
    <n v="110"/>
    <x v="0"/>
    <x v="24"/>
    <x v="4"/>
    <s v="Percent change"/>
    <s v="Units"/>
    <x v="6"/>
    <n v="3"/>
  </r>
  <r>
    <n v="505"/>
    <x v="4"/>
    <x v="92"/>
    <x v="8"/>
    <s v="Percent change"/>
    <s v="Units"/>
    <x v="0"/>
    <n v="10.358000000000001"/>
  </r>
  <r>
    <n v="505"/>
    <x v="4"/>
    <x v="92"/>
    <x v="8"/>
    <s v="Percent change"/>
    <s v="Units"/>
    <x v="1"/>
    <n v="-2.8460000000000001"/>
  </r>
  <r>
    <n v="505"/>
    <x v="4"/>
    <x v="92"/>
    <x v="8"/>
    <s v="Percent change"/>
    <s v="Units"/>
    <x v="2"/>
    <n v="1.1120000000000001"/>
  </r>
  <r>
    <n v="505"/>
    <x v="4"/>
    <x v="92"/>
    <x v="8"/>
    <s v="Percent change"/>
    <s v="Units"/>
    <x v="3"/>
    <n v="-0.67600000000000005"/>
  </r>
  <r>
    <n v="505"/>
    <x v="4"/>
    <x v="92"/>
    <x v="8"/>
    <s v="Percent change"/>
    <s v="Units"/>
    <x v="4"/>
    <n v="3"/>
  </r>
  <r>
    <n v="505"/>
    <x v="4"/>
    <x v="92"/>
    <x v="8"/>
    <s v="Percent change"/>
    <s v="Units"/>
    <x v="5"/>
    <n v="3"/>
  </r>
  <r>
    <n v="505"/>
    <x v="4"/>
    <x v="92"/>
    <x v="8"/>
    <s v="Percent change"/>
    <s v="Units"/>
    <x v="6"/>
    <n v="2"/>
  </r>
  <r>
    <n v="603"/>
    <x v="12"/>
    <x v="144"/>
    <x v="1"/>
    <s v="Percent change"/>
    <s v="Units"/>
    <x v="0"/>
    <n v="-0.93300000000000005"/>
  </r>
  <r>
    <n v="603"/>
    <x v="12"/>
    <x v="144"/>
    <x v="1"/>
    <s v="Percent change"/>
    <s v="Units"/>
    <x v="1"/>
    <n v="3.0489999999999999"/>
  </r>
  <r>
    <n v="603"/>
    <x v="12"/>
    <x v="144"/>
    <x v="1"/>
    <s v="Percent change"/>
    <s v="Units"/>
    <x v="2"/>
    <n v="1.7"/>
  </r>
  <r>
    <n v="603"/>
    <x v="12"/>
    <x v="144"/>
    <x v="1"/>
    <s v="Percent change"/>
    <s v="Units"/>
    <x v="3"/>
    <n v="1.4"/>
  </r>
  <r>
    <n v="603"/>
    <x v="12"/>
    <x v="144"/>
    <x v="1"/>
    <s v="Percent change"/>
    <s v="Units"/>
    <x v="4"/>
    <n v="2.8"/>
  </r>
  <r>
    <n v="603"/>
    <x v="12"/>
    <x v="144"/>
    <x v="1"/>
    <s v="Percent change"/>
    <s v="Units"/>
    <x v="5"/>
    <n v="3"/>
  </r>
  <r>
    <n v="603"/>
    <x v="12"/>
    <x v="144"/>
    <x v="1"/>
    <s v="Percent change"/>
    <s v="Units"/>
    <x v="6"/>
    <n v="2"/>
  </r>
  <r>
    <n v="1"/>
    <x v="2"/>
    <x v="144"/>
    <x v="1"/>
    <s v="Percent change"/>
    <s v="Units"/>
    <x v="0"/>
    <n v="-0.93300000000000005"/>
  </r>
  <r>
    <n v="1"/>
    <x v="2"/>
    <x v="144"/>
    <x v="1"/>
    <s v="Percent change"/>
    <s v="Units"/>
    <x v="1"/>
    <n v="3.0489999999999999"/>
  </r>
  <r>
    <n v="1"/>
    <x v="2"/>
    <x v="144"/>
    <x v="1"/>
    <s v="Percent change"/>
    <s v="Units"/>
    <x v="2"/>
    <n v="1.7"/>
  </r>
  <r>
    <n v="1"/>
    <x v="2"/>
    <x v="144"/>
    <x v="1"/>
    <s v="Percent change"/>
    <s v="Units"/>
    <x v="3"/>
    <n v="1.4"/>
  </r>
  <r>
    <n v="1"/>
    <x v="2"/>
    <x v="144"/>
    <x v="1"/>
    <s v="Percent change"/>
    <s v="Units"/>
    <x v="4"/>
    <n v="2.8"/>
  </r>
  <r>
    <n v="1"/>
    <x v="2"/>
    <x v="144"/>
    <x v="1"/>
    <s v="Percent change"/>
    <s v="Units"/>
    <x v="5"/>
    <n v="3"/>
  </r>
  <r>
    <n v="1"/>
    <x v="2"/>
    <x v="144"/>
    <x v="1"/>
    <s v="Percent change"/>
    <s v="Units"/>
    <x v="6"/>
    <n v="2"/>
  </r>
  <r>
    <n v="200"/>
    <x v="3"/>
    <x v="184"/>
    <x v="1"/>
    <s v="Percent change"/>
    <s v="Units"/>
    <x v="0"/>
    <n v="0.28599999999999998"/>
  </r>
  <r>
    <n v="200"/>
    <x v="3"/>
    <x v="184"/>
    <x v="1"/>
    <s v="Percent change"/>
    <s v="Units"/>
    <x v="1"/>
    <n v="1.4630000000000001"/>
  </r>
  <r>
    <n v="200"/>
    <x v="3"/>
    <x v="184"/>
    <x v="1"/>
    <s v="Percent change"/>
    <s v="Units"/>
    <x v="2"/>
    <n v="3.274"/>
  </r>
  <r>
    <n v="200"/>
    <x v="3"/>
    <x v="184"/>
    <x v="1"/>
    <s v="Percent change"/>
    <s v="Units"/>
    <x v="3"/>
    <n v="7.9169999999999998"/>
  </r>
  <r>
    <n v="200"/>
    <x v="3"/>
    <x v="184"/>
    <x v="1"/>
    <s v="Percent change"/>
    <s v="Units"/>
    <x v="4"/>
    <n v="7.1639999999999997"/>
  </r>
  <r>
    <n v="200"/>
    <x v="3"/>
    <x v="184"/>
    <x v="1"/>
    <s v="Percent change"/>
    <s v="Units"/>
    <x v="5"/>
    <n v="3"/>
  </r>
  <r>
    <n v="200"/>
    <x v="3"/>
    <x v="184"/>
    <x v="1"/>
    <s v="Percent change"/>
    <s v="Units"/>
    <x v="6"/>
    <n v="2"/>
  </r>
  <r>
    <n v="205"/>
    <x v="7"/>
    <x v="140"/>
    <x v="8"/>
    <s v="Percent change"/>
    <s v="Units"/>
    <x v="0"/>
    <n v="2.4319999999999999"/>
  </r>
  <r>
    <n v="205"/>
    <x v="7"/>
    <x v="140"/>
    <x v="8"/>
    <s v="Percent change"/>
    <s v="Units"/>
    <x v="1"/>
    <n v="-7.9009999999999998"/>
  </r>
  <r>
    <n v="205"/>
    <x v="7"/>
    <x v="140"/>
    <x v="8"/>
    <s v="Percent change"/>
    <s v="Units"/>
    <x v="2"/>
    <n v="11.904"/>
  </r>
  <r>
    <n v="205"/>
    <x v="7"/>
    <x v="140"/>
    <x v="8"/>
    <s v="Percent change"/>
    <s v="Units"/>
    <x v="3"/>
    <n v="2.7989999999999999"/>
  </r>
  <r>
    <n v="205"/>
    <x v="7"/>
    <x v="140"/>
    <x v="8"/>
    <s v="Percent change"/>
    <s v="Units"/>
    <x v="4"/>
    <n v="3.4980000000000002"/>
  </r>
  <r>
    <n v="205"/>
    <x v="7"/>
    <x v="140"/>
    <x v="8"/>
    <s v="Percent change"/>
    <s v="Units"/>
    <x v="5"/>
    <n v="3"/>
  </r>
  <r>
    <n v="205"/>
    <x v="7"/>
    <x v="140"/>
    <x v="8"/>
    <s v="Percent change"/>
    <s v="Units"/>
    <x v="6"/>
    <n v="2.2999999999999998"/>
  </r>
  <r>
    <n v="200"/>
    <x v="3"/>
    <x v="140"/>
    <x v="8"/>
    <s v="Percent change"/>
    <s v="Units"/>
    <x v="0"/>
    <n v="2.4319999999999999"/>
  </r>
  <r>
    <n v="200"/>
    <x v="3"/>
    <x v="140"/>
    <x v="8"/>
    <s v="Percent change"/>
    <s v="Units"/>
    <x v="1"/>
    <n v="-7.9009999999999998"/>
  </r>
  <r>
    <n v="200"/>
    <x v="3"/>
    <x v="140"/>
    <x v="8"/>
    <s v="Percent change"/>
    <s v="Units"/>
    <x v="2"/>
    <n v="11.904"/>
  </r>
  <r>
    <n v="200"/>
    <x v="3"/>
    <x v="140"/>
    <x v="8"/>
    <s v="Percent change"/>
    <s v="Units"/>
    <x v="3"/>
    <n v="2.7989999999999999"/>
  </r>
  <r>
    <n v="200"/>
    <x v="3"/>
    <x v="140"/>
    <x v="8"/>
    <s v="Percent change"/>
    <s v="Units"/>
    <x v="4"/>
    <n v="3.4980000000000002"/>
  </r>
  <r>
    <n v="200"/>
    <x v="3"/>
    <x v="140"/>
    <x v="8"/>
    <s v="Percent change"/>
    <s v="Units"/>
    <x v="5"/>
    <n v="3"/>
  </r>
  <r>
    <n v="200"/>
    <x v="3"/>
    <x v="140"/>
    <x v="8"/>
    <s v="Percent change"/>
    <s v="Units"/>
    <x v="6"/>
    <n v="2.2999999999999998"/>
  </r>
  <r>
    <n v="123"/>
    <x v="9"/>
    <x v="13"/>
    <x v="11"/>
    <s v="Percent of total labor force"/>
    <s v="Units"/>
    <x v="0"/>
    <n v="3.7829999999999999"/>
  </r>
  <r>
    <n v="123"/>
    <x v="9"/>
    <x v="13"/>
    <x v="11"/>
    <s v="Percent of total labor force"/>
    <s v="Units"/>
    <x v="1"/>
    <n v="3.9420000000000002"/>
  </r>
  <r>
    <n v="123"/>
    <x v="9"/>
    <x v="13"/>
    <x v="11"/>
    <s v="Percent of total labor force"/>
    <s v="Units"/>
    <x v="2"/>
    <n v="3.6749999999999998"/>
  </r>
  <r>
    <n v="123"/>
    <x v="9"/>
    <x v="13"/>
    <x v="11"/>
    <s v="Percent of total labor force"/>
    <s v="Units"/>
    <x v="3"/>
    <n v="2.883"/>
  </r>
  <r>
    <n v="123"/>
    <x v="9"/>
    <x v="13"/>
    <x v="11"/>
    <s v="Percent of total labor force"/>
    <s v="Units"/>
    <x v="4"/>
    <n v="2.7"/>
  </r>
  <r>
    <n v="123"/>
    <x v="9"/>
    <x v="13"/>
    <x v="11"/>
    <s v="Percent of total labor force"/>
    <s v="Units"/>
    <x v="5"/>
    <n v="3"/>
  </r>
  <r>
    <n v="123"/>
    <x v="9"/>
    <x v="13"/>
    <x v="11"/>
    <s v="Percent of total labor force"/>
    <s v="Units"/>
    <x v="6"/>
    <n v="3.1"/>
  </r>
  <r>
    <n v="163"/>
    <x v="5"/>
    <x v="78"/>
    <x v="8"/>
    <s v="Percent change"/>
    <s v="Units"/>
    <x v="0"/>
    <n v="3.3980000000000001"/>
  </r>
  <r>
    <n v="163"/>
    <x v="5"/>
    <x v="78"/>
    <x v="8"/>
    <s v="Percent change"/>
    <s v="Units"/>
    <x v="1"/>
    <n v="-8.5909999999999993"/>
  </r>
  <r>
    <n v="163"/>
    <x v="5"/>
    <x v="78"/>
    <x v="8"/>
    <s v="Percent change"/>
    <s v="Units"/>
    <x v="2"/>
    <n v="13.788"/>
  </r>
  <r>
    <n v="163"/>
    <x v="5"/>
    <x v="78"/>
    <x v="8"/>
    <s v="Percent change"/>
    <s v="Units"/>
    <x v="3"/>
    <n v="6.343"/>
  </r>
  <r>
    <n v="163"/>
    <x v="5"/>
    <x v="78"/>
    <x v="8"/>
    <s v="Percent change"/>
    <s v="Units"/>
    <x v="4"/>
    <n v="2.831"/>
  </r>
  <r>
    <n v="163"/>
    <x v="5"/>
    <x v="78"/>
    <x v="8"/>
    <s v="Percent change"/>
    <s v="Units"/>
    <x v="5"/>
    <n v="3"/>
  </r>
  <r>
    <n v="163"/>
    <x v="5"/>
    <x v="78"/>
    <x v="8"/>
    <s v="Percent change"/>
    <s v="Units"/>
    <x v="6"/>
    <n v="2.7370000000000001"/>
  </r>
  <r>
    <n v="510"/>
    <x v="10"/>
    <x v="31"/>
    <x v="1"/>
    <s v="Percent change"/>
    <s v="Units"/>
    <x v="0"/>
    <n v="0.56499999999999995"/>
  </r>
  <r>
    <n v="510"/>
    <x v="10"/>
    <x v="31"/>
    <x v="1"/>
    <s v="Percent change"/>
    <s v="Units"/>
    <x v="1"/>
    <n v="-0.182"/>
  </r>
  <r>
    <n v="510"/>
    <x v="10"/>
    <x v="31"/>
    <x v="1"/>
    <s v="Percent change"/>
    <s v="Units"/>
    <x v="2"/>
    <n v="2.3050000000000002"/>
  </r>
  <r>
    <n v="510"/>
    <x v="10"/>
    <x v="31"/>
    <x v="1"/>
    <s v="Percent change"/>
    <s v="Units"/>
    <x v="3"/>
    <n v="6.1210000000000004"/>
  </r>
  <r>
    <n v="510"/>
    <x v="10"/>
    <x v="31"/>
    <x v="1"/>
    <s v="Percent change"/>
    <s v="Units"/>
    <x v="4"/>
    <n v="4.8209999999999997"/>
  </r>
  <r>
    <n v="510"/>
    <x v="10"/>
    <x v="31"/>
    <x v="1"/>
    <s v="Percent change"/>
    <s v="Units"/>
    <x v="5"/>
    <n v="2.9790000000000001"/>
  </r>
  <r>
    <n v="510"/>
    <x v="10"/>
    <x v="31"/>
    <x v="1"/>
    <s v="Percent change"/>
    <s v="Units"/>
    <x v="6"/>
    <n v="2.5"/>
  </r>
  <r>
    <n v="1"/>
    <x v="2"/>
    <x v="31"/>
    <x v="1"/>
    <s v="Percent change"/>
    <s v="Units"/>
    <x v="0"/>
    <n v="0.56499999999999995"/>
  </r>
  <r>
    <n v="1"/>
    <x v="2"/>
    <x v="31"/>
    <x v="1"/>
    <s v="Percent change"/>
    <s v="Units"/>
    <x v="1"/>
    <n v="-0.182"/>
  </r>
  <r>
    <n v="1"/>
    <x v="2"/>
    <x v="31"/>
    <x v="1"/>
    <s v="Percent change"/>
    <s v="Units"/>
    <x v="2"/>
    <n v="2.3050000000000002"/>
  </r>
  <r>
    <n v="1"/>
    <x v="2"/>
    <x v="31"/>
    <x v="1"/>
    <s v="Percent change"/>
    <s v="Units"/>
    <x v="3"/>
    <n v="6.1210000000000004"/>
  </r>
  <r>
    <n v="1"/>
    <x v="2"/>
    <x v="31"/>
    <x v="1"/>
    <s v="Percent change"/>
    <s v="Units"/>
    <x v="4"/>
    <n v="4.8209999999999997"/>
  </r>
  <r>
    <n v="1"/>
    <x v="2"/>
    <x v="31"/>
    <x v="1"/>
    <s v="Percent change"/>
    <s v="Units"/>
    <x v="5"/>
    <n v="2.9790000000000001"/>
  </r>
  <r>
    <n v="1"/>
    <x v="2"/>
    <x v="31"/>
    <x v="1"/>
    <s v="Percent change"/>
    <s v="Units"/>
    <x v="6"/>
    <n v="2.5"/>
  </r>
  <r>
    <n v="110"/>
    <x v="0"/>
    <x v="31"/>
    <x v="1"/>
    <s v="Percent change"/>
    <s v="Units"/>
    <x v="0"/>
    <n v="0.56499999999999995"/>
  </r>
  <r>
    <n v="110"/>
    <x v="0"/>
    <x v="31"/>
    <x v="1"/>
    <s v="Percent change"/>
    <s v="Units"/>
    <x v="1"/>
    <n v="-0.182"/>
  </r>
  <r>
    <n v="110"/>
    <x v="0"/>
    <x v="31"/>
    <x v="1"/>
    <s v="Percent change"/>
    <s v="Units"/>
    <x v="2"/>
    <n v="2.3050000000000002"/>
  </r>
  <r>
    <n v="110"/>
    <x v="0"/>
    <x v="31"/>
    <x v="1"/>
    <s v="Percent change"/>
    <s v="Units"/>
    <x v="3"/>
    <n v="6.1210000000000004"/>
  </r>
  <r>
    <n v="110"/>
    <x v="0"/>
    <x v="31"/>
    <x v="1"/>
    <s v="Percent change"/>
    <s v="Units"/>
    <x v="4"/>
    <n v="4.8209999999999997"/>
  </r>
  <r>
    <n v="110"/>
    <x v="0"/>
    <x v="31"/>
    <x v="1"/>
    <s v="Percent change"/>
    <s v="Units"/>
    <x v="5"/>
    <n v="2.9790000000000001"/>
  </r>
  <r>
    <n v="110"/>
    <x v="0"/>
    <x v="31"/>
    <x v="1"/>
    <s v="Percent change"/>
    <s v="Units"/>
    <x v="6"/>
    <n v="2.5"/>
  </r>
  <r>
    <n v="123"/>
    <x v="9"/>
    <x v="31"/>
    <x v="1"/>
    <s v="Percent change"/>
    <s v="Units"/>
    <x v="0"/>
    <n v="0.56499999999999995"/>
  </r>
  <r>
    <n v="123"/>
    <x v="9"/>
    <x v="31"/>
    <x v="1"/>
    <s v="Percent change"/>
    <s v="Units"/>
    <x v="1"/>
    <n v="-0.182"/>
  </r>
  <r>
    <n v="123"/>
    <x v="9"/>
    <x v="31"/>
    <x v="1"/>
    <s v="Percent change"/>
    <s v="Units"/>
    <x v="2"/>
    <n v="2.3050000000000002"/>
  </r>
  <r>
    <n v="123"/>
    <x v="9"/>
    <x v="31"/>
    <x v="1"/>
    <s v="Percent change"/>
    <s v="Units"/>
    <x v="3"/>
    <n v="6.1210000000000004"/>
  </r>
  <r>
    <n v="123"/>
    <x v="9"/>
    <x v="31"/>
    <x v="1"/>
    <s v="Percent change"/>
    <s v="Units"/>
    <x v="4"/>
    <n v="4.8209999999999997"/>
  </r>
  <r>
    <n v="123"/>
    <x v="9"/>
    <x v="31"/>
    <x v="1"/>
    <s v="Percent change"/>
    <s v="Units"/>
    <x v="5"/>
    <n v="2.9790000000000001"/>
  </r>
  <r>
    <n v="123"/>
    <x v="9"/>
    <x v="31"/>
    <x v="1"/>
    <s v="Percent change"/>
    <s v="Units"/>
    <x v="6"/>
    <n v="2.5"/>
  </r>
  <r>
    <n v="1"/>
    <x v="2"/>
    <x v="122"/>
    <x v="8"/>
    <s v="Percent change"/>
    <s v="Units"/>
    <x v="0"/>
    <n v="3.2410000000000001"/>
  </r>
  <r>
    <n v="1"/>
    <x v="2"/>
    <x v="122"/>
    <x v="8"/>
    <s v="Percent change"/>
    <s v="Units"/>
    <x v="1"/>
    <n v="-4.992"/>
  </r>
  <r>
    <n v="1"/>
    <x v="2"/>
    <x v="122"/>
    <x v="8"/>
    <s v="Percent change"/>
    <s v="Units"/>
    <x v="2"/>
    <n v="-1.552"/>
  </r>
  <r>
    <n v="1"/>
    <x v="2"/>
    <x v="122"/>
    <x v="8"/>
    <s v="Percent change"/>
    <s v="Units"/>
    <x v="3"/>
    <n v="1.915"/>
  </r>
  <r>
    <n v="1"/>
    <x v="2"/>
    <x v="122"/>
    <x v="8"/>
    <s v="Percent change"/>
    <s v="Units"/>
    <x v="4"/>
    <n v="2.214"/>
  </r>
  <r>
    <n v="1"/>
    <x v="2"/>
    <x v="122"/>
    <x v="8"/>
    <s v="Percent change"/>
    <s v="Units"/>
    <x v="5"/>
    <n v="2.968"/>
  </r>
  <r>
    <n v="1"/>
    <x v="2"/>
    <x v="122"/>
    <x v="8"/>
    <s v="Percent change"/>
    <s v="Units"/>
    <x v="6"/>
    <n v="3.516"/>
  </r>
  <r>
    <n v="200"/>
    <x v="3"/>
    <x v="122"/>
    <x v="8"/>
    <s v="Percent change"/>
    <s v="Units"/>
    <x v="0"/>
    <n v="3.2410000000000001"/>
  </r>
  <r>
    <n v="200"/>
    <x v="3"/>
    <x v="122"/>
    <x v="8"/>
    <s v="Percent change"/>
    <s v="Units"/>
    <x v="1"/>
    <n v="-4.992"/>
  </r>
  <r>
    <n v="200"/>
    <x v="3"/>
    <x v="122"/>
    <x v="8"/>
    <s v="Percent change"/>
    <s v="Units"/>
    <x v="2"/>
    <n v="-1.552"/>
  </r>
  <r>
    <n v="200"/>
    <x v="3"/>
    <x v="122"/>
    <x v="8"/>
    <s v="Percent change"/>
    <s v="Units"/>
    <x v="3"/>
    <n v="1.915"/>
  </r>
  <r>
    <n v="200"/>
    <x v="3"/>
    <x v="122"/>
    <x v="8"/>
    <s v="Percent change"/>
    <s v="Units"/>
    <x v="4"/>
    <n v="2.214"/>
  </r>
  <r>
    <n v="200"/>
    <x v="3"/>
    <x v="122"/>
    <x v="8"/>
    <s v="Percent change"/>
    <s v="Units"/>
    <x v="5"/>
    <n v="2.968"/>
  </r>
  <r>
    <n v="200"/>
    <x v="3"/>
    <x v="122"/>
    <x v="8"/>
    <s v="Percent change"/>
    <s v="Units"/>
    <x v="6"/>
    <n v="3.516"/>
  </r>
  <r>
    <n v="505"/>
    <x v="4"/>
    <x v="122"/>
    <x v="8"/>
    <s v="Percent change"/>
    <s v="Units"/>
    <x v="0"/>
    <n v="3.2410000000000001"/>
  </r>
  <r>
    <n v="505"/>
    <x v="4"/>
    <x v="122"/>
    <x v="8"/>
    <s v="Percent change"/>
    <s v="Units"/>
    <x v="1"/>
    <n v="-4.992"/>
  </r>
  <r>
    <n v="505"/>
    <x v="4"/>
    <x v="122"/>
    <x v="8"/>
    <s v="Percent change"/>
    <s v="Units"/>
    <x v="2"/>
    <n v="-1.552"/>
  </r>
  <r>
    <n v="505"/>
    <x v="4"/>
    <x v="122"/>
    <x v="8"/>
    <s v="Percent change"/>
    <s v="Units"/>
    <x v="3"/>
    <n v="1.915"/>
  </r>
  <r>
    <n v="505"/>
    <x v="4"/>
    <x v="122"/>
    <x v="8"/>
    <s v="Percent change"/>
    <s v="Units"/>
    <x v="4"/>
    <n v="2.214"/>
  </r>
  <r>
    <n v="505"/>
    <x v="4"/>
    <x v="122"/>
    <x v="8"/>
    <s v="Percent change"/>
    <s v="Units"/>
    <x v="5"/>
    <n v="2.968"/>
  </r>
  <r>
    <n v="505"/>
    <x v="4"/>
    <x v="122"/>
    <x v="8"/>
    <s v="Percent change"/>
    <s v="Units"/>
    <x v="6"/>
    <n v="3.516"/>
  </r>
  <r>
    <n v="200"/>
    <x v="3"/>
    <x v="42"/>
    <x v="8"/>
    <s v="Percent change"/>
    <s v="Units"/>
    <x v="0"/>
    <n v="5.548"/>
  </r>
  <r>
    <n v="200"/>
    <x v="3"/>
    <x v="42"/>
    <x v="8"/>
    <s v="Percent change"/>
    <s v="Units"/>
    <x v="1"/>
    <n v="3.573"/>
  </r>
  <r>
    <n v="200"/>
    <x v="3"/>
    <x v="42"/>
    <x v="8"/>
    <s v="Percent change"/>
    <s v="Units"/>
    <x v="2"/>
    <n v="3.2530000000000001"/>
  </r>
  <r>
    <n v="200"/>
    <x v="3"/>
    <x v="42"/>
    <x v="8"/>
    <s v="Percent change"/>
    <s v="Units"/>
    <x v="3"/>
    <n v="6.6529999999999996"/>
  </r>
  <r>
    <n v="200"/>
    <x v="3"/>
    <x v="42"/>
    <x v="8"/>
    <s v="Percent change"/>
    <s v="Units"/>
    <x v="4"/>
    <n v="3.76"/>
  </r>
  <r>
    <n v="200"/>
    <x v="3"/>
    <x v="42"/>
    <x v="8"/>
    <s v="Percent change"/>
    <s v="Units"/>
    <x v="5"/>
    <n v="2.9660000000000002"/>
  </r>
  <r>
    <n v="200"/>
    <x v="3"/>
    <x v="42"/>
    <x v="8"/>
    <s v="Percent change"/>
    <s v="Units"/>
    <x v="6"/>
    <n v="4.4409999999999998"/>
  </r>
  <r>
    <n v="1"/>
    <x v="2"/>
    <x v="42"/>
    <x v="8"/>
    <s v="Percent change"/>
    <s v="Units"/>
    <x v="0"/>
    <n v="5.548"/>
  </r>
  <r>
    <n v="1"/>
    <x v="2"/>
    <x v="42"/>
    <x v="8"/>
    <s v="Percent change"/>
    <s v="Units"/>
    <x v="1"/>
    <n v="3.573"/>
  </r>
  <r>
    <n v="1"/>
    <x v="2"/>
    <x v="42"/>
    <x v="8"/>
    <s v="Percent change"/>
    <s v="Units"/>
    <x v="2"/>
    <n v="3.2530000000000001"/>
  </r>
  <r>
    <n v="1"/>
    <x v="2"/>
    <x v="42"/>
    <x v="8"/>
    <s v="Percent change"/>
    <s v="Units"/>
    <x v="3"/>
    <n v="6.6529999999999996"/>
  </r>
  <r>
    <n v="1"/>
    <x v="2"/>
    <x v="42"/>
    <x v="8"/>
    <s v="Percent change"/>
    <s v="Units"/>
    <x v="4"/>
    <n v="3.76"/>
  </r>
  <r>
    <n v="1"/>
    <x v="2"/>
    <x v="42"/>
    <x v="8"/>
    <s v="Percent change"/>
    <s v="Units"/>
    <x v="5"/>
    <n v="2.9660000000000002"/>
  </r>
  <r>
    <n v="1"/>
    <x v="2"/>
    <x v="42"/>
    <x v="8"/>
    <s v="Percent change"/>
    <s v="Units"/>
    <x v="6"/>
    <n v="4.4409999999999998"/>
  </r>
  <r>
    <n v="400"/>
    <x v="11"/>
    <x v="42"/>
    <x v="8"/>
    <s v="Percent change"/>
    <s v="Units"/>
    <x v="0"/>
    <n v="5.548"/>
  </r>
  <r>
    <n v="400"/>
    <x v="11"/>
    <x v="42"/>
    <x v="8"/>
    <s v="Percent change"/>
    <s v="Units"/>
    <x v="1"/>
    <n v="3.573"/>
  </r>
  <r>
    <n v="400"/>
    <x v="11"/>
    <x v="42"/>
    <x v="8"/>
    <s v="Percent change"/>
    <s v="Units"/>
    <x v="2"/>
    <n v="3.2530000000000001"/>
  </r>
  <r>
    <n v="400"/>
    <x v="11"/>
    <x v="42"/>
    <x v="8"/>
    <s v="Percent change"/>
    <s v="Units"/>
    <x v="3"/>
    <n v="6.6529999999999996"/>
  </r>
  <r>
    <n v="400"/>
    <x v="11"/>
    <x v="42"/>
    <x v="8"/>
    <s v="Percent change"/>
    <s v="Units"/>
    <x v="4"/>
    <n v="3.76"/>
  </r>
  <r>
    <n v="400"/>
    <x v="11"/>
    <x v="42"/>
    <x v="8"/>
    <s v="Percent change"/>
    <s v="Units"/>
    <x v="5"/>
    <n v="2.9660000000000002"/>
  </r>
  <r>
    <n v="400"/>
    <x v="11"/>
    <x v="42"/>
    <x v="8"/>
    <s v="Percent change"/>
    <s v="Units"/>
    <x v="6"/>
    <n v="4.4409999999999998"/>
  </r>
  <r>
    <n v="205"/>
    <x v="7"/>
    <x v="105"/>
    <x v="8"/>
    <s v="Percent change"/>
    <s v="Units"/>
    <x v="0"/>
    <n v="1.1679999999999999"/>
  </r>
  <r>
    <n v="205"/>
    <x v="7"/>
    <x v="105"/>
    <x v="8"/>
    <s v="Percent change"/>
    <s v="Units"/>
    <x v="1"/>
    <n v="-15.975"/>
  </r>
  <r>
    <n v="205"/>
    <x v="7"/>
    <x v="105"/>
    <x v="8"/>
    <s v="Percent change"/>
    <s v="Units"/>
    <x v="2"/>
    <n v="-2.4350000000000001"/>
  </r>
  <r>
    <n v="205"/>
    <x v="7"/>
    <x v="105"/>
    <x v="8"/>
    <s v="Percent change"/>
    <s v="Units"/>
    <x v="3"/>
    <n v="2.4340000000000002"/>
  </r>
  <r>
    <n v="205"/>
    <x v="7"/>
    <x v="105"/>
    <x v="8"/>
    <s v="Percent change"/>
    <s v="Units"/>
    <x v="4"/>
    <n v="2.1480000000000001"/>
  </r>
  <r>
    <n v="205"/>
    <x v="7"/>
    <x v="105"/>
    <x v="8"/>
    <s v="Percent change"/>
    <s v="Units"/>
    <x v="5"/>
    <n v="2.9620000000000002"/>
  </r>
  <r>
    <n v="205"/>
    <x v="7"/>
    <x v="105"/>
    <x v="8"/>
    <s v="Percent change"/>
    <s v="Units"/>
    <x v="6"/>
    <n v="2.984"/>
  </r>
  <r>
    <n v="200"/>
    <x v="3"/>
    <x v="105"/>
    <x v="8"/>
    <s v="Percent change"/>
    <s v="Units"/>
    <x v="0"/>
    <n v="1.1679999999999999"/>
  </r>
  <r>
    <n v="200"/>
    <x v="3"/>
    <x v="105"/>
    <x v="8"/>
    <s v="Percent change"/>
    <s v="Units"/>
    <x v="1"/>
    <n v="-15.975"/>
  </r>
  <r>
    <n v="200"/>
    <x v="3"/>
    <x v="105"/>
    <x v="8"/>
    <s v="Percent change"/>
    <s v="Units"/>
    <x v="2"/>
    <n v="-2.4350000000000001"/>
  </r>
  <r>
    <n v="200"/>
    <x v="3"/>
    <x v="105"/>
    <x v="8"/>
    <s v="Percent change"/>
    <s v="Units"/>
    <x v="3"/>
    <n v="2.4340000000000002"/>
  </r>
  <r>
    <n v="200"/>
    <x v="3"/>
    <x v="105"/>
    <x v="8"/>
    <s v="Percent change"/>
    <s v="Units"/>
    <x v="4"/>
    <n v="2.1480000000000001"/>
  </r>
  <r>
    <n v="200"/>
    <x v="3"/>
    <x v="105"/>
    <x v="8"/>
    <s v="Percent change"/>
    <s v="Units"/>
    <x v="5"/>
    <n v="2.9620000000000002"/>
  </r>
  <r>
    <n v="200"/>
    <x v="3"/>
    <x v="105"/>
    <x v="8"/>
    <s v="Percent change"/>
    <s v="Units"/>
    <x v="6"/>
    <n v="2.984"/>
  </r>
  <r>
    <n v="1"/>
    <x v="2"/>
    <x v="105"/>
    <x v="8"/>
    <s v="Percent change"/>
    <s v="Units"/>
    <x v="0"/>
    <n v="1.1679999999999999"/>
  </r>
  <r>
    <n v="1"/>
    <x v="2"/>
    <x v="105"/>
    <x v="8"/>
    <s v="Percent change"/>
    <s v="Units"/>
    <x v="1"/>
    <n v="-15.975"/>
  </r>
  <r>
    <n v="1"/>
    <x v="2"/>
    <x v="105"/>
    <x v="8"/>
    <s v="Percent change"/>
    <s v="Units"/>
    <x v="2"/>
    <n v="-2.4350000000000001"/>
  </r>
  <r>
    <n v="1"/>
    <x v="2"/>
    <x v="105"/>
    <x v="8"/>
    <s v="Percent change"/>
    <s v="Units"/>
    <x v="3"/>
    <n v="2.4340000000000002"/>
  </r>
  <r>
    <n v="1"/>
    <x v="2"/>
    <x v="105"/>
    <x v="8"/>
    <s v="Percent change"/>
    <s v="Units"/>
    <x v="4"/>
    <n v="2.1480000000000001"/>
  </r>
  <r>
    <n v="1"/>
    <x v="2"/>
    <x v="105"/>
    <x v="8"/>
    <s v="Percent change"/>
    <s v="Units"/>
    <x v="5"/>
    <n v="2.9620000000000002"/>
  </r>
  <r>
    <n v="1"/>
    <x v="2"/>
    <x v="105"/>
    <x v="8"/>
    <s v="Percent change"/>
    <s v="Units"/>
    <x v="6"/>
    <n v="2.984"/>
  </r>
  <r>
    <n v="200"/>
    <x v="3"/>
    <x v="167"/>
    <x v="4"/>
    <s v="Percent change"/>
    <s v="Units"/>
    <x v="0"/>
    <n v="1.4359999999999999"/>
  </r>
  <r>
    <n v="200"/>
    <x v="3"/>
    <x v="167"/>
    <x v="4"/>
    <s v="Percent change"/>
    <s v="Units"/>
    <x v="1"/>
    <n v="-9.5820000000000007"/>
  </r>
  <r>
    <n v="200"/>
    <x v="3"/>
    <x v="167"/>
    <x v="4"/>
    <s v="Percent change"/>
    <s v="Units"/>
    <x v="2"/>
    <n v="14.618"/>
  </r>
  <r>
    <n v="200"/>
    <x v="3"/>
    <x v="167"/>
    <x v="4"/>
    <s v="Percent change"/>
    <s v="Units"/>
    <x v="3"/>
    <n v="5.282"/>
  </r>
  <r>
    <n v="200"/>
    <x v="3"/>
    <x v="167"/>
    <x v="4"/>
    <s v="Percent change"/>
    <s v="Units"/>
    <x v="4"/>
    <n v="1.137"/>
  </r>
  <r>
    <n v="200"/>
    <x v="3"/>
    <x v="167"/>
    <x v="4"/>
    <s v="Percent change"/>
    <s v="Units"/>
    <x v="5"/>
    <n v="2.96"/>
  </r>
  <r>
    <n v="200"/>
    <x v="3"/>
    <x v="167"/>
    <x v="4"/>
    <s v="Percent change"/>
    <s v="Units"/>
    <x v="6"/>
    <n v="4.2069999999999999"/>
  </r>
  <r>
    <n v="1"/>
    <x v="2"/>
    <x v="167"/>
    <x v="4"/>
    <s v="Percent change"/>
    <s v="Units"/>
    <x v="0"/>
    <n v="1.4359999999999999"/>
  </r>
  <r>
    <n v="1"/>
    <x v="2"/>
    <x v="167"/>
    <x v="4"/>
    <s v="Percent change"/>
    <s v="Units"/>
    <x v="1"/>
    <n v="-9.5820000000000007"/>
  </r>
  <r>
    <n v="1"/>
    <x v="2"/>
    <x v="167"/>
    <x v="4"/>
    <s v="Percent change"/>
    <s v="Units"/>
    <x v="2"/>
    <n v="14.618"/>
  </r>
  <r>
    <n v="1"/>
    <x v="2"/>
    <x v="167"/>
    <x v="4"/>
    <s v="Percent change"/>
    <s v="Units"/>
    <x v="3"/>
    <n v="5.282"/>
  </r>
  <r>
    <n v="1"/>
    <x v="2"/>
    <x v="167"/>
    <x v="4"/>
    <s v="Percent change"/>
    <s v="Units"/>
    <x v="4"/>
    <n v="1.137"/>
  </r>
  <r>
    <n v="1"/>
    <x v="2"/>
    <x v="167"/>
    <x v="4"/>
    <s v="Percent change"/>
    <s v="Units"/>
    <x v="5"/>
    <n v="2.96"/>
  </r>
  <r>
    <n v="1"/>
    <x v="2"/>
    <x v="167"/>
    <x v="4"/>
    <s v="Percent change"/>
    <s v="Units"/>
    <x v="6"/>
    <n v="4.2069999999999999"/>
  </r>
  <r>
    <n v="205"/>
    <x v="7"/>
    <x v="167"/>
    <x v="4"/>
    <s v="Percent change"/>
    <s v="Units"/>
    <x v="0"/>
    <n v="1.4359999999999999"/>
  </r>
  <r>
    <n v="205"/>
    <x v="7"/>
    <x v="167"/>
    <x v="4"/>
    <s v="Percent change"/>
    <s v="Units"/>
    <x v="1"/>
    <n v="-9.5820000000000007"/>
  </r>
  <r>
    <n v="205"/>
    <x v="7"/>
    <x v="167"/>
    <x v="4"/>
    <s v="Percent change"/>
    <s v="Units"/>
    <x v="2"/>
    <n v="14.618"/>
  </r>
  <r>
    <n v="205"/>
    <x v="7"/>
    <x v="167"/>
    <x v="4"/>
    <s v="Percent change"/>
    <s v="Units"/>
    <x v="3"/>
    <n v="5.282"/>
  </r>
  <r>
    <n v="205"/>
    <x v="7"/>
    <x v="167"/>
    <x v="4"/>
    <s v="Percent change"/>
    <s v="Units"/>
    <x v="4"/>
    <n v="1.137"/>
  </r>
  <r>
    <n v="205"/>
    <x v="7"/>
    <x v="167"/>
    <x v="4"/>
    <s v="Percent change"/>
    <s v="Units"/>
    <x v="5"/>
    <n v="2.96"/>
  </r>
  <r>
    <n v="205"/>
    <x v="7"/>
    <x v="167"/>
    <x v="4"/>
    <s v="Percent change"/>
    <s v="Units"/>
    <x v="6"/>
    <n v="4.2069999999999999"/>
  </r>
  <r>
    <n v="205"/>
    <x v="7"/>
    <x v="137"/>
    <x v="1"/>
    <s v="Percent change"/>
    <s v="Units"/>
    <x v="0"/>
    <n v="0.90600000000000003"/>
  </r>
  <r>
    <n v="205"/>
    <x v="7"/>
    <x v="137"/>
    <x v="1"/>
    <s v="Percent change"/>
    <s v="Units"/>
    <x v="1"/>
    <n v="-0.60599999999999998"/>
  </r>
  <r>
    <n v="205"/>
    <x v="7"/>
    <x v="137"/>
    <x v="1"/>
    <s v="Percent change"/>
    <s v="Units"/>
    <x v="2"/>
    <n v="1.5569999999999999"/>
  </r>
  <r>
    <n v="205"/>
    <x v="7"/>
    <x v="137"/>
    <x v="1"/>
    <s v="Percent change"/>
    <s v="Units"/>
    <x v="3"/>
    <n v="5.66"/>
  </r>
  <r>
    <n v="205"/>
    <x v="7"/>
    <x v="137"/>
    <x v="1"/>
    <s v="Percent change"/>
    <s v="Units"/>
    <x v="4"/>
    <n v="4.5709999999999997"/>
  </r>
  <r>
    <n v="205"/>
    <x v="7"/>
    <x v="137"/>
    <x v="1"/>
    <s v="Percent change"/>
    <s v="Units"/>
    <x v="5"/>
    <n v="2.9550000000000001"/>
  </r>
  <r>
    <n v="205"/>
    <x v="7"/>
    <x v="137"/>
    <x v="1"/>
    <s v="Percent change"/>
    <s v="Units"/>
    <x v="6"/>
    <n v="1.998"/>
  </r>
  <r>
    <n v="1"/>
    <x v="2"/>
    <x v="137"/>
    <x v="1"/>
    <s v="Percent change"/>
    <s v="Units"/>
    <x v="0"/>
    <n v="0.90600000000000003"/>
  </r>
  <r>
    <n v="1"/>
    <x v="2"/>
    <x v="137"/>
    <x v="1"/>
    <s v="Percent change"/>
    <s v="Units"/>
    <x v="1"/>
    <n v="-0.60599999999999998"/>
  </r>
  <r>
    <n v="1"/>
    <x v="2"/>
    <x v="137"/>
    <x v="1"/>
    <s v="Percent change"/>
    <s v="Units"/>
    <x v="2"/>
    <n v="1.5569999999999999"/>
  </r>
  <r>
    <n v="1"/>
    <x v="2"/>
    <x v="137"/>
    <x v="1"/>
    <s v="Percent change"/>
    <s v="Units"/>
    <x v="3"/>
    <n v="5.66"/>
  </r>
  <r>
    <n v="1"/>
    <x v="2"/>
    <x v="137"/>
    <x v="1"/>
    <s v="Percent change"/>
    <s v="Units"/>
    <x v="4"/>
    <n v="4.5709999999999997"/>
  </r>
  <r>
    <n v="1"/>
    <x v="2"/>
    <x v="137"/>
    <x v="1"/>
    <s v="Percent change"/>
    <s v="Units"/>
    <x v="5"/>
    <n v="2.9550000000000001"/>
  </r>
  <r>
    <n v="1"/>
    <x v="2"/>
    <x v="137"/>
    <x v="1"/>
    <s v="Percent change"/>
    <s v="Units"/>
    <x v="6"/>
    <n v="1.998"/>
  </r>
  <r>
    <n v="200"/>
    <x v="3"/>
    <x v="137"/>
    <x v="1"/>
    <s v="Percent change"/>
    <s v="Units"/>
    <x v="0"/>
    <n v="0.90600000000000003"/>
  </r>
  <r>
    <n v="200"/>
    <x v="3"/>
    <x v="137"/>
    <x v="1"/>
    <s v="Percent change"/>
    <s v="Units"/>
    <x v="1"/>
    <n v="-0.60599999999999998"/>
  </r>
  <r>
    <n v="200"/>
    <x v="3"/>
    <x v="137"/>
    <x v="1"/>
    <s v="Percent change"/>
    <s v="Units"/>
    <x v="2"/>
    <n v="1.5569999999999999"/>
  </r>
  <r>
    <n v="200"/>
    <x v="3"/>
    <x v="137"/>
    <x v="1"/>
    <s v="Percent change"/>
    <s v="Units"/>
    <x v="3"/>
    <n v="5.66"/>
  </r>
  <r>
    <n v="200"/>
    <x v="3"/>
    <x v="137"/>
    <x v="1"/>
    <s v="Percent change"/>
    <s v="Units"/>
    <x v="4"/>
    <n v="4.5709999999999997"/>
  </r>
  <r>
    <n v="200"/>
    <x v="3"/>
    <x v="137"/>
    <x v="1"/>
    <s v="Percent change"/>
    <s v="Units"/>
    <x v="5"/>
    <n v="2.9550000000000001"/>
  </r>
  <r>
    <n v="200"/>
    <x v="3"/>
    <x v="137"/>
    <x v="1"/>
    <s v="Percent change"/>
    <s v="Units"/>
    <x v="6"/>
    <n v="1.998"/>
  </r>
  <r>
    <n v="200"/>
    <x v="3"/>
    <x v="10"/>
    <x v="10"/>
    <s v="Percent"/>
    <s v="Units"/>
    <x v="0"/>
    <n v="3.0720000000000001"/>
  </r>
  <r>
    <n v="200"/>
    <x v="3"/>
    <x v="10"/>
    <x v="10"/>
    <s v="Percent"/>
    <s v="Units"/>
    <x v="1"/>
    <n v="3.08"/>
  </r>
  <r>
    <n v="200"/>
    <x v="3"/>
    <x v="10"/>
    <x v="10"/>
    <s v="Percent"/>
    <s v="Units"/>
    <x v="2"/>
    <n v="3.0680000000000001"/>
  </r>
  <r>
    <n v="200"/>
    <x v="3"/>
    <x v="10"/>
    <x v="10"/>
    <s v="Percent"/>
    <s v="Units"/>
    <x v="3"/>
    <n v="2.9329999999999998"/>
  </r>
  <r>
    <n v="200"/>
    <x v="3"/>
    <x v="10"/>
    <x v="10"/>
    <s v="Percent"/>
    <s v="Units"/>
    <x v="4"/>
    <n v="2.9470000000000001"/>
  </r>
  <r>
    <n v="200"/>
    <x v="3"/>
    <x v="10"/>
    <x v="10"/>
    <s v="Percent"/>
    <s v="Units"/>
    <x v="5"/>
    <n v="2.948"/>
  </r>
  <r>
    <n v="200"/>
    <x v="3"/>
    <x v="10"/>
    <x v="10"/>
    <s v="Percent"/>
    <s v="Units"/>
    <x v="6"/>
    <n v="2.9079999999999999"/>
  </r>
  <r>
    <n v="903"/>
    <x v="8"/>
    <x v="10"/>
    <x v="10"/>
    <s v="Percent"/>
    <s v="Units"/>
    <x v="0"/>
    <n v="3.0720000000000001"/>
  </r>
  <r>
    <n v="903"/>
    <x v="8"/>
    <x v="10"/>
    <x v="10"/>
    <s v="Percent"/>
    <s v="Units"/>
    <x v="1"/>
    <n v="3.08"/>
  </r>
  <r>
    <n v="903"/>
    <x v="8"/>
    <x v="10"/>
    <x v="10"/>
    <s v="Percent"/>
    <s v="Units"/>
    <x v="2"/>
    <n v="3.0680000000000001"/>
  </r>
  <r>
    <n v="903"/>
    <x v="8"/>
    <x v="10"/>
    <x v="10"/>
    <s v="Percent"/>
    <s v="Units"/>
    <x v="3"/>
    <n v="2.9329999999999998"/>
  </r>
  <r>
    <n v="903"/>
    <x v="8"/>
    <x v="10"/>
    <x v="10"/>
    <s v="Percent"/>
    <s v="Units"/>
    <x v="4"/>
    <n v="2.9470000000000001"/>
  </r>
  <r>
    <n v="903"/>
    <x v="8"/>
    <x v="10"/>
    <x v="10"/>
    <s v="Percent"/>
    <s v="Units"/>
    <x v="5"/>
    <n v="2.948"/>
  </r>
  <r>
    <n v="903"/>
    <x v="8"/>
    <x v="10"/>
    <x v="10"/>
    <s v="Percent"/>
    <s v="Units"/>
    <x v="6"/>
    <n v="2.9079999999999999"/>
  </r>
  <r>
    <n v="1"/>
    <x v="2"/>
    <x v="75"/>
    <x v="4"/>
    <s v="Percent change"/>
    <s v="Units"/>
    <x v="0"/>
    <n v="-5.9269999999999996"/>
  </r>
  <r>
    <n v="1"/>
    <x v="2"/>
    <x v="75"/>
    <x v="4"/>
    <s v="Percent change"/>
    <s v="Units"/>
    <x v="1"/>
    <n v="-7.3419999999999996"/>
  </r>
  <r>
    <n v="1"/>
    <x v="2"/>
    <x v="75"/>
    <x v="4"/>
    <s v="Percent change"/>
    <s v="Units"/>
    <x v="2"/>
    <n v="-8.5579999999999998"/>
  </r>
  <r>
    <n v="1"/>
    <x v="2"/>
    <x v="75"/>
    <x v="4"/>
    <s v="Percent change"/>
    <s v="Units"/>
    <x v="3"/>
    <n v="3.2709999999999999"/>
  </r>
  <r>
    <n v="1"/>
    <x v="2"/>
    <x v="75"/>
    <x v="4"/>
    <s v="Percent change"/>
    <s v="Units"/>
    <x v="4"/>
    <n v="-6.1849999999999996"/>
  </r>
  <r>
    <n v="1"/>
    <x v="2"/>
    <x v="75"/>
    <x v="4"/>
    <s v="Percent change"/>
    <s v="Units"/>
    <x v="5"/>
    <n v="2.9369999999999998"/>
  </r>
  <r>
    <n v="1"/>
    <x v="2"/>
    <x v="75"/>
    <x v="4"/>
    <s v="Percent change"/>
    <s v="Units"/>
    <x v="6"/>
    <n v="5.7119999999999997"/>
  </r>
  <r>
    <n v="200"/>
    <x v="3"/>
    <x v="75"/>
    <x v="4"/>
    <s v="Percent change"/>
    <s v="Units"/>
    <x v="0"/>
    <n v="-5.9269999999999996"/>
  </r>
  <r>
    <n v="200"/>
    <x v="3"/>
    <x v="75"/>
    <x v="4"/>
    <s v="Percent change"/>
    <s v="Units"/>
    <x v="1"/>
    <n v="-7.3419999999999996"/>
  </r>
  <r>
    <n v="200"/>
    <x v="3"/>
    <x v="75"/>
    <x v="4"/>
    <s v="Percent change"/>
    <s v="Units"/>
    <x v="2"/>
    <n v="-8.5579999999999998"/>
  </r>
  <r>
    <n v="200"/>
    <x v="3"/>
    <x v="75"/>
    <x v="4"/>
    <s v="Percent change"/>
    <s v="Units"/>
    <x v="3"/>
    <n v="3.2709999999999999"/>
  </r>
  <r>
    <n v="200"/>
    <x v="3"/>
    <x v="75"/>
    <x v="4"/>
    <s v="Percent change"/>
    <s v="Units"/>
    <x v="4"/>
    <n v="-6.1849999999999996"/>
  </r>
  <r>
    <n v="200"/>
    <x v="3"/>
    <x v="75"/>
    <x v="4"/>
    <s v="Percent change"/>
    <s v="Units"/>
    <x v="5"/>
    <n v="2.9369999999999998"/>
  </r>
  <r>
    <n v="200"/>
    <x v="3"/>
    <x v="75"/>
    <x v="4"/>
    <s v="Percent change"/>
    <s v="Units"/>
    <x v="6"/>
    <n v="5.7119999999999997"/>
  </r>
  <r>
    <n v="603"/>
    <x v="12"/>
    <x v="75"/>
    <x v="4"/>
    <s v="Percent change"/>
    <s v="Units"/>
    <x v="0"/>
    <n v="-5.9269999999999996"/>
  </r>
  <r>
    <n v="603"/>
    <x v="12"/>
    <x v="75"/>
    <x v="4"/>
    <s v="Percent change"/>
    <s v="Units"/>
    <x v="1"/>
    <n v="-7.3419999999999996"/>
  </r>
  <r>
    <n v="603"/>
    <x v="12"/>
    <x v="75"/>
    <x v="4"/>
    <s v="Percent change"/>
    <s v="Units"/>
    <x v="2"/>
    <n v="-8.5579999999999998"/>
  </r>
  <r>
    <n v="603"/>
    <x v="12"/>
    <x v="75"/>
    <x v="4"/>
    <s v="Percent change"/>
    <s v="Units"/>
    <x v="3"/>
    <n v="3.2709999999999999"/>
  </r>
  <r>
    <n v="603"/>
    <x v="12"/>
    <x v="75"/>
    <x v="4"/>
    <s v="Percent change"/>
    <s v="Units"/>
    <x v="4"/>
    <n v="-6.1849999999999996"/>
  </r>
  <r>
    <n v="603"/>
    <x v="12"/>
    <x v="75"/>
    <x v="4"/>
    <s v="Percent change"/>
    <s v="Units"/>
    <x v="5"/>
    <n v="2.9369999999999998"/>
  </r>
  <r>
    <n v="603"/>
    <x v="12"/>
    <x v="75"/>
    <x v="4"/>
    <s v="Percent change"/>
    <s v="Units"/>
    <x v="6"/>
    <n v="5.7119999999999997"/>
  </r>
  <r>
    <n v="200"/>
    <x v="3"/>
    <x v="141"/>
    <x v="6"/>
    <s v="Percent change"/>
    <s v="Units"/>
    <x v="0"/>
    <n v="0.30199999999999999"/>
  </r>
  <r>
    <n v="200"/>
    <x v="3"/>
    <x v="141"/>
    <x v="6"/>
    <s v="Percent change"/>
    <s v="Units"/>
    <x v="1"/>
    <n v="-28.25"/>
  </r>
  <r>
    <n v="200"/>
    <x v="3"/>
    <x v="141"/>
    <x v="6"/>
    <s v="Percent change"/>
    <s v="Units"/>
    <x v="2"/>
    <n v="9.0730000000000004"/>
  </r>
  <r>
    <n v="200"/>
    <x v="3"/>
    <x v="141"/>
    <x v="6"/>
    <s v="Percent change"/>
    <s v="Units"/>
    <x v="3"/>
    <n v="8.7420000000000009"/>
  </r>
  <r>
    <n v="200"/>
    <x v="3"/>
    <x v="141"/>
    <x v="6"/>
    <s v="Percent change"/>
    <s v="Units"/>
    <x v="4"/>
    <n v="10.664"/>
  </r>
  <r>
    <n v="200"/>
    <x v="3"/>
    <x v="141"/>
    <x v="6"/>
    <s v="Percent change"/>
    <s v="Units"/>
    <x v="5"/>
    <n v="2.93"/>
  </r>
  <r>
    <n v="200"/>
    <x v="3"/>
    <x v="141"/>
    <x v="6"/>
    <s v="Percent change"/>
    <s v="Units"/>
    <x v="6"/>
    <n v="9.8989999999999991"/>
  </r>
  <r>
    <n v="1"/>
    <x v="2"/>
    <x v="141"/>
    <x v="6"/>
    <s v="Percent change"/>
    <s v="Units"/>
    <x v="0"/>
    <n v="0.30199999999999999"/>
  </r>
  <r>
    <n v="1"/>
    <x v="2"/>
    <x v="141"/>
    <x v="6"/>
    <s v="Percent change"/>
    <s v="Units"/>
    <x v="1"/>
    <n v="-28.25"/>
  </r>
  <r>
    <n v="1"/>
    <x v="2"/>
    <x v="141"/>
    <x v="6"/>
    <s v="Percent change"/>
    <s v="Units"/>
    <x v="2"/>
    <n v="9.0730000000000004"/>
  </r>
  <r>
    <n v="1"/>
    <x v="2"/>
    <x v="141"/>
    <x v="6"/>
    <s v="Percent change"/>
    <s v="Units"/>
    <x v="3"/>
    <n v="8.7420000000000009"/>
  </r>
  <r>
    <n v="1"/>
    <x v="2"/>
    <x v="141"/>
    <x v="6"/>
    <s v="Percent change"/>
    <s v="Units"/>
    <x v="4"/>
    <n v="10.664"/>
  </r>
  <r>
    <n v="1"/>
    <x v="2"/>
    <x v="141"/>
    <x v="6"/>
    <s v="Percent change"/>
    <s v="Units"/>
    <x v="5"/>
    <n v="2.93"/>
  </r>
  <r>
    <n v="1"/>
    <x v="2"/>
    <x v="141"/>
    <x v="6"/>
    <s v="Percent change"/>
    <s v="Units"/>
    <x v="6"/>
    <n v="9.8989999999999991"/>
  </r>
  <r>
    <n v="603"/>
    <x v="12"/>
    <x v="141"/>
    <x v="6"/>
    <s v="Percent change"/>
    <s v="Units"/>
    <x v="0"/>
    <n v="0.30199999999999999"/>
  </r>
  <r>
    <n v="603"/>
    <x v="12"/>
    <x v="141"/>
    <x v="6"/>
    <s v="Percent change"/>
    <s v="Units"/>
    <x v="1"/>
    <n v="-28.25"/>
  </r>
  <r>
    <n v="603"/>
    <x v="12"/>
    <x v="141"/>
    <x v="6"/>
    <s v="Percent change"/>
    <s v="Units"/>
    <x v="2"/>
    <n v="9.0730000000000004"/>
  </r>
  <r>
    <n v="603"/>
    <x v="12"/>
    <x v="141"/>
    <x v="6"/>
    <s v="Percent change"/>
    <s v="Units"/>
    <x v="3"/>
    <n v="8.7420000000000009"/>
  </r>
  <r>
    <n v="603"/>
    <x v="12"/>
    <x v="141"/>
    <x v="6"/>
    <s v="Percent change"/>
    <s v="Units"/>
    <x v="4"/>
    <n v="10.664"/>
  </r>
  <r>
    <n v="603"/>
    <x v="12"/>
    <x v="141"/>
    <x v="6"/>
    <s v="Percent change"/>
    <s v="Units"/>
    <x v="5"/>
    <n v="2.93"/>
  </r>
  <r>
    <n v="603"/>
    <x v="12"/>
    <x v="141"/>
    <x v="6"/>
    <s v="Percent change"/>
    <s v="Units"/>
    <x v="6"/>
    <n v="9.8989999999999991"/>
  </r>
  <r>
    <n v="1"/>
    <x v="2"/>
    <x v="52"/>
    <x v="4"/>
    <s v="Percent change"/>
    <s v="Units"/>
    <x v="0"/>
    <n v="17.774999999999999"/>
  </r>
  <r>
    <n v="1"/>
    <x v="2"/>
    <x v="52"/>
    <x v="4"/>
    <s v="Percent change"/>
    <s v="Units"/>
    <x v="1"/>
    <n v="-16.658000000000001"/>
  </r>
  <r>
    <n v="1"/>
    <x v="2"/>
    <x v="52"/>
    <x v="4"/>
    <s v="Percent change"/>
    <s v="Units"/>
    <x v="2"/>
    <n v="-21.372"/>
  </r>
  <r>
    <n v="1"/>
    <x v="2"/>
    <x v="52"/>
    <x v="4"/>
    <s v="Percent change"/>
    <s v="Units"/>
    <x v="3"/>
    <n v="-2.0790000000000002"/>
  </r>
  <r>
    <n v="1"/>
    <x v="2"/>
    <x v="52"/>
    <x v="4"/>
    <s v="Percent change"/>
    <s v="Units"/>
    <x v="4"/>
    <n v="6.367"/>
  </r>
  <r>
    <n v="1"/>
    <x v="2"/>
    <x v="52"/>
    <x v="4"/>
    <s v="Percent change"/>
    <s v="Units"/>
    <x v="5"/>
    <n v="2.9220000000000002"/>
  </r>
  <r>
    <n v="1"/>
    <x v="2"/>
    <x v="52"/>
    <x v="4"/>
    <s v="Percent change"/>
    <s v="Units"/>
    <x v="6"/>
    <n v="-1.657"/>
  </r>
  <r>
    <n v="603"/>
    <x v="12"/>
    <x v="52"/>
    <x v="4"/>
    <s v="Percent change"/>
    <s v="Units"/>
    <x v="0"/>
    <n v="17.774999999999999"/>
  </r>
  <r>
    <n v="603"/>
    <x v="12"/>
    <x v="52"/>
    <x v="4"/>
    <s v="Percent change"/>
    <s v="Units"/>
    <x v="1"/>
    <n v="-16.658000000000001"/>
  </r>
  <r>
    <n v="603"/>
    <x v="12"/>
    <x v="52"/>
    <x v="4"/>
    <s v="Percent change"/>
    <s v="Units"/>
    <x v="2"/>
    <n v="-21.372"/>
  </r>
  <r>
    <n v="603"/>
    <x v="12"/>
    <x v="52"/>
    <x v="4"/>
    <s v="Percent change"/>
    <s v="Units"/>
    <x v="3"/>
    <n v="-2.0790000000000002"/>
  </r>
  <r>
    <n v="603"/>
    <x v="12"/>
    <x v="52"/>
    <x v="4"/>
    <s v="Percent change"/>
    <s v="Units"/>
    <x v="4"/>
    <n v="6.367"/>
  </r>
  <r>
    <n v="603"/>
    <x v="12"/>
    <x v="52"/>
    <x v="4"/>
    <s v="Percent change"/>
    <s v="Units"/>
    <x v="5"/>
    <n v="2.9220000000000002"/>
  </r>
  <r>
    <n v="603"/>
    <x v="12"/>
    <x v="52"/>
    <x v="4"/>
    <s v="Percent change"/>
    <s v="Units"/>
    <x v="6"/>
    <n v="-1.657"/>
  </r>
  <r>
    <n v="200"/>
    <x v="3"/>
    <x v="52"/>
    <x v="4"/>
    <s v="Percent change"/>
    <s v="Units"/>
    <x v="0"/>
    <n v="17.774999999999999"/>
  </r>
  <r>
    <n v="200"/>
    <x v="3"/>
    <x v="52"/>
    <x v="4"/>
    <s v="Percent change"/>
    <s v="Units"/>
    <x v="1"/>
    <n v="-16.658000000000001"/>
  </r>
  <r>
    <n v="200"/>
    <x v="3"/>
    <x v="52"/>
    <x v="4"/>
    <s v="Percent change"/>
    <s v="Units"/>
    <x v="2"/>
    <n v="-21.372"/>
  </r>
  <r>
    <n v="200"/>
    <x v="3"/>
    <x v="52"/>
    <x v="4"/>
    <s v="Percent change"/>
    <s v="Units"/>
    <x v="3"/>
    <n v="-2.0790000000000002"/>
  </r>
  <r>
    <n v="200"/>
    <x v="3"/>
    <x v="52"/>
    <x v="4"/>
    <s v="Percent change"/>
    <s v="Units"/>
    <x v="4"/>
    <n v="6.367"/>
  </r>
  <r>
    <n v="200"/>
    <x v="3"/>
    <x v="52"/>
    <x v="4"/>
    <s v="Percent change"/>
    <s v="Units"/>
    <x v="5"/>
    <n v="2.9220000000000002"/>
  </r>
  <r>
    <n v="200"/>
    <x v="3"/>
    <x v="52"/>
    <x v="4"/>
    <s v="Percent change"/>
    <s v="Units"/>
    <x v="6"/>
    <n v="-1.657"/>
  </r>
  <r>
    <n v="123"/>
    <x v="9"/>
    <x v="18"/>
    <x v="6"/>
    <s v="Percent change"/>
    <s v="Units"/>
    <x v="0"/>
    <n v="0.28999999999999998"/>
  </r>
  <r>
    <n v="123"/>
    <x v="9"/>
    <x v="18"/>
    <x v="6"/>
    <s v="Percent change"/>
    <s v="Units"/>
    <x v="1"/>
    <n v="-3.0139999999999998"/>
  </r>
  <r>
    <n v="123"/>
    <x v="9"/>
    <x v="18"/>
    <x v="6"/>
    <s v="Percent change"/>
    <s v="Units"/>
    <x v="2"/>
    <n v="5.6449999999999996"/>
  </r>
  <r>
    <n v="123"/>
    <x v="9"/>
    <x v="18"/>
    <x v="6"/>
    <s v="Percent change"/>
    <s v="Units"/>
    <x v="3"/>
    <n v="5.9969999999999999"/>
  </r>
  <r>
    <n v="123"/>
    <x v="9"/>
    <x v="18"/>
    <x v="6"/>
    <s v="Percent change"/>
    <s v="Units"/>
    <x v="4"/>
    <n v="3.6549999999999998"/>
  </r>
  <r>
    <n v="123"/>
    <x v="9"/>
    <x v="18"/>
    <x v="6"/>
    <s v="Percent change"/>
    <s v="Units"/>
    <x v="5"/>
    <n v="2.9140000000000001"/>
  </r>
  <r>
    <n v="123"/>
    <x v="9"/>
    <x v="18"/>
    <x v="6"/>
    <s v="Percent change"/>
    <s v="Units"/>
    <x v="6"/>
    <n v="3.6539999999999999"/>
  </r>
  <r>
    <n v="1"/>
    <x v="2"/>
    <x v="18"/>
    <x v="6"/>
    <s v="Percent change"/>
    <s v="Units"/>
    <x v="0"/>
    <n v="0.28999999999999998"/>
  </r>
  <r>
    <n v="1"/>
    <x v="2"/>
    <x v="18"/>
    <x v="6"/>
    <s v="Percent change"/>
    <s v="Units"/>
    <x v="1"/>
    <n v="-3.0139999999999998"/>
  </r>
  <r>
    <n v="1"/>
    <x v="2"/>
    <x v="18"/>
    <x v="6"/>
    <s v="Percent change"/>
    <s v="Units"/>
    <x v="2"/>
    <n v="5.6449999999999996"/>
  </r>
  <r>
    <n v="1"/>
    <x v="2"/>
    <x v="18"/>
    <x v="6"/>
    <s v="Percent change"/>
    <s v="Units"/>
    <x v="3"/>
    <n v="5.9969999999999999"/>
  </r>
  <r>
    <n v="1"/>
    <x v="2"/>
    <x v="18"/>
    <x v="6"/>
    <s v="Percent change"/>
    <s v="Units"/>
    <x v="4"/>
    <n v="3.6549999999999998"/>
  </r>
  <r>
    <n v="1"/>
    <x v="2"/>
    <x v="18"/>
    <x v="6"/>
    <s v="Percent change"/>
    <s v="Units"/>
    <x v="5"/>
    <n v="2.9140000000000001"/>
  </r>
  <r>
    <n v="1"/>
    <x v="2"/>
    <x v="18"/>
    <x v="6"/>
    <s v="Percent change"/>
    <s v="Units"/>
    <x v="6"/>
    <n v="3.6539999999999999"/>
  </r>
  <r>
    <n v="110"/>
    <x v="0"/>
    <x v="18"/>
    <x v="6"/>
    <s v="Percent change"/>
    <s v="Units"/>
    <x v="0"/>
    <n v="0.28999999999999998"/>
  </r>
  <r>
    <n v="110"/>
    <x v="0"/>
    <x v="18"/>
    <x v="6"/>
    <s v="Percent change"/>
    <s v="Units"/>
    <x v="1"/>
    <n v="-3.0139999999999998"/>
  </r>
  <r>
    <n v="110"/>
    <x v="0"/>
    <x v="18"/>
    <x v="6"/>
    <s v="Percent change"/>
    <s v="Units"/>
    <x v="2"/>
    <n v="5.6449999999999996"/>
  </r>
  <r>
    <n v="110"/>
    <x v="0"/>
    <x v="18"/>
    <x v="6"/>
    <s v="Percent change"/>
    <s v="Units"/>
    <x v="3"/>
    <n v="5.9969999999999999"/>
  </r>
  <r>
    <n v="110"/>
    <x v="0"/>
    <x v="18"/>
    <x v="6"/>
    <s v="Percent change"/>
    <s v="Units"/>
    <x v="4"/>
    <n v="3.6549999999999998"/>
  </r>
  <r>
    <n v="110"/>
    <x v="0"/>
    <x v="18"/>
    <x v="6"/>
    <s v="Percent change"/>
    <s v="Units"/>
    <x v="5"/>
    <n v="2.9140000000000001"/>
  </r>
  <r>
    <n v="110"/>
    <x v="0"/>
    <x v="18"/>
    <x v="6"/>
    <s v="Percent change"/>
    <s v="Units"/>
    <x v="6"/>
    <n v="3.6539999999999999"/>
  </r>
  <r>
    <n v="200"/>
    <x v="3"/>
    <x v="185"/>
    <x v="8"/>
    <s v="Percent change"/>
    <s v="Units"/>
    <x v="0"/>
    <n v="6.5830000000000002"/>
  </r>
  <r>
    <n v="200"/>
    <x v="3"/>
    <x v="185"/>
    <x v="8"/>
    <s v="Percent change"/>
    <s v="Units"/>
    <x v="1"/>
    <n v="-2.0529999999999999"/>
  </r>
  <r>
    <n v="200"/>
    <x v="3"/>
    <x v="185"/>
    <x v="8"/>
    <s v="Percent change"/>
    <s v="Units"/>
    <x v="2"/>
    <n v="-0.91400000000000003"/>
  </r>
  <r>
    <n v="200"/>
    <x v="3"/>
    <x v="185"/>
    <x v="8"/>
    <s v="Percent change"/>
    <s v="Units"/>
    <x v="3"/>
    <n v="3.0750000000000002"/>
  </r>
  <r>
    <n v="200"/>
    <x v="3"/>
    <x v="185"/>
    <x v="8"/>
    <s v="Percent change"/>
    <s v="Units"/>
    <x v="4"/>
    <n v="4.3689999999999998"/>
  </r>
  <r>
    <n v="200"/>
    <x v="3"/>
    <x v="185"/>
    <x v="8"/>
    <s v="Percent change"/>
    <s v="Units"/>
    <x v="5"/>
    <n v="2.9119999999999999"/>
  </r>
  <r>
    <n v="200"/>
    <x v="3"/>
    <x v="185"/>
    <x v="8"/>
    <s v="Percent change"/>
    <s v="Units"/>
    <x v="6"/>
    <n v="3.665"/>
  </r>
  <r>
    <n v="1"/>
    <x v="2"/>
    <x v="185"/>
    <x v="8"/>
    <s v="Percent change"/>
    <s v="Units"/>
    <x v="0"/>
    <n v="6.5830000000000002"/>
  </r>
  <r>
    <n v="1"/>
    <x v="2"/>
    <x v="185"/>
    <x v="8"/>
    <s v="Percent change"/>
    <s v="Units"/>
    <x v="1"/>
    <n v="-2.0529999999999999"/>
  </r>
  <r>
    <n v="1"/>
    <x v="2"/>
    <x v="185"/>
    <x v="8"/>
    <s v="Percent change"/>
    <s v="Units"/>
    <x v="2"/>
    <n v="-0.91400000000000003"/>
  </r>
  <r>
    <n v="1"/>
    <x v="2"/>
    <x v="185"/>
    <x v="8"/>
    <s v="Percent change"/>
    <s v="Units"/>
    <x v="3"/>
    <n v="3.0750000000000002"/>
  </r>
  <r>
    <n v="1"/>
    <x v="2"/>
    <x v="185"/>
    <x v="8"/>
    <s v="Percent change"/>
    <s v="Units"/>
    <x v="4"/>
    <n v="4.3689999999999998"/>
  </r>
  <r>
    <n v="1"/>
    <x v="2"/>
    <x v="185"/>
    <x v="8"/>
    <s v="Percent change"/>
    <s v="Units"/>
    <x v="5"/>
    <n v="2.9119999999999999"/>
  </r>
  <r>
    <n v="1"/>
    <x v="2"/>
    <x v="185"/>
    <x v="8"/>
    <s v="Percent change"/>
    <s v="Units"/>
    <x v="6"/>
    <n v="3.665"/>
  </r>
  <r>
    <n v="603"/>
    <x v="12"/>
    <x v="185"/>
    <x v="8"/>
    <s v="Percent change"/>
    <s v="Units"/>
    <x v="0"/>
    <n v="6.5830000000000002"/>
  </r>
  <r>
    <n v="603"/>
    <x v="12"/>
    <x v="185"/>
    <x v="8"/>
    <s v="Percent change"/>
    <s v="Units"/>
    <x v="1"/>
    <n v="-2.0529999999999999"/>
  </r>
  <r>
    <n v="603"/>
    <x v="12"/>
    <x v="185"/>
    <x v="8"/>
    <s v="Percent change"/>
    <s v="Units"/>
    <x v="2"/>
    <n v="-0.91400000000000003"/>
  </r>
  <r>
    <n v="603"/>
    <x v="12"/>
    <x v="185"/>
    <x v="8"/>
    <s v="Percent change"/>
    <s v="Units"/>
    <x v="3"/>
    <n v="3.0750000000000002"/>
  </r>
  <r>
    <n v="603"/>
    <x v="12"/>
    <x v="185"/>
    <x v="8"/>
    <s v="Percent change"/>
    <s v="Units"/>
    <x v="4"/>
    <n v="4.3689999999999998"/>
  </r>
  <r>
    <n v="603"/>
    <x v="12"/>
    <x v="185"/>
    <x v="8"/>
    <s v="Percent change"/>
    <s v="Units"/>
    <x v="5"/>
    <n v="2.9119999999999999"/>
  </r>
  <r>
    <n v="603"/>
    <x v="12"/>
    <x v="185"/>
    <x v="8"/>
    <s v="Percent change"/>
    <s v="Units"/>
    <x v="6"/>
    <n v="3.665"/>
  </r>
  <r>
    <n v="110"/>
    <x v="0"/>
    <x v="0"/>
    <x v="1"/>
    <s v="Percent change"/>
    <s v="Units"/>
    <x v="0"/>
    <n v="1.8129999999999999"/>
  </r>
  <r>
    <n v="110"/>
    <x v="0"/>
    <x v="0"/>
    <x v="1"/>
    <s v="Percent change"/>
    <s v="Units"/>
    <x v="1"/>
    <n v="1.2490000000000001"/>
  </r>
  <r>
    <n v="110"/>
    <x v="0"/>
    <x v="0"/>
    <x v="1"/>
    <s v="Percent change"/>
    <s v="Units"/>
    <x v="2"/>
    <n v="4.6820000000000004"/>
  </r>
  <r>
    <n v="110"/>
    <x v="0"/>
    <x v="0"/>
    <x v="1"/>
    <s v="Percent change"/>
    <s v="Units"/>
    <x v="3"/>
    <n v="7.992"/>
  </r>
  <r>
    <n v="110"/>
    <x v="0"/>
    <x v="0"/>
    <x v="1"/>
    <s v="Percent change"/>
    <s v="Units"/>
    <x v="4"/>
    <n v="4.1280000000000001"/>
  </r>
  <r>
    <n v="110"/>
    <x v="0"/>
    <x v="0"/>
    <x v="1"/>
    <s v="Percent change"/>
    <s v="Units"/>
    <x v="5"/>
    <n v="2.907"/>
  </r>
  <r>
    <n v="110"/>
    <x v="0"/>
    <x v="0"/>
    <x v="1"/>
    <s v="Percent change"/>
    <s v="Units"/>
    <x v="6"/>
    <n v="2"/>
  </r>
  <r>
    <n v="1"/>
    <x v="2"/>
    <x v="0"/>
    <x v="1"/>
    <s v="Percent change"/>
    <s v="Units"/>
    <x v="0"/>
    <n v="1.8129999999999999"/>
  </r>
  <r>
    <n v="1"/>
    <x v="2"/>
    <x v="0"/>
    <x v="1"/>
    <s v="Percent change"/>
    <s v="Units"/>
    <x v="1"/>
    <n v="1.2490000000000001"/>
  </r>
  <r>
    <n v="1"/>
    <x v="2"/>
    <x v="0"/>
    <x v="1"/>
    <s v="Percent change"/>
    <s v="Units"/>
    <x v="2"/>
    <n v="4.6820000000000004"/>
  </r>
  <r>
    <n v="1"/>
    <x v="2"/>
    <x v="0"/>
    <x v="1"/>
    <s v="Percent change"/>
    <s v="Units"/>
    <x v="3"/>
    <n v="7.992"/>
  </r>
  <r>
    <n v="1"/>
    <x v="2"/>
    <x v="0"/>
    <x v="1"/>
    <s v="Percent change"/>
    <s v="Units"/>
    <x v="4"/>
    <n v="4.1280000000000001"/>
  </r>
  <r>
    <n v="1"/>
    <x v="2"/>
    <x v="0"/>
    <x v="1"/>
    <s v="Percent change"/>
    <s v="Units"/>
    <x v="5"/>
    <n v="2.907"/>
  </r>
  <r>
    <n v="1"/>
    <x v="2"/>
    <x v="0"/>
    <x v="1"/>
    <s v="Percent change"/>
    <s v="Units"/>
    <x v="6"/>
    <n v="2"/>
  </r>
  <r>
    <n v="119"/>
    <x v="1"/>
    <x v="0"/>
    <x v="1"/>
    <s v="Percent change"/>
    <s v="Units"/>
    <x v="0"/>
    <n v="1.8129999999999999"/>
  </r>
  <r>
    <n v="119"/>
    <x v="1"/>
    <x v="0"/>
    <x v="1"/>
    <s v="Percent change"/>
    <s v="Units"/>
    <x v="1"/>
    <n v="1.2490000000000001"/>
  </r>
  <r>
    <n v="119"/>
    <x v="1"/>
    <x v="0"/>
    <x v="1"/>
    <s v="Percent change"/>
    <s v="Units"/>
    <x v="2"/>
    <n v="4.6820000000000004"/>
  </r>
  <r>
    <n v="119"/>
    <x v="1"/>
    <x v="0"/>
    <x v="1"/>
    <s v="Percent change"/>
    <s v="Units"/>
    <x v="3"/>
    <n v="7.992"/>
  </r>
  <r>
    <n v="119"/>
    <x v="1"/>
    <x v="0"/>
    <x v="1"/>
    <s v="Percent change"/>
    <s v="Units"/>
    <x v="4"/>
    <n v="4.1280000000000001"/>
  </r>
  <r>
    <n v="119"/>
    <x v="1"/>
    <x v="0"/>
    <x v="1"/>
    <s v="Percent change"/>
    <s v="Units"/>
    <x v="5"/>
    <n v="2.907"/>
  </r>
  <r>
    <n v="119"/>
    <x v="1"/>
    <x v="0"/>
    <x v="1"/>
    <s v="Percent change"/>
    <s v="Units"/>
    <x v="6"/>
    <n v="2"/>
  </r>
  <r>
    <n v="603"/>
    <x v="12"/>
    <x v="138"/>
    <x v="8"/>
    <s v="Percent change"/>
    <s v="Units"/>
    <x v="0"/>
    <n v="3.823"/>
  </r>
  <r>
    <n v="603"/>
    <x v="12"/>
    <x v="138"/>
    <x v="8"/>
    <s v="Percent change"/>
    <s v="Units"/>
    <x v="1"/>
    <n v="-1.8149999999999999"/>
  </r>
  <r>
    <n v="603"/>
    <x v="12"/>
    <x v="138"/>
    <x v="8"/>
    <s v="Percent change"/>
    <s v="Units"/>
    <x v="2"/>
    <n v="1.468"/>
  </r>
  <r>
    <n v="603"/>
    <x v="12"/>
    <x v="138"/>
    <x v="8"/>
    <s v="Percent change"/>
    <s v="Units"/>
    <x v="3"/>
    <n v="3.0369999999999999"/>
  </r>
  <r>
    <n v="603"/>
    <x v="12"/>
    <x v="138"/>
    <x v="8"/>
    <s v="Percent change"/>
    <s v="Units"/>
    <x v="4"/>
    <n v="2.266"/>
  </r>
  <r>
    <n v="603"/>
    <x v="12"/>
    <x v="138"/>
    <x v="8"/>
    <s v="Percent change"/>
    <s v="Units"/>
    <x v="5"/>
    <n v="2.9020000000000001"/>
  </r>
  <r>
    <n v="603"/>
    <x v="12"/>
    <x v="138"/>
    <x v="8"/>
    <s v="Percent change"/>
    <s v="Units"/>
    <x v="6"/>
    <n v="2.6709999999999998"/>
  </r>
  <r>
    <n v="200"/>
    <x v="3"/>
    <x v="138"/>
    <x v="8"/>
    <s v="Percent change"/>
    <s v="Units"/>
    <x v="0"/>
    <n v="3.823"/>
  </r>
  <r>
    <n v="200"/>
    <x v="3"/>
    <x v="138"/>
    <x v="8"/>
    <s v="Percent change"/>
    <s v="Units"/>
    <x v="1"/>
    <n v="-1.8149999999999999"/>
  </r>
  <r>
    <n v="200"/>
    <x v="3"/>
    <x v="138"/>
    <x v="8"/>
    <s v="Percent change"/>
    <s v="Units"/>
    <x v="2"/>
    <n v="1.468"/>
  </r>
  <r>
    <n v="200"/>
    <x v="3"/>
    <x v="138"/>
    <x v="8"/>
    <s v="Percent change"/>
    <s v="Units"/>
    <x v="3"/>
    <n v="3.0369999999999999"/>
  </r>
  <r>
    <n v="200"/>
    <x v="3"/>
    <x v="138"/>
    <x v="8"/>
    <s v="Percent change"/>
    <s v="Units"/>
    <x v="4"/>
    <n v="2.266"/>
  </r>
  <r>
    <n v="200"/>
    <x v="3"/>
    <x v="138"/>
    <x v="8"/>
    <s v="Percent change"/>
    <s v="Units"/>
    <x v="5"/>
    <n v="2.9020000000000001"/>
  </r>
  <r>
    <n v="200"/>
    <x v="3"/>
    <x v="138"/>
    <x v="8"/>
    <s v="Percent change"/>
    <s v="Units"/>
    <x v="6"/>
    <n v="2.6709999999999998"/>
  </r>
  <r>
    <n v="1"/>
    <x v="2"/>
    <x v="138"/>
    <x v="8"/>
    <s v="Percent change"/>
    <s v="Units"/>
    <x v="0"/>
    <n v="3.823"/>
  </r>
  <r>
    <n v="1"/>
    <x v="2"/>
    <x v="138"/>
    <x v="8"/>
    <s v="Percent change"/>
    <s v="Units"/>
    <x v="1"/>
    <n v="-1.8149999999999999"/>
  </r>
  <r>
    <n v="1"/>
    <x v="2"/>
    <x v="138"/>
    <x v="8"/>
    <s v="Percent change"/>
    <s v="Units"/>
    <x v="2"/>
    <n v="1.468"/>
  </r>
  <r>
    <n v="1"/>
    <x v="2"/>
    <x v="138"/>
    <x v="8"/>
    <s v="Percent change"/>
    <s v="Units"/>
    <x v="3"/>
    <n v="3.0369999999999999"/>
  </r>
  <r>
    <n v="1"/>
    <x v="2"/>
    <x v="138"/>
    <x v="8"/>
    <s v="Percent change"/>
    <s v="Units"/>
    <x v="4"/>
    <n v="2.266"/>
  </r>
  <r>
    <n v="1"/>
    <x v="2"/>
    <x v="138"/>
    <x v="8"/>
    <s v="Percent change"/>
    <s v="Units"/>
    <x v="5"/>
    <n v="2.9020000000000001"/>
  </r>
  <r>
    <n v="1"/>
    <x v="2"/>
    <x v="138"/>
    <x v="8"/>
    <s v="Percent change"/>
    <s v="Units"/>
    <x v="6"/>
    <n v="2.6709999999999998"/>
  </r>
  <r>
    <n v="1"/>
    <x v="2"/>
    <x v="165"/>
    <x v="8"/>
    <s v="Percent change"/>
    <s v="Units"/>
    <x v="0"/>
    <n v="2.0139999999999998"/>
  </r>
  <r>
    <n v="1"/>
    <x v="2"/>
    <x v="165"/>
    <x v="8"/>
    <s v="Percent change"/>
    <s v="Units"/>
    <x v="1"/>
    <n v="2.625"/>
  </r>
  <r>
    <n v="1"/>
    <x v="2"/>
    <x v="165"/>
    <x v="8"/>
    <s v="Percent change"/>
    <s v="Units"/>
    <x v="2"/>
    <n v="1.899"/>
  </r>
  <r>
    <n v="1"/>
    <x v="2"/>
    <x v="165"/>
    <x v="8"/>
    <s v="Percent change"/>
    <s v="Units"/>
    <x v="3"/>
    <n v="6.5000000000000002E-2"/>
  </r>
  <r>
    <n v="1"/>
    <x v="2"/>
    <x v="165"/>
    <x v="8"/>
    <s v="Percent change"/>
    <s v="Units"/>
    <x v="4"/>
    <n v="-0.3"/>
  </r>
  <r>
    <n v="1"/>
    <x v="2"/>
    <x v="165"/>
    <x v="8"/>
    <s v="Percent change"/>
    <s v="Units"/>
    <x v="5"/>
    <n v="2.9"/>
  </r>
  <r>
    <n v="1"/>
    <x v="2"/>
    <x v="165"/>
    <x v="8"/>
    <s v="Percent change"/>
    <s v="Units"/>
    <x v="6"/>
    <n v="4.0999999999999996"/>
  </r>
  <r>
    <n v="603"/>
    <x v="12"/>
    <x v="165"/>
    <x v="8"/>
    <s v="Percent change"/>
    <s v="Units"/>
    <x v="0"/>
    <n v="2.0139999999999998"/>
  </r>
  <r>
    <n v="603"/>
    <x v="12"/>
    <x v="165"/>
    <x v="8"/>
    <s v="Percent change"/>
    <s v="Units"/>
    <x v="1"/>
    <n v="2.625"/>
  </r>
  <r>
    <n v="603"/>
    <x v="12"/>
    <x v="165"/>
    <x v="8"/>
    <s v="Percent change"/>
    <s v="Units"/>
    <x v="2"/>
    <n v="1.899"/>
  </r>
  <r>
    <n v="603"/>
    <x v="12"/>
    <x v="165"/>
    <x v="8"/>
    <s v="Percent change"/>
    <s v="Units"/>
    <x v="3"/>
    <n v="6.5000000000000002E-2"/>
  </r>
  <r>
    <n v="603"/>
    <x v="12"/>
    <x v="165"/>
    <x v="8"/>
    <s v="Percent change"/>
    <s v="Units"/>
    <x v="4"/>
    <n v="-0.3"/>
  </r>
  <r>
    <n v="603"/>
    <x v="12"/>
    <x v="165"/>
    <x v="8"/>
    <s v="Percent change"/>
    <s v="Units"/>
    <x v="5"/>
    <n v="2.9"/>
  </r>
  <r>
    <n v="603"/>
    <x v="12"/>
    <x v="165"/>
    <x v="8"/>
    <s v="Percent change"/>
    <s v="Units"/>
    <x v="6"/>
    <n v="4.0999999999999996"/>
  </r>
  <r>
    <n v="200"/>
    <x v="3"/>
    <x v="165"/>
    <x v="8"/>
    <s v="Percent change"/>
    <s v="Units"/>
    <x v="0"/>
    <n v="2.0139999999999998"/>
  </r>
  <r>
    <n v="200"/>
    <x v="3"/>
    <x v="165"/>
    <x v="8"/>
    <s v="Percent change"/>
    <s v="Units"/>
    <x v="1"/>
    <n v="2.625"/>
  </r>
  <r>
    <n v="200"/>
    <x v="3"/>
    <x v="165"/>
    <x v="8"/>
    <s v="Percent change"/>
    <s v="Units"/>
    <x v="2"/>
    <n v="1.899"/>
  </r>
  <r>
    <n v="200"/>
    <x v="3"/>
    <x v="165"/>
    <x v="8"/>
    <s v="Percent change"/>
    <s v="Units"/>
    <x v="3"/>
    <n v="6.5000000000000002E-2"/>
  </r>
  <r>
    <n v="200"/>
    <x v="3"/>
    <x v="165"/>
    <x v="8"/>
    <s v="Percent change"/>
    <s v="Units"/>
    <x v="4"/>
    <n v="-0.3"/>
  </r>
  <r>
    <n v="200"/>
    <x v="3"/>
    <x v="165"/>
    <x v="8"/>
    <s v="Percent change"/>
    <s v="Units"/>
    <x v="5"/>
    <n v="2.9"/>
  </r>
  <r>
    <n v="200"/>
    <x v="3"/>
    <x v="165"/>
    <x v="8"/>
    <s v="Percent change"/>
    <s v="Units"/>
    <x v="6"/>
    <n v="4.0999999999999996"/>
  </r>
  <r>
    <n v="205"/>
    <x v="7"/>
    <x v="68"/>
    <x v="4"/>
    <s v="Percent change"/>
    <s v="Units"/>
    <x v="0"/>
    <n v="0.23200000000000001"/>
  </r>
  <r>
    <n v="205"/>
    <x v="7"/>
    <x v="68"/>
    <x v="4"/>
    <s v="Percent change"/>
    <s v="Units"/>
    <x v="1"/>
    <n v="-7.5259999999999998"/>
  </r>
  <r>
    <n v="205"/>
    <x v="7"/>
    <x v="68"/>
    <x v="4"/>
    <s v="Percent change"/>
    <s v="Units"/>
    <x v="2"/>
    <n v="10.257999999999999"/>
  </r>
  <r>
    <n v="205"/>
    <x v="7"/>
    <x v="68"/>
    <x v="4"/>
    <s v="Percent change"/>
    <s v="Units"/>
    <x v="3"/>
    <n v="6.968"/>
  </r>
  <r>
    <n v="205"/>
    <x v="7"/>
    <x v="68"/>
    <x v="4"/>
    <s v="Percent change"/>
    <s v="Units"/>
    <x v="4"/>
    <n v="-4.7080000000000002"/>
  </r>
  <r>
    <n v="205"/>
    <x v="7"/>
    <x v="68"/>
    <x v="4"/>
    <s v="Percent change"/>
    <s v="Units"/>
    <x v="5"/>
    <n v="2.89"/>
  </r>
  <r>
    <n v="205"/>
    <x v="7"/>
    <x v="68"/>
    <x v="4"/>
    <s v="Percent change"/>
    <s v="Units"/>
    <x v="6"/>
    <n v="3.3239999999999998"/>
  </r>
  <r>
    <n v="200"/>
    <x v="3"/>
    <x v="68"/>
    <x v="4"/>
    <s v="Percent change"/>
    <s v="Units"/>
    <x v="0"/>
    <n v="0.23200000000000001"/>
  </r>
  <r>
    <n v="200"/>
    <x v="3"/>
    <x v="68"/>
    <x v="4"/>
    <s v="Percent change"/>
    <s v="Units"/>
    <x v="1"/>
    <n v="-7.5259999999999998"/>
  </r>
  <r>
    <n v="200"/>
    <x v="3"/>
    <x v="68"/>
    <x v="4"/>
    <s v="Percent change"/>
    <s v="Units"/>
    <x v="2"/>
    <n v="10.257999999999999"/>
  </r>
  <r>
    <n v="200"/>
    <x v="3"/>
    <x v="68"/>
    <x v="4"/>
    <s v="Percent change"/>
    <s v="Units"/>
    <x v="3"/>
    <n v="6.968"/>
  </r>
  <r>
    <n v="200"/>
    <x v="3"/>
    <x v="68"/>
    <x v="4"/>
    <s v="Percent change"/>
    <s v="Units"/>
    <x v="4"/>
    <n v="-4.7080000000000002"/>
  </r>
  <r>
    <n v="200"/>
    <x v="3"/>
    <x v="68"/>
    <x v="4"/>
    <s v="Percent change"/>
    <s v="Units"/>
    <x v="5"/>
    <n v="2.89"/>
  </r>
  <r>
    <n v="200"/>
    <x v="3"/>
    <x v="68"/>
    <x v="4"/>
    <s v="Percent change"/>
    <s v="Units"/>
    <x v="6"/>
    <n v="3.3239999999999998"/>
  </r>
  <r>
    <n v="1"/>
    <x v="2"/>
    <x v="68"/>
    <x v="4"/>
    <s v="Percent change"/>
    <s v="Units"/>
    <x v="0"/>
    <n v="0.23200000000000001"/>
  </r>
  <r>
    <n v="1"/>
    <x v="2"/>
    <x v="68"/>
    <x v="4"/>
    <s v="Percent change"/>
    <s v="Units"/>
    <x v="1"/>
    <n v="-7.5259999999999998"/>
  </r>
  <r>
    <n v="1"/>
    <x v="2"/>
    <x v="68"/>
    <x v="4"/>
    <s v="Percent change"/>
    <s v="Units"/>
    <x v="2"/>
    <n v="10.257999999999999"/>
  </r>
  <r>
    <n v="1"/>
    <x v="2"/>
    <x v="68"/>
    <x v="4"/>
    <s v="Percent change"/>
    <s v="Units"/>
    <x v="3"/>
    <n v="6.968"/>
  </r>
  <r>
    <n v="1"/>
    <x v="2"/>
    <x v="68"/>
    <x v="4"/>
    <s v="Percent change"/>
    <s v="Units"/>
    <x v="4"/>
    <n v="-4.7080000000000002"/>
  </r>
  <r>
    <n v="1"/>
    <x v="2"/>
    <x v="68"/>
    <x v="4"/>
    <s v="Percent change"/>
    <s v="Units"/>
    <x v="5"/>
    <n v="2.89"/>
  </r>
  <r>
    <n v="1"/>
    <x v="2"/>
    <x v="68"/>
    <x v="4"/>
    <s v="Percent change"/>
    <s v="Units"/>
    <x v="6"/>
    <n v="3.3239999999999998"/>
  </r>
  <r>
    <n v="1"/>
    <x v="2"/>
    <x v="38"/>
    <x v="8"/>
    <s v="Percent change"/>
    <s v="Units"/>
    <x v="0"/>
    <n v="-1.6719999999999999"/>
  </r>
  <r>
    <n v="1"/>
    <x v="2"/>
    <x v="38"/>
    <x v="8"/>
    <s v="Percent change"/>
    <s v="Units"/>
    <x v="1"/>
    <n v="-6.5449999999999999"/>
  </r>
  <r>
    <n v="1"/>
    <x v="2"/>
    <x v="38"/>
    <x v="8"/>
    <s v="Percent change"/>
    <s v="Units"/>
    <x v="2"/>
    <n v="6.4539999999999997"/>
  </r>
  <r>
    <n v="1"/>
    <x v="2"/>
    <x v="38"/>
    <x v="8"/>
    <s v="Percent change"/>
    <s v="Units"/>
    <x v="3"/>
    <n v="-3.681"/>
  </r>
  <r>
    <n v="1"/>
    <x v="2"/>
    <x v="38"/>
    <x v="8"/>
    <s v="Percent change"/>
    <s v="Units"/>
    <x v="4"/>
    <n v="3.2149999999999999"/>
  </r>
  <r>
    <n v="1"/>
    <x v="2"/>
    <x v="38"/>
    <x v="8"/>
    <s v="Percent change"/>
    <s v="Units"/>
    <x v="5"/>
    <n v="2.879"/>
  </r>
  <r>
    <n v="1"/>
    <x v="2"/>
    <x v="38"/>
    <x v="8"/>
    <s v="Percent change"/>
    <s v="Units"/>
    <x v="6"/>
    <n v="2.726"/>
  </r>
  <r>
    <n v="123"/>
    <x v="9"/>
    <x v="38"/>
    <x v="8"/>
    <s v="Percent change"/>
    <s v="Units"/>
    <x v="0"/>
    <n v="-1.6719999999999999"/>
  </r>
  <r>
    <n v="123"/>
    <x v="9"/>
    <x v="38"/>
    <x v="8"/>
    <s v="Percent change"/>
    <s v="Units"/>
    <x v="1"/>
    <n v="-6.5449999999999999"/>
  </r>
  <r>
    <n v="123"/>
    <x v="9"/>
    <x v="38"/>
    <x v="8"/>
    <s v="Percent change"/>
    <s v="Units"/>
    <x v="2"/>
    <n v="6.4539999999999997"/>
  </r>
  <r>
    <n v="123"/>
    <x v="9"/>
    <x v="38"/>
    <x v="8"/>
    <s v="Percent change"/>
    <s v="Units"/>
    <x v="3"/>
    <n v="-3.681"/>
  </r>
  <r>
    <n v="123"/>
    <x v="9"/>
    <x v="38"/>
    <x v="8"/>
    <s v="Percent change"/>
    <s v="Units"/>
    <x v="4"/>
    <n v="3.2149999999999999"/>
  </r>
  <r>
    <n v="123"/>
    <x v="9"/>
    <x v="38"/>
    <x v="8"/>
    <s v="Percent change"/>
    <s v="Units"/>
    <x v="5"/>
    <n v="2.879"/>
  </r>
  <r>
    <n v="123"/>
    <x v="9"/>
    <x v="38"/>
    <x v="8"/>
    <s v="Percent change"/>
    <s v="Units"/>
    <x v="6"/>
    <n v="2.726"/>
  </r>
  <r>
    <n v="110"/>
    <x v="0"/>
    <x v="38"/>
    <x v="8"/>
    <s v="Percent change"/>
    <s v="Units"/>
    <x v="0"/>
    <n v="-1.6719999999999999"/>
  </r>
  <r>
    <n v="110"/>
    <x v="0"/>
    <x v="38"/>
    <x v="8"/>
    <s v="Percent change"/>
    <s v="Units"/>
    <x v="1"/>
    <n v="-6.5449999999999999"/>
  </r>
  <r>
    <n v="110"/>
    <x v="0"/>
    <x v="38"/>
    <x v="8"/>
    <s v="Percent change"/>
    <s v="Units"/>
    <x v="2"/>
    <n v="6.4539999999999997"/>
  </r>
  <r>
    <n v="110"/>
    <x v="0"/>
    <x v="38"/>
    <x v="8"/>
    <s v="Percent change"/>
    <s v="Units"/>
    <x v="3"/>
    <n v="-3.681"/>
  </r>
  <r>
    <n v="110"/>
    <x v="0"/>
    <x v="38"/>
    <x v="8"/>
    <s v="Percent change"/>
    <s v="Units"/>
    <x v="4"/>
    <n v="3.2149999999999999"/>
  </r>
  <r>
    <n v="110"/>
    <x v="0"/>
    <x v="38"/>
    <x v="8"/>
    <s v="Percent change"/>
    <s v="Units"/>
    <x v="5"/>
    <n v="2.879"/>
  </r>
  <r>
    <n v="110"/>
    <x v="0"/>
    <x v="38"/>
    <x v="8"/>
    <s v="Percent change"/>
    <s v="Units"/>
    <x v="6"/>
    <n v="2.726"/>
  </r>
  <r>
    <n v="110"/>
    <x v="0"/>
    <x v="90"/>
    <x v="4"/>
    <s v="Percent change"/>
    <s v="Units"/>
    <x v="0"/>
    <n v="4.4820000000000002"/>
  </r>
  <r>
    <n v="110"/>
    <x v="0"/>
    <x v="90"/>
    <x v="4"/>
    <s v="Percent change"/>
    <s v="Units"/>
    <x v="1"/>
    <n v="-8.5289999999999999"/>
  </r>
  <r>
    <n v="110"/>
    <x v="0"/>
    <x v="90"/>
    <x v="4"/>
    <s v="Percent change"/>
    <s v="Units"/>
    <x v="2"/>
    <n v="14.474"/>
  </r>
  <r>
    <n v="110"/>
    <x v="0"/>
    <x v="90"/>
    <x v="4"/>
    <s v="Percent change"/>
    <s v="Units"/>
    <x v="3"/>
    <n v="7.1630000000000003"/>
  </r>
  <r>
    <n v="110"/>
    <x v="0"/>
    <x v="90"/>
    <x v="4"/>
    <s v="Percent change"/>
    <s v="Units"/>
    <x v="4"/>
    <n v="-1.9670000000000001"/>
  </r>
  <r>
    <n v="110"/>
    <x v="0"/>
    <x v="90"/>
    <x v="4"/>
    <s v="Percent change"/>
    <s v="Units"/>
    <x v="5"/>
    <n v="2.8719999999999999"/>
  </r>
  <r>
    <n v="110"/>
    <x v="0"/>
    <x v="90"/>
    <x v="4"/>
    <s v="Percent change"/>
    <s v="Units"/>
    <x v="6"/>
    <n v="4.2709999999999999"/>
  </r>
  <r>
    <n v="1"/>
    <x v="2"/>
    <x v="90"/>
    <x v="4"/>
    <s v="Percent change"/>
    <s v="Units"/>
    <x v="0"/>
    <n v="4.4820000000000002"/>
  </r>
  <r>
    <n v="1"/>
    <x v="2"/>
    <x v="90"/>
    <x v="4"/>
    <s v="Percent change"/>
    <s v="Units"/>
    <x v="1"/>
    <n v="-8.5289999999999999"/>
  </r>
  <r>
    <n v="1"/>
    <x v="2"/>
    <x v="90"/>
    <x v="4"/>
    <s v="Percent change"/>
    <s v="Units"/>
    <x v="2"/>
    <n v="14.474"/>
  </r>
  <r>
    <n v="1"/>
    <x v="2"/>
    <x v="90"/>
    <x v="4"/>
    <s v="Percent change"/>
    <s v="Units"/>
    <x v="3"/>
    <n v="7.1630000000000003"/>
  </r>
  <r>
    <n v="1"/>
    <x v="2"/>
    <x v="90"/>
    <x v="4"/>
    <s v="Percent change"/>
    <s v="Units"/>
    <x v="4"/>
    <n v="-1.9670000000000001"/>
  </r>
  <r>
    <n v="1"/>
    <x v="2"/>
    <x v="90"/>
    <x v="4"/>
    <s v="Percent change"/>
    <s v="Units"/>
    <x v="5"/>
    <n v="2.8719999999999999"/>
  </r>
  <r>
    <n v="1"/>
    <x v="2"/>
    <x v="90"/>
    <x v="4"/>
    <s v="Percent change"/>
    <s v="Units"/>
    <x v="6"/>
    <n v="4.2709999999999999"/>
  </r>
  <r>
    <n v="163"/>
    <x v="5"/>
    <x v="90"/>
    <x v="4"/>
    <s v="Percent change"/>
    <s v="Units"/>
    <x v="0"/>
    <n v="4.4820000000000002"/>
  </r>
  <r>
    <n v="163"/>
    <x v="5"/>
    <x v="90"/>
    <x v="4"/>
    <s v="Percent change"/>
    <s v="Units"/>
    <x v="1"/>
    <n v="-8.5289999999999999"/>
  </r>
  <r>
    <n v="163"/>
    <x v="5"/>
    <x v="90"/>
    <x v="4"/>
    <s v="Percent change"/>
    <s v="Units"/>
    <x v="2"/>
    <n v="14.474"/>
  </r>
  <r>
    <n v="163"/>
    <x v="5"/>
    <x v="90"/>
    <x v="4"/>
    <s v="Percent change"/>
    <s v="Units"/>
    <x v="3"/>
    <n v="7.1630000000000003"/>
  </r>
  <r>
    <n v="163"/>
    <x v="5"/>
    <x v="90"/>
    <x v="4"/>
    <s v="Percent change"/>
    <s v="Units"/>
    <x v="4"/>
    <n v="-1.9670000000000001"/>
  </r>
  <r>
    <n v="163"/>
    <x v="5"/>
    <x v="90"/>
    <x v="4"/>
    <s v="Percent change"/>
    <s v="Units"/>
    <x v="5"/>
    <n v="2.8719999999999999"/>
  </r>
  <r>
    <n v="163"/>
    <x v="5"/>
    <x v="90"/>
    <x v="4"/>
    <s v="Percent change"/>
    <s v="Units"/>
    <x v="6"/>
    <n v="4.2709999999999999"/>
  </r>
  <r>
    <n v="1"/>
    <x v="2"/>
    <x v="95"/>
    <x v="1"/>
    <s v="Percent change"/>
    <s v="Units"/>
    <x v="0"/>
    <n v="-2.87"/>
  </r>
  <r>
    <n v="1"/>
    <x v="2"/>
    <x v="95"/>
    <x v="1"/>
    <s v="Percent change"/>
    <s v="Units"/>
    <x v="1"/>
    <n v="1.468"/>
  </r>
  <r>
    <n v="1"/>
    <x v="2"/>
    <x v="95"/>
    <x v="1"/>
    <s v="Percent change"/>
    <s v="Units"/>
    <x v="2"/>
    <n v="2.88"/>
  </r>
  <r>
    <n v="1"/>
    <x v="2"/>
    <x v="95"/>
    <x v="1"/>
    <s v="Percent change"/>
    <s v="Units"/>
    <x v="3"/>
    <n v="4.51"/>
  </r>
  <r>
    <n v="1"/>
    <x v="2"/>
    <x v="95"/>
    <x v="1"/>
    <s v="Percent change"/>
    <s v="Units"/>
    <x v="4"/>
    <n v="3.4279999999999999"/>
  </r>
  <r>
    <n v="1"/>
    <x v="2"/>
    <x v="95"/>
    <x v="1"/>
    <s v="Percent change"/>
    <s v="Units"/>
    <x v="5"/>
    <n v="2.863"/>
  </r>
  <r>
    <n v="1"/>
    <x v="2"/>
    <x v="95"/>
    <x v="1"/>
    <s v="Percent change"/>
    <s v="Units"/>
    <x v="6"/>
    <n v="2.863"/>
  </r>
  <r>
    <n v="200"/>
    <x v="3"/>
    <x v="95"/>
    <x v="1"/>
    <s v="Percent change"/>
    <s v="Units"/>
    <x v="0"/>
    <n v="-2.87"/>
  </r>
  <r>
    <n v="200"/>
    <x v="3"/>
    <x v="95"/>
    <x v="1"/>
    <s v="Percent change"/>
    <s v="Units"/>
    <x v="1"/>
    <n v="1.468"/>
  </r>
  <r>
    <n v="200"/>
    <x v="3"/>
    <x v="95"/>
    <x v="1"/>
    <s v="Percent change"/>
    <s v="Units"/>
    <x v="2"/>
    <n v="2.88"/>
  </r>
  <r>
    <n v="200"/>
    <x v="3"/>
    <x v="95"/>
    <x v="1"/>
    <s v="Percent change"/>
    <s v="Units"/>
    <x v="3"/>
    <n v="4.51"/>
  </r>
  <r>
    <n v="200"/>
    <x v="3"/>
    <x v="95"/>
    <x v="1"/>
    <s v="Percent change"/>
    <s v="Units"/>
    <x v="4"/>
    <n v="3.4279999999999999"/>
  </r>
  <r>
    <n v="200"/>
    <x v="3"/>
    <x v="95"/>
    <x v="1"/>
    <s v="Percent change"/>
    <s v="Units"/>
    <x v="5"/>
    <n v="2.863"/>
  </r>
  <r>
    <n v="200"/>
    <x v="3"/>
    <x v="95"/>
    <x v="1"/>
    <s v="Percent change"/>
    <s v="Units"/>
    <x v="6"/>
    <n v="2.863"/>
  </r>
  <r>
    <n v="400"/>
    <x v="11"/>
    <x v="95"/>
    <x v="1"/>
    <s v="Percent change"/>
    <s v="Units"/>
    <x v="0"/>
    <n v="-2.87"/>
  </r>
  <r>
    <n v="400"/>
    <x v="11"/>
    <x v="95"/>
    <x v="1"/>
    <s v="Percent change"/>
    <s v="Units"/>
    <x v="1"/>
    <n v="1.468"/>
  </r>
  <r>
    <n v="400"/>
    <x v="11"/>
    <x v="95"/>
    <x v="1"/>
    <s v="Percent change"/>
    <s v="Units"/>
    <x v="2"/>
    <n v="2.88"/>
  </r>
  <r>
    <n v="400"/>
    <x v="11"/>
    <x v="95"/>
    <x v="1"/>
    <s v="Percent change"/>
    <s v="Units"/>
    <x v="3"/>
    <n v="4.51"/>
  </r>
  <r>
    <n v="400"/>
    <x v="11"/>
    <x v="95"/>
    <x v="1"/>
    <s v="Percent change"/>
    <s v="Units"/>
    <x v="4"/>
    <n v="3.4279999999999999"/>
  </r>
  <r>
    <n v="400"/>
    <x v="11"/>
    <x v="95"/>
    <x v="1"/>
    <s v="Percent change"/>
    <s v="Units"/>
    <x v="5"/>
    <n v="2.863"/>
  </r>
  <r>
    <n v="400"/>
    <x v="11"/>
    <x v="95"/>
    <x v="1"/>
    <s v="Percent change"/>
    <s v="Units"/>
    <x v="6"/>
    <n v="2.863"/>
  </r>
  <r>
    <n v="1"/>
    <x v="2"/>
    <x v="128"/>
    <x v="1"/>
    <s v="Percent change"/>
    <s v="Units"/>
    <x v="0"/>
    <n v="1.5189999999999999"/>
  </r>
  <r>
    <n v="1"/>
    <x v="2"/>
    <x v="128"/>
    <x v="1"/>
    <s v="Percent change"/>
    <s v="Units"/>
    <x v="1"/>
    <n v="0.79400000000000004"/>
  </r>
  <r>
    <n v="1"/>
    <x v="2"/>
    <x v="128"/>
    <x v="1"/>
    <s v="Percent change"/>
    <s v="Units"/>
    <x v="2"/>
    <n v="0.71499999999999997"/>
  </r>
  <r>
    <n v="1"/>
    <x v="2"/>
    <x v="128"/>
    <x v="1"/>
    <s v="Percent change"/>
    <s v="Units"/>
    <x v="3"/>
    <n v="6.125"/>
  </r>
  <r>
    <n v="1"/>
    <x v="2"/>
    <x v="128"/>
    <x v="1"/>
    <s v="Percent change"/>
    <s v="Units"/>
    <x v="4"/>
    <n v="5.6550000000000002"/>
  </r>
  <r>
    <n v="1"/>
    <x v="2"/>
    <x v="128"/>
    <x v="1"/>
    <s v="Percent change"/>
    <s v="Units"/>
    <x v="5"/>
    <n v="2.8610000000000002"/>
  </r>
  <r>
    <n v="1"/>
    <x v="2"/>
    <x v="128"/>
    <x v="1"/>
    <s v="Percent change"/>
    <s v="Units"/>
    <x v="6"/>
    <n v="2.1150000000000002"/>
  </r>
  <r>
    <n v="163"/>
    <x v="5"/>
    <x v="128"/>
    <x v="1"/>
    <s v="Percent change"/>
    <s v="Units"/>
    <x v="0"/>
    <n v="1.5189999999999999"/>
  </r>
  <r>
    <n v="163"/>
    <x v="5"/>
    <x v="128"/>
    <x v="1"/>
    <s v="Percent change"/>
    <s v="Units"/>
    <x v="1"/>
    <n v="0.79400000000000004"/>
  </r>
  <r>
    <n v="163"/>
    <x v="5"/>
    <x v="128"/>
    <x v="1"/>
    <s v="Percent change"/>
    <s v="Units"/>
    <x v="2"/>
    <n v="0.71499999999999997"/>
  </r>
  <r>
    <n v="163"/>
    <x v="5"/>
    <x v="128"/>
    <x v="1"/>
    <s v="Percent change"/>
    <s v="Units"/>
    <x v="3"/>
    <n v="6.125"/>
  </r>
  <r>
    <n v="163"/>
    <x v="5"/>
    <x v="128"/>
    <x v="1"/>
    <s v="Percent change"/>
    <s v="Units"/>
    <x v="4"/>
    <n v="5.6550000000000002"/>
  </r>
  <r>
    <n v="163"/>
    <x v="5"/>
    <x v="128"/>
    <x v="1"/>
    <s v="Percent change"/>
    <s v="Units"/>
    <x v="5"/>
    <n v="2.8610000000000002"/>
  </r>
  <r>
    <n v="163"/>
    <x v="5"/>
    <x v="128"/>
    <x v="1"/>
    <s v="Percent change"/>
    <s v="Units"/>
    <x v="6"/>
    <n v="2.1150000000000002"/>
  </r>
  <r>
    <n v="110"/>
    <x v="0"/>
    <x v="128"/>
    <x v="1"/>
    <s v="Percent change"/>
    <s v="Units"/>
    <x v="0"/>
    <n v="1.5189999999999999"/>
  </r>
  <r>
    <n v="110"/>
    <x v="0"/>
    <x v="128"/>
    <x v="1"/>
    <s v="Percent change"/>
    <s v="Units"/>
    <x v="1"/>
    <n v="0.79400000000000004"/>
  </r>
  <r>
    <n v="110"/>
    <x v="0"/>
    <x v="128"/>
    <x v="1"/>
    <s v="Percent change"/>
    <s v="Units"/>
    <x v="2"/>
    <n v="0.71499999999999997"/>
  </r>
  <r>
    <n v="110"/>
    <x v="0"/>
    <x v="128"/>
    <x v="1"/>
    <s v="Percent change"/>
    <s v="Units"/>
    <x v="3"/>
    <n v="6.125"/>
  </r>
  <r>
    <n v="110"/>
    <x v="0"/>
    <x v="128"/>
    <x v="1"/>
    <s v="Percent change"/>
    <s v="Units"/>
    <x v="4"/>
    <n v="5.6550000000000002"/>
  </r>
  <r>
    <n v="110"/>
    <x v="0"/>
    <x v="128"/>
    <x v="1"/>
    <s v="Percent change"/>
    <s v="Units"/>
    <x v="5"/>
    <n v="2.8610000000000002"/>
  </r>
  <r>
    <n v="110"/>
    <x v="0"/>
    <x v="128"/>
    <x v="1"/>
    <s v="Percent change"/>
    <s v="Units"/>
    <x v="6"/>
    <n v="2.1150000000000002"/>
  </r>
  <r>
    <n v="998"/>
    <x v="6"/>
    <x v="128"/>
    <x v="1"/>
    <s v="Percent change"/>
    <s v="Units"/>
    <x v="0"/>
    <n v="1.5189999999999999"/>
  </r>
  <r>
    <n v="998"/>
    <x v="6"/>
    <x v="128"/>
    <x v="1"/>
    <s v="Percent change"/>
    <s v="Units"/>
    <x v="1"/>
    <n v="0.79400000000000004"/>
  </r>
  <r>
    <n v="998"/>
    <x v="6"/>
    <x v="128"/>
    <x v="1"/>
    <s v="Percent change"/>
    <s v="Units"/>
    <x v="2"/>
    <n v="0.71499999999999997"/>
  </r>
  <r>
    <n v="998"/>
    <x v="6"/>
    <x v="128"/>
    <x v="1"/>
    <s v="Percent change"/>
    <s v="Units"/>
    <x v="3"/>
    <n v="6.125"/>
  </r>
  <r>
    <n v="998"/>
    <x v="6"/>
    <x v="128"/>
    <x v="1"/>
    <s v="Percent change"/>
    <s v="Units"/>
    <x v="4"/>
    <n v="5.6550000000000002"/>
  </r>
  <r>
    <n v="998"/>
    <x v="6"/>
    <x v="128"/>
    <x v="1"/>
    <s v="Percent change"/>
    <s v="Units"/>
    <x v="5"/>
    <n v="2.8610000000000002"/>
  </r>
  <r>
    <n v="998"/>
    <x v="6"/>
    <x v="128"/>
    <x v="1"/>
    <s v="Percent change"/>
    <s v="Units"/>
    <x v="6"/>
    <n v="2.1150000000000002"/>
  </r>
  <r>
    <n v="200"/>
    <x v="3"/>
    <x v="158"/>
    <x v="6"/>
    <s v="Percent change"/>
    <s v="Units"/>
    <x v="0"/>
    <n v="8.5670000000000002"/>
  </r>
  <r>
    <n v="200"/>
    <x v="3"/>
    <x v="158"/>
    <x v="6"/>
    <s v="Percent change"/>
    <s v="Units"/>
    <x v="1"/>
    <n v="2.7749999999999999"/>
  </r>
  <r>
    <n v="200"/>
    <x v="3"/>
    <x v="158"/>
    <x v="6"/>
    <s v="Percent change"/>
    <s v="Units"/>
    <x v="2"/>
    <n v="3.984"/>
  </r>
  <r>
    <n v="200"/>
    <x v="3"/>
    <x v="158"/>
    <x v="6"/>
    <s v="Percent change"/>
    <s v="Units"/>
    <x v="3"/>
    <n v="12.983000000000001"/>
  </r>
  <r>
    <n v="200"/>
    <x v="3"/>
    <x v="158"/>
    <x v="6"/>
    <s v="Percent change"/>
    <s v="Units"/>
    <x v="4"/>
    <n v="17.902999999999999"/>
  </r>
  <r>
    <n v="200"/>
    <x v="3"/>
    <x v="158"/>
    <x v="6"/>
    <s v="Percent change"/>
    <s v="Units"/>
    <x v="5"/>
    <n v="2.8319999999999999"/>
  </r>
  <r>
    <n v="200"/>
    <x v="3"/>
    <x v="158"/>
    <x v="6"/>
    <s v="Percent change"/>
    <s v="Units"/>
    <x v="6"/>
    <n v="3.302"/>
  </r>
  <r>
    <n v="1"/>
    <x v="2"/>
    <x v="158"/>
    <x v="6"/>
    <s v="Percent change"/>
    <s v="Units"/>
    <x v="0"/>
    <n v="8.5670000000000002"/>
  </r>
  <r>
    <n v="1"/>
    <x v="2"/>
    <x v="158"/>
    <x v="6"/>
    <s v="Percent change"/>
    <s v="Units"/>
    <x v="1"/>
    <n v="2.7749999999999999"/>
  </r>
  <r>
    <n v="1"/>
    <x v="2"/>
    <x v="158"/>
    <x v="6"/>
    <s v="Percent change"/>
    <s v="Units"/>
    <x v="2"/>
    <n v="3.984"/>
  </r>
  <r>
    <n v="1"/>
    <x v="2"/>
    <x v="158"/>
    <x v="6"/>
    <s v="Percent change"/>
    <s v="Units"/>
    <x v="3"/>
    <n v="12.983000000000001"/>
  </r>
  <r>
    <n v="1"/>
    <x v="2"/>
    <x v="158"/>
    <x v="6"/>
    <s v="Percent change"/>
    <s v="Units"/>
    <x v="4"/>
    <n v="17.902999999999999"/>
  </r>
  <r>
    <n v="1"/>
    <x v="2"/>
    <x v="158"/>
    <x v="6"/>
    <s v="Percent change"/>
    <s v="Units"/>
    <x v="5"/>
    <n v="2.8319999999999999"/>
  </r>
  <r>
    <n v="1"/>
    <x v="2"/>
    <x v="158"/>
    <x v="6"/>
    <s v="Percent change"/>
    <s v="Units"/>
    <x v="6"/>
    <n v="3.302"/>
  </r>
  <r>
    <n v="603"/>
    <x v="12"/>
    <x v="158"/>
    <x v="6"/>
    <s v="Percent change"/>
    <s v="Units"/>
    <x v="0"/>
    <n v="8.5670000000000002"/>
  </r>
  <r>
    <n v="603"/>
    <x v="12"/>
    <x v="158"/>
    <x v="6"/>
    <s v="Percent change"/>
    <s v="Units"/>
    <x v="1"/>
    <n v="2.7749999999999999"/>
  </r>
  <r>
    <n v="603"/>
    <x v="12"/>
    <x v="158"/>
    <x v="6"/>
    <s v="Percent change"/>
    <s v="Units"/>
    <x v="2"/>
    <n v="3.984"/>
  </r>
  <r>
    <n v="603"/>
    <x v="12"/>
    <x v="158"/>
    <x v="6"/>
    <s v="Percent change"/>
    <s v="Units"/>
    <x v="3"/>
    <n v="12.983000000000001"/>
  </r>
  <r>
    <n v="603"/>
    <x v="12"/>
    <x v="158"/>
    <x v="6"/>
    <s v="Percent change"/>
    <s v="Units"/>
    <x v="4"/>
    <n v="17.902999999999999"/>
  </r>
  <r>
    <n v="603"/>
    <x v="12"/>
    <x v="158"/>
    <x v="6"/>
    <s v="Percent change"/>
    <s v="Units"/>
    <x v="5"/>
    <n v="2.8319999999999999"/>
  </r>
  <r>
    <n v="603"/>
    <x v="12"/>
    <x v="158"/>
    <x v="6"/>
    <s v="Percent change"/>
    <s v="Units"/>
    <x v="6"/>
    <n v="3.302"/>
  </r>
  <r>
    <n v="110"/>
    <x v="0"/>
    <x v="38"/>
    <x v="11"/>
    <s v="Percent of total labor force"/>
    <s v="Units"/>
    <x v="0"/>
    <n v="2.9159999999999999"/>
  </r>
  <r>
    <n v="110"/>
    <x v="0"/>
    <x v="38"/>
    <x v="11"/>
    <s v="Percent of total labor force"/>
    <s v="Units"/>
    <x v="1"/>
    <n v="5.8079999999999998"/>
  </r>
  <r>
    <n v="110"/>
    <x v="0"/>
    <x v="38"/>
    <x v="11"/>
    <s v="Percent of total labor force"/>
    <s v="Units"/>
    <x v="2"/>
    <n v="5.1749999999999998"/>
  </r>
  <r>
    <n v="110"/>
    <x v="0"/>
    <x v="38"/>
    <x v="11"/>
    <s v="Percent of total labor force"/>
    <s v="Units"/>
    <x v="3"/>
    <n v="4.319"/>
  </r>
  <r>
    <n v="110"/>
    <x v="0"/>
    <x v="38"/>
    <x v="11"/>
    <s v="Percent of total labor force"/>
    <s v="Units"/>
    <x v="4"/>
    <n v="2.9"/>
  </r>
  <r>
    <n v="110"/>
    <x v="0"/>
    <x v="38"/>
    <x v="11"/>
    <s v="Percent of total labor force"/>
    <s v="Units"/>
    <x v="5"/>
    <n v="2.8130000000000002"/>
  </r>
  <r>
    <n v="110"/>
    <x v="0"/>
    <x v="38"/>
    <x v="11"/>
    <s v="Percent of total labor force"/>
    <s v="Units"/>
    <x v="6"/>
    <n v="2.7349999999999999"/>
  </r>
  <r>
    <n v="123"/>
    <x v="9"/>
    <x v="38"/>
    <x v="11"/>
    <s v="Percent of total labor force"/>
    <s v="Units"/>
    <x v="0"/>
    <n v="2.9159999999999999"/>
  </r>
  <r>
    <n v="123"/>
    <x v="9"/>
    <x v="38"/>
    <x v="11"/>
    <s v="Percent of total labor force"/>
    <s v="Units"/>
    <x v="1"/>
    <n v="5.8079999999999998"/>
  </r>
  <r>
    <n v="123"/>
    <x v="9"/>
    <x v="38"/>
    <x v="11"/>
    <s v="Percent of total labor force"/>
    <s v="Units"/>
    <x v="2"/>
    <n v="5.1749999999999998"/>
  </r>
  <r>
    <n v="123"/>
    <x v="9"/>
    <x v="38"/>
    <x v="11"/>
    <s v="Percent of total labor force"/>
    <s v="Units"/>
    <x v="3"/>
    <n v="4.319"/>
  </r>
  <r>
    <n v="123"/>
    <x v="9"/>
    <x v="38"/>
    <x v="11"/>
    <s v="Percent of total labor force"/>
    <s v="Units"/>
    <x v="4"/>
    <n v="2.9"/>
  </r>
  <r>
    <n v="123"/>
    <x v="9"/>
    <x v="38"/>
    <x v="11"/>
    <s v="Percent of total labor force"/>
    <s v="Units"/>
    <x v="5"/>
    <n v="2.8130000000000002"/>
  </r>
  <r>
    <n v="123"/>
    <x v="9"/>
    <x v="38"/>
    <x v="11"/>
    <s v="Percent of total labor force"/>
    <s v="Units"/>
    <x v="6"/>
    <n v="2.7349999999999999"/>
  </r>
  <r>
    <n v="603"/>
    <x v="12"/>
    <x v="186"/>
    <x v="0"/>
    <s v="U.S. dollars"/>
    <s v="Billions"/>
    <x v="0"/>
    <n v="2.278"/>
  </r>
  <r>
    <n v="603"/>
    <x v="12"/>
    <x v="186"/>
    <x v="0"/>
    <s v="U.S. dollars"/>
    <s v="Billions"/>
    <x v="1"/>
    <n v="2.3879999999999999"/>
  </r>
  <r>
    <n v="603"/>
    <x v="12"/>
    <x v="186"/>
    <x v="0"/>
    <s v="U.S. dollars"/>
    <s v="Billions"/>
    <x v="2"/>
    <n v="2.5840000000000001"/>
  </r>
  <r>
    <n v="603"/>
    <x v="12"/>
    <x v="186"/>
    <x v="0"/>
    <s v="U.S. dollars"/>
    <s v="Billions"/>
    <x v="3"/>
    <n v="2.4590000000000001"/>
  </r>
  <r>
    <n v="603"/>
    <x v="12"/>
    <x v="186"/>
    <x v="0"/>
    <s v="U.S. dollars"/>
    <s v="Billions"/>
    <x v="4"/>
    <n v="2.6320000000000001"/>
  </r>
  <r>
    <n v="603"/>
    <x v="12"/>
    <x v="186"/>
    <x v="0"/>
    <s v="U.S. dollars"/>
    <s v="Billions"/>
    <x v="5"/>
    <n v="2.81"/>
  </r>
  <r>
    <n v="603"/>
    <x v="12"/>
    <x v="186"/>
    <x v="0"/>
    <s v="U.S. dollars"/>
    <s v="Billions"/>
    <x v="6"/>
    <n v="2.9860000000000002"/>
  </r>
  <r>
    <n v="200"/>
    <x v="3"/>
    <x v="186"/>
    <x v="0"/>
    <s v="U.S. dollars"/>
    <s v="Billions"/>
    <x v="0"/>
    <n v="2.278"/>
  </r>
  <r>
    <n v="200"/>
    <x v="3"/>
    <x v="186"/>
    <x v="0"/>
    <s v="U.S. dollars"/>
    <s v="Billions"/>
    <x v="1"/>
    <n v="2.3879999999999999"/>
  </r>
  <r>
    <n v="200"/>
    <x v="3"/>
    <x v="186"/>
    <x v="0"/>
    <s v="U.S. dollars"/>
    <s v="Billions"/>
    <x v="2"/>
    <n v="2.5840000000000001"/>
  </r>
  <r>
    <n v="200"/>
    <x v="3"/>
    <x v="186"/>
    <x v="0"/>
    <s v="U.S. dollars"/>
    <s v="Billions"/>
    <x v="3"/>
    <n v="2.4590000000000001"/>
  </r>
  <r>
    <n v="200"/>
    <x v="3"/>
    <x v="186"/>
    <x v="0"/>
    <s v="U.S. dollars"/>
    <s v="Billions"/>
    <x v="4"/>
    <n v="2.6320000000000001"/>
  </r>
  <r>
    <n v="200"/>
    <x v="3"/>
    <x v="186"/>
    <x v="0"/>
    <s v="U.S. dollars"/>
    <s v="Billions"/>
    <x v="5"/>
    <n v="2.81"/>
  </r>
  <r>
    <n v="200"/>
    <x v="3"/>
    <x v="186"/>
    <x v="0"/>
    <s v="U.S. dollars"/>
    <s v="Billions"/>
    <x v="6"/>
    <n v="2.9860000000000002"/>
  </r>
  <r>
    <n v="1"/>
    <x v="2"/>
    <x v="186"/>
    <x v="0"/>
    <s v="U.S. dollars"/>
    <s v="Billions"/>
    <x v="0"/>
    <n v="2.278"/>
  </r>
  <r>
    <n v="1"/>
    <x v="2"/>
    <x v="186"/>
    <x v="0"/>
    <s v="U.S. dollars"/>
    <s v="Billions"/>
    <x v="1"/>
    <n v="2.3879999999999999"/>
  </r>
  <r>
    <n v="1"/>
    <x v="2"/>
    <x v="186"/>
    <x v="0"/>
    <s v="U.S. dollars"/>
    <s v="Billions"/>
    <x v="2"/>
    <n v="2.5840000000000001"/>
  </r>
  <r>
    <n v="1"/>
    <x v="2"/>
    <x v="186"/>
    <x v="0"/>
    <s v="U.S. dollars"/>
    <s v="Billions"/>
    <x v="3"/>
    <n v="2.4590000000000001"/>
  </r>
  <r>
    <n v="1"/>
    <x v="2"/>
    <x v="186"/>
    <x v="0"/>
    <s v="U.S. dollars"/>
    <s v="Billions"/>
    <x v="4"/>
    <n v="2.6320000000000001"/>
  </r>
  <r>
    <n v="1"/>
    <x v="2"/>
    <x v="186"/>
    <x v="0"/>
    <s v="U.S. dollars"/>
    <s v="Billions"/>
    <x v="5"/>
    <n v="2.81"/>
  </r>
  <r>
    <n v="1"/>
    <x v="2"/>
    <x v="186"/>
    <x v="0"/>
    <s v="U.S. dollars"/>
    <s v="Billions"/>
    <x v="6"/>
    <n v="2.9860000000000002"/>
  </r>
  <r>
    <n v="1"/>
    <x v="2"/>
    <x v="114"/>
    <x v="1"/>
    <s v="Percent change"/>
    <s v="Units"/>
    <x v="0"/>
    <n v="1.5049999999999999"/>
  </r>
  <r>
    <n v="1"/>
    <x v="2"/>
    <x v="114"/>
    <x v="1"/>
    <s v="Percent change"/>
    <s v="Units"/>
    <x v="1"/>
    <n v="-0.72699999999999998"/>
  </r>
  <r>
    <n v="1"/>
    <x v="2"/>
    <x v="114"/>
    <x v="1"/>
    <s v="Percent change"/>
    <s v="Units"/>
    <x v="2"/>
    <n v="1.571"/>
  </r>
  <r>
    <n v="1"/>
    <x v="2"/>
    <x v="114"/>
    <x v="1"/>
    <s v="Percent change"/>
    <s v="Units"/>
    <x v="3"/>
    <n v="7.7069999999999999"/>
  </r>
  <r>
    <n v="1"/>
    <x v="2"/>
    <x v="114"/>
    <x v="1"/>
    <s v="Percent change"/>
    <s v="Units"/>
    <x v="4"/>
    <n v="3.4630000000000001"/>
  </r>
  <r>
    <n v="1"/>
    <x v="2"/>
    <x v="114"/>
    <x v="1"/>
    <s v="Percent change"/>
    <s v="Units"/>
    <x v="5"/>
    <n v="2.8079999999999998"/>
  </r>
  <r>
    <n v="1"/>
    <x v="2"/>
    <x v="114"/>
    <x v="1"/>
    <s v="Percent change"/>
    <s v="Units"/>
    <x v="6"/>
    <n v="2.0830000000000002"/>
  </r>
  <r>
    <n v="205"/>
    <x v="7"/>
    <x v="114"/>
    <x v="1"/>
    <s v="Percent change"/>
    <s v="Units"/>
    <x v="0"/>
    <n v="1.5049999999999999"/>
  </r>
  <r>
    <n v="205"/>
    <x v="7"/>
    <x v="114"/>
    <x v="1"/>
    <s v="Percent change"/>
    <s v="Units"/>
    <x v="1"/>
    <n v="-0.72699999999999998"/>
  </r>
  <r>
    <n v="205"/>
    <x v="7"/>
    <x v="114"/>
    <x v="1"/>
    <s v="Percent change"/>
    <s v="Units"/>
    <x v="2"/>
    <n v="1.571"/>
  </r>
  <r>
    <n v="205"/>
    <x v="7"/>
    <x v="114"/>
    <x v="1"/>
    <s v="Percent change"/>
    <s v="Units"/>
    <x v="3"/>
    <n v="7.7069999999999999"/>
  </r>
  <r>
    <n v="205"/>
    <x v="7"/>
    <x v="114"/>
    <x v="1"/>
    <s v="Percent change"/>
    <s v="Units"/>
    <x v="4"/>
    <n v="3.4630000000000001"/>
  </r>
  <r>
    <n v="205"/>
    <x v="7"/>
    <x v="114"/>
    <x v="1"/>
    <s v="Percent change"/>
    <s v="Units"/>
    <x v="5"/>
    <n v="2.8079999999999998"/>
  </r>
  <r>
    <n v="205"/>
    <x v="7"/>
    <x v="114"/>
    <x v="1"/>
    <s v="Percent change"/>
    <s v="Units"/>
    <x v="6"/>
    <n v="2.0830000000000002"/>
  </r>
  <r>
    <n v="200"/>
    <x v="3"/>
    <x v="114"/>
    <x v="1"/>
    <s v="Percent change"/>
    <s v="Units"/>
    <x v="0"/>
    <n v="1.5049999999999999"/>
  </r>
  <r>
    <n v="200"/>
    <x v="3"/>
    <x v="114"/>
    <x v="1"/>
    <s v="Percent change"/>
    <s v="Units"/>
    <x v="1"/>
    <n v="-0.72699999999999998"/>
  </r>
  <r>
    <n v="200"/>
    <x v="3"/>
    <x v="114"/>
    <x v="1"/>
    <s v="Percent change"/>
    <s v="Units"/>
    <x v="2"/>
    <n v="1.571"/>
  </r>
  <r>
    <n v="200"/>
    <x v="3"/>
    <x v="114"/>
    <x v="1"/>
    <s v="Percent change"/>
    <s v="Units"/>
    <x v="3"/>
    <n v="7.7069999999999999"/>
  </r>
  <r>
    <n v="200"/>
    <x v="3"/>
    <x v="114"/>
    <x v="1"/>
    <s v="Percent change"/>
    <s v="Units"/>
    <x v="4"/>
    <n v="3.4630000000000001"/>
  </r>
  <r>
    <n v="200"/>
    <x v="3"/>
    <x v="114"/>
    <x v="1"/>
    <s v="Percent change"/>
    <s v="Units"/>
    <x v="5"/>
    <n v="2.8079999999999998"/>
  </r>
  <r>
    <n v="200"/>
    <x v="3"/>
    <x v="114"/>
    <x v="1"/>
    <s v="Percent change"/>
    <s v="Units"/>
    <x v="6"/>
    <n v="2.0830000000000002"/>
  </r>
  <r>
    <n v="1"/>
    <x v="2"/>
    <x v="120"/>
    <x v="1"/>
    <s v="Percent change"/>
    <s v="Units"/>
    <x v="0"/>
    <n v="2.0920000000000001"/>
  </r>
  <r>
    <n v="1"/>
    <x v="2"/>
    <x v="120"/>
    <x v="1"/>
    <s v="Percent change"/>
    <s v="Units"/>
    <x v="1"/>
    <n v="1.232"/>
  </r>
  <r>
    <n v="1"/>
    <x v="2"/>
    <x v="120"/>
    <x v="1"/>
    <s v="Percent change"/>
    <s v="Units"/>
    <x v="2"/>
    <n v="3.3210000000000002"/>
  </r>
  <r>
    <n v="1"/>
    <x v="2"/>
    <x v="120"/>
    <x v="1"/>
    <s v="Percent change"/>
    <s v="Units"/>
    <x v="3"/>
    <n v="6.4770000000000003"/>
  </r>
  <r>
    <n v="1"/>
    <x v="2"/>
    <x v="120"/>
    <x v="1"/>
    <s v="Percent change"/>
    <s v="Units"/>
    <x v="4"/>
    <n v="4.5369999999999999"/>
  </r>
  <r>
    <n v="1"/>
    <x v="2"/>
    <x v="120"/>
    <x v="1"/>
    <s v="Percent change"/>
    <s v="Units"/>
    <x v="5"/>
    <n v="2.794"/>
  </r>
  <r>
    <n v="1"/>
    <x v="2"/>
    <x v="120"/>
    <x v="1"/>
    <s v="Percent change"/>
    <s v="Units"/>
    <x v="6"/>
    <n v="4.5629999999999997"/>
  </r>
  <r>
    <n v="200"/>
    <x v="3"/>
    <x v="120"/>
    <x v="1"/>
    <s v="Percent change"/>
    <s v="Units"/>
    <x v="0"/>
    <n v="2.0920000000000001"/>
  </r>
  <r>
    <n v="200"/>
    <x v="3"/>
    <x v="120"/>
    <x v="1"/>
    <s v="Percent change"/>
    <s v="Units"/>
    <x v="1"/>
    <n v="1.232"/>
  </r>
  <r>
    <n v="200"/>
    <x v="3"/>
    <x v="120"/>
    <x v="1"/>
    <s v="Percent change"/>
    <s v="Units"/>
    <x v="2"/>
    <n v="3.3210000000000002"/>
  </r>
  <r>
    <n v="200"/>
    <x v="3"/>
    <x v="120"/>
    <x v="1"/>
    <s v="Percent change"/>
    <s v="Units"/>
    <x v="3"/>
    <n v="6.4770000000000003"/>
  </r>
  <r>
    <n v="200"/>
    <x v="3"/>
    <x v="120"/>
    <x v="1"/>
    <s v="Percent change"/>
    <s v="Units"/>
    <x v="4"/>
    <n v="4.5369999999999999"/>
  </r>
  <r>
    <n v="200"/>
    <x v="3"/>
    <x v="120"/>
    <x v="1"/>
    <s v="Percent change"/>
    <s v="Units"/>
    <x v="5"/>
    <n v="2.794"/>
  </r>
  <r>
    <n v="200"/>
    <x v="3"/>
    <x v="120"/>
    <x v="1"/>
    <s v="Percent change"/>
    <s v="Units"/>
    <x v="6"/>
    <n v="4.5629999999999997"/>
  </r>
  <r>
    <n v="205"/>
    <x v="7"/>
    <x v="120"/>
    <x v="1"/>
    <s v="Percent change"/>
    <s v="Units"/>
    <x v="0"/>
    <n v="2.0920000000000001"/>
  </r>
  <r>
    <n v="205"/>
    <x v="7"/>
    <x v="120"/>
    <x v="1"/>
    <s v="Percent change"/>
    <s v="Units"/>
    <x v="1"/>
    <n v="1.232"/>
  </r>
  <r>
    <n v="205"/>
    <x v="7"/>
    <x v="120"/>
    <x v="1"/>
    <s v="Percent change"/>
    <s v="Units"/>
    <x v="2"/>
    <n v="3.3210000000000002"/>
  </r>
  <r>
    <n v="205"/>
    <x v="7"/>
    <x v="120"/>
    <x v="1"/>
    <s v="Percent change"/>
    <s v="Units"/>
    <x v="3"/>
    <n v="6.4770000000000003"/>
  </r>
  <r>
    <n v="205"/>
    <x v="7"/>
    <x v="120"/>
    <x v="1"/>
    <s v="Percent change"/>
    <s v="Units"/>
    <x v="4"/>
    <n v="4.5369999999999999"/>
  </r>
  <r>
    <n v="205"/>
    <x v="7"/>
    <x v="120"/>
    <x v="1"/>
    <s v="Percent change"/>
    <s v="Units"/>
    <x v="5"/>
    <n v="2.794"/>
  </r>
  <r>
    <n v="205"/>
    <x v="7"/>
    <x v="120"/>
    <x v="1"/>
    <s v="Percent change"/>
    <s v="Units"/>
    <x v="6"/>
    <n v="4.5629999999999997"/>
  </r>
  <r>
    <n v="505"/>
    <x v="4"/>
    <x v="36"/>
    <x v="1"/>
    <s v="Percent change"/>
    <s v="Units"/>
    <x v="0"/>
    <n v="0.66300000000000003"/>
  </r>
  <r>
    <n v="505"/>
    <x v="4"/>
    <x v="36"/>
    <x v="1"/>
    <s v="Percent change"/>
    <s v="Units"/>
    <x v="1"/>
    <n v="-1.139"/>
  </r>
  <r>
    <n v="505"/>
    <x v="4"/>
    <x v="36"/>
    <x v="1"/>
    <s v="Percent change"/>
    <s v="Units"/>
    <x v="2"/>
    <n v="2.4769999999999999"/>
  </r>
  <r>
    <n v="505"/>
    <x v="4"/>
    <x v="36"/>
    <x v="1"/>
    <s v="Percent change"/>
    <s v="Units"/>
    <x v="3"/>
    <n v="3.379"/>
  </r>
  <r>
    <n v="505"/>
    <x v="4"/>
    <x v="36"/>
    <x v="1"/>
    <s v="Percent change"/>
    <s v="Units"/>
    <x v="4"/>
    <n v="2.4889999999999999"/>
  </r>
  <r>
    <n v="505"/>
    <x v="4"/>
    <x v="36"/>
    <x v="1"/>
    <s v="Percent change"/>
    <s v="Units"/>
    <x v="5"/>
    <n v="2.7930000000000001"/>
  </r>
  <r>
    <n v="505"/>
    <x v="4"/>
    <x v="36"/>
    <x v="1"/>
    <s v="Percent change"/>
    <s v="Units"/>
    <x v="6"/>
    <n v="2.5139999999999998"/>
  </r>
  <r>
    <n v="1"/>
    <x v="2"/>
    <x v="36"/>
    <x v="1"/>
    <s v="Percent change"/>
    <s v="Units"/>
    <x v="0"/>
    <n v="0.66300000000000003"/>
  </r>
  <r>
    <n v="1"/>
    <x v="2"/>
    <x v="36"/>
    <x v="1"/>
    <s v="Percent change"/>
    <s v="Units"/>
    <x v="1"/>
    <n v="-1.139"/>
  </r>
  <r>
    <n v="1"/>
    <x v="2"/>
    <x v="36"/>
    <x v="1"/>
    <s v="Percent change"/>
    <s v="Units"/>
    <x v="2"/>
    <n v="2.4769999999999999"/>
  </r>
  <r>
    <n v="1"/>
    <x v="2"/>
    <x v="36"/>
    <x v="1"/>
    <s v="Percent change"/>
    <s v="Units"/>
    <x v="3"/>
    <n v="3.379"/>
  </r>
  <r>
    <n v="1"/>
    <x v="2"/>
    <x v="36"/>
    <x v="1"/>
    <s v="Percent change"/>
    <s v="Units"/>
    <x v="4"/>
    <n v="2.4889999999999999"/>
  </r>
  <r>
    <n v="1"/>
    <x v="2"/>
    <x v="36"/>
    <x v="1"/>
    <s v="Percent change"/>
    <s v="Units"/>
    <x v="5"/>
    <n v="2.7930000000000001"/>
  </r>
  <r>
    <n v="1"/>
    <x v="2"/>
    <x v="36"/>
    <x v="1"/>
    <s v="Percent change"/>
    <s v="Units"/>
    <x v="6"/>
    <n v="2.5139999999999998"/>
  </r>
  <r>
    <n v="510"/>
    <x v="10"/>
    <x v="36"/>
    <x v="1"/>
    <s v="Percent change"/>
    <s v="Units"/>
    <x v="0"/>
    <n v="0.66300000000000003"/>
  </r>
  <r>
    <n v="510"/>
    <x v="10"/>
    <x v="36"/>
    <x v="1"/>
    <s v="Percent change"/>
    <s v="Units"/>
    <x v="1"/>
    <n v="-1.139"/>
  </r>
  <r>
    <n v="510"/>
    <x v="10"/>
    <x v="36"/>
    <x v="1"/>
    <s v="Percent change"/>
    <s v="Units"/>
    <x v="2"/>
    <n v="2.4769999999999999"/>
  </r>
  <r>
    <n v="510"/>
    <x v="10"/>
    <x v="36"/>
    <x v="1"/>
    <s v="Percent change"/>
    <s v="Units"/>
    <x v="3"/>
    <n v="3.379"/>
  </r>
  <r>
    <n v="510"/>
    <x v="10"/>
    <x v="36"/>
    <x v="1"/>
    <s v="Percent change"/>
    <s v="Units"/>
    <x v="4"/>
    <n v="2.4889999999999999"/>
  </r>
  <r>
    <n v="510"/>
    <x v="10"/>
    <x v="36"/>
    <x v="1"/>
    <s v="Percent change"/>
    <s v="Units"/>
    <x v="5"/>
    <n v="2.7930000000000001"/>
  </r>
  <r>
    <n v="510"/>
    <x v="10"/>
    <x v="36"/>
    <x v="1"/>
    <s v="Percent change"/>
    <s v="Units"/>
    <x v="6"/>
    <n v="2.5139999999999998"/>
  </r>
  <r>
    <n v="200"/>
    <x v="3"/>
    <x v="36"/>
    <x v="1"/>
    <s v="Percent change"/>
    <s v="Units"/>
    <x v="0"/>
    <n v="0.66300000000000003"/>
  </r>
  <r>
    <n v="200"/>
    <x v="3"/>
    <x v="36"/>
    <x v="1"/>
    <s v="Percent change"/>
    <s v="Units"/>
    <x v="1"/>
    <n v="-1.139"/>
  </r>
  <r>
    <n v="200"/>
    <x v="3"/>
    <x v="36"/>
    <x v="1"/>
    <s v="Percent change"/>
    <s v="Units"/>
    <x v="2"/>
    <n v="2.4769999999999999"/>
  </r>
  <r>
    <n v="200"/>
    <x v="3"/>
    <x v="36"/>
    <x v="1"/>
    <s v="Percent change"/>
    <s v="Units"/>
    <x v="3"/>
    <n v="3.379"/>
  </r>
  <r>
    <n v="200"/>
    <x v="3"/>
    <x v="36"/>
    <x v="1"/>
    <s v="Percent change"/>
    <s v="Units"/>
    <x v="4"/>
    <n v="2.4889999999999999"/>
  </r>
  <r>
    <n v="200"/>
    <x v="3"/>
    <x v="36"/>
    <x v="1"/>
    <s v="Percent change"/>
    <s v="Units"/>
    <x v="5"/>
    <n v="2.7930000000000001"/>
  </r>
  <r>
    <n v="200"/>
    <x v="3"/>
    <x v="36"/>
    <x v="1"/>
    <s v="Percent change"/>
    <s v="Units"/>
    <x v="6"/>
    <n v="2.5139999999999998"/>
  </r>
  <r>
    <n v="1"/>
    <x v="2"/>
    <x v="29"/>
    <x v="6"/>
    <s v="Percent change"/>
    <s v="Units"/>
    <x v="0"/>
    <n v="-3.0329999999999999"/>
  </r>
  <r>
    <n v="1"/>
    <x v="2"/>
    <x v="29"/>
    <x v="6"/>
    <s v="Percent change"/>
    <s v="Units"/>
    <x v="1"/>
    <n v="-17.988"/>
  </r>
  <r>
    <n v="1"/>
    <x v="2"/>
    <x v="29"/>
    <x v="6"/>
    <s v="Percent change"/>
    <s v="Units"/>
    <x v="2"/>
    <n v="7.1589999999999998"/>
  </r>
  <r>
    <n v="1"/>
    <x v="2"/>
    <x v="29"/>
    <x v="6"/>
    <s v="Percent change"/>
    <s v="Units"/>
    <x v="3"/>
    <n v="14.055"/>
  </r>
  <r>
    <n v="1"/>
    <x v="2"/>
    <x v="29"/>
    <x v="6"/>
    <s v="Percent change"/>
    <s v="Units"/>
    <x v="4"/>
    <n v="9.9559999999999995"/>
  </r>
  <r>
    <n v="1"/>
    <x v="2"/>
    <x v="29"/>
    <x v="6"/>
    <s v="Percent change"/>
    <s v="Units"/>
    <x v="5"/>
    <n v="2.7909999999999999"/>
  </r>
  <r>
    <n v="1"/>
    <x v="2"/>
    <x v="29"/>
    <x v="6"/>
    <s v="Percent change"/>
    <s v="Units"/>
    <x v="6"/>
    <n v="3.01"/>
  </r>
  <r>
    <n v="200"/>
    <x v="3"/>
    <x v="29"/>
    <x v="6"/>
    <s v="Percent change"/>
    <s v="Units"/>
    <x v="0"/>
    <n v="-3.0329999999999999"/>
  </r>
  <r>
    <n v="200"/>
    <x v="3"/>
    <x v="29"/>
    <x v="6"/>
    <s v="Percent change"/>
    <s v="Units"/>
    <x v="1"/>
    <n v="-17.988"/>
  </r>
  <r>
    <n v="200"/>
    <x v="3"/>
    <x v="29"/>
    <x v="6"/>
    <s v="Percent change"/>
    <s v="Units"/>
    <x v="2"/>
    <n v="7.1589999999999998"/>
  </r>
  <r>
    <n v="200"/>
    <x v="3"/>
    <x v="29"/>
    <x v="6"/>
    <s v="Percent change"/>
    <s v="Units"/>
    <x v="3"/>
    <n v="14.055"/>
  </r>
  <r>
    <n v="200"/>
    <x v="3"/>
    <x v="29"/>
    <x v="6"/>
    <s v="Percent change"/>
    <s v="Units"/>
    <x v="4"/>
    <n v="9.9559999999999995"/>
  </r>
  <r>
    <n v="200"/>
    <x v="3"/>
    <x v="29"/>
    <x v="6"/>
    <s v="Percent change"/>
    <s v="Units"/>
    <x v="5"/>
    <n v="2.7909999999999999"/>
  </r>
  <r>
    <n v="200"/>
    <x v="3"/>
    <x v="29"/>
    <x v="6"/>
    <s v="Percent change"/>
    <s v="Units"/>
    <x v="6"/>
    <n v="3.01"/>
  </r>
  <r>
    <n v="400"/>
    <x v="11"/>
    <x v="29"/>
    <x v="6"/>
    <s v="Percent change"/>
    <s v="Units"/>
    <x v="0"/>
    <n v="-3.0329999999999999"/>
  </r>
  <r>
    <n v="400"/>
    <x v="11"/>
    <x v="29"/>
    <x v="6"/>
    <s v="Percent change"/>
    <s v="Units"/>
    <x v="1"/>
    <n v="-17.988"/>
  </r>
  <r>
    <n v="400"/>
    <x v="11"/>
    <x v="29"/>
    <x v="6"/>
    <s v="Percent change"/>
    <s v="Units"/>
    <x v="2"/>
    <n v="7.1589999999999998"/>
  </r>
  <r>
    <n v="400"/>
    <x v="11"/>
    <x v="29"/>
    <x v="6"/>
    <s v="Percent change"/>
    <s v="Units"/>
    <x v="3"/>
    <n v="14.055"/>
  </r>
  <r>
    <n v="400"/>
    <x v="11"/>
    <x v="29"/>
    <x v="6"/>
    <s v="Percent change"/>
    <s v="Units"/>
    <x v="4"/>
    <n v="9.9559999999999995"/>
  </r>
  <r>
    <n v="400"/>
    <x v="11"/>
    <x v="29"/>
    <x v="6"/>
    <s v="Percent change"/>
    <s v="Units"/>
    <x v="5"/>
    <n v="2.7909999999999999"/>
  </r>
  <r>
    <n v="400"/>
    <x v="11"/>
    <x v="29"/>
    <x v="6"/>
    <s v="Percent change"/>
    <s v="Units"/>
    <x v="6"/>
    <n v="3.01"/>
  </r>
  <r>
    <n v="200"/>
    <x v="3"/>
    <x v="134"/>
    <x v="1"/>
    <s v="Percent change"/>
    <s v="Units"/>
    <x v="0"/>
    <n v="2.306"/>
  </r>
  <r>
    <n v="200"/>
    <x v="3"/>
    <x v="134"/>
    <x v="1"/>
    <s v="Percent change"/>
    <s v="Units"/>
    <x v="1"/>
    <n v="2.3820000000000001"/>
  </r>
  <r>
    <n v="200"/>
    <x v="3"/>
    <x v="134"/>
    <x v="1"/>
    <s v="Percent change"/>
    <s v="Units"/>
    <x v="2"/>
    <n v="3.5579999999999998"/>
  </r>
  <r>
    <n v="200"/>
    <x v="3"/>
    <x v="134"/>
    <x v="1"/>
    <s v="Percent change"/>
    <s v="Units"/>
    <x v="3"/>
    <n v="9.5530000000000008"/>
  </r>
  <r>
    <n v="200"/>
    <x v="3"/>
    <x v="134"/>
    <x v="1"/>
    <s v="Percent change"/>
    <s v="Units"/>
    <x v="4"/>
    <n v="4.9489999999999998"/>
  </r>
  <r>
    <n v="200"/>
    <x v="3"/>
    <x v="134"/>
    <x v="1"/>
    <s v="Percent change"/>
    <s v="Units"/>
    <x v="5"/>
    <n v="2.7850000000000001"/>
  </r>
  <r>
    <n v="200"/>
    <x v="3"/>
    <x v="134"/>
    <x v="1"/>
    <s v="Percent change"/>
    <s v="Units"/>
    <x v="6"/>
    <n v="4"/>
  </r>
  <r>
    <n v="400"/>
    <x v="11"/>
    <x v="134"/>
    <x v="1"/>
    <s v="Percent change"/>
    <s v="Units"/>
    <x v="0"/>
    <n v="2.306"/>
  </r>
  <r>
    <n v="400"/>
    <x v="11"/>
    <x v="134"/>
    <x v="1"/>
    <s v="Percent change"/>
    <s v="Units"/>
    <x v="1"/>
    <n v="2.3820000000000001"/>
  </r>
  <r>
    <n v="400"/>
    <x v="11"/>
    <x v="134"/>
    <x v="1"/>
    <s v="Percent change"/>
    <s v="Units"/>
    <x v="2"/>
    <n v="3.5579999999999998"/>
  </r>
  <r>
    <n v="400"/>
    <x v="11"/>
    <x v="134"/>
    <x v="1"/>
    <s v="Percent change"/>
    <s v="Units"/>
    <x v="3"/>
    <n v="9.5530000000000008"/>
  </r>
  <r>
    <n v="400"/>
    <x v="11"/>
    <x v="134"/>
    <x v="1"/>
    <s v="Percent change"/>
    <s v="Units"/>
    <x v="4"/>
    <n v="4.9489999999999998"/>
  </r>
  <r>
    <n v="400"/>
    <x v="11"/>
    <x v="134"/>
    <x v="1"/>
    <s v="Percent change"/>
    <s v="Units"/>
    <x v="5"/>
    <n v="2.7850000000000001"/>
  </r>
  <r>
    <n v="400"/>
    <x v="11"/>
    <x v="134"/>
    <x v="1"/>
    <s v="Percent change"/>
    <s v="Units"/>
    <x v="6"/>
    <n v="4"/>
  </r>
  <r>
    <n v="1"/>
    <x v="2"/>
    <x v="134"/>
    <x v="1"/>
    <s v="Percent change"/>
    <s v="Units"/>
    <x v="0"/>
    <n v="2.306"/>
  </r>
  <r>
    <n v="1"/>
    <x v="2"/>
    <x v="134"/>
    <x v="1"/>
    <s v="Percent change"/>
    <s v="Units"/>
    <x v="1"/>
    <n v="2.3820000000000001"/>
  </r>
  <r>
    <n v="1"/>
    <x v="2"/>
    <x v="134"/>
    <x v="1"/>
    <s v="Percent change"/>
    <s v="Units"/>
    <x v="2"/>
    <n v="3.5579999999999998"/>
  </r>
  <r>
    <n v="1"/>
    <x v="2"/>
    <x v="134"/>
    <x v="1"/>
    <s v="Percent change"/>
    <s v="Units"/>
    <x v="3"/>
    <n v="9.5530000000000008"/>
  </r>
  <r>
    <n v="1"/>
    <x v="2"/>
    <x v="134"/>
    <x v="1"/>
    <s v="Percent change"/>
    <s v="Units"/>
    <x v="4"/>
    <n v="4.9489999999999998"/>
  </r>
  <r>
    <n v="1"/>
    <x v="2"/>
    <x v="134"/>
    <x v="1"/>
    <s v="Percent change"/>
    <s v="Units"/>
    <x v="5"/>
    <n v="2.7850000000000001"/>
  </r>
  <r>
    <n v="1"/>
    <x v="2"/>
    <x v="134"/>
    <x v="1"/>
    <s v="Percent change"/>
    <s v="Units"/>
    <x v="6"/>
    <n v="4"/>
  </r>
  <r>
    <n v="603"/>
    <x v="12"/>
    <x v="87"/>
    <x v="8"/>
    <s v="Percent change"/>
    <s v="Units"/>
    <x v="0"/>
    <n v="6.508"/>
  </r>
  <r>
    <n v="603"/>
    <x v="12"/>
    <x v="87"/>
    <x v="8"/>
    <s v="Percent change"/>
    <s v="Units"/>
    <x v="1"/>
    <n v="0.51400000000000001"/>
  </r>
  <r>
    <n v="603"/>
    <x v="12"/>
    <x v="87"/>
    <x v="8"/>
    <s v="Percent change"/>
    <s v="Units"/>
    <x v="2"/>
    <n v="5.0759999999999996"/>
  </r>
  <r>
    <n v="603"/>
    <x v="12"/>
    <x v="87"/>
    <x v="8"/>
    <s v="Percent change"/>
    <s v="Units"/>
    <x v="3"/>
    <n v="3.0779999999999998"/>
  </r>
  <r>
    <n v="603"/>
    <x v="12"/>
    <x v="87"/>
    <x v="8"/>
    <s v="Percent change"/>
    <s v="Units"/>
    <x v="4"/>
    <n v="2.2589999999999999"/>
  </r>
  <r>
    <n v="603"/>
    <x v="12"/>
    <x v="87"/>
    <x v="8"/>
    <s v="Percent change"/>
    <s v="Units"/>
    <x v="5"/>
    <n v="2.7789999999999999"/>
  </r>
  <r>
    <n v="603"/>
    <x v="12"/>
    <x v="87"/>
    <x v="8"/>
    <s v="Percent change"/>
    <s v="Units"/>
    <x v="6"/>
    <n v="4.3819999999999997"/>
  </r>
  <r>
    <n v="1"/>
    <x v="2"/>
    <x v="87"/>
    <x v="8"/>
    <s v="Percent change"/>
    <s v="Units"/>
    <x v="0"/>
    <n v="6.508"/>
  </r>
  <r>
    <n v="1"/>
    <x v="2"/>
    <x v="87"/>
    <x v="8"/>
    <s v="Percent change"/>
    <s v="Units"/>
    <x v="1"/>
    <n v="0.51400000000000001"/>
  </r>
  <r>
    <n v="1"/>
    <x v="2"/>
    <x v="87"/>
    <x v="8"/>
    <s v="Percent change"/>
    <s v="Units"/>
    <x v="2"/>
    <n v="5.0759999999999996"/>
  </r>
  <r>
    <n v="1"/>
    <x v="2"/>
    <x v="87"/>
    <x v="8"/>
    <s v="Percent change"/>
    <s v="Units"/>
    <x v="3"/>
    <n v="3.0779999999999998"/>
  </r>
  <r>
    <n v="1"/>
    <x v="2"/>
    <x v="87"/>
    <x v="8"/>
    <s v="Percent change"/>
    <s v="Units"/>
    <x v="4"/>
    <n v="2.2589999999999999"/>
  </r>
  <r>
    <n v="1"/>
    <x v="2"/>
    <x v="87"/>
    <x v="8"/>
    <s v="Percent change"/>
    <s v="Units"/>
    <x v="5"/>
    <n v="2.7789999999999999"/>
  </r>
  <r>
    <n v="1"/>
    <x v="2"/>
    <x v="87"/>
    <x v="8"/>
    <s v="Percent change"/>
    <s v="Units"/>
    <x v="6"/>
    <n v="4.3819999999999997"/>
  </r>
  <r>
    <n v="200"/>
    <x v="3"/>
    <x v="87"/>
    <x v="8"/>
    <s v="Percent change"/>
    <s v="Units"/>
    <x v="0"/>
    <n v="6.508"/>
  </r>
  <r>
    <n v="200"/>
    <x v="3"/>
    <x v="87"/>
    <x v="8"/>
    <s v="Percent change"/>
    <s v="Units"/>
    <x v="1"/>
    <n v="0.51400000000000001"/>
  </r>
  <r>
    <n v="200"/>
    <x v="3"/>
    <x v="87"/>
    <x v="8"/>
    <s v="Percent change"/>
    <s v="Units"/>
    <x v="2"/>
    <n v="5.0759999999999996"/>
  </r>
  <r>
    <n v="200"/>
    <x v="3"/>
    <x v="87"/>
    <x v="8"/>
    <s v="Percent change"/>
    <s v="Units"/>
    <x v="3"/>
    <n v="3.0779999999999998"/>
  </r>
  <r>
    <n v="200"/>
    <x v="3"/>
    <x v="87"/>
    <x v="8"/>
    <s v="Percent change"/>
    <s v="Units"/>
    <x v="4"/>
    <n v="2.2589999999999999"/>
  </r>
  <r>
    <n v="200"/>
    <x v="3"/>
    <x v="87"/>
    <x v="8"/>
    <s v="Percent change"/>
    <s v="Units"/>
    <x v="5"/>
    <n v="2.7789999999999999"/>
  </r>
  <r>
    <n v="200"/>
    <x v="3"/>
    <x v="87"/>
    <x v="8"/>
    <s v="Percent change"/>
    <s v="Units"/>
    <x v="6"/>
    <n v="4.3819999999999997"/>
  </r>
  <r>
    <n v="163"/>
    <x v="5"/>
    <x v="46"/>
    <x v="4"/>
    <s v="Percent change"/>
    <s v="Units"/>
    <x v="0"/>
    <n v="3.9780000000000002"/>
  </r>
  <r>
    <n v="163"/>
    <x v="5"/>
    <x v="46"/>
    <x v="4"/>
    <s v="Percent change"/>
    <s v="Units"/>
    <x v="1"/>
    <n v="-18.834"/>
  </r>
  <r>
    <n v="163"/>
    <x v="5"/>
    <x v="46"/>
    <x v="4"/>
    <s v="Percent change"/>
    <s v="Units"/>
    <x v="2"/>
    <n v="12.282"/>
  </r>
  <r>
    <n v="163"/>
    <x v="5"/>
    <x v="46"/>
    <x v="4"/>
    <s v="Percent change"/>
    <s v="Units"/>
    <x v="3"/>
    <n v="17.579999999999998"/>
  </r>
  <r>
    <n v="163"/>
    <x v="5"/>
    <x v="46"/>
    <x v="4"/>
    <s v="Percent change"/>
    <s v="Units"/>
    <x v="4"/>
    <n v="4.0570000000000004"/>
  </r>
  <r>
    <n v="163"/>
    <x v="5"/>
    <x v="46"/>
    <x v="4"/>
    <s v="Percent change"/>
    <s v="Units"/>
    <x v="5"/>
    <n v="2.7749999999999999"/>
  </r>
  <r>
    <n v="163"/>
    <x v="5"/>
    <x v="46"/>
    <x v="4"/>
    <s v="Percent change"/>
    <s v="Units"/>
    <x v="6"/>
    <n v="2.0310000000000001"/>
  </r>
  <r>
    <n v="110"/>
    <x v="0"/>
    <x v="46"/>
    <x v="4"/>
    <s v="Percent change"/>
    <s v="Units"/>
    <x v="0"/>
    <n v="3.9780000000000002"/>
  </r>
  <r>
    <n v="110"/>
    <x v="0"/>
    <x v="46"/>
    <x v="4"/>
    <s v="Percent change"/>
    <s v="Units"/>
    <x v="1"/>
    <n v="-18.834"/>
  </r>
  <r>
    <n v="110"/>
    <x v="0"/>
    <x v="46"/>
    <x v="4"/>
    <s v="Percent change"/>
    <s v="Units"/>
    <x v="2"/>
    <n v="12.282"/>
  </r>
  <r>
    <n v="110"/>
    <x v="0"/>
    <x v="46"/>
    <x v="4"/>
    <s v="Percent change"/>
    <s v="Units"/>
    <x v="3"/>
    <n v="17.579999999999998"/>
  </r>
  <r>
    <n v="110"/>
    <x v="0"/>
    <x v="46"/>
    <x v="4"/>
    <s v="Percent change"/>
    <s v="Units"/>
    <x v="4"/>
    <n v="4.0570000000000004"/>
  </r>
  <r>
    <n v="110"/>
    <x v="0"/>
    <x v="46"/>
    <x v="4"/>
    <s v="Percent change"/>
    <s v="Units"/>
    <x v="5"/>
    <n v="2.7749999999999999"/>
  </r>
  <r>
    <n v="110"/>
    <x v="0"/>
    <x v="46"/>
    <x v="4"/>
    <s v="Percent change"/>
    <s v="Units"/>
    <x v="6"/>
    <n v="2.0310000000000001"/>
  </r>
  <r>
    <n v="1"/>
    <x v="2"/>
    <x v="46"/>
    <x v="4"/>
    <s v="Percent change"/>
    <s v="Units"/>
    <x v="0"/>
    <n v="3.9780000000000002"/>
  </r>
  <r>
    <n v="1"/>
    <x v="2"/>
    <x v="46"/>
    <x v="4"/>
    <s v="Percent change"/>
    <s v="Units"/>
    <x v="1"/>
    <n v="-18.834"/>
  </r>
  <r>
    <n v="1"/>
    <x v="2"/>
    <x v="46"/>
    <x v="4"/>
    <s v="Percent change"/>
    <s v="Units"/>
    <x v="2"/>
    <n v="12.282"/>
  </r>
  <r>
    <n v="1"/>
    <x v="2"/>
    <x v="46"/>
    <x v="4"/>
    <s v="Percent change"/>
    <s v="Units"/>
    <x v="3"/>
    <n v="17.579999999999998"/>
  </r>
  <r>
    <n v="1"/>
    <x v="2"/>
    <x v="46"/>
    <x v="4"/>
    <s v="Percent change"/>
    <s v="Units"/>
    <x v="4"/>
    <n v="4.0570000000000004"/>
  </r>
  <r>
    <n v="1"/>
    <x v="2"/>
    <x v="46"/>
    <x v="4"/>
    <s v="Percent change"/>
    <s v="Units"/>
    <x v="5"/>
    <n v="2.7749999999999999"/>
  </r>
  <r>
    <n v="1"/>
    <x v="2"/>
    <x v="46"/>
    <x v="4"/>
    <s v="Percent change"/>
    <s v="Units"/>
    <x v="6"/>
    <n v="2.0310000000000001"/>
  </r>
  <r>
    <n v="998"/>
    <x v="6"/>
    <x v="41"/>
    <x v="8"/>
    <s v="Percent change"/>
    <s v="Units"/>
    <x v="0"/>
    <n v="3.8530000000000002"/>
  </r>
  <r>
    <n v="998"/>
    <x v="6"/>
    <x v="41"/>
    <x v="8"/>
    <s v="Percent change"/>
    <s v="Units"/>
    <x v="1"/>
    <n v="-3.677"/>
  </r>
  <r>
    <n v="998"/>
    <x v="6"/>
    <x v="41"/>
    <x v="8"/>
    <s v="Percent change"/>
    <s v="Units"/>
    <x v="2"/>
    <n v="5.7089999999999996"/>
  </r>
  <r>
    <n v="998"/>
    <x v="6"/>
    <x v="41"/>
    <x v="8"/>
    <s v="Percent change"/>
    <s v="Units"/>
    <x v="3"/>
    <n v="4.5949999999999998"/>
  </r>
  <r>
    <n v="998"/>
    <x v="6"/>
    <x v="41"/>
    <x v="8"/>
    <s v="Percent change"/>
    <s v="Units"/>
    <x v="4"/>
    <n v="2.11"/>
  </r>
  <r>
    <n v="998"/>
    <x v="6"/>
    <x v="41"/>
    <x v="8"/>
    <s v="Percent change"/>
    <s v="Units"/>
    <x v="5"/>
    <n v="2.7709999999999999"/>
  </r>
  <r>
    <n v="998"/>
    <x v="6"/>
    <x v="41"/>
    <x v="8"/>
    <s v="Percent change"/>
    <s v="Units"/>
    <x v="6"/>
    <n v="3.601"/>
  </r>
  <r>
    <n v="903"/>
    <x v="8"/>
    <x v="41"/>
    <x v="8"/>
    <s v="Percent change"/>
    <s v="Units"/>
    <x v="0"/>
    <n v="3.8530000000000002"/>
  </r>
  <r>
    <n v="903"/>
    <x v="8"/>
    <x v="41"/>
    <x v="8"/>
    <s v="Percent change"/>
    <s v="Units"/>
    <x v="1"/>
    <n v="-3.677"/>
  </r>
  <r>
    <n v="903"/>
    <x v="8"/>
    <x v="41"/>
    <x v="8"/>
    <s v="Percent change"/>
    <s v="Units"/>
    <x v="2"/>
    <n v="5.7089999999999996"/>
  </r>
  <r>
    <n v="903"/>
    <x v="8"/>
    <x v="41"/>
    <x v="8"/>
    <s v="Percent change"/>
    <s v="Units"/>
    <x v="3"/>
    <n v="4.5949999999999998"/>
  </r>
  <r>
    <n v="903"/>
    <x v="8"/>
    <x v="41"/>
    <x v="8"/>
    <s v="Percent change"/>
    <s v="Units"/>
    <x v="4"/>
    <n v="2.11"/>
  </r>
  <r>
    <n v="903"/>
    <x v="8"/>
    <x v="41"/>
    <x v="8"/>
    <s v="Percent change"/>
    <s v="Units"/>
    <x v="5"/>
    <n v="2.7709999999999999"/>
  </r>
  <r>
    <n v="903"/>
    <x v="8"/>
    <x v="41"/>
    <x v="8"/>
    <s v="Percent change"/>
    <s v="Units"/>
    <x v="6"/>
    <n v="3.601"/>
  </r>
  <r>
    <n v="200"/>
    <x v="3"/>
    <x v="41"/>
    <x v="8"/>
    <s v="Percent change"/>
    <s v="Units"/>
    <x v="0"/>
    <n v="3.8530000000000002"/>
  </r>
  <r>
    <n v="200"/>
    <x v="3"/>
    <x v="41"/>
    <x v="8"/>
    <s v="Percent change"/>
    <s v="Units"/>
    <x v="1"/>
    <n v="-3.677"/>
  </r>
  <r>
    <n v="200"/>
    <x v="3"/>
    <x v="41"/>
    <x v="8"/>
    <s v="Percent change"/>
    <s v="Units"/>
    <x v="2"/>
    <n v="5.7089999999999996"/>
  </r>
  <r>
    <n v="200"/>
    <x v="3"/>
    <x v="41"/>
    <x v="8"/>
    <s v="Percent change"/>
    <s v="Units"/>
    <x v="3"/>
    <n v="4.5949999999999998"/>
  </r>
  <r>
    <n v="200"/>
    <x v="3"/>
    <x v="41"/>
    <x v="8"/>
    <s v="Percent change"/>
    <s v="Units"/>
    <x v="4"/>
    <n v="2.11"/>
  </r>
  <r>
    <n v="200"/>
    <x v="3"/>
    <x v="41"/>
    <x v="8"/>
    <s v="Percent change"/>
    <s v="Units"/>
    <x v="5"/>
    <n v="2.7709999999999999"/>
  </r>
  <r>
    <n v="200"/>
    <x v="3"/>
    <x v="41"/>
    <x v="8"/>
    <s v="Percent change"/>
    <s v="Units"/>
    <x v="6"/>
    <n v="3.601"/>
  </r>
  <r>
    <n v="1"/>
    <x v="2"/>
    <x v="41"/>
    <x v="8"/>
    <s v="Percent change"/>
    <s v="Units"/>
    <x v="0"/>
    <n v="3.8530000000000002"/>
  </r>
  <r>
    <n v="1"/>
    <x v="2"/>
    <x v="41"/>
    <x v="8"/>
    <s v="Percent change"/>
    <s v="Units"/>
    <x v="1"/>
    <n v="-3.677"/>
  </r>
  <r>
    <n v="1"/>
    <x v="2"/>
    <x v="41"/>
    <x v="8"/>
    <s v="Percent change"/>
    <s v="Units"/>
    <x v="2"/>
    <n v="5.7089999999999996"/>
  </r>
  <r>
    <n v="1"/>
    <x v="2"/>
    <x v="41"/>
    <x v="8"/>
    <s v="Percent change"/>
    <s v="Units"/>
    <x v="3"/>
    <n v="4.5949999999999998"/>
  </r>
  <r>
    <n v="1"/>
    <x v="2"/>
    <x v="41"/>
    <x v="8"/>
    <s v="Percent change"/>
    <s v="Units"/>
    <x v="4"/>
    <n v="2.11"/>
  </r>
  <r>
    <n v="1"/>
    <x v="2"/>
    <x v="41"/>
    <x v="8"/>
    <s v="Percent change"/>
    <s v="Units"/>
    <x v="5"/>
    <n v="2.7709999999999999"/>
  </r>
  <r>
    <n v="1"/>
    <x v="2"/>
    <x v="41"/>
    <x v="8"/>
    <s v="Percent change"/>
    <s v="Units"/>
    <x v="6"/>
    <n v="3.601"/>
  </r>
  <r>
    <n v="1"/>
    <x v="2"/>
    <x v="86"/>
    <x v="8"/>
    <s v="Percent change"/>
    <s v="Units"/>
    <x v="0"/>
    <n v="2.48"/>
  </r>
  <r>
    <n v="1"/>
    <x v="2"/>
    <x v="86"/>
    <x v="8"/>
    <s v="Percent change"/>
    <s v="Units"/>
    <x v="1"/>
    <n v="-4.1989999999999998"/>
  </r>
  <r>
    <n v="1"/>
    <x v="2"/>
    <x v="86"/>
    <x v="8"/>
    <s v="Percent change"/>
    <s v="Units"/>
    <x v="2"/>
    <n v="5.6159999999999997"/>
  </r>
  <r>
    <n v="1"/>
    <x v="2"/>
    <x v="86"/>
    <x v="8"/>
    <s v="Percent change"/>
    <s v="Units"/>
    <x v="3"/>
    <n v="4.577"/>
  </r>
  <r>
    <n v="1"/>
    <x v="2"/>
    <x v="86"/>
    <x v="8"/>
    <s v="Percent change"/>
    <s v="Units"/>
    <x v="4"/>
    <n v="1.1000000000000001"/>
  </r>
  <r>
    <n v="1"/>
    <x v="2"/>
    <x v="86"/>
    <x v="8"/>
    <s v="Percent change"/>
    <s v="Units"/>
    <x v="5"/>
    <n v="2.7639999999999998"/>
  </r>
  <r>
    <n v="1"/>
    <x v="2"/>
    <x v="86"/>
    <x v="8"/>
    <s v="Percent change"/>
    <s v="Units"/>
    <x v="6"/>
    <n v="2.3159999999999998"/>
  </r>
  <r>
    <n v="400"/>
    <x v="11"/>
    <x v="86"/>
    <x v="8"/>
    <s v="Percent change"/>
    <s v="Units"/>
    <x v="0"/>
    <n v="2.48"/>
  </r>
  <r>
    <n v="400"/>
    <x v="11"/>
    <x v="86"/>
    <x v="8"/>
    <s v="Percent change"/>
    <s v="Units"/>
    <x v="1"/>
    <n v="-4.1989999999999998"/>
  </r>
  <r>
    <n v="400"/>
    <x v="11"/>
    <x v="86"/>
    <x v="8"/>
    <s v="Percent change"/>
    <s v="Units"/>
    <x v="2"/>
    <n v="5.6159999999999997"/>
  </r>
  <r>
    <n v="400"/>
    <x v="11"/>
    <x v="86"/>
    <x v="8"/>
    <s v="Percent change"/>
    <s v="Units"/>
    <x v="3"/>
    <n v="4.577"/>
  </r>
  <r>
    <n v="400"/>
    <x v="11"/>
    <x v="86"/>
    <x v="8"/>
    <s v="Percent change"/>
    <s v="Units"/>
    <x v="4"/>
    <n v="1.1000000000000001"/>
  </r>
  <r>
    <n v="400"/>
    <x v="11"/>
    <x v="86"/>
    <x v="8"/>
    <s v="Percent change"/>
    <s v="Units"/>
    <x v="5"/>
    <n v="2.7639999999999998"/>
  </r>
  <r>
    <n v="400"/>
    <x v="11"/>
    <x v="86"/>
    <x v="8"/>
    <s v="Percent change"/>
    <s v="Units"/>
    <x v="6"/>
    <n v="2.3159999999999998"/>
  </r>
  <r>
    <n v="200"/>
    <x v="3"/>
    <x v="86"/>
    <x v="8"/>
    <s v="Percent change"/>
    <s v="Units"/>
    <x v="0"/>
    <n v="2.48"/>
  </r>
  <r>
    <n v="200"/>
    <x v="3"/>
    <x v="86"/>
    <x v="8"/>
    <s v="Percent change"/>
    <s v="Units"/>
    <x v="1"/>
    <n v="-4.1989999999999998"/>
  </r>
  <r>
    <n v="200"/>
    <x v="3"/>
    <x v="86"/>
    <x v="8"/>
    <s v="Percent change"/>
    <s v="Units"/>
    <x v="2"/>
    <n v="5.6159999999999997"/>
  </r>
  <r>
    <n v="200"/>
    <x v="3"/>
    <x v="86"/>
    <x v="8"/>
    <s v="Percent change"/>
    <s v="Units"/>
    <x v="3"/>
    <n v="4.577"/>
  </r>
  <r>
    <n v="200"/>
    <x v="3"/>
    <x v="86"/>
    <x v="8"/>
    <s v="Percent change"/>
    <s v="Units"/>
    <x v="4"/>
    <n v="1.1000000000000001"/>
  </r>
  <r>
    <n v="200"/>
    <x v="3"/>
    <x v="86"/>
    <x v="8"/>
    <s v="Percent change"/>
    <s v="Units"/>
    <x v="5"/>
    <n v="2.7639999999999998"/>
  </r>
  <r>
    <n v="200"/>
    <x v="3"/>
    <x v="86"/>
    <x v="8"/>
    <s v="Percent change"/>
    <s v="Units"/>
    <x v="6"/>
    <n v="2.3159999999999998"/>
  </r>
  <r>
    <n v="1"/>
    <x v="2"/>
    <x v="59"/>
    <x v="4"/>
    <s v="Percent change"/>
    <s v="Units"/>
    <x v="0"/>
    <n v="4.2110000000000003"/>
  </r>
  <r>
    <n v="1"/>
    <x v="2"/>
    <x v="59"/>
    <x v="4"/>
    <s v="Percent change"/>
    <s v="Units"/>
    <x v="1"/>
    <n v="-16.858000000000001"/>
  </r>
  <r>
    <n v="1"/>
    <x v="2"/>
    <x v="59"/>
    <x v="4"/>
    <s v="Percent change"/>
    <s v="Units"/>
    <x v="2"/>
    <n v="6.8810000000000002"/>
  </r>
  <r>
    <n v="1"/>
    <x v="2"/>
    <x v="59"/>
    <x v="4"/>
    <s v="Percent change"/>
    <s v="Units"/>
    <x v="3"/>
    <n v="29.864000000000001"/>
  </r>
  <r>
    <n v="1"/>
    <x v="2"/>
    <x v="59"/>
    <x v="4"/>
    <s v="Percent change"/>
    <s v="Units"/>
    <x v="4"/>
    <n v="-0.81799999999999995"/>
  </r>
  <r>
    <n v="1"/>
    <x v="2"/>
    <x v="59"/>
    <x v="4"/>
    <s v="Percent change"/>
    <s v="Units"/>
    <x v="5"/>
    <n v="2.7559999999999998"/>
  </r>
  <r>
    <n v="1"/>
    <x v="2"/>
    <x v="59"/>
    <x v="4"/>
    <s v="Percent change"/>
    <s v="Units"/>
    <x v="6"/>
    <n v="3.649"/>
  </r>
  <r>
    <n v="400"/>
    <x v="11"/>
    <x v="59"/>
    <x v="4"/>
    <s v="Percent change"/>
    <s v="Units"/>
    <x v="0"/>
    <n v="4.2110000000000003"/>
  </r>
  <r>
    <n v="400"/>
    <x v="11"/>
    <x v="59"/>
    <x v="4"/>
    <s v="Percent change"/>
    <s v="Units"/>
    <x v="1"/>
    <n v="-16.858000000000001"/>
  </r>
  <r>
    <n v="400"/>
    <x v="11"/>
    <x v="59"/>
    <x v="4"/>
    <s v="Percent change"/>
    <s v="Units"/>
    <x v="2"/>
    <n v="6.8810000000000002"/>
  </r>
  <r>
    <n v="400"/>
    <x v="11"/>
    <x v="59"/>
    <x v="4"/>
    <s v="Percent change"/>
    <s v="Units"/>
    <x v="3"/>
    <n v="29.864000000000001"/>
  </r>
  <r>
    <n v="400"/>
    <x v="11"/>
    <x v="59"/>
    <x v="4"/>
    <s v="Percent change"/>
    <s v="Units"/>
    <x v="4"/>
    <n v="-0.81799999999999995"/>
  </r>
  <r>
    <n v="400"/>
    <x v="11"/>
    <x v="59"/>
    <x v="4"/>
    <s v="Percent change"/>
    <s v="Units"/>
    <x v="5"/>
    <n v="2.7559999999999998"/>
  </r>
  <r>
    <n v="400"/>
    <x v="11"/>
    <x v="59"/>
    <x v="4"/>
    <s v="Percent change"/>
    <s v="Units"/>
    <x v="6"/>
    <n v="3.649"/>
  </r>
  <r>
    <n v="200"/>
    <x v="3"/>
    <x v="59"/>
    <x v="4"/>
    <s v="Percent change"/>
    <s v="Units"/>
    <x v="0"/>
    <n v="4.2110000000000003"/>
  </r>
  <r>
    <n v="200"/>
    <x v="3"/>
    <x v="59"/>
    <x v="4"/>
    <s v="Percent change"/>
    <s v="Units"/>
    <x v="1"/>
    <n v="-16.858000000000001"/>
  </r>
  <r>
    <n v="200"/>
    <x v="3"/>
    <x v="59"/>
    <x v="4"/>
    <s v="Percent change"/>
    <s v="Units"/>
    <x v="2"/>
    <n v="6.8810000000000002"/>
  </r>
  <r>
    <n v="200"/>
    <x v="3"/>
    <x v="59"/>
    <x v="4"/>
    <s v="Percent change"/>
    <s v="Units"/>
    <x v="3"/>
    <n v="29.864000000000001"/>
  </r>
  <r>
    <n v="200"/>
    <x v="3"/>
    <x v="59"/>
    <x v="4"/>
    <s v="Percent change"/>
    <s v="Units"/>
    <x v="4"/>
    <n v="-0.81799999999999995"/>
  </r>
  <r>
    <n v="200"/>
    <x v="3"/>
    <x v="59"/>
    <x v="4"/>
    <s v="Percent change"/>
    <s v="Units"/>
    <x v="5"/>
    <n v="2.7559999999999998"/>
  </r>
  <r>
    <n v="200"/>
    <x v="3"/>
    <x v="59"/>
    <x v="4"/>
    <s v="Percent change"/>
    <s v="Units"/>
    <x v="6"/>
    <n v="3.649"/>
  </r>
  <r>
    <n v="1"/>
    <x v="2"/>
    <x v="170"/>
    <x v="6"/>
    <s v="Percent change"/>
    <s v="Units"/>
    <x v="0"/>
    <n v="10.746"/>
  </r>
  <r>
    <n v="1"/>
    <x v="2"/>
    <x v="170"/>
    <x v="6"/>
    <s v="Percent change"/>
    <s v="Units"/>
    <x v="1"/>
    <n v="7.8390000000000004"/>
  </r>
  <r>
    <n v="1"/>
    <x v="2"/>
    <x v="170"/>
    <x v="6"/>
    <s v="Percent change"/>
    <s v="Units"/>
    <x v="2"/>
    <n v="10.324"/>
  </r>
  <r>
    <n v="1"/>
    <x v="2"/>
    <x v="170"/>
    <x v="6"/>
    <s v="Percent change"/>
    <s v="Units"/>
    <x v="3"/>
    <n v="-17.445"/>
  </r>
  <r>
    <n v="1"/>
    <x v="2"/>
    <x v="170"/>
    <x v="6"/>
    <s v="Percent change"/>
    <s v="Units"/>
    <x v="4"/>
    <n v="20.73"/>
  </r>
  <r>
    <n v="1"/>
    <x v="2"/>
    <x v="170"/>
    <x v="6"/>
    <s v="Percent change"/>
    <s v="Units"/>
    <x v="5"/>
    <n v="2.7519999999999998"/>
  </r>
  <r>
    <n v="1"/>
    <x v="2"/>
    <x v="170"/>
    <x v="6"/>
    <s v="Percent change"/>
    <s v="Units"/>
    <x v="6"/>
    <n v="4.9320000000000004"/>
  </r>
  <r>
    <n v="603"/>
    <x v="12"/>
    <x v="170"/>
    <x v="6"/>
    <s v="Percent change"/>
    <s v="Units"/>
    <x v="0"/>
    <n v="10.746"/>
  </r>
  <r>
    <n v="603"/>
    <x v="12"/>
    <x v="170"/>
    <x v="6"/>
    <s v="Percent change"/>
    <s v="Units"/>
    <x v="1"/>
    <n v="7.8390000000000004"/>
  </r>
  <r>
    <n v="603"/>
    <x v="12"/>
    <x v="170"/>
    <x v="6"/>
    <s v="Percent change"/>
    <s v="Units"/>
    <x v="2"/>
    <n v="10.324"/>
  </r>
  <r>
    <n v="603"/>
    <x v="12"/>
    <x v="170"/>
    <x v="6"/>
    <s v="Percent change"/>
    <s v="Units"/>
    <x v="3"/>
    <n v="-17.445"/>
  </r>
  <r>
    <n v="603"/>
    <x v="12"/>
    <x v="170"/>
    <x v="6"/>
    <s v="Percent change"/>
    <s v="Units"/>
    <x v="4"/>
    <n v="20.73"/>
  </r>
  <r>
    <n v="603"/>
    <x v="12"/>
    <x v="170"/>
    <x v="6"/>
    <s v="Percent change"/>
    <s v="Units"/>
    <x v="5"/>
    <n v="2.7519999999999998"/>
  </r>
  <r>
    <n v="603"/>
    <x v="12"/>
    <x v="170"/>
    <x v="6"/>
    <s v="Percent change"/>
    <s v="Units"/>
    <x v="6"/>
    <n v="4.9320000000000004"/>
  </r>
  <r>
    <n v="200"/>
    <x v="3"/>
    <x v="170"/>
    <x v="6"/>
    <s v="Percent change"/>
    <s v="Units"/>
    <x v="0"/>
    <n v="10.746"/>
  </r>
  <r>
    <n v="200"/>
    <x v="3"/>
    <x v="170"/>
    <x v="6"/>
    <s v="Percent change"/>
    <s v="Units"/>
    <x v="1"/>
    <n v="7.8390000000000004"/>
  </r>
  <r>
    <n v="200"/>
    <x v="3"/>
    <x v="170"/>
    <x v="6"/>
    <s v="Percent change"/>
    <s v="Units"/>
    <x v="2"/>
    <n v="10.324"/>
  </r>
  <r>
    <n v="200"/>
    <x v="3"/>
    <x v="170"/>
    <x v="6"/>
    <s v="Percent change"/>
    <s v="Units"/>
    <x v="3"/>
    <n v="-17.445"/>
  </r>
  <r>
    <n v="200"/>
    <x v="3"/>
    <x v="170"/>
    <x v="6"/>
    <s v="Percent change"/>
    <s v="Units"/>
    <x v="4"/>
    <n v="20.73"/>
  </r>
  <r>
    <n v="200"/>
    <x v="3"/>
    <x v="170"/>
    <x v="6"/>
    <s v="Percent change"/>
    <s v="Units"/>
    <x v="5"/>
    <n v="2.7519999999999998"/>
  </r>
  <r>
    <n v="200"/>
    <x v="3"/>
    <x v="170"/>
    <x v="6"/>
    <s v="Percent change"/>
    <s v="Units"/>
    <x v="6"/>
    <n v="4.9320000000000004"/>
  </r>
  <r>
    <n v="200"/>
    <x v="3"/>
    <x v="103"/>
    <x v="9"/>
    <s v="Percent of GDP"/>
    <s v="Units"/>
    <x v="0"/>
    <n v="-5.73"/>
  </r>
  <r>
    <n v="200"/>
    <x v="3"/>
    <x v="103"/>
    <x v="9"/>
    <s v="Percent of GDP"/>
    <s v="Units"/>
    <x v="1"/>
    <n v="-0.01"/>
  </r>
  <r>
    <n v="200"/>
    <x v="3"/>
    <x v="103"/>
    <x v="9"/>
    <s v="Percent of GDP"/>
    <s v="Units"/>
    <x v="2"/>
    <n v="-5.3849999999999998"/>
  </r>
  <r>
    <n v="200"/>
    <x v="3"/>
    <x v="103"/>
    <x v="9"/>
    <s v="Percent of GDP"/>
    <s v="Units"/>
    <x v="3"/>
    <n v="-5.2039999999999997"/>
  </r>
  <r>
    <n v="200"/>
    <x v="3"/>
    <x v="103"/>
    <x v="9"/>
    <s v="Percent of GDP"/>
    <s v="Units"/>
    <x v="4"/>
    <n v="3.1259999999999999"/>
  </r>
  <r>
    <n v="200"/>
    <x v="3"/>
    <x v="103"/>
    <x v="9"/>
    <s v="Percent of GDP"/>
    <s v="Units"/>
    <x v="5"/>
    <n v="2.75"/>
  </r>
  <r>
    <n v="200"/>
    <x v="3"/>
    <x v="103"/>
    <x v="9"/>
    <s v="Percent of GDP"/>
    <s v="Units"/>
    <x v="6"/>
    <n v="-2.1560000000000001"/>
  </r>
  <r>
    <n v="603"/>
    <x v="12"/>
    <x v="103"/>
    <x v="9"/>
    <s v="Percent of GDP"/>
    <s v="Units"/>
    <x v="0"/>
    <n v="-5.73"/>
  </r>
  <r>
    <n v="603"/>
    <x v="12"/>
    <x v="103"/>
    <x v="9"/>
    <s v="Percent of GDP"/>
    <s v="Units"/>
    <x v="1"/>
    <n v="-0.01"/>
  </r>
  <r>
    <n v="603"/>
    <x v="12"/>
    <x v="103"/>
    <x v="9"/>
    <s v="Percent of GDP"/>
    <s v="Units"/>
    <x v="2"/>
    <n v="-5.3849999999999998"/>
  </r>
  <r>
    <n v="603"/>
    <x v="12"/>
    <x v="103"/>
    <x v="9"/>
    <s v="Percent of GDP"/>
    <s v="Units"/>
    <x v="3"/>
    <n v="-5.2039999999999997"/>
  </r>
  <r>
    <n v="603"/>
    <x v="12"/>
    <x v="103"/>
    <x v="9"/>
    <s v="Percent of GDP"/>
    <s v="Units"/>
    <x v="4"/>
    <n v="3.1259999999999999"/>
  </r>
  <r>
    <n v="603"/>
    <x v="12"/>
    <x v="103"/>
    <x v="9"/>
    <s v="Percent of GDP"/>
    <s v="Units"/>
    <x v="5"/>
    <n v="2.75"/>
  </r>
  <r>
    <n v="603"/>
    <x v="12"/>
    <x v="103"/>
    <x v="9"/>
    <s v="Percent of GDP"/>
    <s v="Units"/>
    <x v="6"/>
    <n v="-2.1560000000000001"/>
  </r>
  <r>
    <n v="998"/>
    <x v="6"/>
    <x v="53"/>
    <x v="1"/>
    <s v="Percent change"/>
    <s v="Units"/>
    <x v="0"/>
    <n v="0.51700000000000002"/>
  </r>
  <r>
    <n v="998"/>
    <x v="6"/>
    <x v="53"/>
    <x v="1"/>
    <s v="Percent change"/>
    <s v="Units"/>
    <x v="1"/>
    <n v="-1.262"/>
  </r>
  <r>
    <n v="998"/>
    <x v="6"/>
    <x v="53"/>
    <x v="1"/>
    <s v="Percent change"/>
    <s v="Units"/>
    <x v="2"/>
    <n v="0.57399999999999995"/>
  </r>
  <r>
    <n v="998"/>
    <x v="6"/>
    <x v="53"/>
    <x v="1"/>
    <s v="Percent change"/>
    <s v="Units"/>
    <x v="3"/>
    <n v="9.3000000000000007"/>
  </r>
  <r>
    <n v="998"/>
    <x v="6"/>
    <x v="53"/>
    <x v="1"/>
    <s v="Percent change"/>
    <s v="Units"/>
    <x v="4"/>
    <n v="4.1550000000000002"/>
  </r>
  <r>
    <n v="998"/>
    <x v="6"/>
    <x v="53"/>
    <x v="1"/>
    <s v="Percent change"/>
    <s v="Units"/>
    <x v="5"/>
    <n v="2.7490000000000001"/>
  </r>
  <r>
    <n v="998"/>
    <x v="6"/>
    <x v="53"/>
    <x v="1"/>
    <s v="Percent change"/>
    <s v="Units"/>
    <x v="6"/>
    <n v="2.0960000000000001"/>
  </r>
  <r>
    <n v="110"/>
    <x v="0"/>
    <x v="53"/>
    <x v="1"/>
    <s v="Percent change"/>
    <s v="Units"/>
    <x v="0"/>
    <n v="0.51700000000000002"/>
  </r>
  <r>
    <n v="110"/>
    <x v="0"/>
    <x v="53"/>
    <x v="1"/>
    <s v="Percent change"/>
    <s v="Units"/>
    <x v="1"/>
    <n v="-1.262"/>
  </r>
  <r>
    <n v="110"/>
    <x v="0"/>
    <x v="53"/>
    <x v="1"/>
    <s v="Percent change"/>
    <s v="Units"/>
    <x v="2"/>
    <n v="0.57399999999999995"/>
  </r>
  <r>
    <n v="110"/>
    <x v="0"/>
    <x v="53"/>
    <x v="1"/>
    <s v="Percent change"/>
    <s v="Units"/>
    <x v="3"/>
    <n v="9.3000000000000007"/>
  </r>
  <r>
    <n v="110"/>
    <x v="0"/>
    <x v="53"/>
    <x v="1"/>
    <s v="Percent change"/>
    <s v="Units"/>
    <x v="4"/>
    <n v="4.1550000000000002"/>
  </r>
  <r>
    <n v="110"/>
    <x v="0"/>
    <x v="53"/>
    <x v="1"/>
    <s v="Percent change"/>
    <s v="Units"/>
    <x v="5"/>
    <n v="2.7490000000000001"/>
  </r>
  <r>
    <n v="110"/>
    <x v="0"/>
    <x v="53"/>
    <x v="1"/>
    <s v="Percent change"/>
    <s v="Units"/>
    <x v="6"/>
    <n v="2.0960000000000001"/>
  </r>
  <r>
    <n v="163"/>
    <x v="5"/>
    <x v="53"/>
    <x v="1"/>
    <s v="Percent change"/>
    <s v="Units"/>
    <x v="0"/>
    <n v="0.51700000000000002"/>
  </r>
  <r>
    <n v="163"/>
    <x v="5"/>
    <x v="53"/>
    <x v="1"/>
    <s v="Percent change"/>
    <s v="Units"/>
    <x v="1"/>
    <n v="-1.262"/>
  </r>
  <r>
    <n v="163"/>
    <x v="5"/>
    <x v="53"/>
    <x v="1"/>
    <s v="Percent change"/>
    <s v="Units"/>
    <x v="2"/>
    <n v="0.57399999999999995"/>
  </r>
  <r>
    <n v="163"/>
    <x v="5"/>
    <x v="53"/>
    <x v="1"/>
    <s v="Percent change"/>
    <s v="Units"/>
    <x v="3"/>
    <n v="9.3000000000000007"/>
  </r>
  <r>
    <n v="163"/>
    <x v="5"/>
    <x v="53"/>
    <x v="1"/>
    <s v="Percent change"/>
    <s v="Units"/>
    <x v="4"/>
    <n v="4.1550000000000002"/>
  </r>
  <r>
    <n v="163"/>
    <x v="5"/>
    <x v="53"/>
    <x v="1"/>
    <s v="Percent change"/>
    <s v="Units"/>
    <x v="5"/>
    <n v="2.7490000000000001"/>
  </r>
  <r>
    <n v="163"/>
    <x v="5"/>
    <x v="53"/>
    <x v="1"/>
    <s v="Percent change"/>
    <s v="Units"/>
    <x v="6"/>
    <n v="2.0960000000000001"/>
  </r>
  <r>
    <n v="1"/>
    <x v="2"/>
    <x v="53"/>
    <x v="1"/>
    <s v="Percent change"/>
    <s v="Units"/>
    <x v="0"/>
    <n v="0.51700000000000002"/>
  </r>
  <r>
    <n v="1"/>
    <x v="2"/>
    <x v="53"/>
    <x v="1"/>
    <s v="Percent change"/>
    <s v="Units"/>
    <x v="1"/>
    <n v="-1.262"/>
  </r>
  <r>
    <n v="1"/>
    <x v="2"/>
    <x v="53"/>
    <x v="1"/>
    <s v="Percent change"/>
    <s v="Units"/>
    <x v="2"/>
    <n v="0.57399999999999995"/>
  </r>
  <r>
    <n v="1"/>
    <x v="2"/>
    <x v="53"/>
    <x v="1"/>
    <s v="Percent change"/>
    <s v="Units"/>
    <x v="3"/>
    <n v="9.3000000000000007"/>
  </r>
  <r>
    <n v="1"/>
    <x v="2"/>
    <x v="53"/>
    <x v="1"/>
    <s v="Percent change"/>
    <s v="Units"/>
    <x v="4"/>
    <n v="4.1550000000000002"/>
  </r>
  <r>
    <n v="1"/>
    <x v="2"/>
    <x v="53"/>
    <x v="1"/>
    <s v="Percent change"/>
    <s v="Units"/>
    <x v="5"/>
    <n v="2.7490000000000001"/>
  </r>
  <r>
    <n v="1"/>
    <x v="2"/>
    <x v="53"/>
    <x v="1"/>
    <s v="Percent change"/>
    <s v="Units"/>
    <x v="6"/>
    <n v="2.0960000000000001"/>
  </r>
  <r>
    <n v="603"/>
    <x v="12"/>
    <x v="163"/>
    <x v="1"/>
    <s v="Percent change"/>
    <s v="Units"/>
    <x v="0"/>
    <n v="0.68700000000000006"/>
  </r>
  <r>
    <n v="603"/>
    <x v="12"/>
    <x v="163"/>
    <x v="1"/>
    <s v="Percent change"/>
    <s v="Units"/>
    <x v="1"/>
    <n v="1.831"/>
  </r>
  <r>
    <n v="603"/>
    <x v="12"/>
    <x v="163"/>
    <x v="1"/>
    <s v="Percent change"/>
    <s v="Units"/>
    <x v="2"/>
    <n v="4.548"/>
  </r>
  <r>
    <n v="603"/>
    <x v="12"/>
    <x v="163"/>
    <x v="1"/>
    <s v="Percent change"/>
    <s v="Units"/>
    <x v="3"/>
    <n v="7.6159999999999997"/>
  </r>
  <r>
    <n v="603"/>
    <x v="12"/>
    <x v="163"/>
    <x v="1"/>
    <s v="Percent change"/>
    <s v="Units"/>
    <x v="4"/>
    <n v="5.0590000000000002"/>
  </r>
  <r>
    <n v="603"/>
    <x v="12"/>
    <x v="163"/>
    <x v="1"/>
    <s v="Percent change"/>
    <s v="Units"/>
    <x v="5"/>
    <n v="2.742"/>
  </r>
  <r>
    <n v="603"/>
    <x v="12"/>
    <x v="163"/>
    <x v="1"/>
    <s v="Percent change"/>
    <s v="Units"/>
    <x v="6"/>
    <n v="2.0419999999999998"/>
  </r>
  <r>
    <n v="1"/>
    <x v="2"/>
    <x v="163"/>
    <x v="1"/>
    <s v="Percent change"/>
    <s v="Units"/>
    <x v="0"/>
    <n v="0.68700000000000006"/>
  </r>
  <r>
    <n v="1"/>
    <x v="2"/>
    <x v="163"/>
    <x v="1"/>
    <s v="Percent change"/>
    <s v="Units"/>
    <x v="1"/>
    <n v="1.831"/>
  </r>
  <r>
    <n v="1"/>
    <x v="2"/>
    <x v="163"/>
    <x v="1"/>
    <s v="Percent change"/>
    <s v="Units"/>
    <x v="2"/>
    <n v="4.548"/>
  </r>
  <r>
    <n v="1"/>
    <x v="2"/>
    <x v="163"/>
    <x v="1"/>
    <s v="Percent change"/>
    <s v="Units"/>
    <x v="3"/>
    <n v="7.6159999999999997"/>
  </r>
  <r>
    <n v="1"/>
    <x v="2"/>
    <x v="163"/>
    <x v="1"/>
    <s v="Percent change"/>
    <s v="Units"/>
    <x v="4"/>
    <n v="5.0590000000000002"/>
  </r>
  <r>
    <n v="1"/>
    <x v="2"/>
    <x v="163"/>
    <x v="1"/>
    <s v="Percent change"/>
    <s v="Units"/>
    <x v="5"/>
    <n v="2.742"/>
  </r>
  <r>
    <n v="1"/>
    <x v="2"/>
    <x v="163"/>
    <x v="1"/>
    <s v="Percent change"/>
    <s v="Units"/>
    <x v="6"/>
    <n v="2.0419999999999998"/>
  </r>
  <r>
    <n v="200"/>
    <x v="3"/>
    <x v="163"/>
    <x v="1"/>
    <s v="Percent change"/>
    <s v="Units"/>
    <x v="0"/>
    <n v="0.68700000000000006"/>
  </r>
  <r>
    <n v="200"/>
    <x v="3"/>
    <x v="163"/>
    <x v="1"/>
    <s v="Percent change"/>
    <s v="Units"/>
    <x v="1"/>
    <n v="1.831"/>
  </r>
  <r>
    <n v="200"/>
    <x v="3"/>
    <x v="163"/>
    <x v="1"/>
    <s v="Percent change"/>
    <s v="Units"/>
    <x v="2"/>
    <n v="4.548"/>
  </r>
  <r>
    <n v="200"/>
    <x v="3"/>
    <x v="163"/>
    <x v="1"/>
    <s v="Percent change"/>
    <s v="Units"/>
    <x v="3"/>
    <n v="7.6159999999999997"/>
  </r>
  <r>
    <n v="200"/>
    <x v="3"/>
    <x v="163"/>
    <x v="1"/>
    <s v="Percent change"/>
    <s v="Units"/>
    <x v="4"/>
    <n v="5.0590000000000002"/>
  </r>
  <r>
    <n v="200"/>
    <x v="3"/>
    <x v="163"/>
    <x v="1"/>
    <s v="Percent change"/>
    <s v="Units"/>
    <x v="5"/>
    <n v="2.742"/>
  </r>
  <r>
    <n v="200"/>
    <x v="3"/>
    <x v="163"/>
    <x v="1"/>
    <s v="Percent change"/>
    <s v="Units"/>
    <x v="6"/>
    <n v="2.0419999999999998"/>
  </r>
  <r>
    <n v="200"/>
    <x v="3"/>
    <x v="70"/>
    <x v="8"/>
    <s v="Percent change"/>
    <s v="Units"/>
    <x v="0"/>
    <n v="4.0350000000000001"/>
  </r>
  <r>
    <n v="200"/>
    <x v="3"/>
    <x v="70"/>
    <x v="8"/>
    <s v="Percent change"/>
    <s v="Units"/>
    <x v="1"/>
    <n v="-3.9660000000000002"/>
  </r>
  <r>
    <n v="200"/>
    <x v="3"/>
    <x v="70"/>
    <x v="8"/>
    <s v="Percent change"/>
    <s v="Units"/>
    <x v="2"/>
    <n v="7.6619999999999999"/>
  </r>
  <r>
    <n v="200"/>
    <x v="3"/>
    <x v="70"/>
    <x v="8"/>
    <s v="Percent change"/>
    <s v="Units"/>
    <x v="3"/>
    <n v="3.9260000000000002"/>
  </r>
  <r>
    <n v="200"/>
    <x v="3"/>
    <x v="70"/>
    <x v="8"/>
    <s v="Percent change"/>
    <s v="Units"/>
    <x v="4"/>
    <n v="1.8460000000000001"/>
  </r>
  <r>
    <n v="200"/>
    <x v="3"/>
    <x v="70"/>
    <x v="8"/>
    <s v="Percent change"/>
    <s v="Units"/>
    <x v="5"/>
    <n v="2.7370000000000001"/>
  </r>
  <r>
    <n v="200"/>
    <x v="3"/>
    <x v="70"/>
    <x v="8"/>
    <s v="Percent change"/>
    <s v="Units"/>
    <x v="6"/>
    <n v="2.9249999999999998"/>
  </r>
  <r>
    <n v="903"/>
    <x v="8"/>
    <x v="70"/>
    <x v="8"/>
    <s v="Percent change"/>
    <s v="Units"/>
    <x v="0"/>
    <n v="4.0350000000000001"/>
  </r>
  <r>
    <n v="903"/>
    <x v="8"/>
    <x v="70"/>
    <x v="8"/>
    <s v="Percent change"/>
    <s v="Units"/>
    <x v="1"/>
    <n v="-3.9660000000000002"/>
  </r>
  <r>
    <n v="903"/>
    <x v="8"/>
    <x v="70"/>
    <x v="8"/>
    <s v="Percent change"/>
    <s v="Units"/>
    <x v="2"/>
    <n v="7.6619999999999999"/>
  </r>
  <r>
    <n v="903"/>
    <x v="8"/>
    <x v="70"/>
    <x v="8"/>
    <s v="Percent change"/>
    <s v="Units"/>
    <x v="3"/>
    <n v="3.9260000000000002"/>
  </r>
  <r>
    <n v="903"/>
    <x v="8"/>
    <x v="70"/>
    <x v="8"/>
    <s v="Percent change"/>
    <s v="Units"/>
    <x v="4"/>
    <n v="1.8460000000000001"/>
  </r>
  <r>
    <n v="903"/>
    <x v="8"/>
    <x v="70"/>
    <x v="8"/>
    <s v="Percent change"/>
    <s v="Units"/>
    <x v="5"/>
    <n v="2.7370000000000001"/>
  </r>
  <r>
    <n v="903"/>
    <x v="8"/>
    <x v="70"/>
    <x v="8"/>
    <s v="Percent change"/>
    <s v="Units"/>
    <x v="6"/>
    <n v="2.9249999999999998"/>
  </r>
  <r>
    <n v="998"/>
    <x v="6"/>
    <x v="70"/>
    <x v="8"/>
    <s v="Percent change"/>
    <s v="Units"/>
    <x v="0"/>
    <n v="4.0350000000000001"/>
  </r>
  <r>
    <n v="998"/>
    <x v="6"/>
    <x v="70"/>
    <x v="8"/>
    <s v="Percent change"/>
    <s v="Units"/>
    <x v="1"/>
    <n v="-3.9660000000000002"/>
  </r>
  <r>
    <n v="998"/>
    <x v="6"/>
    <x v="70"/>
    <x v="8"/>
    <s v="Percent change"/>
    <s v="Units"/>
    <x v="2"/>
    <n v="7.6619999999999999"/>
  </r>
  <r>
    <n v="998"/>
    <x v="6"/>
    <x v="70"/>
    <x v="8"/>
    <s v="Percent change"/>
    <s v="Units"/>
    <x v="3"/>
    <n v="3.9260000000000002"/>
  </r>
  <r>
    <n v="998"/>
    <x v="6"/>
    <x v="70"/>
    <x v="8"/>
    <s v="Percent change"/>
    <s v="Units"/>
    <x v="4"/>
    <n v="1.8460000000000001"/>
  </r>
  <r>
    <n v="998"/>
    <x v="6"/>
    <x v="70"/>
    <x v="8"/>
    <s v="Percent change"/>
    <s v="Units"/>
    <x v="5"/>
    <n v="2.7370000000000001"/>
  </r>
  <r>
    <n v="998"/>
    <x v="6"/>
    <x v="70"/>
    <x v="8"/>
    <s v="Percent change"/>
    <s v="Units"/>
    <x v="6"/>
    <n v="2.9249999999999998"/>
  </r>
  <r>
    <n v="1"/>
    <x v="2"/>
    <x v="70"/>
    <x v="8"/>
    <s v="Percent change"/>
    <s v="Units"/>
    <x v="0"/>
    <n v="4.0350000000000001"/>
  </r>
  <r>
    <n v="1"/>
    <x v="2"/>
    <x v="70"/>
    <x v="8"/>
    <s v="Percent change"/>
    <s v="Units"/>
    <x v="1"/>
    <n v="-3.9660000000000002"/>
  </r>
  <r>
    <n v="1"/>
    <x v="2"/>
    <x v="70"/>
    <x v="8"/>
    <s v="Percent change"/>
    <s v="Units"/>
    <x v="2"/>
    <n v="7.6619999999999999"/>
  </r>
  <r>
    <n v="1"/>
    <x v="2"/>
    <x v="70"/>
    <x v="8"/>
    <s v="Percent change"/>
    <s v="Units"/>
    <x v="3"/>
    <n v="3.9260000000000002"/>
  </r>
  <r>
    <n v="1"/>
    <x v="2"/>
    <x v="70"/>
    <x v="8"/>
    <s v="Percent change"/>
    <s v="Units"/>
    <x v="4"/>
    <n v="1.8460000000000001"/>
  </r>
  <r>
    <n v="1"/>
    <x v="2"/>
    <x v="70"/>
    <x v="8"/>
    <s v="Percent change"/>
    <s v="Units"/>
    <x v="5"/>
    <n v="2.7370000000000001"/>
  </r>
  <r>
    <n v="1"/>
    <x v="2"/>
    <x v="70"/>
    <x v="8"/>
    <s v="Percent change"/>
    <s v="Units"/>
    <x v="6"/>
    <n v="2.9249999999999998"/>
  </r>
  <r>
    <n v="200"/>
    <x v="3"/>
    <x v="160"/>
    <x v="6"/>
    <s v="Percent change"/>
    <s v="Units"/>
    <x v="0"/>
    <n v="-14.151999999999999"/>
  </r>
  <r>
    <n v="200"/>
    <x v="3"/>
    <x v="160"/>
    <x v="6"/>
    <s v="Percent change"/>
    <s v="Units"/>
    <x v="1"/>
    <n v="-9.6440000000000001"/>
  </r>
  <r>
    <n v="200"/>
    <x v="3"/>
    <x v="160"/>
    <x v="6"/>
    <s v="Percent change"/>
    <s v="Units"/>
    <x v="2"/>
    <n v="0.215"/>
  </r>
  <r>
    <n v="200"/>
    <x v="3"/>
    <x v="160"/>
    <x v="6"/>
    <s v="Percent change"/>
    <s v="Units"/>
    <x v="3"/>
    <n v="10.847"/>
  </r>
  <r>
    <n v="200"/>
    <x v="3"/>
    <x v="160"/>
    <x v="6"/>
    <s v="Percent change"/>
    <s v="Units"/>
    <x v="4"/>
    <n v="-11.991"/>
  </r>
  <r>
    <n v="200"/>
    <x v="3"/>
    <x v="160"/>
    <x v="6"/>
    <s v="Percent change"/>
    <s v="Units"/>
    <x v="5"/>
    <n v="2.7370000000000001"/>
  </r>
  <r>
    <n v="200"/>
    <x v="3"/>
    <x v="160"/>
    <x v="6"/>
    <s v="Percent change"/>
    <s v="Units"/>
    <x v="6"/>
    <n v="3.8039999999999998"/>
  </r>
  <r>
    <n v="1"/>
    <x v="2"/>
    <x v="160"/>
    <x v="6"/>
    <s v="Percent change"/>
    <s v="Units"/>
    <x v="0"/>
    <n v="-14.151999999999999"/>
  </r>
  <r>
    <n v="1"/>
    <x v="2"/>
    <x v="160"/>
    <x v="6"/>
    <s v="Percent change"/>
    <s v="Units"/>
    <x v="1"/>
    <n v="-9.6440000000000001"/>
  </r>
  <r>
    <n v="1"/>
    <x v="2"/>
    <x v="160"/>
    <x v="6"/>
    <s v="Percent change"/>
    <s v="Units"/>
    <x v="2"/>
    <n v="0.215"/>
  </r>
  <r>
    <n v="1"/>
    <x v="2"/>
    <x v="160"/>
    <x v="6"/>
    <s v="Percent change"/>
    <s v="Units"/>
    <x v="3"/>
    <n v="10.847"/>
  </r>
  <r>
    <n v="1"/>
    <x v="2"/>
    <x v="160"/>
    <x v="6"/>
    <s v="Percent change"/>
    <s v="Units"/>
    <x v="4"/>
    <n v="-11.991"/>
  </r>
  <r>
    <n v="1"/>
    <x v="2"/>
    <x v="160"/>
    <x v="6"/>
    <s v="Percent change"/>
    <s v="Units"/>
    <x v="5"/>
    <n v="2.7370000000000001"/>
  </r>
  <r>
    <n v="1"/>
    <x v="2"/>
    <x v="160"/>
    <x v="6"/>
    <s v="Percent change"/>
    <s v="Units"/>
    <x v="6"/>
    <n v="3.8039999999999998"/>
  </r>
  <r>
    <n v="205"/>
    <x v="7"/>
    <x v="160"/>
    <x v="6"/>
    <s v="Percent change"/>
    <s v="Units"/>
    <x v="0"/>
    <n v="-14.151999999999999"/>
  </r>
  <r>
    <n v="205"/>
    <x v="7"/>
    <x v="160"/>
    <x v="6"/>
    <s v="Percent change"/>
    <s v="Units"/>
    <x v="1"/>
    <n v="-9.6440000000000001"/>
  </r>
  <r>
    <n v="205"/>
    <x v="7"/>
    <x v="160"/>
    <x v="6"/>
    <s v="Percent change"/>
    <s v="Units"/>
    <x v="2"/>
    <n v="0.215"/>
  </r>
  <r>
    <n v="205"/>
    <x v="7"/>
    <x v="160"/>
    <x v="6"/>
    <s v="Percent change"/>
    <s v="Units"/>
    <x v="3"/>
    <n v="10.847"/>
  </r>
  <r>
    <n v="205"/>
    <x v="7"/>
    <x v="160"/>
    <x v="6"/>
    <s v="Percent change"/>
    <s v="Units"/>
    <x v="4"/>
    <n v="-11.991"/>
  </r>
  <r>
    <n v="205"/>
    <x v="7"/>
    <x v="160"/>
    <x v="6"/>
    <s v="Percent change"/>
    <s v="Units"/>
    <x v="5"/>
    <n v="2.7370000000000001"/>
  </r>
  <r>
    <n v="205"/>
    <x v="7"/>
    <x v="160"/>
    <x v="6"/>
    <s v="Percent change"/>
    <s v="Units"/>
    <x v="6"/>
    <n v="3.8039999999999998"/>
  </r>
  <r>
    <n v="1"/>
    <x v="2"/>
    <x v="90"/>
    <x v="1"/>
    <s v="Percent change"/>
    <s v="Units"/>
    <x v="0"/>
    <n v="1.631"/>
  </r>
  <r>
    <n v="1"/>
    <x v="2"/>
    <x v="90"/>
    <x v="1"/>
    <s v="Percent change"/>
    <s v="Units"/>
    <x v="1"/>
    <n v="-5.5E-2"/>
  </r>
  <r>
    <n v="1"/>
    <x v="2"/>
    <x v="90"/>
    <x v="1"/>
    <s v="Percent change"/>
    <s v="Units"/>
    <x v="2"/>
    <n v="1.917"/>
  </r>
  <r>
    <n v="1"/>
    <x v="2"/>
    <x v="90"/>
    <x v="1"/>
    <s v="Percent change"/>
    <s v="Units"/>
    <x v="3"/>
    <n v="8.8339999999999996"/>
  </r>
  <r>
    <n v="1"/>
    <x v="2"/>
    <x v="90"/>
    <x v="1"/>
    <s v="Percent change"/>
    <s v="Units"/>
    <x v="4"/>
    <n v="7.4470000000000001"/>
  </r>
  <r>
    <n v="1"/>
    <x v="2"/>
    <x v="90"/>
    <x v="1"/>
    <s v="Percent change"/>
    <s v="Units"/>
    <x v="5"/>
    <n v="2.7330000000000001"/>
  </r>
  <r>
    <n v="1"/>
    <x v="2"/>
    <x v="90"/>
    <x v="1"/>
    <s v="Percent change"/>
    <s v="Units"/>
    <x v="6"/>
    <n v="1.968"/>
  </r>
  <r>
    <n v="163"/>
    <x v="5"/>
    <x v="90"/>
    <x v="1"/>
    <s v="Percent change"/>
    <s v="Units"/>
    <x v="0"/>
    <n v="1.631"/>
  </r>
  <r>
    <n v="163"/>
    <x v="5"/>
    <x v="90"/>
    <x v="1"/>
    <s v="Percent change"/>
    <s v="Units"/>
    <x v="1"/>
    <n v="-5.5E-2"/>
  </r>
  <r>
    <n v="163"/>
    <x v="5"/>
    <x v="90"/>
    <x v="1"/>
    <s v="Percent change"/>
    <s v="Units"/>
    <x v="2"/>
    <n v="1.917"/>
  </r>
  <r>
    <n v="163"/>
    <x v="5"/>
    <x v="90"/>
    <x v="1"/>
    <s v="Percent change"/>
    <s v="Units"/>
    <x v="3"/>
    <n v="8.8339999999999996"/>
  </r>
  <r>
    <n v="163"/>
    <x v="5"/>
    <x v="90"/>
    <x v="1"/>
    <s v="Percent change"/>
    <s v="Units"/>
    <x v="4"/>
    <n v="7.4470000000000001"/>
  </r>
  <r>
    <n v="163"/>
    <x v="5"/>
    <x v="90"/>
    <x v="1"/>
    <s v="Percent change"/>
    <s v="Units"/>
    <x v="5"/>
    <n v="2.7330000000000001"/>
  </r>
  <r>
    <n v="163"/>
    <x v="5"/>
    <x v="90"/>
    <x v="1"/>
    <s v="Percent change"/>
    <s v="Units"/>
    <x v="6"/>
    <n v="1.968"/>
  </r>
  <r>
    <n v="110"/>
    <x v="0"/>
    <x v="90"/>
    <x v="1"/>
    <s v="Percent change"/>
    <s v="Units"/>
    <x v="0"/>
    <n v="1.631"/>
  </r>
  <r>
    <n v="110"/>
    <x v="0"/>
    <x v="90"/>
    <x v="1"/>
    <s v="Percent change"/>
    <s v="Units"/>
    <x v="1"/>
    <n v="-5.5E-2"/>
  </r>
  <r>
    <n v="110"/>
    <x v="0"/>
    <x v="90"/>
    <x v="1"/>
    <s v="Percent change"/>
    <s v="Units"/>
    <x v="2"/>
    <n v="1.917"/>
  </r>
  <r>
    <n v="110"/>
    <x v="0"/>
    <x v="90"/>
    <x v="1"/>
    <s v="Percent change"/>
    <s v="Units"/>
    <x v="3"/>
    <n v="8.8339999999999996"/>
  </r>
  <r>
    <n v="110"/>
    <x v="0"/>
    <x v="90"/>
    <x v="1"/>
    <s v="Percent change"/>
    <s v="Units"/>
    <x v="4"/>
    <n v="7.4470000000000001"/>
  </r>
  <r>
    <n v="110"/>
    <x v="0"/>
    <x v="90"/>
    <x v="1"/>
    <s v="Percent change"/>
    <s v="Units"/>
    <x v="5"/>
    <n v="2.7330000000000001"/>
  </r>
  <r>
    <n v="110"/>
    <x v="0"/>
    <x v="90"/>
    <x v="1"/>
    <s v="Percent change"/>
    <s v="Units"/>
    <x v="6"/>
    <n v="1.968"/>
  </r>
  <r>
    <n v="998"/>
    <x v="6"/>
    <x v="90"/>
    <x v="1"/>
    <s v="Percent change"/>
    <s v="Units"/>
    <x v="0"/>
    <n v="1.631"/>
  </r>
  <r>
    <n v="998"/>
    <x v="6"/>
    <x v="90"/>
    <x v="1"/>
    <s v="Percent change"/>
    <s v="Units"/>
    <x v="1"/>
    <n v="-5.5E-2"/>
  </r>
  <r>
    <n v="998"/>
    <x v="6"/>
    <x v="90"/>
    <x v="1"/>
    <s v="Percent change"/>
    <s v="Units"/>
    <x v="2"/>
    <n v="1.917"/>
  </r>
  <r>
    <n v="998"/>
    <x v="6"/>
    <x v="90"/>
    <x v="1"/>
    <s v="Percent change"/>
    <s v="Units"/>
    <x v="3"/>
    <n v="8.8339999999999996"/>
  </r>
  <r>
    <n v="998"/>
    <x v="6"/>
    <x v="90"/>
    <x v="1"/>
    <s v="Percent change"/>
    <s v="Units"/>
    <x v="4"/>
    <n v="7.4470000000000001"/>
  </r>
  <r>
    <n v="998"/>
    <x v="6"/>
    <x v="90"/>
    <x v="1"/>
    <s v="Percent change"/>
    <s v="Units"/>
    <x v="5"/>
    <n v="2.7330000000000001"/>
  </r>
  <r>
    <n v="998"/>
    <x v="6"/>
    <x v="90"/>
    <x v="1"/>
    <s v="Percent change"/>
    <s v="Units"/>
    <x v="6"/>
    <n v="1.968"/>
  </r>
  <r>
    <n v="603"/>
    <x v="12"/>
    <x v="75"/>
    <x v="9"/>
    <s v="Percent of GDP"/>
    <s v="Units"/>
    <x v="0"/>
    <n v="0.77600000000000002"/>
  </r>
  <r>
    <n v="603"/>
    <x v="12"/>
    <x v="75"/>
    <x v="9"/>
    <s v="Percent of GDP"/>
    <s v="Units"/>
    <x v="1"/>
    <n v="-1.931"/>
  </r>
  <r>
    <n v="603"/>
    <x v="12"/>
    <x v="75"/>
    <x v="9"/>
    <s v="Percent of GDP"/>
    <s v="Units"/>
    <x v="2"/>
    <n v="3.83"/>
  </r>
  <r>
    <n v="603"/>
    <x v="12"/>
    <x v="75"/>
    <x v="9"/>
    <s v="Percent of GDP"/>
    <s v="Units"/>
    <x v="3"/>
    <n v="0.67500000000000004"/>
  </r>
  <r>
    <n v="603"/>
    <x v="12"/>
    <x v="75"/>
    <x v="9"/>
    <s v="Percent of GDP"/>
    <s v="Units"/>
    <x v="4"/>
    <n v="-0.10100000000000001"/>
  </r>
  <r>
    <n v="603"/>
    <x v="12"/>
    <x v="75"/>
    <x v="9"/>
    <s v="Percent of GDP"/>
    <s v="Units"/>
    <x v="5"/>
    <n v="2.726"/>
  </r>
  <r>
    <n v="603"/>
    <x v="12"/>
    <x v="75"/>
    <x v="9"/>
    <s v="Percent of GDP"/>
    <s v="Units"/>
    <x v="6"/>
    <n v="3.1429999999999998"/>
  </r>
  <r>
    <n v="200"/>
    <x v="3"/>
    <x v="75"/>
    <x v="9"/>
    <s v="Percent of GDP"/>
    <s v="Units"/>
    <x v="0"/>
    <n v="0.77600000000000002"/>
  </r>
  <r>
    <n v="200"/>
    <x v="3"/>
    <x v="75"/>
    <x v="9"/>
    <s v="Percent of GDP"/>
    <s v="Units"/>
    <x v="1"/>
    <n v="-1.931"/>
  </r>
  <r>
    <n v="200"/>
    <x v="3"/>
    <x v="75"/>
    <x v="9"/>
    <s v="Percent of GDP"/>
    <s v="Units"/>
    <x v="2"/>
    <n v="3.83"/>
  </r>
  <r>
    <n v="200"/>
    <x v="3"/>
    <x v="75"/>
    <x v="9"/>
    <s v="Percent of GDP"/>
    <s v="Units"/>
    <x v="3"/>
    <n v="0.67500000000000004"/>
  </r>
  <r>
    <n v="200"/>
    <x v="3"/>
    <x v="75"/>
    <x v="9"/>
    <s v="Percent of GDP"/>
    <s v="Units"/>
    <x v="4"/>
    <n v="-0.10100000000000001"/>
  </r>
  <r>
    <n v="200"/>
    <x v="3"/>
    <x v="75"/>
    <x v="9"/>
    <s v="Percent of GDP"/>
    <s v="Units"/>
    <x v="5"/>
    <n v="2.726"/>
  </r>
  <r>
    <n v="200"/>
    <x v="3"/>
    <x v="75"/>
    <x v="9"/>
    <s v="Percent of GDP"/>
    <s v="Units"/>
    <x v="6"/>
    <n v="3.1429999999999998"/>
  </r>
  <r>
    <n v="1"/>
    <x v="2"/>
    <x v="0"/>
    <x v="8"/>
    <s v="Percent change"/>
    <s v="Units"/>
    <x v="0"/>
    <n v="2.4670000000000001"/>
  </r>
  <r>
    <n v="1"/>
    <x v="2"/>
    <x v="0"/>
    <x v="8"/>
    <s v="Percent change"/>
    <s v="Units"/>
    <x v="1"/>
    <n v="-2.214"/>
  </r>
  <r>
    <n v="1"/>
    <x v="2"/>
    <x v="0"/>
    <x v="8"/>
    <s v="Percent change"/>
    <s v="Units"/>
    <x v="2"/>
    <n v="5.8"/>
  </r>
  <r>
    <n v="1"/>
    <x v="2"/>
    <x v="0"/>
    <x v="8"/>
    <s v="Percent change"/>
    <s v="Units"/>
    <x v="3"/>
    <n v="1.9359999999999999"/>
  </r>
  <r>
    <n v="1"/>
    <x v="2"/>
    <x v="0"/>
    <x v="8"/>
    <s v="Percent change"/>
    <s v="Units"/>
    <x v="4"/>
    <n v="2.5310000000000001"/>
  </r>
  <r>
    <n v="1"/>
    <x v="2"/>
    <x v="0"/>
    <x v="8"/>
    <s v="Percent change"/>
    <s v="Units"/>
    <x v="5"/>
    <n v="2.7250000000000001"/>
  </r>
  <r>
    <n v="1"/>
    <x v="2"/>
    <x v="0"/>
    <x v="8"/>
    <s v="Percent change"/>
    <s v="Units"/>
    <x v="6"/>
    <n v="1.881"/>
  </r>
  <r>
    <n v="119"/>
    <x v="1"/>
    <x v="0"/>
    <x v="8"/>
    <s v="Percent change"/>
    <s v="Units"/>
    <x v="0"/>
    <n v="2.4670000000000001"/>
  </r>
  <r>
    <n v="119"/>
    <x v="1"/>
    <x v="0"/>
    <x v="8"/>
    <s v="Percent change"/>
    <s v="Units"/>
    <x v="1"/>
    <n v="-2.214"/>
  </r>
  <r>
    <n v="119"/>
    <x v="1"/>
    <x v="0"/>
    <x v="8"/>
    <s v="Percent change"/>
    <s v="Units"/>
    <x v="2"/>
    <n v="5.8"/>
  </r>
  <r>
    <n v="119"/>
    <x v="1"/>
    <x v="0"/>
    <x v="8"/>
    <s v="Percent change"/>
    <s v="Units"/>
    <x v="3"/>
    <n v="1.9359999999999999"/>
  </r>
  <r>
    <n v="119"/>
    <x v="1"/>
    <x v="0"/>
    <x v="8"/>
    <s v="Percent change"/>
    <s v="Units"/>
    <x v="4"/>
    <n v="2.5310000000000001"/>
  </r>
  <r>
    <n v="119"/>
    <x v="1"/>
    <x v="0"/>
    <x v="8"/>
    <s v="Percent change"/>
    <s v="Units"/>
    <x v="5"/>
    <n v="2.7250000000000001"/>
  </r>
  <r>
    <n v="119"/>
    <x v="1"/>
    <x v="0"/>
    <x v="8"/>
    <s v="Percent change"/>
    <s v="Units"/>
    <x v="6"/>
    <n v="1.881"/>
  </r>
  <r>
    <n v="110"/>
    <x v="0"/>
    <x v="0"/>
    <x v="8"/>
    <s v="Percent change"/>
    <s v="Units"/>
    <x v="0"/>
    <n v="2.4670000000000001"/>
  </r>
  <r>
    <n v="110"/>
    <x v="0"/>
    <x v="0"/>
    <x v="8"/>
    <s v="Percent change"/>
    <s v="Units"/>
    <x v="1"/>
    <n v="-2.214"/>
  </r>
  <r>
    <n v="110"/>
    <x v="0"/>
    <x v="0"/>
    <x v="8"/>
    <s v="Percent change"/>
    <s v="Units"/>
    <x v="2"/>
    <n v="5.8"/>
  </r>
  <r>
    <n v="110"/>
    <x v="0"/>
    <x v="0"/>
    <x v="8"/>
    <s v="Percent change"/>
    <s v="Units"/>
    <x v="3"/>
    <n v="1.9359999999999999"/>
  </r>
  <r>
    <n v="110"/>
    <x v="0"/>
    <x v="0"/>
    <x v="8"/>
    <s v="Percent change"/>
    <s v="Units"/>
    <x v="4"/>
    <n v="2.5310000000000001"/>
  </r>
  <r>
    <n v="110"/>
    <x v="0"/>
    <x v="0"/>
    <x v="8"/>
    <s v="Percent change"/>
    <s v="Units"/>
    <x v="5"/>
    <n v="2.7250000000000001"/>
  </r>
  <r>
    <n v="110"/>
    <x v="0"/>
    <x v="0"/>
    <x v="8"/>
    <s v="Percent change"/>
    <s v="Units"/>
    <x v="6"/>
    <n v="1.881"/>
  </r>
  <r>
    <n v="1"/>
    <x v="2"/>
    <x v="101"/>
    <x v="1"/>
    <s v="Percent change"/>
    <s v="Units"/>
    <x v="0"/>
    <n v="0.67700000000000005"/>
  </r>
  <r>
    <n v="1"/>
    <x v="2"/>
    <x v="101"/>
    <x v="1"/>
    <s v="Percent change"/>
    <s v="Units"/>
    <x v="1"/>
    <n v="0.39700000000000002"/>
  </r>
  <r>
    <n v="1"/>
    <x v="2"/>
    <x v="101"/>
    <x v="1"/>
    <s v="Percent change"/>
    <s v="Units"/>
    <x v="2"/>
    <n v="1.319"/>
  </r>
  <r>
    <n v="1"/>
    <x v="2"/>
    <x v="101"/>
    <x v="1"/>
    <s v="Percent change"/>
    <s v="Units"/>
    <x v="3"/>
    <n v="4.2240000000000002"/>
  </r>
  <r>
    <n v="1"/>
    <x v="2"/>
    <x v="101"/>
    <x v="1"/>
    <s v="Percent change"/>
    <s v="Units"/>
    <x v="4"/>
    <n v="2.1629999999999998"/>
  </r>
  <r>
    <n v="1"/>
    <x v="2"/>
    <x v="101"/>
    <x v="1"/>
    <s v="Percent change"/>
    <s v="Units"/>
    <x v="5"/>
    <n v="2.72"/>
  </r>
  <r>
    <n v="1"/>
    <x v="2"/>
    <x v="101"/>
    <x v="1"/>
    <s v="Percent change"/>
    <s v="Units"/>
    <x v="6"/>
    <n v="2.4369999999999998"/>
  </r>
  <r>
    <n v="200"/>
    <x v="3"/>
    <x v="101"/>
    <x v="1"/>
    <s v="Percent change"/>
    <s v="Units"/>
    <x v="0"/>
    <n v="0.67700000000000005"/>
  </r>
  <r>
    <n v="200"/>
    <x v="3"/>
    <x v="101"/>
    <x v="1"/>
    <s v="Percent change"/>
    <s v="Units"/>
    <x v="1"/>
    <n v="0.39700000000000002"/>
  </r>
  <r>
    <n v="200"/>
    <x v="3"/>
    <x v="101"/>
    <x v="1"/>
    <s v="Percent change"/>
    <s v="Units"/>
    <x v="2"/>
    <n v="1.319"/>
  </r>
  <r>
    <n v="200"/>
    <x v="3"/>
    <x v="101"/>
    <x v="1"/>
    <s v="Percent change"/>
    <s v="Units"/>
    <x v="3"/>
    <n v="4.2240000000000002"/>
  </r>
  <r>
    <n v="200"/>
    <x v="3"/>
    <x v="101"/>
    <x v="1"/>
    <s v="Percent change"/>
    <s v="Units"/>
    <x v="4"/>
    <n v="2.1629999999999998"/>
  </r>
  <r>
    <n v="200"/>
    <x v="3"/>
    <x v="101"/>
    <x v="1"/>
    <s v="Percent change"/>
    <s v="Units"/>
    <x v="5"/>
    <n v="2.72"/>
  </r>
  <r>
    <n v="200"/>
    <x v="3"/>
    <x v="101"/>
    <x v="1"/>
    <s v="Percent change"/>
    <s v="Units"/>
    <x v="6"/>
    <n v="2.4369999999999998"/>
  </r>
  <r>
    <n v="400"/>
    <x v="11"/>
    <x v="101"/>
    <x v="1"/>
    <s v="Percent change"/>
    <s v="Units"/>
    <x v="0"/>
    <n v="0.67700000000000005"/>
  </r>
  <r>
    <n v="400"/>
    <x v="11"/>
    <x v="101"/>
    <x v="1"/>
    <s v="Percent change"/>
    <s v="Units"/>
    <x v="1"/>
    <n v="0.39700000000000002"/>
  </r>
  <r>
    <n v="400"/>
    <x v="11"/>
    <x v="101"/>
    <x v="1"/>
    <s v="Percent change"/>
    <s v="Units"/>
    <x v="2"/>
    <n v="1.319"/>
  </r>
  <r>
    <n v="400"/>
    <x v="11"/>
    <x v="101"/>
    <x v="1"/>
    <s v="Percent change"/>
    <s v="Units"/>
    <x v="3"/>
    <n v="4.2240000000000002"/>
  </r>
  <r>
    <n v="400"/>
    <x v="11"/>
    <x v="101"/>
    <x v="1"/>
    <s v="Percent change"/>
    <s v="Units"/>
    <x v="4"/>
    <n v="2.1629999999999998"/>
  </r>
  <r>
    <n v="400"/>
    <x v="11"/>
    <x v="101"/>
    <x v="1"/>
    <s v="Percent change"/>
    <s v="Units"/>
    <x v="5"/>
    <n v="2.72"/>
  </r>
  <r>
    <n v="400"/>
    <x v="11"/>
    <x v="101"/>
    <x v="1"/>
    <s v="Percent change"/>
    <s v="Units"/>
    <x v="6"/>
    <n v="2.4369999999999998"/>
  </r>
  <r>
    <n v="200"/>
    <x v="3"/>
    <x v="152"/>
    <x v="0"/>
    <s v="U.S. dollars"/>
    <s v="Billions"/>
    <x v="0"/>
    <n v="2.2309999999999999"/>
  </r>
  <r>
    <n v="200"/>
    <x v="3"/>
    <x v="152"/>
    <x v="0"/>
    <s v="U.S. dollars"/>
    <s v="Billions"/>
    <x v="1"/>
    <n v="1.83"/>
  </r>
  <r>
    <n v="200"/>
    <x v="3"/>
    <x v="152"/>
    <x v="0"/>
    <s v="U.S. dollars"/>
    <s v="Billions"/>
    <x v="2"/>
    <n v="1.9990000000000001"/>
  </r>
  <r>
    <n v="200"/>
    <x v="3"/>
    <x v="152"/>
    <x v="0"/>
    <s v="U.S. dollars"/>
    <s v="Billions"/>
    <x v="3"/>
    <n v="2.246"/>
  </r>
  <r>
    <n v="200"/>
    <x v="3"/>
    <x v="152"/>
    <x v="0"/>
    <s v="U.S. dollars"/>
    <s v="Billions"/>
    <x v="4"/>
    <n v="2.52"/>
  </r>
  <r>
    <n v="200"/>
    <x v="3"/>
    <x v="152"/>
    <x v="0"/>
    <s v="U.S. dollars"/>
    <s v="Billions"/>
    <x v="5"/>
    <n v="2.718"/>
  </r>
  <r>
    <n v="200"/>
    <x v="3"/>
    <x v="152"/>
    <x v="0"/>
    <s v="U.S. dollars"/>
    <s v="Billions"/>
    <x v="6"/>
    <n v="2.9039999999999999"/>
  </r>
  <r>
    <n v="1"/>
    <x v="2"/>
    <x v="152"/>
    <x v="0"/>
    <s v="U.S. dollars"/>
    <s v="Billions"/>
    <x v="0"/>
    <n v="2.2309999999999999"/>
  </r>
  <r>
    <n v="1"/>
    <x v="2"/>
    <x v="152"/>
    <x v="0"/>
    <s v="U.S. dollars"/>
    <s v="Billions"/>
    <x v="1"/>
    <n v="1.83"/>
  </r>
  <r>
    <n v="1"/>
    <x v="2"/>
    <x v="152"/>
    <x v="0"/>
    <s v="U.S. dollars"/>
    <s v="Billions"/>
    <x v="2"/>
    <n v="1.9990000000000001"/>
  </r>
  <r>
    <n v="1"/>
    <x v="2"/>
    <x v="152"/>
    <x v="0"/>
    <s v="U.S. dollars"/>
    <s v="Billions"/>
    <x v="3"/>
    <n v="2.246"/>
  </r>
  <r>
    <n v="1"/>
    <x v="2"/>
    <x v="152"/>
    <x v="0"/>
    <s v="U.S. dollars"/>
    <s v="Billions"/>
    <x v="4"/>
    <n v="2.52"/>
  </r>
  <r>
    <n v="1"/>
    <x v="2"/>
    <x v="152"/>
    <x v="0"/>
    <s v="U.S. dollars"/>
    <s v="Billions"/>
    <x v="5"/>
    <n v="2.718"/>
  </r>
  <r>
    <n v="1"/>
    <x v="2"/>
    <x v="152"/>
    <x v="0"/>
    <s v="U.S. dollars"/>
    <s v="Billions"/>
    <x v="6"/>
    <n v="2.9039999999999999"/>
  </r>
  <r>
    <n v="603"/>
    <x v="12"/>
    <x v="152"/>
    <x v="0"/>
    <s v="U.S. dollars"/>
    <s v="Billions"/>
    <x v="0"/>
    <n v="2.2309999999999999"/>
  </r>
  <r>
    <n v="603"/>
    <x v="12"/>
    <x v="152"/>
    <x v="0"/>
    <s v="U.S. dollars"/>
    <s v="Billions"/>
    <x v="1"/>
    <n v="1.83"/>
  </r>
  <r>
    <n v="603"/>
    <x v="12"/>
    <x v="152"/>
    <x v="0"/>
    <s v="U.S. dollars"/>
    <s v="Billions"/>
    <x v="2"/>
    <n v="1.9990000000000001"/>
  </r>
  <r>
    <n v="603"/>
    <x v="12"/>
    <x v="152"/>
    <x v="0"/>
    <s v="U.S. dollars"/>
    <s v="Billions"/>
    <x v="3"/>
    <n v="2.246"/>
  </r>
  <r>
    <n v="603"/>
    <x v="12"/>
    <x v="152"/>
    <x v="0"/>
    <s v="U.S. dollars"/>
    <s v="Billions"/>
    <x v="4"/>
    <n v="2.52"/>
  </r>
  <r>
    <n v="603"/>
    <x v="12"/>
    <x v="152"/>
    <x v="0"/>
    <s v="U.S. dollars"/>
    <s v="Billions"/>
    <x v="5"/>
    <n v="2.718"/>
  </r>
  <r>
    <n v="603"/>
    <x v="12"/>
    <x v="152"/>
    <x v="0"/>
    <s v="U.S. dollars"/>
    <s v="Billions"/>
    <x v="6"/>
    <n v="2.9039999999999999"/>
  </r>
  <r>
    <n v="205"/>
    <x v="7"/>
    <x v="140"/>
    <x v="4"/>
    <s v="Percent change"/>
    <s v="Units"/>
    <x v="0"/>
    <n v="8.1590000000000007"/>
  </r>
  <r>
    <n v="205"/>
    <x v="7"/>
    <x v="140"/>
    <x v="4"/>
    <s v="Percent change"/>
    <s v="Units"/>
    <x v="1"/>
    <n v="-23.673999999999999"/>
  </r>
  <r>
    <n v="205"/>
    <x v="7"/>
    <x v="140"/>
    <x v="4"/>
    <s v="Percent change"/>
    <s v="Units"/>
    <x v="2"/>
    <n v="27.327999999999999"/>
  </r>
  <r>
    <n v="205"/>
    <x v="7"/>
    <x v="140"/>
    <x v="4"/>
    <s v="Percent change"/>
    <s v="Units"/>
    <x v="3"/>
    <n v="10.739000000000001"/>
  </r>
  <r>
    <n v="205"/>
    <x v="7"/>
    <x v="140"/>
    <x v="4"/>
    <s v="Percent change"/>
    <s v="Units"/>
    <x v="4"/>
    <n v="4.5730000000000004"/>
  </r>
  <r>
    <n v="205"/>
    <x v="7"/>
    <x v="140"/>
    <x v="4"/>
    <s v="Percent change"/>
    <s v="Units"/>
    <x v="5"/>
    <n v="2.7069999999999999"/>
  </r>
  <r>
    <n v="205"/>
    <x v="7"/>
    <x v="140"/>
    <x v="4"/>
    <s v="Percent change"/>
    <s v="Units"/>
    <x v="6"/>
    <n v="2.3090000000000002"/>
  </r>
  <r>
    <n v="1"/>
    <x v="2"/>
    <x v="140"/>
    <x v="4"/>
    <s v="Percent change"/>
    <s v="Units"/>
    <x v="0"/>
    <n v="8.1590000000000007"/>
  </r>
  <r>
    <n v="1"/>
    <x v="2"/>
    <x v="140"/>
    <x v="4"/>
    <s v="Percent change"/>
    <s v="Units"/>
    <x v="1"/>
    <n v="-23.673999999999999"/>
  </r>
  <r>
    <n v="1"/>
    <x v="2"/>
    <x v="140"/>
    <x v="4"/>
    <s v="Percent change"/>
    <s v="Units"/>
    <x v="2"/>
    <n v="27.327999999999999"/>
  </r>
  <r>
    <n v="1"/>
    <x v="2"/>
    <x v="140"/>
    <x v="4"/>
    <s v="Percent change"/>
    <s v="Units"/>
    <x v="3"/>
    <n v="10.739000000000001"/>
  </r>
  <r>
    <n v="1"/>
    <x v="2"/>
    <x v="140"/>
    <x v="4"/>
    <s v="Percent change"/>
    <s v="Units"/>
    <x v="4"/>
    <n v="4.5730000000000004"/>
  </r>
  <r>
    <n v="1"/>
    <x v="2"/>
    <x v="140"/>
    <x v="4"/>
    <s v="Percent change"/>
    <s v="Units"/>
    <x v="5"/>
    <n v="2.7069999999999999"/>
  </r>
  <r>
    <n v="1"/>
    <x v="2"/>
    <x v="140"/>
    <x v="4"/>
    <s v="Percent change"/>
    <s v="Units"/>
    <x v="6"/>
    <n v="2.3090000000000002"/>
  </r>
  <r>
    <n v="200"/>
    <x v="3"/>
    <x v="140"/>
    <x v="4"/>
    <s v="Percent change"/>
    <s v="Units"/>
    <x v="0"/>
    <n v="8.1590000000000007"/>
  </r>
  <r>
    <n v="200"/>
    <x v="3"/>
    <x v="140"/>
    <x v="4"/>
    <s v="Percent change"/>
    <s v="Units"/>
    <x v="1"/>
    <n v="-23.673999999999999"/>
  </r>
  <r>
    <n v="200"/>
    <x v="3"/>
    <x v="140"/>
    <x v="4"/>
    <s v="Percent change"/>
    <s v="Units"/>
    <x v="2"/>
    <n v="27.327999999999999"/>
  </r>
  <r>
    <n v="200"/>
    <x v="3"/>
    <x v="140"/>
    <x v="4"/>
    <s v="Percent change"/>
    <s v="Units"/>
    <x v="3"/>
    <n v="10.739000000000001"/>
  </r>
  <r>
    <n v="200"/>
    <x v="3"/>
    <x v="140"/>
    <x v="4"/>
    <s v="Percent change"/>
    <s v="Units"/>
    <x v="4"/>
    <n v="4.5730000000000004"/>
  </r>
  <r>
    <n v="200"/>
    <x v="3"/>
    <x v="140"/>
    <x v="4"/>
    <s v="Percent change"/>
    <s v="Units"/>
    <x v="5"/>
    <n v="2.7069999999999999"/>
  </r>
  <r>
    <n v="200"/>
    <x v="3"/>
    <x v="140"/>
    <x v="4"/>
    <s v="Percent change"/>
    <s v="Units"/>
    <x v="6"/>
    <n v="2.3090000000000002"/>
  </r>
  <r>
    <n v="1"/>
    <x v="2"/>
    <x v="26"/>
    <x v="8"/>
    <s v="Percent change"/>
    <s v="Units"/>
    <x v="0"/>
    <n v="2.1150000000000002"/>
  </r>
  <r>
    <n v="1"/>
    <x v="2"/>
    <x v="26"/>
    <x v="8"/>
    <s v="Percent change"/>
    <s v="Units"/>
    <x v="1"/>
    <n v="-6.05"/>
  </r>
  <r>
    <n v="1"/>
    <x v="2"/>
    <x v="26"/>
    <x v="8"/>
    <s v="Percent change"/>
    <s v="Units"/>
    <x v="2"/>
    <n v="1.5489999999999999"/>
  </r>
  <r>
    <n v="1"/>
    <x v="2"/>
    <x v="26"/>
    <x v="8"/>
    <s v="Percent change"/>
    <s v="Units"/>
    <x v="3"/>
    <n v="2.5110000000000001"/>
  </r>
  <r>
    <n v="1"/>
    <x v="2"/>
    <x v="26"/>
    <x v="8"/>
    <s v="Percent change"/>
    <s v="Units"/>
    <x v="4"/>
    <n v="1.8720000000000001"/>
  </r>
  <r>
    <n v="1"/>
    <x v="2"/>
    <x v="26"/>
    <x v="8"/>
    <s v="Percent change"/>
    <s v="Units"/>
    <x v="5"/>
    <n v="2.7"/>
  </r>
  <r>
    <n v="1"/>
    <x v="2"/>
    <x v="26"/>
    <x v="8"/>
    <s v="Percent change"/>
    <s v="Units"/>
    <x v="6"/>
    <n v="2.9"/>
  </r>
  <r>
    <n v="200"/>
    <x v="3"/>
    <x v="26"/>
    <x v="8"/>
    <s v="Percent change"/>
    <s v="Units"/>
    <x v="0"/>
    <n v="2.1150000000000002"/>
  </r>
  <r>
    <n v="200"/>
    <x v="3"/>
    <x v="26"/>
    <x v="8"/>
    <s v="Percent change"/>
    <s v="Units"/>
    <x v="1"/>
    <n v="-6.05"/>
  </r>
  <r>
    <n v="200"/>
    <x v="3"/>
    <x v="26"/>
    <x v="8"/>
    <s v="Percent change"/>
    <s v="Units"/>
    <x v="2"/>
    <n v="1.5489999999999999"/>
  </r>
  <r>
    <n v="200"/>
    <x v="3"/>
    <x v="26"/>
    <x v="8"/>
    <s v="Percent change"/>
    <s v="Units"/>
    <x v="3"/>
    <n v="2.5110000000000001"/>
  </r>
  <r>
    <n v="200"/>
    <x v="3"/>
    <x v="26"/>
    <x v="8"/>
    <s v="Percent change"/>
    <s v="Units"/>
    <x v="4"/>
    <n v="1.8720000000000001"/>
  </r>
  <r>
    <n v="200"/>
    <x v="3"/>
    <x v="26"/>
    <x v="8"/>
    <s v="Percent change"/>
    <s v="Units"/>
    <x v="5"/>
    <n v="2.7"/>
  </r>
  <r>
    <n v="200"/>
    <x v="3"/>
    <x v="26"/>
    <x v="8"/>
    <s v="Percent change"/>
    <s v="Units"/>
    <x v="6"/>
    <n v="2.9"/>
  </r>
  <r>
    <n v="1"/>
    <x v="2"/>
    <x v="135"/>
    <x v="8"/>
    <s v="Percent change"/>
    <s v="Units"/>
    <x v="0"/>
    <n v="3.91"/>
  </r>
  <r>
    <n v="1"/>
    <x v="2"/>
    <x v="135"/>
    <x v="8"/>
    <s v="Percent change"/>
    <s v="Units"/>
    <x v="1"/>
    <n v="-4.6879999999999997"/>
  </r>
  <r>
    <n v="1"/>
    <x v="2"/>
    <x v="135"/>
    <x v="8"/>
    <s v="Percent change"/>
    <s v="Units"/>
    <x v="2"/>
    <n v="4.5110000000000001"/>
  </r>
  <r>
    <n v="1"/>
    <x v="2"/>
    <x v="135"/>
    <x v="8"/>
    <s v="Percent change"/>
    <s v="Units"/>
    <x v="3"/>
    <n v="2.2210000000000001"/>
  </r>
  <r>
    <n v="1"/>
    <x v="2"/>
    <x v="135"/>
    <x v="8"/>
    <s v="Percent change"/>
    <s v="Units"/>
    <x v="4"/>
    <n v="1.0269999999999999"/>
  </r>
  <r>
    <n v="1"/>
    <x v="2"/>
    <x v="135"/>
    <x v="8"/>
    <s v="Percent change"/>
    <s v="Units"/>
    <x v="5"/>
    <n v="2.7"/>
  </r>
  <r>
    <n v="1"/>
    <x v="2"/>
    <x v="135"/>
    <x v="8"/>
    <s v="Percent change"/>
    <s v="Units"/>
    <x v="6"/>
    <n v="3.7"/>
  </r>
  <r>
    <n v="200"/>
    <x v="3"/>
    <x v="135"/>
    <x v="8"/>
    <s v="Percent change"/>
    <s v="Units"/>
    <x v="0"/>
    <n v="3.91"/>
  </r>
  <r>
    <n v="200"/>
    <x v="3"/>
    <x v="135"/>
    <x v="8"/>
    <s v="Percent change"/>
    <s v="Units"/>
    <x v="1"/>
    <n v="-4.6879999999999997"/>
  </r>
  <r>
    <n v="200"/>
    <x v="3"/>
    <x v="135"/>
    <x v="8"/>
    <s v="Percent change"/>
    <s v="Units"/>
    <x v="2"/>
    <n v="4.5110000000000001"/>
  </r>
  <r>
    <n v="200"/>
    <x v="3"/>
    <x v="135"/>
    <x v="8"/>
    <s v="Percent change"/>
    <s v="Units"/>
    <x v="3"/>
    <n v="2.2210000000000001"/>
  </r>
  <r>
    <n v="200"/>
    <x v="3"/>
    <x v="135"/>
    <x v="8"/>
    <s v="Percent change"/>
    <s v="Units"/>
    <x v="4"/>
    <n v="1.0269999999999999"/>
  </r>
  <r>
    <n v="200"/>
    <x v="3"/>
    <x v="135"/>
    <x v="8"/>
    <s v="Percent change"/>
    <s v="Units"/>
    <x v="5"/>
    <n v="2.7"/>
  </r>
  <r>
    <n v="200"/>
    <x v="3"/>
    <x v="135"/>
    <x v="8"/>
    <s v="Percent change"/>
    <s v="Units"/>
    <x v="6"/>
    <n v="3.7"/>
  </r>
  <r>
    <n v="903"/>
    <x v="8"/>
    <x v="135"/>
    <x v="8"/>
    <s v="Percent change"/>
    <s v="Units"/>
    <x v="0"/>
    <n v="3.91"/>
  </r>
  <r>
    <n v="903"/>
    <x v="8"/>
    <x v="135"/>
    <x v="8"/>
    <s v="Percent change"/>
    <s v="Units"/>
    <x v="1"/>
    <n v="-4.6879999999999997"/>
  </r>
  <r>
    <n v="903"/>
    <x v="8"/>
    <x v="135"/>
    <x v="8"/>
    <s v="Percent change"/>
    <s v="Units"/>
    <x v="2"/>
    <n v="4.5110000000000001"/>
  </r>
  <r>
    <n v="903"/>
    <x v="8"/>
    <x v="135"/>
    <x v="8"/>
    <s v="Percent change"/>
    <s v="Units"/>
    <x v="3"/>
    <n v="2.2210000000000001"/>
  </r>
  <r>
    <n v="903"/>
    <x v="8"/>
    <x v="135"/>
    <x v="8"/>
    <s v="Percent change"/>
    <s v="Units"/>
    <x v="4"/>
    <n v="1.0269999999999999"/>
  </r>
  <r>
    <n v="903"/>
    <x v="8"/>
    <x v="135"/>
    <x v="8"/>
    <s v="Percent change"/>
    <s v="Units"/>
    <x v="5"/>
    <n v="2.7"/>
  </r>
  <r>
    <n v="903"/>
    <x v="8"/>
    <x v="135"/>
    <x v="8"/>
    <s v="Percent change"/>
    <s v="Units"/>
    <x v="6"/>
    <n v="3.7"/>
  </r>
  <r>
    <n v="505"/>
    <x v="4"/>
    <x v="26"/>
    <x v="8"/>
    <s v="Percent change"/>
    <s v="Units"/>
    <x v="0"/>
    <n v="2.1150000000000002"/>
  </r>
  <r>
    <n v="505"/>
    <x v="4"/>
    <x v="26"/>
    <x v="8"/>
    <s v="Percent change"/>
    <s v="Units"/>
    <x v="1"/>
    <n v="-6.05"/>
  </r>
  <r>
    <n v="505"/>
    <x v="4"/>
    <x v="26"/>
    <x v="8"/>
    <s v="Percent change"/>
    <s v="Units"/>
    <x v="2"/>
    <n v="1.5489999999999999"/>
  </r>
  <r>
    <n v="505"/>
    <x v="4"/>
    <x v="26"/>
    <x v="8"/>
    <s v="Percent change"/>
    <s v="Units"/>
    <x v="3"/>
    <n v="2.5110000000000001"/>
  </r>
  <r>
    <n v="505"/>
    <x v="4"/>
    <x v="26"/>
    <x v="8"/>
    <s v="Percent change"/>
    <s v="Units"/>
    <x v="4"/>
    <n v="1.8720000000000001"/>
  </r>
  <r>
    <n v="505"/>
    <x v="4"/>
    <x v="26"/>
    <x v="8"/>
    <s v="Percent change"/>
    <s v="Units"/>
    <x v="5"/>
    <n v="2.7"/>
  </r>
  <r>
    <n v="505"/>
    <x v="4"/>
    <x v="26"/>
    <x v="8"/>
    <s v="Percent change"/>
    <s v="Units"/>
    <x v="6"/>
    <n v="2.9"/>
  </r>
  <r>
    <n v="510"/>
    <x v="10"/>
    <x v="26"/>
    <x v="8"/>
    <s v="Percent change"/>
    <s v="Units"/>
    <x v="0"/>
    <n v="2.1150000000000002"/>
  </r>
  <r>
    <n v="510"/>
    <x v="10"/>
    <x v="26"/>
    <x v="8"/>
    <s v="Percent change"/>
    <s v="Units"/>
    <x v="1"/>
    <n v="-6.05"/>
  </r>
  <r>
    <n v="510"/>
    <x v="10"/>
    <x v="26"/>
    <x v="8"/>
    <s v="Percent change"/>
    <s v="Units"/>
    <x v="2"/>
    <n v="1.5489999999999999"/>
  </r>
  <r>
    <n v="510"/>
    <x v="10"/>
    <x v="26"/>
    <x v="8"/>
    <s v="Percent change"/>
    <s v="Units"/>
    <x v="3"/>
    <n v="2.5110000000000001"/>
  </r>
  <r>
    <n v="510"/>
    <x v="10"/>
    <x v="26"/>
    <x v="8"/>
    <s v="Percent change"/>
    <s v="Units"/>
    <x v="4"/>
    <n v="1.8720000000000001"/>
  </r>
  <r>
    <n v="510"/>
    <x v="10"/>
    <x v="26"/>
    <x v="8"/>
    <s v="Percent change"/>
    <s v="Units"/>
    <x v="5"/>
    <n v="2.7"/>
  </r>
  <r>
    <n v="510"/>
    <x v="10"/>
    <x v="26"/>
    <x v="8"/>
    <s v="Percent change"/>
    <s v="Units"/>
    <x v="6"/>
    <n v="2.9"/>
  </r>
  <r>
    <n v="200"/>
    <x v="3"/>
    <x v="168"/>
    <x v="0"/>
    <s v="U.S. dollars"/>
    <s v="Billions"/>
    <x v="0"/>
    <n v="1.806"/>
  </r>
  <r>
    <n v="200"/>
    <x v="3"/>
    <x v="168"/>
    <x v="0"/>
    <s v="U.S. dollars"/>
    <s v="Billions"/>
    <x v="1"/>
    <n v="1.8089999999999999"/>
  </r>
  <r>
    <n v="200"/>
    <x v="3"/>
    <x v="168"/>
    <x v="0"/>
    <s v="U.S. dollars"/>
    <s v="Billions"/>
    <x v="2"/>
    <n v="2.0449999999999999"/>
  </r>
  <r>
    <n v="200"/>
    <x v="3"/>
    <x v="168"/>
    <x v="0"/>
    <s v="U.S. dollars"/>
    <s v="Billions"/>
    <x v="3"/>
    <n v="2.161"/>
  </r>
  <r>
    <n v="200"/>
    <x v="3"/>
    <x v="168"/>
    <x v="0"/>
    <s v="U.S. dollars"/>
    <s v="Billions"/>
    <x v="4"/>
    <n v="2.3620000000000001"/>
  </r>
  <r>
    <n v="200"/>
    <x v="3"/>
    <x v="168"/>
    <x v="0"/>
    <s v="U.S. dollars"/>
    <s v="Billions"/>
    <x v="5"/>
    <n v="2.694"/>
  </r>
  <r>
    <n v="200"/>
    <x v="3"/>
    <x v="168"/>
    <x v="0"/>
    <s v="U.S. dollars"/>
    <s v="Billions"/>
    <x v="6"/>
    <n v="3.0059999999999998"/>
  </r>
  <r>
    <n v="1"/>
    <x v="2"/>
    <x v="168"/>
    <x v="0"/>
    <s v="U.S. dollars"/>
    <s v="Billions"/>
    <x v="0"/>
    <n v="1.806"/>
  </r>
  <r>
    <n v="1"/>
    <x v="2"/>
    <x v="168"/>
    <x v="0"/>
    <s v="U.S. dollars"/>
    <s v="Billions"/>
    <x v="1"/>
    <n v="1.8089999999999999"/>
  </r>
  <r>
    <n v="1"/>
    <x v="2"/>
    <x v="168"/>
    <x v="0"/>
    <s v="U.S. dollars"/>
    <s v="Billions"/>
    <x v="2"/>
    <n v="2.0449999999999999"/>
  </r>
  <r>
    <n v="1"/>
    <x v="2"/>
    <x v="168"/>
    <x v="0"/>
    <s v="U.S. dollars"/>
    <s v="Billions"/>
    <x v="3"/>
    <n v="2.161"/>
  </r>
  <r>
    <n v="1"/>
    <x v="2"/>
    <x v="168"/>
    <x v="0"/>
    <s v="U.S. dollars"/>
    <s v="Billions"/>
    <x v="4"/>
    <n v="2.3620000000000001"/>
  </r>
  <r>
    <n v="1"/>
    <x v="2"/>
    <x v="168"/>
    <x v="0"/>
    <s v="U.S. dollars"/>
    <s v="Billions"/>
    <x v="5"/>
    <n v="2.694"/>
  </r>
  <r>
    <n v="1"/>
    <x v="2"/>
    <x v="168"/>
    <x v="0"/>
    <s v="U.S. dollars"/>
    <s v="Billions"/>
    <x v="6"/>
    <n v="3.0059999999999998"/>
  </r>
  <r>
    <n v="603"/>
    <x v="12"/>
    <x v="168"/>
    <x v="0"/>
    <s v="U.S. dollars"/>
    <s v="Billions"/>
    <x v="0"/>
    <n v="1.806"/>
  </r>
  <r>
    <n v="603"/>
    <x v="12"/>
    <x v="168"/>
    <x v="0"/>
    <s v="U.S. dollars"/>
    <s v="Billions"/>
    <x v="1"/>
    <n v="1.8089999999999999"/>
  </r>
  <r>
    <n v="603"/>
    <x v="12"/>
    <x v="168"/>
    <x v="0"/>
    <s v="U.S. dollars"/>
    <s v="Billions"/>
    <x v="2"/>
    <n v="2.0449999999999999"/>
  </r>
  <r>
    <n v="603"/>
    <x v="12"/>
    <x v="168"/>
    <x v="0"/>
    <s v="U.S. dollars"/>
    <s v="Billions"/>
    <x v="3"/>
    <n v="2.161"/>
  </r>
  <r>
    <n v="603"/>
    <x v="12"/>
    <x v="168"/>
    <x v="0"/>
    <s v="U.S. dollars"/>
    <s v="Billions"/>
    <x v="4"/>
    <n v="2.3620000000000001"/>
  </r>
  <r>
    <n v="603"/>
    <x v="12"/>
    <x v="168"/>
    <x v="0"/>
    <s v="U.S. dollars"/>
    <s v="Billions"/>
    <x v="5"/>
    <n v="2.694"/>
  </r>
  <r>
    <n v="603"/>
    <x v="12"/>
    <x v="168"/>
    <x v="0"/>
    <s v="U.S. dollars"/>
    <s v="Billions"/>
    <x v="6"/>
    <n v="3.0059999999999998"/>
  </r>
  <r>
    <n v="110"/>
    <x v="0"/>
    <x v="118"/>
    <x v="8"/>
    <s v="Percent change"/>
    <s v="Units"/>
    <x v="0"/>
    <n v="5.5369999999999999"/>
  </r>
  <r>
    <n v="110"/>
    <x v="0"/>
    <x v="118"/>
    <x v="8"/>
    <s v="Percent change"/>
    <s v="Units"/>
    <x v="1"/>
    <n v="-3.4430000000000001"/>
  </r>
  <r>
    <n v="110"/>
    <x v="0"/>
    <x v="118"/>
    <x v="8"/>
    <s v="Percent change"/>
    <s v="Units"/>
    <x v="2"/>
    <n v="9.91"/>
  </r>
  <r>
    <n v="110"/>
    <x v="0"/>
    <x v="118"/>
    <x v="8"/>
    <s v="Percent change"/>
    <s v="Units"/>
    <x v="3"/>
    <n v="5.0590000000000002"/>
  </r>
  <r>
    <n v="110"/>
    <x v="0"/>
    <x v="118"/>
    <x v="8"/>
    <s v="Percent change"/>
    <s v="Units"/>
    <x v="4"/>
    <n v="2.46"/>
  </r>
  <r>
    <n v="110"/>
    <x v="0"/>
    <x v="118"/>
    <x v="8"/>
    <s v="Percent change"/>
    <s v="Units"/>
    <x v="5"/>
    <n v="2.6890000000000001"/>
  </r>
  <r>
    <n v="110"/>
    <x v="0"/>
    <x v="118"/>
    <x v="8"/>
    <s v="Percent change"/>
    <s v="Units"/>
    <x v="6"/>
    <n v="2.8759999999999999"/>
  </r>
  <r>
    <n v="163"/>
    <x v="5"/>
    <x v="118"/>
    <x v="8"/>
    <s v="Percent change"/>
    <s v="Units"/>
    <x v="0"/>
    <n v="5.5369999999999999"/>
  </r>
  <r>
    <n v="163"/>
    <x v="5"/>
    <x v="118"/>
    <x v="8"/>
    <s v="Percent change"/>
    <s v="Units"/>
    <x v="1"/>
    <n v="-3.4430000000000001"/>
  </r>
  <r>
    <n v="163"/>
    <x v="5"/>
    <x v="118"/>
    <x v="8"/>
    <s v="Percent change"/>
    <s v="Units"/>
    <x v="2"/>
    <n v="9.91"/>
  </r>
  <r>
    <n v="163"/>
    <x v="5"/>
    <x v="118"/>
    <x v="8"/>
    <s v="Percent change"/>
    <s v="Units"/>
    <x v="3"/>
    <n v="5.0590000000000002"/>
  </r>
  <r>
    <n v="163"/>
    <x v="5"/>
    <x v="118"/>
    <x v="8"/>
    <s v="Percent change"/>
    <s v="Units"/>
    <x v="4"/>
    <n v="2.46"/>
  </r>
  <r>
    <n v="163"/>
    <x v="5"/>
    <x v="118"/>
    <x v="8"/>
    <s v="Percent change"/>
    <s v="Units"/>
    <x v="5"/>
    <n v="2.6890000000000001"/>
  </r>
  <r>
    <n v="163"/>
    <x v="5"/>
    <x v="118"/>
    <x v="8"/>
    <s v="Percent change"/>
    <s v="Units"/>
    <x v="6"/>
    <n v="2.8759999999999999"/>
  </r>
  <r>
    <n v="1"/>
    <x v="2"/>
    <x v="118"/>
    <x v="8"/>
    <s v="Percent change"/>
    <s v="Units"/>
    <x v="0"/>
    <n v="5.5369999999999999"/>
  </r>
  <r>
    <n v="1"/>
    <x v="2"/>
    <x v="118"/>
    <x v="8"/>
    <s v="Percent change"/>
    <s v="Units"/>
    <x v="1"/>
    <n v="-3.4430000000000001"/>
  </r>
  <r>
    <n v="1"/>
    <x v="2"/>
    <x v="118"/>
    <x v="8"/>
    <s v="Percent change"/>
    <s v="Units"/>
    <x v="2"/>
    <n v="9.91"/>
  </r>
  <r>
    <n v="1"/>
    <x v="2"/>
    <x v="118"/>
    <x v="8"/>
    <s v="Percent change"/>
    <s v="Units"/>
    <x v="3"/>
    <n v="5.0590000000000002"/>
  </r>
  <r>
    <n v="1"/>
    <x v="2"/>
    <x v="118"/>
    <x v="8"/>
    <s v="Percent change"/>
    <s v="Units"/>
    <x v="4"/>
    <n v="2.46"/>
  </r>
  <r>
    <n v="1"/>
    <x v="2"/>
    <x v="118"/>
    <x v="8"/>
    <s v="Percent change"/>
    <s v="Units"/>
    <x v="5"/>
    <n v="2.6890000000000001"/>
  </r>
  <r>
    <n v="1"/>
    <x v="2"/>
    <x v="118"/>
    <x v="8"/>
    <s v="Percent change"/>
    <s v="Units"/>
    <x v="6"/>
    <n v="2.8759999999999999"/>
  </r>
  <r>
    <n v="998"/>
    <x v="6"/>
    <x v="118"/>
    <x v="8"/>
    <s v="Percent change"/>
    <s v="Units"/>
    <x v="0"/>
    <n v="5.5369999999999999"/>
  </r>
  <r>
    <n v="998"/>
    <x v="6"/>
    <x v="118"/>
    <x v="8"/>
    <s v="Percent change"/>
    <s v="Units"/>
    <x v="1"/>
    <n v="-3.4430000000000001"/>
  </r>
  <r>
    <n v="998"/>
    <x v="6"/>
    <x v="118"/>
    <x v="8"/>
    <s v="Percent change"/>
    <s v="Units"/>
    <x v="2"/>
    <n v="9.91"/>
  </r>
  <r>
    <n v="998"/>
    <x v="6"/>
    <x v="118"/>
    <x v="8"/>
    <s v="Percent change"/>
    <s v="Units"/>
    <x v="3"/>
    <n v="5.0590000000000002"/>
  </r>
  <r>
    <n v="998"/>
    <x v="6"/>
    <x v="118"/>
    <x v="8"/>
    <s v="Percent change"/>
    <s v="Units"/>
    <x v="4"/>
    <n v="2.46"/>
  </r>
  <r>
    <n v="998"/>
    <x v="6"/>
    <x v="118"/>
    <x v="8"/>
    <s v="Percent change"/>
    <s v="Units"/>
    <x v="5"/>
    <n v="2.6890000000000001"/>
  </r>
  <r>
    <n v="998"/>
    <x v="6"/>
    <x v="118"/>
    <x v="8"/>
    <s v="Percent change"/>
    <s v="Units"/>
    <x v="6"/>
    <n v="2.8759999999999999"/>
  </r>
  <r>
    <n v="998"/>
    <x v="6"/>
    <x v="14"/>
    <x v="1"/>
    <s v="Percent change"/>
    <s v="Units"/>
    <x v="0"/>
    <n v="0.78"/>
  </r>
  <r>
    <n v="998"/>
    <x v="6"/>
    <x v="14"/>
    <x v="1"/>
    <s v="Percent change"/>
    <s v="Units"/>
    <x v="1"/>
    <n v="-0.33700000000000002"/>
  </r>
  <r>
    <n v="998"/>
    <x v="6"/>
    <x v="14"/>
    <x v="1"/>
    <s v="Percent change"/>
    <s v="Units"/>
    <x v="2"/>
    <n v="3.008"/>
  </r>
  <r>
    <n v="998"/>
    <x v="6"/>
    <x v="14"/>
    <x v="1"/>
    <s v="Percent change"/>
    <s v="Units"/>
    <x v="3"/>
    <n v="8.3230000000000004"/>
  </r>
  <r>
    <n v="998"/>
    <x v="6"/>
    <x v="14"/>
    <x v="1"/>
    <s v="Percent change"/>
    <s v="Units"/>
    <x v="4"/>
    <n v="3.4"/>
  </r>
  <r>
    <n v="998"/>
    <x v="6"/>
    <x v="14"/>
    <x v="1"/>
    <s v="Percent change"/>
    <s v="Units"/>
    <x v="5"/>
    <n v="2.6739999999999999"/>
  </r>
  <r>
    <n v="998"/>
    <x v="6"/>
    <x v="14"/>
    <x v="1"/>
    <s v="Percent change"/>
    <s v="Units"/>
    <x v="6"/>
    <n v="2.3610000000000002"/>
  </r>
  <r>
    <n v="1"/>
    <x v="2"/>
    <x v="14"/>
    <x v="1"/>
    <s v="Percent change"/>
    <s v="Units"/>
    <x v="0"/>
    <n v="0.78"/>
  </r>
  <r>
    <n v="1"/>
    <x v="2"/>
    <x v="14"/>
    <x v="1"/>
    <s v="Percent change"/>
    <s v="Units"/>
    <x v="1"/>
    <n v="-0.33700000000000002"/>
  </r>
  <r>
    <n v="1"/>
    <x v="2"/>
    <x v="14"/>
    <x v="1"/>
    <s v="Percent change"/>
    <s v="Units"/>
    <x v="2"/>
    <n v="3.008"/>
  </r>
  <r>
    <n v="1"/>
    <x v="2"/>
    <x v="14"/>
    <x v="1"/>
    <s v="Percent change"/>
    <s v="Units"/>
    <x v="3"/>
    <n v="8.3230000000000004"/>
  </r>
  <r>
    <n v="1"/>
    <x v="2"/>
    <x v="14"/>
    <x v="1"/>
    <s v="Percent change"/>
    <s v="Units"/>
    <x v="4"/>
    <n v="3.4"/>
  </r>
  <r>
    <n v="1"/>
    <x v="2"/>
    <x v="14"/>
    <x v="1"/>
    <s v="Percent change"/>
    <s v="Units"/>
    <x v="5"/>
    <n v="2.6739999999999999"/>
  </r>
  <r>
    <n v="1"/>
    <x v="2"/>
    <x v="14"/>
    <x v="1"/>
    <s v="Percent change"/>
    <s v="Units"/>
    <x v="6"/>
    <n v="2.3610000000000002"/>
  </r>
  <r>
    <n v="163"/>
    <x v="5"/>
    <x v="14"/>
    <x v="1"/>
    <s v="Percent change"/>
    <s v="Units"/>
    <x v="0"/>
    <n v="0.78"/>
  </r>
  <r>
    <n v="163"/>
    <x v="5"/>
    <x v="14"/>
    <x v="1"/>
    <s v="Percent change"/>
    <s v="Units"/>
    <x v="1"/>
    <n v="-0.33700000000000002"/>
  </r>
  <r>
    <n v="163"/>
    <x v="5"/>
    <x v="14"/>
    <x v="1"/>
    <s v="Percent change"/>
    <s v="Units"/>
    <x v="2"/>
    <n v="3.008"/>
  </r>
  <r>
    <n v="163"/>
    <x v="5"/>
    <x v="14"/>
    <x v="1"/>
    <s v="Percent change"/>
    <s v="Units"/>
    <x v="3"/>
    <n v="8.3230000000000004"/>
  </r>
  <r>
    <n v="163"/>
    <x v="5"/>
    <x v="14"/>
    <x v="1"/>
    <s v="Percent change"/>
    <s v="Units"/>
    <x v="4"/>
    <n v="3.4"/>
  </r>
  <r>
    <n v="163"/>
    <x v="5"/>
    <x v="14"/>
    <x v="1"/>
    <s v="Percent change"/>
    <s v="Units"/>
    <x v="5"/>
    <n v="2.6739999999999999"/>
  </r>
  <r>
    <n v="163"/>
    <x v="5"/>
    <x v="14"/>
    <x v="1"/>
    <s v="Percent change"/>
    <s v="Units"/>
    <x v="6"/>
    <n v="2.3610000000000002"/>
  </r>
  <r>
    <n v="110"/>
    <x v="0"/>
    <x v="14"/>
    <x v="1"/>
    <s v="Percent change"/>
    <s v="Units"/>
    <x v="0"/>
    <n v="0.78"/>
  </r>
  <r>
    <n v="110"/>
    <x v="0"/>
    <x v="14"/>
    <x v="1"/>
    <s v="Percent change"/>
    <s v="Units"/>
    <x v="1"/>
    <n v="-0.33700000000000002"/>
  </r>
  <r>
    <n v="110"/>
    <x v="0"/>
    <x v="14"/>
    <x v="1"/>
    <s v="Percent change"/>
    <s v="Units"/>
    <x v="2"/>
    <n v="3.008"/>
  </r>
  <r>
    <n v="110"/>
    <x v="0"/>
    <x v="14"/>
    <x v="1"/>
    <s v="Percent change"/>
    <s v="Units"/>
    <x v="3"/>
    <n v="8.3230000000000004"/>
  </r>
  <r>
    <n v="110"/>
    <x v="0"/>
    <x v="14"/>
    <x v="1"/>
    <s v="Percent change"/>
    <s v="Units"/>
    <x v="4"/>
    <n v="3.4"/>
  </r>
  <r>
    <n v="110"/>
    <x v="0"/>
    <x v="14"/>
    <x v="1"/>
    <s v="Percent change"/>
    <s v="Units"/>
    <x v="5"/>
    <n v="2.6739999999999999"/>
  </r>
  <r>
    <n v="110"/>
    <x v="0"/>
    <x v="14"/>
    <x v="1"/>
    <s v="Percent change"/>
    <s v="Units"/>
    <x v="6"/>
    <n v="2.3610000000000002"/>
  </r>
  <r>
    <n v="603"/>
    <x v="12"/>
    <x v="136"/>
    <x v="8"/>
    <s v="Percent change"/>
    <s v="Units"/>
    <x v="0"/>
    <n v="-0.83899999999999997"/>
  </r>
  <r>
    <n v="603"/>
    <x v="12"/>
    <x v="136"/>
    <x v="8"/>
    <s v="Percent change"/>
    <s v="Units"/>
    <x v="1"/>
    <n v="-8.1010000000000009"/>
  </r>
  <r>
    <n v="603"/>
    <x v="12"/>
    <x v="136"/>
    <x v="8"/>
    <s v="Percent change"/>
    <s v="Units"/>
    <x v="2"/>
    <n v="3.5249999999999999"/>
  </r>
  <r>
    <n v="603"/>
    <x v="12"/>
    <x v="136"/>
    <x v="8"/>
    <s v="Percent change"/>
    <s v="Units"/>
    <x v="3"/>
    <n v="4.5599999999999996"/>
  </r>
  <r>
    <n v="603"/>
    <x v="12"/>
    <x v="136"/>
    <x v="8"/>
    <s v="Percent change"/>
    <s v="Units"/>
    <x v="4"/>
    <n v="3.1539999999999999"/>
  </r>
  <r>
    <n v="603"/>
    <x v="12"/>
    <x v="136"/>
    <x v="8"/>
    <s v="Percent change"/>
    <s v="Units"/>
    <x v="5"/>
    <n v="2.65"/>
  </r>
  <r>
    <n v="603"/>
    <x v="12"/>
    <x v="136"/>
    <x v="8"/>
    <s v="Percent change"/>
    <s v="Units"/>
    <x v="6"/>
    <n v="2.6429999999999998"/>
  </r>
  <r>
    <n v="200"/>
    <x v="3"/>
    <x v="136"/>
    <x v="8"/>
    <s v="Percent change"/>
    <s v="Units"/>
    <x v="0"/>
    <n v="-0.83899999999999997"/>
  </r>
  <r>
    <n v="200"/>
    <x v="3"/>
    <x v="136"/>
    <x v="8"/>
    <s v="Percent change"/>
    <s v="Units"/>
    <x v="1"/>
    <n v="-8.1010000000000009"/>
  </r>
  <r>
    <n v="200"/>
    <x v="3"/>
    <x v="136"/>
    <x v="8"/>
    <s v="Percent change"/>
    <s v="Units"/>
    <x v="2"/>
    <n v="3.5249999999999999"/>
  </r>
  <r>
    <n v="200"/>
    <x v="3"/>
    <x v="136"/>
    <x v="8"/>
    <s v="Percent change"/>
    <s v="Units"/>
    <x v="3"/>
    <n v="4.5599999999999996"/>
  </r>
  <r>
    <n v="200"/>
    <x v="3"/>
    <x v="136"/>
    <x v="8"/>
    <s v="Percent change"/>
    <s v="Units"/>
    <x v="4"/>
    <n v="3.1539999999999999"/>
  </r>
  <r>
    <n v="200"/>
    <x v="3"/>
    <x v="136"/>
    <x v="8"/>
    <s v="Percent change"/>
    <s v="Units"/>
    <x v="5"/>
    <n v="2.65"/>
  </r>
  <r>
    <n v="200"/>
    <x v="3"/>
    <x v="136"/>
    <x v="8"/>
    <s v="Percent change"/>
    <s v="Units"/>
    <x v="6"/>
    <n v="2.6429999999999998"/>
  </r>
  <r>
    <n v="1"/>
    <x v="2"/>
    <x v="136"/>
    <x v="8"/>
    <s v="Percent change"/>
    <s v="Units"/>
    <x v="0"/>
    <n v="-0.83899999999999997"/>
  </r>
  <r>
    <n v="1"/>
    <x v="2"/>
    <x v="136"/>
    <x v="8"/>
    <s v="Percent change"/>
    <s v="Units"/>
    <x v="1"/>
    <n v="-8.1010000000000009"/>
  </r>
  <r>
    <n v="1"/>
    <x v="2"/>
    <x v="136"/>
    <x v="8"/>
    <s v="Percent change"/>
    <s v="Units"/>
    <x v="2"/>
    <n v="3.5249999999999999"/>
  </r>
  <r>
    <n v="1"/>
    <x v="2"/>
    <x v="136"/>
    <x v="8"/>
    <s v="Percent change"/>
    <s v="Units"/>
    <x v="3"/>
    <n v="4.5599999999999996"/>
  </r>
  <r>
    <n v="1"/>
    <x v="2"/>
    <x v="136"/>
    <x v="8"/>
    <s v="Percent change"/>
    <s v="Units"/>
    <x v="4"/>
    <n v="3.1539999999999999"/>
  </r>
  <r>
    <n v="1"/>
    <x v="2"/>
    <x v="136"/>
    <x v="8"/>
    <s v="Percent change"/>
    <s v="Units"/>
    <x v="5"/>
    <n v="2.65"/>
  </r>
  <r>
    <n v="1"/>
    <x v="2"/>
    <x v="136"/>
    <x v="8"/>
    <s v="Percent change"/>
    <s v="Units"/>
    <x v="6"/>
    <n v="2.6429999999999998"/>
  </r>
  <r>
    <n v="205"/>
    <x v="7"/>
    <x v="132"/>
    <x v="1"/>
    <s v="Percent change"/>
    <s v="Units"/>
    <x v="0"/>
    <n v="1.431"/>
  </r>
  <r>
    <n v="205"/>
    <x v="7"/>
    <x v="132"/>
    <x v="1"/>
    <s v="Percent change"/>
    <s v="Units"/>
    <x v="1"/>
    <n v="1.0580000000000001"/>
  </r>
  <r>
    <n v="205"/>
    <x v="7"/>
    <x v="132"/>
    <x v="1"/>
    <s v="Percent change"/>
    <s v="Units"/>
    <x v="2"/>
    <n v="1.627"/>
  </r>
  <r>
    <n v="205"/>
    <x v="7"/>
    <x v="132"/>
    <x v="1"/>
    <s v="Percent change"/>
    <s v="Units"/>
    <x v="3"/>
    <n v="7.5309999999999997"/>
  </r>
  <r>
    <n v="205"/>
    <x v="7"/>
    <x v="132"/>
    <x v="1"/>
    <s v="Percent change"/>
    <s v="Units"/>
    <x v="4"/>
    <n v="5.0670000000000002"/>
  </r>
  <r>
    <n v="205"/>
    <x v="7"/>
    <x v="132"/>
    <x v="1"/>
    <s v="Percent change"/>
    <s v="Units"/>
    <x v="5"/>
    <n v="2.6339999999999999"/>
  </r>
  <r>
    <n v="205"/>
    <x v="7"/>
    <x v="132"/>
    <x v="1"/>
    <s v="Percent change"/>
    <s v="Units"/>
    <x v="6"/>
    <n v="2.0459999999999998"/>
  </r>
  <r>
    <n v="200"/>
    <x v="3"/>
    <x v="132"/>
    <x v="1"/>
    <s v="Percent change"/>
    <s v="Units"/>
    <x v="0"/>
    <n v="1.431"/>
  </r>
  <r>
    <n v="200"/>
    <x v="3"/>
    <x v="132"/>
    <x v="1"/>
    <s v="Percent change"/>
    <s v="Units"/>
    <x v="1"/>
    <n v="1.0580000000000001"/>
  </r>
  <r>
    <n v="200"/>
    <x v="3"/>
    <x v="132"/>
    <x v="1"/>
    <s v="Percent change"/>
    <s v="Units"/>
    <x v="2"/>
    <n v="1.627"/>
  </r>
  <r>
    <n v="200"/>
    <x v="3"/>
    <x v="132"/>
    <x v="1"/>
    <s v="Percent change"/>
    <s v="Units"/>
    <x v="3"/>
    <n v="7.5309999999999997"/>
  </r>
  <r>
    <n v="200"/>
    <x v="3"/>
    <x v="132"/>
    <x v="1"/>
    <s v="Percent change"/>
    <s v="Units"/>
    <x v="4"/>
    <n v="5.0670000000000002"/>
  </r>
  <r>
    <n v="200"/>
    <x v="3"/>
    <x v="132"/>
    <x v="1"/>
    <s v="Percent change"/>
    <s v="Units"/>
    <x v="5"/>
    <n v="2.6339999999999999"/>
  </r>
  <r>
    <n v="200"/>
    <x v="3"/>
    <x v="132"/>
    <x v="1"/>
    <s v="Percent change"/>
    <s v="Units"/>
    <x v="6"/>
    <n v="2.0459999999999998"/>
  </r>
  <r>
    <n v="1"/>
    <x v="2"/>
    <x v="132"/>
    <x v="1"/>
    <s v="Percent change"/>
    <s v="Units"/>
    <x v="0"/>
    <n v="1.431"/>
  </r>
  <r>
    <n v="1"/>
    <x v="2"/>
    <x v="132"/>
    <x v="1"/>
    <s v="Percent change"/>
    <s v="Units"/>
    <x v="1"/>
    <n v="1.0580000000000001"/>
  </r>
  <r>
    <n v="1"/>
    <x v="2"/>
    <x v="132"/>
    <x v="1"/>
    <s v="Percent change"/>
    <s v="Units"/>
    <x v="2"/>
    <n v="1.627"/>
  </r>
  <r>
    <n v="1"/>
    <x v="2"/>
    <x v="132"/>
    <x v="1"/>
    <s v="Percent change"/>
    <s v="Units"/>
    <x v="3"/>
    <n v="7.5309999999999997"/>
  </r>
  <r>
    <n v="1"/>
    <x v="2"/>
    <x v="132"/>
    <x v="1"/>
    <s v="Percent change"/>
    <s v="Units"/>
    <x v="4"/>
    <n v="5.0670000000000002"/>
  </r>
  <r>
    <n v="1"/>
    <x v="2"/>
    <x v="132"/>
    <x v="1"/>
    <s v="Percent change"/>
    <s v="Units"/>
    <x v="5"/>
    <n v="2.6339999999999999"/>
  </r>
  <r>
    <n v="1"/>
    <x v="2"/>
    <x v="132"/>
    <x v="1"/>
    <s v="Percent change"/>
    <s v="Units"/>
    <x v="6"/>
    <n v="2.0459999999999998"/>
  </r>
  <r>
    <n v="200"/>
    <x v="3"/>
    <x v="109"/>
    <x v="4"/>
    <s v="Percent change"/>
    <s v="Units"/>
    <x v="0"/>
    <n v="-10.109"/>
  </r>
  <r>
    <n v="200"/>
    <x v="3"/>
    <x v="109"/>
    <x v="4"/>
    <s v="Percent change"/>
    <s v="Units"/>
    <x v="1"/>
    <n v="-16.103000000000002"/>
  </r>
  <r>
    <n v="200"/>
    <x v="3"/>
    <x v="109"/>
    <x v="4"/>
    <s v="Percent change"/>
    <s v="Units"/>
    <x v="2"/>
    <n v="1.8859999999999999"/>
  </r>
  <r>
    <n v="200"/>
    <x v="3"/>
    <x v="109"/>
    <x v="4"/>
    <s v="Percent change"/>
    <s v="Units"/>
    <x v="3"/>
    <n v="-4.6680000000000001"/>
  </r>
  <r>
    <n v="200"/>
    <x v="3"/>
    <x v="109"/>
    <x v="4"/>
    <s v="Percent change"/>
    <s v="Units"/>
    <x v="4"/>
    <n v="33.097999999999999"/>
  </r>
  <r>
    <n v="200"/>
    <x v="3"/>
    <x v="109"/>
    <x v="4"/>
    <s v="Percent change"/>
    <s v="Units"/>
    <x v="5"/>
    <n v="2.6190000000000002"/>
  </r>
  <r>
    <n v="200"/>
    <x v="3"/>
    <x v="109"/>
    <x v="4"/>
    <s v="Percent change"/>
    <s v="Units"/>
    <x v="6"/>
    <n v="4.0359999999999996"/>
  </r>
  <r>
    <n v="205"/>
    <x v="7"/>
    <x v="109"/>
    <x v="4"/>
    <s v="Percent change"/>
    <s v="Units"/>
    <x v="0"/>
    <n v="-10.109"/>
  </r>
  <r>
    <n v="205"/>
    <x v="7"/>
    <x v="109"/>
    <x v="4"/>
    <s v="Percent change"/>
    <s v="Units"/>
    <x v="1"/>
    <n v="-16.103000000000002"/>
  </r>
  <r>
    <n v="205"/>
    <x v="7"/>
    <x v="109"/>
    <x v="4"/>
    <s v="Percent change"/>
    <s v="Units"/>
    <x v="2"/>
    <n v="1.8859999999999999"/>
  </r>
  <r>
    <n v="205"/>
    <x v="7"/>
    <x v="109"/>
    <x v="4"/>
    <s v="Percent change"/>
    <s v="Units"/>
    <x v="3"/>
    <n v="-4.6680000000000001"/>
  </r>
  <r>
    <n v="205"/>
    <x v="7"/>
    <x v="109"/>
    <x v="4"/>
    <s v="Percent change"/>
    <s v="Units"/>
    <x v="4"/>
    <n v="33.097999999999999"/>
  </r>
  <r>
    <n v="205"/>
    <x v="7"/>
    <x v="109"/>
    <x v="4"/>
    <s v="Percent change"/>
    <s v="Units"/>
    <x v="5"/>
    <n v="2.6190000000000002"/>
  </r>
  <r>
    <n v="205"/>
    <x v="7"/>
    <x v="109"/>
    <x v="4"/>
    <s v="Percent change"/>
    <s v="Units"/>
    <x v="6"/>
    <n v="4.0359999999999996"/>
  </r>
  <r>
    <n v="1"/>
    <x v="2"/>
    <x v="109"/>
    <x v="4"/>
    <s v="Percent change"/>
    <s v="Units"/>
    <x v="0"/>
    <n v="-10.109"/>
  </r>
  <r>
    <n v="1"/>
    <x v="2"/>
    <x v="109"/>
    <x v="4"/>
    <s v="Percent change"/>
    <s v="Units"/>
    <x v="1"/>
    <n v="-16.103000000000002"/>
  </r>
  <r>
    <n v="1"/>
    <x v="2"/>
    <x v="109"/>
    <x v="4"/>
    <s v="Percent change"/>
    <s v="Units"/>
    <x v="2"/>
    <n v="1.8859999999999999"/>
  </r>
  <r>
    <n v="1"/>
    <x v="2"/>
    <x v="109"/>
    <x v="4"/>
    <s v="Percent change"/>
    <s v="Units"/>
    <x v="3"/>
    <n v="-4.6680000000000001"/>
  </r>
  <r>
    <n v="1"/>
    <x v="2"/>
    <x v="109"/>
    <x v="4"/>
    <s v="Percent change"/>
    <s v="Units"/>
    <x v="4"/>
    <n v="33.097999999999999"/>
  </r>
  <r>
    <n v="1"/>
    <x v="2"/>
    <x v="109"/>
    <x v="4"/>
    <s v="Percent change"/>
    <s v="Units"/>
    <x v="5"/>
    <n v="2.6190000000000002"/>
  </r>
  <r>
    <n v="1"/>
    <x v="2"/>
    <x v="109"/>
    <x v="4"/>
    <s v="Percent change"/>
    <s v="Units"/>
    <x v="6"/>
    <n v="4.0359999999999996"/>
  </r>
  <r>
    <n v="1"/>
    <x v="2"/>
    <x v="9"/>
    <x v="1"/>
    <s v="Percent change"/>
    <s v="Units"/>
    <x v="0"/>
    <n v="1.9490000000000001"/>
  </r>
  <r>
    <n v="1"/>
    <x v="2"/>
    <x v="9"/>
    <x v="1"/>
    <s v="Percent change"/>
    <s v="Units"/>
    <x v="1"/>
    <n v="0.71699999999999997"/>
  </r>
  <r>
    <n v="1"/>
    <x v="2"/>
    <x v="9"/>
    <x v="1"/>
    <s v="Percent change"/>
    <s v="Units"/>
    <x v="2"/>
    <n v="3.395"/>
  </r>
  <r>
    <n v="1"/>
    <x v="2"/>
    <x v="9"/>
    <x v="1"/>
    <s v="Percent change"/>
    <s v="Units"/>
    <x v="3"/>
    <n v="6.8029999999999999"/>
  </r>
  <r>
    <n v="1"/>
    <x v="2"/>
    <x v="9"/>
    <x v="1"/>
    <s v="Percent change"/>
    <s v="Units"/>
    <x v="4"/>
    <n v="3.879"/>
  </r>
  <r>
    <n v="1"/>
    <x v="2"/>
    <x v="9"/>
    <x v="1"/>
    <s v="Percent change"/>
    <s v="Units"/>
    <x v="5"/>
    <n v="2.6059999999999999"/>
  </r>
  <r>
    <n v="1"/>
    <x v="2"/>
    <x v="9"/>
    <x v="1"/>
    <s v="Percent change"/>
    <s v="Units"/>
    <x v="6"/>
    <n v="1.8540000000000001"/>
  </r>
  <r>
    <n v="110"/>
    <x v="0"/>
    <x v="9"/>
    <x v="1"/>
    <s v="Percent change"/>
    <s v="Units"/>
    <x v="0"/>
    <n v="1.9490000000000001"/>
  </r>
  <r>
    <n v="110"/>
    <x v="0"/>
    <x v="9"/>
    <x v="1"/>
    <s v="Percent change"/>
    <s v="Units"/>
    <x v="1"/>
    <n v="0.71699999999999997"/>
  </r>
  <r>
    <n v="110"/>
    <x v="0"/>
    <x v="9"/>
    <x v="1"/>
    <s v="Percent change"/>
    <s v="Units"/>
    <x v="2"/>
    <n v="3.395"/>
  </r>
  <r>
    <n v="110"/>
    <x v="0"/>
    <x v="9"/>
    <x v="1"/>
    <s v="Percent change"/>
    <s v="Units"/>
    <x v="3"/>
    <n v="6.8029999999999999"/>
  </r>
  <r>
    <n v="110"/>
    <x v="0"/>
    <x v="9"/>
    <x v="1"/>
    <s v="Percent change"/>
    <s v="Units"/>
    <x v="4"/>
    <n v="3.879"/>
  </r>
  <r>
    <n v="110"/>
    <x v="0"/>
    <x v="9"/>
    <x v="1"/>
    <s v="Percent change"/>
    <s v="Units"/>
    <x v="5"/>
    <n v="2.6059999999999999"/>
  </r>
  <r>
    <n v="110"/>
    <x v="0"/>
    <x v="9"/>
    <x v="1"/>
    <s v="Percent change"/>
    <s v="Units"/>
    <x v="6"/>
    <n v="1.8540000000000001"/>
  </r>
  <r>
    <n v="119"/>
    <x v="1"/>
    <x v="9"/>
    <x v="1"/>
    <s v="Percent change"/>
    <s v="Units"/>
    <x v="0"/>
    <n v="1.9490000000000001"/>
  </r>
  <r>
    <n v="119"/>
    <x v="1"/>
    <x v="9"/>
    <x v="1"/>
    <s v="Percent change"/>
    <s v="Units"/>
    <x v="1"/>
    <n v="0.71699999999999997"/>
  </r>
  <r>
    <n v="119"/>
    <x v="1"/>
    <x v="9"/>
    <x v="1"/>
    <s v="Percent change"/>
    <s v="Units"/>
    <x v="2"/>
    <n v="3.395"/>
  </r>
  <r>
    <n v="119"/>
    <x v="1"/>
    <x v="9"/>
    <x v="1"/>
    <s v="Percent change"/>
    <s v="Units"/>
    <x v="3"/>
    <n v="6.8029999999999999"/>
  </r>
  <r>
    <n v="119"/>
    <x v="1"/>
    <x v="9"/>
    <x v="1"/>
    <s v="Percent change"/>
    <s v="Units"/>
    <x v="4"/>
    <n v="3.879"/>
  </r>
  <r>
    <n v="119"/>
    <x v="1"/>
    <x v="9"/>
    <x v="1"/>
    <s v="Percent change"/>
    <s v="Units"/>
    <x v="5"/>
    <n v="2.6059999999999999"/>
  </r>
  <r>
    <n v="119"/>
    <x v="1"/>
    <x v="9"/>
    <x v="1"/>
    <s v="Percent change"/>
    <s v="Units"/>
    <x v="6"/>
    <n v="1.8540000000000001"/>
  </r>
  <r>
    <n v="1"/>
    <x v="2"/>
    <x v="101"/>
    <x v="8"/>
    <s v="Percent change"/>
    <s v="Units"/>
    <x v="0"/>
    <n v="1.7509999999999999"/>
  </r>
  <r>
    <n v="1"/>
    <x v="2"/>
    <x v="101"/>
    <x v="8"/>
    <s v="Percent change"/>
    <s v="Units"/>
    <x v="1"/>
    <n v="-1.103"/>
  </r>
  <r>
    <n v="1"/>
    <x v="2"/>
    <x v="101"/>
    <x v="8"/>
    <s v="Percent change"/>
    <s v="Units"/>
    <x v="2"/>
    <n v="3.6560000000000001"/>
  </r>
  <r>
    <n v="1"/>
    <x v="2"/>
    <x v="101"/>
    <x v="8"/>
    <s v="Percent change"/>
    <s v="Units"/>
    <x v="3"/>
    <n v="2.4279999999999999"/>
  </r>
  <r>
    <n v="1"/>
    <x v="2"/>
    <x v="101"/>
    <x v="8"/>
    <s v="Percent change"/>
    <s v="Units"/>
    <x v="4"/>
    <n v="2.6"/>
  </r>
  <r>
    <n v="1"/>
    <x v="2"/>
    <x v="101"/>
    <x v="8"/>
    <s v="Percent change"/>
    <s v="Units"/>
    <x v="5"/>
    <n v="2.6"/>
  </r>
  <r>
    <n v="1"/>
    <x v="2"/>
    <x v="101"/>
    <x v="8"/>
    <s v="Percent change"/>
    <s v="Units"/>
    <x v="6"/>
    <n v="3"/>
  </r>
  <r>
    <n v="400"/>
    <x v="11"/>
    <x v="101"/>
    <x v="8"/>
    <s v="Percent change"/>
    <s v="Units"/>
    <x v="0"/>
    <n v="1.7509999999999999"/>
  </r>
  <r>
    <n v="400"/>
    <x v="11"/>
    <x v="101"/>
    <x v="8"/>
    <s v="Percent change"/>
    <s v="Units"/>
    <x v="1"/>
    <n v="-1.103"/>
  </r>
  <r>
    <n v="400"/>
    <x v="11"/>
    <x v="101"/>
    <x v="8"/>
    <s v="Percent change"/>
    <s v="Units"/>
    <x v="2"/>
    <n v="3.6560000000000001"/>
  </r>
  <r>
    <n v="400"/>
    <x v="11"/>
    <x v="101"/>
    <x v="8"/>
    <s v="Percent change"/>
    <s v="Units"/>
    <x v="3"/>
    <n v="2.4279999999999999"/>
  </r>
  <r>
    <n v="400"/>
    <x v="11"/>
    <x v="101"/>
    <x v="8"/>
    <s v="Percent change"/>
    <s v="Units"/>
    <x v="4"/>
    <n v="2.6"/>
  </r>
  <r>
    <n v="400"/>
    <x v="11"/>
    <x v="101"/>
    <x v="8"/>
    <s v="Percent change"/>
    <s v="Units"/>
    <x v="5"/>
    <n v="2.6"/>
  </r>
  <r>
    <n v="400"/>
    <x v="11"/>
    <x v="101"/>
    <x v="8"/>
    <s v="Percent change"/>
    <s v="Units"/>
    <x v="6"/>
    <n v="3"/>
  </r>
  <r>
    <n v="200"/>
    <x v="3"/>
    <x v="133"/>
    <x v="8"/>
    <s v="Percent change"/>
    <s v="Units"/>
    <x v="0"/>
    <n v="3.6"/>
  </r>
  <r>
    <n v="200"/>
    <x v="3"/>
    <x v="133"/>
    <x v="8"/>
    <s v="Percent change"/>
    <s v="Units"/>
    <x v="1"/>
    <n v="-8.3000000000000007"/>
  </r>
  <r>
    <n v="200"/>
    <x v="3"/>
    <x v="133"/>
    <x v="8"/>
    <s v="Percent change"/>
    <s v="Units"/>
    <x v="2"/>
    <n v="13.9"/>
  </r>
  <r>
    <n v="200"/>
    <x v="3"/>
    <x v="133"/>
    <x v="8"/>
    <s v="Percent change"/>
    <s v="Units"/>
    <x v="3"/>
    <n v="-4.9820000000000002"/>
  </r>
  <r>
    <n v="200"/>
    <x v="3"/>
    <x v="133"/>
    <x v="8"/>
    <s v="Percent change"/>
    <s v="Units"/>
    <x v="4"/>
    <n v="1.032"/>
  </r>
  <r>
    <n v="200"/>
    <x v="3"/>
    <x v="133"/>
    <x v="8"/>
    <s v="Percent change"/>
    <s v="Units"/>
    <x v="5"/>
    <n v="2.6"/>
  </r>
  <r>
    <n v="200"/>
    <x v="3"/>
    <x v="133"/>
    <x v="8"/>
    <s v="Percent change"/>
    <s v="Units"/>
    <x v="6"/>
    <n v="4.83"/>
  </r>
  <r>
    <n v="1"/>
    <x v="2"/>
    <x v="133"/>
    <x v="8"/>
    <s v="Percent change"/>
    <s v="Units"/>
    <x v="0"/>
    <n v="3.6"/>
  </r>
  <r>
    <n v="1"/>
    <x v="2"/>
    <x v="133"/>
    <x v="8"/>
    <s v="Percent change"/>
    <s v="Units"/>
    <x v="1"/>
    <n v="-8.3000000000000007"/>
  </r>
  <r>
    <n v="1"/>
    <x v="2"/>
    <x v="133"/>
    <x v="8"/>
    <s v="Percent change"/>
    <s v="Units"/>
    <x v="2"/>
    <n v="13.9"/>
  </r>
  <r>
    <n v="1"/>
    <x v="2"/>
    <x v="133"/>
    <x v="8"/>
    <s v="Percent change"/>
    <s v="Units"/>
    <x v="3"/>
    <n v="-4.9820000000000002"/>
  </r>
  <r>
    <n v="1"/>
    <x v="2"/>
    <x v="133"/>
    <x v="8"/>
    <s v="Percent change"/>
    <s v="Units"/>
    <x v="4"/>
    <n v="1.032"/>
  </r>
  <r>
    <n v="1"/>
    <x v="2"/>
    <x v="133"/>
    <x v="8"/>
    <s v="Percent change"/>
    <s v="Units"/>
    <x v="5"/>
    <n v="2.6"/>
  </r>
  <r>
    <n v="1"/>
    <x v="2"/>
    <x v="133"/>
    <x v="8"/>
    <s v="Percent change"/>
    <s v="Units"/>
    <x v="6"/>
    <n v="4.83"/>
  </r>
  <r>
    <n v="903"/>
    <x v="8"/>
    <x v="133"/>
    <x v="8"/>
    <s v="Percent change"/>
    <s v="Units"/>
    <x v="0"/>
    <n v="3.6"/>
  </r>
  <r>
    <n v="903"/>
    <x v="8"/>
    <x v="133"/>
    <x v="8"/>
    <s v="Percent change"/>
    <s v="Units"/>
    <x v="1"/>
    <n v="-8.3000000000000007"/>
  </r>
  <r>
    <n v="903"/>
    <x v="8"/>
    <x v="133"/>
    <x v="8"/>
    <s v="Percent change"/>
    <s v="Units"/>
    <x v="2"/>
    <n v="13.9"/>
  </r>
  <r>
    <n v="903"/>
    <x v="8"/>
    <x v="133"/>
    <x v="8"/>
    <s v="Percent change"/>
    <s v="Units"/>
    <x v="3"/>
    <n v="-4.9820000000000002"/>
  </r>
  <r>
    <n v="903"/>
    <x v="8"/>
    <x v="133"/>
    <x v="8"/>
    <s v="Percent change"/>
    <s v="Units"/>
    <x v="4"/>
    <n v="1.032"/>
  </r>
  <r>
    <n v="903"/>
    <x v="8"/>
    <x v="133"/>
    <x v="8"/>
    <s v="Percent change"/>
    <s v="Units"/>
    <x v="5"/>
    <n v="2.6"/>
  </r>
  <r>
    <n v="903"/>
    <x v="8"/>
    <x v="133"/>
    <x v="8"/>
    <s v="Percent change"/>
    <s v="Units"/>
    <x v="6"/>
    <n v="4.83"/>
  </r>
  <r>
    <n v="200"/>
    <x v="3"/>
    <x v="101"/>
    <x v="8"/>
    <s v="Percent change"/>
    <s v="Units"/>
    <x v="0"/>
    <n v="1.7509999999999999"/>
  </r>
  <r>
    <n v="200"/>
    <x v="3"/>
    <x v="101"/>
    <x v="8"/>
    <s v="Percent change"/>
    <s v="Units"/>
    <x v="1"/>
    <n v="-1.103"/>
  </r>
  <r>
    <n v="200"/>
    <x v="3"/>
    <x v="101"/>
    <x v="8"/>
    <s v="Percent change"/>
    <s v="Units"/>
    <x v="2"/>
    <n v="3.6560000000000001"/>
  </r>
  <r>
    <n v="200"/>
    <x v="3"/>
    <x v="101"/>
    <x v="8"/>
    <s v="Percent change"/>
    <s v="Units"/>
    <x v="3"/>
    <n v="2.4279999999999999"/>
  </r>
  <r>
    <n v="200"/>
    <x v="3"/>
    <x v="101"/>
    <x v="8"/>
    <s v="Percent change"/>
    <s v="Units"/>
    <x v="4"/>
    <n v="2.6"/>
  </r>
  <r>
    <n v="200"/>
    <x v="3"/>
    <x v="101"/>
    <x v="8"/>
    <s v="Percent change"/>
    <s v="Units"/>
    <x v="5"/>
    <n v="2.6"/>
  </r>
  <r>
    <n v="200"/>
    <x v="3"/>
    <x v="101"/>
    <x v="8"/>
    <s v="Percent change"/>
    <s v="Units"/>
    <x v="6"/>
    <n v="3"/>
  </r>
  <r>
    <n v="205"/>
    <x v="7"/>
    <x v="178"/>
    <x v="0"/>
    <s v="U.S. dollars"/>
    <s v="Billions"/>
    <x v="0"/>
    <n v="2.1030000000000002"/>
  </r>
  <r>
    <n v="205"/>
    <x v="7"/>
    <x v="178"/>
    <x v="0"/>
    <s v="U.S. dollars"/>
    <s v="Billions"/>
    <x v="1"/>
    <n v="1.5229999999999999"/>
  </r>
  <r>
    <n v="205"/>
    <x v="7"/>
    <x v="178"/>
    <x v="0"/>
    <s v="U.S. dollars"/>
    <s v="Billions"/>
    <x v="2"/>
    <n v="1.85"/>
  </r>
  <r>
    <n v="205"/>
    <x v="7"/>
    <x v="178"/>
    <x v="0"/>
    <s v="U.S. dollars"/>
    <s v="Billions"/>
    <x v="3"/>
    <n v="2.2970000000000002"/>
  </r>
  <r>
    <n v="205"/>
    <x v="7"/>
    <x v="178"/>
    <x v="0"/>
    <s v="U.S. dollars"/>
    <s v="Billions"/>
    <x v="4"/>
    <n v="2.464"/>
  </r>
  <r>
    <n v="205"/>
    <x v="7"/>
    <x v="178"/>
    <x v="0"/>
    <s v="U.S. dollars"/>
    <s v="Billions"/>
    <x v="5"/>
    <n v="2.5819999999999999"/>
  </r>
  <r>
    <n v="205"/>
    <x v="7"/>
    <x v="178"/>
    <x v="0"/>
    <s v="U.S. dollars"/>
    <s v="Billions"/>
    <x v="6"/>
    <n v="2.7010000000000001"/>
  </r>
  <r>
    <n v="200"/>
    <x v="3"/>
    <x v="178"/>
    <x v="0"/>
    <s v="U.S. dollars"/>
    <s v="Billions"/>
    <x v="0"/>
    <n v="2.1030000000000002"/>
  </r>
  <r>
    <n v="200"/>
    <x v="3"/>
    <x v="178"/>
    <x v="0"/>
    <s v="U.S. dollars"/>
    <s v="Billions"/>
    <x v="1"/>
    <n v="1.5229999999999999"/>
  </r>
  <r>
    <n v="200"/>
    <x v="3"/>
    <x v="178"/>
    <x v="0"/>
    <s v="U.S. dollars"/>
    <s v="Billions"/>
    <x v="2"/>
    <n v="1.85"/>
  </r>
  <r>
    <n v="200"/>
    <x v="3"/>
    <x v="178"/>
    <x v="0"/>
    <s v="U.S. dollars"/>
    <s v="Billions"/>
    <x v="3"/>
    <n v="2.2970000000000002"/>
  </r>
  <r>
    <n v="200"/>
    <x v="3"/>
    <x v="178"/>
    <x v="0"/>
    <s v="U.S. dollars"/>
    <s v="Billions"/>
    <x v="4"/>
    <n v="2.464"/>
  </r>
  <r>
    <n v="200"/>
    <x v="3"/>
    <x v="178"/>
    <x v="0"/>
    <s v="U.S. dollars"/>
    <s v="Billions"/>
    <x v="5"/>
    <n v="2.5819999999999999"/>
  </r>
  <r>
    <n v="200"/>
    <x v="3"/>
    <x v="178"/>
    <x v="0"/>
    <s v="U.S. dollars"/>
    <s v="Billions"/>
    <x v="6"/>
    <n v="2.7010000000000001"/>
  </r>
  <r>
    <n v="1"/>
    <x v="2"/>
    <x v="178"/>
    <x v="0"/>
    <s v="U.S. dollars"/>
    <s v="Billions"/>
    <x v="0"/>
    <n v="2.1030000000000002"/>
  </r>
  <r>
    <n v="1"/>
    <x v="2"/>
    <x v="178"/>
    <x v="0"/>
    <s v="U.S. dollars"/>
    <s v="Billions"/>
    <x v="1"/>
    <n v="1.5229999999999999"/>
  </r>
  <r>
    <n v="1"/>
    <x v="2"/>
    <x v="178"/>
    <x v="0"/>
    <s v="U.S. dollars"/>
    <s v="Billions"/>
    <x v="2"/>
    <n v="1.85"/>
  </r>
  <r>
    <n v="1"/>
    <x v="2"/>
    <x v="178"/>
    <x v="0"/>
    <s v="U.S. dollars"/>
    <s v="Billions"/>
    <x v="3"/>
    <n v="2.2970000000000002"/>
  </r>
  <r>
    <n v="1"/>
    <x v="2"/>
    <x v="178"/>
    <x v="0"/>
    <s v="U.S. dollars"/>
    <s v="Billions"/>
    <x v="4"/>
    <n v="2.464"/>
  </r>
  <r>
    <n v="1"/>
    <x v="2"/>
    <x v="178"/>
    <x v="0"/>
    <s v="U.S. dollars"/>
    <s v="Billions"/>
    <x v="5"/>
    <n v="2.5819999999999999"/>
  </r>
  <r>
    <n v="1"/>
    <x v="2"/>
    <x v="178"/>
    <x v="0"/>
    <s v="U.S. dollars"/>
    <s v="Billions"/>
    <x v="6"/>
    <n v="2.7010000000000001"/>
  </r>
  <r>
    <n v="400"/>
    <x v="11"/>
    <x v="145"/>
    <x v="1"/>
    <s v="Percent change"/>
    <s v="Units"/>
    <x v="0"/>
    <n v="4.8529999999999998"/>
  </r>
  <r>
    <n v="400"/>
    <x v="11"/>
    <x v="145"/>
    <x v="1"/>
    <s v="Percent change"/>
    <s v="Units"/>
    <x v="1"/>
    <n v="5.202"/>
  </r>
  <r>
    <n v="400"/>
    <x v="11"/>
    <x v="145"/>
    <x v="1"/>
    <s v="Percent change"/>
    <s v="Units"/>
    <x v="2"/>
    <n v="9.5670000000000002"/>
  </r>
  <r>
    <n v="400"/>
    <x v="11"/>
    <x v="145"/>
    <x v="1"/>
    <s v="Percent change"/>
    <s v="Units"/>
    <x v="3"/>
    <n v="11.898"/>
  </r>
  <r>
    <n v="400"/>
    <x v="11"/>
    <x v="145"/>
    <x v="1"/>
    <s v="Percent change"/>
    <s v="Units"/>
    <x v="4"/>
    <n v="2.488"/>
  </r>
  <r>
    <n v="400"/>
    <x v="11"/>
    <x v="145"/>
    <x v="1"/>
    <s v="Percent change"/>
    <s v="Units"/>
    <x v="5"/>
    <n v="2.58"/>
  </r>
  <r>
    <n v="400"/>
    <x v="11"/>
    <x v="145"/>
    <x v="1"/>
    <s v="Percent change"/>
    <s v="Units"/>
    <x v="6"/>
    <n v="4.2069999999999999"/>
  </r>
  <r>
    <n v="1"/>
    <x v="2"/>
    <x v="54"/>
    <x v="1"/>
    <s v="Percent change"/>
    <s v="Units"/>
    <x v="0"/>
    <n v="-0.9"/>
  </r>
  <r>
    <n v="1"/>
    <x v="2"/>
    <x v="54"/>
    <x v="1"/>
    <s v="Percent change"/>
    <s v="Units"/>
    <x v="1"/>
    <n v="-2.5230000000000001"/>
  </r>
  <r>
    <n v="1"/>
    <x v="2"/>
    <x v="54"/>
    <x v="1"/>
    <s v="Percent change"/>
    <s v="Units"/>
    <x v="2"/>
    <n v="2.2770000000000001"/>
  </r>
  <r>
    <n v="1"/>
    <x v="2"/>
    <x v="54"/>
    <x v="1"/>
    <s v="Percent change"/>
    <s v="Units"/>
    <x v="3"/>
    <n v="4.96"/>
  </r>
  <r>
    <n v="1"/>
    <x v="2"/>
    <x v="54"/>
    <x v="1"/>
    <s v="Percent change"/>
    <s v="Units"/>
    <x v="4"/>
    <n v="3.0859999999999999"/>
  </r>
  <r>
    <n v="1"/>
    <x v="2"/>
    <x v="54"/>
    <x v="1"/>
    <s v="Percent change"/>
    <s v="Units"/>
    <x v="5"/>
    <n v="2.58"/>
  </r>
  <r>
    <n v="1"/>
    <x v="2"/>
    <x v="54"/>
    <x v="1"/>
    <s v="Percent change"/>
    <s v="Units"/>
    <x v="6"/>
    <n v="2.3820000000000001"/>
  </r>
  <r>
    <n v="1"/>
    <x v="2"/>
    <x v="145"/>
    <x v="1"/>
    <s v="Percent change"/>
    <s v="Units"/>
    <x v="0"/>
    <n v="4.8529999999999998"/>
  </r>
  <r>
    <n v="1"/>
    <x v="2"/>
    <x v="145"/>
    <x v="1"/>
    <s v="Percent change"/>
    <s v="Units"/>
    <x v="1"/>
    <n v="5.202"/>
  </r>
  <r>
    <n v="1"/>
    <x v="2"/>
    <x v="145"/>
    <x v="1"/>
    <s v="Percent change"/>
    <s v="Units"/>
    <x v="2"/>
    <n v="9.5670000000000002"/>
  </r>
  <r>
    <n v="1"/>
    <x v="2"/>
    <x v="145"/>
    <x v="1"/>
    <s v="Percent change"/>
    <s v="Units"/>
    <x v="3"/>
    <n v="11.898"/>
  </r>
  <r>
    <n v="1"/>
    <x v="2"/>
    <x v="145"/>
    <x v="1"/>
    <s v="Percent change"/>
    <s v="Units"/>
    <x v="4"/>
    <n v="2.488"/>
  </r>
  <r>
    <n v="1"/>
    <x v="2"/>
    <x v="145"/>
    <x v="1"/>
    <s v="Percent change"/>
    <s v="Units"/>
    <x v="5"/>
    <n v="2.58"/>
  </r>
  <r>
    <n v="1"/>
    <x v="2"/>
    <x v="145"/>
    <x v="1"/>
    <s v="Percent change"/>
    <s v="Units"/>
    <x v="6"/>
    <n v="4.2069999999999999"/>
  </r>
  <r>
    <n v="200"/>
    <x v="3"/>
    <x v="145"/>
    <x v="1"/>
    <s v="Percent change"/>
    <s v="Units"/>
    <x v="0"/>
    <n v="4.8529999999999998"/>
  </r>
  <r>
    <n v="200"/>
    <x v="3"/>
    <x v="145"/>
    <x v="1"/>
    <s v="Percent change"/>
    <s v="Units"/>
    <x v="1"/>
    <n v="5.202"/>
  </r>
  <r>
    <n v="200"/>
    <x v="3"/>
    <x v="145"/>
    <x v="1"/>
    <s v="Percent change"/>
    <s v="Units"/>
    <x v="2"/>
    <n v="9.5670000000000002"/>
  </r>
  <r>
    <n v="200"/>
    <x v="3"/>
    <x v="145"/>
    <x v="1"/>
    <s v="Percent change"/>
    <s v="Units"/>
    <x v="3"/>
    <n v="11.898"/>
  </r>
  <r>
    <n v="200"/>
    <x v="3"/>
    <x v="145"/>
    <x v="1"/>
    <s v="Percent change"/>
    <s v="Units"/>
    <x v="4"/>
    <n v="2.488"/>
  </r>
  <r>
    <n v="200"/>
    <x v="3"/>
    <x v="145"/>
    <x v="1"/>
    <s v="Percent change"/>
    <s v="Units"/>
    <x v="5"/>
    <n v="2.58"/>
  </r>
  <r>
    <n v="200"/>
    <x v="3"/>
    <x v="145"/>
    <x v="1"/>
    <s v="Percent change"/>
    <s v="Units"/>
    <x v="6"/>
    <n v="4.2069999999999999"/>
  </r>
  <r>
    <n v="400"/>
    <x v="11"/>
    <x v="54"/>
    <x v="1"/>
    <s v="Percent change"/>
    <s v="Units"/>
    <x v="0"/>
    <n v="-0.9"/>
  </r>
  <r>
    <n v="400"/>
    <x v="11"/>
    <x v="54"/>
    <x v="1"/>
    <s v="Percent change"/>
    <s v="Units"/>
    <x v="1"/>
    <n v="-2.5230000000000001"/>
  </r>
  <r>
    <n v="400"/>
    <x v="11"/>
    <x v="54"/>
    <x v="1"/>
    <s v="Percent change"/>
    <s v="Units"/>
    <x v="2"/>
    <n v="2.2770000000000001"/>
  </r>
  <r>
    <n v="400"/>
    <x v="11"/>
    <x v="54"/>
    <x v="1"/>
    <s v="Percent change"/>
    <s v="Units"/>
    <x v="3"/>
    <n v="4.96"/>
  </r>
  <r>
    <n v="400"/>
    <x v="11"/>
    <x v="54"/>
    <x v="1"/>
    <s v="Percent change"/>
    <s v="Units"/>
    <x v="4"/>
    <n v="3.0859999999999999"/>
  </r>
  <r>
    <n v="400"/>
    <x v="11"/>
    <x v="54"/>
    <x v="1"/>
    <s v="Percent change"/>
    <s v="Units"/>
    <x v="5"/>
    <n v="2.58"/>
  </r>
  <r>
    <n v="400"/>
    <x v="11"/>
    <x v="54"/>
    <x v="1"/>
    <s v="Percent change"/>
    <s v="Units"/>
    <x v="6"/>
    <n v="2.3820000000000001"/>
  </r>
  <r>
    <n v="200"/>
    <x v="3"/>
    <x v="54"/>
    <x v="1"/>
    <s v="Percent change"/>
    <s v="Units"/>
    <x v="0"/>
    <n v="-0.9"/>
  </r>
  <r>
    <n v="200"/>
    <x v="3"/>
    <x v="54"/>
    <x v="1"/>
    <s v="Percent change"/>
    <s v="Units"/>
    <x v="1"/>
    <n v="-2.5230000000000001"/>
  </r>
  <r>
    <n v="200"/>
    <x v="3"/>
    <x v="54"/>
    <x v="1"/>
    <s v="Percent change"/>
    <s v="Units"/>
    <x v="2"/>
    <n v="2.2770000000000001"/>
  </r>
  <r>
    <n v="200"/>
    <x v="3"/>
    <x v="54"/>
    <x v="1"/>
    <s v="Percent change"/>
    <s v="Units"/>
    <x v="3"/>
    <n v="4.96"/>
  </r>
  <r>
    <n v="200"/>
    <x v="3"/>
    <x v="54"/>
    <x v="1"/>
    <s v="Percent change"/>
    <s v="Units"/>
    <x v="4"/>
    <n v="3.0859999999999999"/>
  </r>
  <r>
    <n v="200"/>
    <x v="3"/>
    <x v="54"/>
    <x v="1"/>
    <s v="Percent change"/>
    <s v="Units"/>
    <x v="5"/>
    <n v="2.58"/>
  </r>
  <r>
    <n v="200"/>
    <x v="3"/>
    <x v="54"/>
    <x v="1"/>
    <s v="Percent change"/>
    <s v="Units"/>
    <x v="6"/>
    <n v="2.3820000000000001"/>
  </r>
  <r>
    <n v="998"/>
    <x v="6"/>
    <x v="22"/>
    <x v="1"/>
    <s v="Percent change"/>
    <s v="Units"/>
    <x v="0"/>
    <n v="1.72"/>
  </r>
  <r>
    <n v="998"/>
    <x v="6"/>
    <x v="22"/>
    <x v="1"/>
    <s v="Percent change"/>
    <s v="Units"/>
    <x v="1"/>
    <n v="0.65800000000000003"/>
  </r>
  <r>
    <n v="998"/>
    <x v="6"/>
    <x v="22"/>
    <x v="1"/>
    <s v="Percent change"/>
    <s v="Units"/>
    <x v="2"/>
    <n v="2.6509999999999998"/>
  </r>
  <r>
    <n v="998"/>
    <x v="6"/>
    <x v="22"/>
    <x v="1"/>
    <s v="Percent change"/>
    <s v="Units"/>
    <x v="3"/>
    <n v="8.0549999999999997"/>
  </r>
  <r>
    <n v="998"/>
    <x v="6"/>
    <x v="22"/>
    <x v="1"/>
    <s v="Percent change"/>
    <s v="Units"/>
    <x v="4"/>
    <n v="5.91"/>
  </r>
  <r>
    <n v="998"/>
    <x v="6"/>
    <x v="22"/>
    <x v="1"/>
    <s v="Percent change"/>
    <s v="Units"/>
    <x v="5"/>
    <n v="2.5739999999999998"/>
  </r>
  <r>
    <n v="998"/>
    <x v="6"/>
    <x v="22"/>
    <x v="1"/>
    <s v="Percent change"/>
    <s v="Units"/>
    <x v="6"/>
    <n v="1.9870000000000001"/>
  </r>
  <r>
    <n v="1"/>
    <x v="2"/>
    <x v="22"/>
    <x v="1"/>
    <s v="Percent change"/>
    <s v="Units"/>
    <x v="0"/>
    <n v="1.72"/>
  </r>
  <r>
    <n v="1"/>
    <x v="2"/>
    <x v="22"/>
    <x v="1"/>
    <s v="Percent change"/>
    <s v="Units"/>
    <x v="1"/>
    <n v="0.65800000000000003"/>
  </r>
  <r>
    <n v="1"/>
    <x v="2"/>
    <x v="22"/>
    <x v="1"/>
    <s v="Percent change"/>
    <s v="Units"/>
    <x v="2"/>
    <n v="2.6509999999999998"/>
  </r>
  <r>
    <n v="1"/>
    <x v="2"/>
    <x v="22"/>
    <x v="1"/>
    <s v="Percent change"/>
    <s v="Units"/>
    <x v="3"/>
    <n v="8.0549999999999997"/>
  </r>
  <r>
    <n v="1"/>
    <x v="2"/>
    <x v="22"/>
    <x v="1"/>
    <s v="Percent change"/>
    <s v="Units"/>
    <x v="4"/>
    <n v="5.91"/>
  </r>
  <r>
    <n v="1"/>
    <x v="2"/>
    <x v="22"/>
    <x v="1"/>
    <s v="Percent change"/>
    <s v="Units"/>
    <x v="5"/>
    <n v="2.5739999999999998"/>
  </r>
  <r>
    <n v="1"/>
    <x v="2"/>
    <x v="22"/>
    <x v="1"/>
    <s v="Percent change"/>
    <s v="Units"/>
    <x v="6"/>
    <n v="1.9870000000000001"/>
  </r>
  <r>
    <n v="110"/>
    <x v="0"/>
    <x v="22"/>
    <x v="1"/>
    <s v="Percent change"/>
    <s v="Units"/>
    <x v="0"/>
    <n v="1.72"/>
  </r>
  <r>
    <n v="110"/>
    <x v="0"/>
    <x v="22"/>
    <x v="1"/>
    <s v="Percent change"/>
    <s v="Units"/>
    <x v="1"/>
    <n v="0.65800000000000003"/>
  </r>
  <r>
    <n v="110"/>
    <x v="0"/>
    <x v="22"/>
    <x v="1"/>
    <s v="Percent change"/>
    <s v="Units"/>
    <x v="2"/>
    <n v="2.6509999999999998"/>
  </r>
  <r>
    <n v="110"/>
    <x v="0"/>
    <x v="22"/>
    <x v="1"/>
    <s v="Percent change"/>
    <s v="Units"/>
    <x v="3"/>
    <n v="8.0549999999999997"/>
  </r>
  <r>
    <n v="110"/>
    <x v="0"/>
    <x v="22"/>
    <x v="1"/>
    <s v="Percent change"/>
    <s v="Units"/>
    <x v="4"/>
    <n v="5.91"/>
  </r>
  <r>
    <n v="110"/>
    <x v="0"/>
    <x v="22"/>
    <x v="1"/>
    <s v="Percent change"/>
    <s v="Units"/>
    <x v="5"/>
    <n v="2.5739999999999998"/>
  </r>
  <r>
    <n v="110"/>
    <x v="0"/>
    <x v="22"/>
    <x v="1"/>
    <s v="Percent change"/>
    <s v="Units"/>
    <x v="6"/>
    <n v="1.9870000000000001"/>
  </r>
  <r>
    <n v="123"/>
    <x v="9"/>
    <x v="22"/>
    <x v="1"/>
    <s v="Percent change"/>
    <s v="Units"/>
    <x v="0"/>
    <n v="1.72"/>
  </r>
  <r>
    <n v="123"/>
    <x v="9"/>
    <x v="22"/>
    <x v="1"/>
    <s v="Percent change"/>
    <s v="Units"/>
    <x v="1"/>
    <n v="0.65800000000000003"/>
  </r>
  <r>
    <n v="123"/>
    <x v="9"/>
    <x v="22"/>
    <x v="1"/>
    <s v="Percent change"/>
    <s v="Units"/>
    <x v="2"/>
    <n v="2.6509999999999998"/>
  </r>
  <r>
    <n v="123"/>
    <x v="9"/>
    <x v="22"/>
    <x v="1"/>
    <s v="Percent change"/>
    <s v="Units"/>
    <x v="3"/>
    <n v="8.0549999999999997"/>
  </r>
  <r>
    <n v="123"/>
    <x v="9"/>
    <x v="22"/>
    <x v="1"/>
    <s v="Percent change"/>
    <s v="Units"/>
    <x v="4"/>
    <n v="5.91"/>
  </r>
  <r>
    <n v="123"/>
    <x v="9"/>
    <x v="22"/>
    <x v="1"/>
    <s v="Percent change"/>
    <s v="Units"/>
    <x v="5"/>
    <n v="2.5739999999999998"/>
  </r>
  <r>
    <n v="123"/>
    <x v="9"/>
    <x v="22"/>
    <x v="1"/>
    <s v="Percent change"/>
    <s v="Units"/>
    <x v="6"/>
    <n v="1.9870000000000001"/>
  </r>
  <r>
    <n v="1"/>
    <x v="2"/>
    <x v="2"/>
    <x v="4"/>
    <s v="Percent change"/>
    <s v="Units"/>
    <x v="0"/>
    <n v="2.2970000000000002"/>
  </r>
  <r>
    <n v="1"/>
    <x v="2"/>
    <x v="2"/>
    <x v="4"/>
    <s v="Percent change"/>
    <s v="Units"/>
    <x v="1"/>
    <n v="-10.032"/>
  </r>
  <r>
    <n v="1"/>
    <x v="2"/>
    <x v="2"/>
    <x v="4"/>
    <s v="Percent change"/>
    <s v="Units"/>
    <x v="2"/>
    <n v="9.4879999999999995"/>
  </r>
  <r>
    <n v="1"/>
    <x v="2"/>
    <x v="2"/>
    <x v="4"/>
    <s v="Percent change"/>
    <s v="Units"/>
    <x v="3"/>
    <n v="3.4510000000000001"/>
  </r>
  <r>
    <n v="1"/>
    <x v="2"/>
    <x v="2"/>
    <x v="4"/>
    <s v="Percent change"/>
    <s v="Units"/>
    <x v="4"/>
    <n v="-1.655"/>
  </r>
  <r>
    <n v="1"/>
    <x v="2"/>
    <x v="2"/>
    <x v="4"/>
    <s v="Percent change"/>
    <s v="Units"/>
    <x v="5"/>
    <n v="2.5720000000000001"/>
  </r>
  <r>
    <n v="1"/>
    <x v="2"/>
    <x v="2"/>
    <x v="4"/>
    <s v="Percent change"/>
    <s v="Units"/>
    <x v="6"/>
    <n v="3.6509999999999998"/>
  </r>
  <r>
    <n v="163"/>
    <x v="5"/>
    <x v="2"/>
    <x v="4"/>
    <s v="Percent change"/>
    <s v="Units"/>
    <x v="0"/>
    <n v="2.2970000000000002"/>
  </r>
  <r>
    <n v="163"/>
    <x v="5"/>
    <x v="2"/>
    <x v="4"/>
    <s v="Percent change"/>
    <s v="Units"/>
    <x v="1"/>
    <n v="-10.032"/>
  </r>
  <r>
    <n v="163"/>
    <x v="5"/>
    <x v="2"/>
    <x v="4"/>
    <s v="Percent change"/>
    <s v="Units"/>
    <x v="2"/>
    <n v="9.4879999999999995"/>
  </r>
  <r>
    <n v="163"/>
    <x v="5"/>
    <x v="2"/>
    <x v="4"/>
    <s v="Percent change"/>
    <s v="Units"/>
    <x v="3"/>
    <n v="3.4510000000000001"/>
  </r>
  <r>
    <n v="163"/>
    <x v="5"/>
    <x v="2"/>
    <x v="4"/>
    <s v="Percent change"/>
    <s v="Units"/>
    <x v="4"/>
    <n v="-1.655"/>
  </r>
  <r>
    <n v="163"/>
    <x v="5"/>
    <x v="2"/>
    <x v="4"/>
    <s v="Percent change"/>
    <s v="Units"/>
    <x v="5"/>
    <n v="2.5720000000000001"/>
  </r>
  <r>
    <n v="163"/>
    <x v="5"/>
    <x v="2"/>
    <x v="4"/>
    <s v="Percent change"/>
    <s v="Units"/>
    <x v="6"/>
    <n v="3.6509999999999998"/>
  </r>
  <r>
    <n v="119"/>
    <x v="1"/>
    <x v="2"/>
    <x v="4"/>
    <s v="Percent change"/>
    <s v="Units"/>
    <x v="0"/>
    <n v="2.2970000000000002"/>
  </r>
  <r>
    <n v="119"/>
    <x v="1"/>
    <x v="2"/>
    <x v="4"/>
    <s v="Percent change"/>
    <s v="Units"/>
    <x v="1"/>
    <n v="-10.032"/>
  </r>
  <r>
    <n v="119"/>
    <x v="1"/>
    <x v="2"/>
    <x v="4"/>
    <s v="Percent change"/>
    <s v="Units"/>
    <x v="2"/>
    <n v="9.4879999999999995"/>
  </r>
  <r>
    <n v="119"/>
    <x v="1"/>
    <x v="2"/>
    <x v="4"/>
    <s v="Percent change"/>
    <s v="Units"/>
    <x v="3"/>
    <n v="3.4510000000000001"/>
  </r>
  <r>
    <n v="119"/>
    <x v="1"/>
    <x v="2"/>
    <x v="4"/>
    <s v="Percent change"/>
    <s v="Units"/>
    <x v="4"/>
    <n v="-1.655"/>
  </r>
  <r>
    <n v="119"/>
    <x v="1"/>
    <x v="2"/>
    <x v="4"/>
    <s v="Percent change"/>
    <s v="Units"/>
    <x v="5"/>
    <n v="2.5720000000000001"/>
  </r>
  <r>
    <n v="119"/>
    <x v="1"/>
    <x v="2"/>
    <x v="4"/>
    <s v="Percent change"/>
    <s v="Units"/>
    <x v="6"/>
    <n v="3.6509999999999998"/>
  </r>
  <r>
    <n v="110"/>
    <x v="0"/>
    <x v="2"/>
    <x v="4"/>
    <s v="Percent change"/>
    <s v="Units"/>
    <x v="0"/>
    <n v="2.2970000000000002"/>
  </r>
  <r>
    <n v="110"/>
    <x v="0"/>
    <x v="2"/>
    <x v="4"/>
    <s v="Percent change"/>
    <s v="Units"/>
    <x v="1"/>
    <n v="-10.032"/>
  </r>
  <r>
    <n v="110"/>
    <x v="0"/>
    <x v="2"/>
    <x v="4"/>
    <s v="Percent change"/>
    <s v="Units"/>
    <x v="2"/>
    <n v="9.4879999999999995"/>
  </r>
  <r>
    <n v="110"/>
    <x v="0"/>
    <x v="2"/>
    <x v="4"/>
    <s v="Percent change"/>
    <s v="Units"/>
    <x v="3"/>
    <n v="3.4510000000000001"/>
  </r>
  <r>
    <n v="110"/>
    <x v="0"/>
    <x v="2"/>
    <x v="4"/>
    <s v="Percent change"/>
    <s v="Units"/>
    <x v="4"/>
    <n v="-1.655"/>
  </r>
  <r>
    <n v="110"/>
    <x v="0"/>
    <x v="2"/>
    <x v="4"/>
    <s v="Percent change"/>
    <s v="Units"/>
    <x v="5"/>
    <n v="2.5720000000000001"/>
  </r>
  <r>
    <n v="110"/>
    <x v="0"/>
    <x v="2"/>
    <x v="4"/>
    <s v="Percent change"/>
    <s v="Units"/>
    <x v="6"/>
    <n v="3.6509999999999998"/>
  </r>
  <r>
    <n v="110"/>
    <x v="0"/>
    <x v="44"/>
    <x v="11"/>
    <s v="Percent of total labor force"/>
    <s v="Units"/>
    <x v="0"/>
    <n v="1.96"/>
  </r>
  <r>
    <n v="110"/>
    <x v="0"/>
    <x v="44"/>
    <x v="11"/>
    <s v="Percent of total labor force"/>
    <s v="Units"/>
    <x v="1"/>
    <n v="2.512"/>
  </r>
  <r>
    <n v="110"/>
    <x v="0"/>
    <x v="44"/>
    <x v="11"/>
    <s v="Percent of total labor force"/>
    <s v="Units"/>
    <x v="2"/>
    <n v="2.7320000000000002"/>
  </r>
  <r>
    <n v="110"/>
    <x v="0"/>
    <x v="44"/>
    <x v="11"/>
    <s v="Percent of total labor force"/>
    <s v="Units"/>
    <x v="3"/>
    <n v="2.1659999999999999"/>
  </r>
  <r>
    <n v="110"/>
    <x v="0"/>
    <x v="44"/>
    <x v="11"/>
    <s v="Percent of total labor force"/>
    <s v="Units"/>
    <x v="4"/>
    <n v="2.5790000000000002"/>
  </r>
  <r>
    <n v="110"/>
    <x v="0"/>
    <x v="44"/>
    <x v="11"/>
    <s v="Percent of total labor force"/>
    <s v="Units"/>
    <x v="5"/>
    <n v="2.56"/>
  </r>
  <r>
    <n v="110"/>
    <x v="0"/>
    <x v="44"/>
    <x v="11"/>
    <s v="Percent of total labor force"/>
    <s v="Units"/>
    <x v="6"/>
    <n v="2.5"/>
  </r>
  <r>
    <n v="123"/>
    <x v="9"/>
    <x v="44"/>
    <x v="11"/>
    <s v="Percent of total labor force"/>
    <s v="Units"/>
    <x v="0"/>
    <n v="1.96"/>
  </r>
  <r>
    <n v="123"/>
    <x v="9"/>
    <x v="44"/>
    <x v="11"/>
    <s v="Percent of total labor force"/>
    <s v="Units"/>
    <x v="1"/>
    <n v="2.512"/>
  </r>
  <r>
    <n v="123"/>
    <x v="9"/>
    <x v="44"/>
    <x v="11"/>
    <s v="Percent of total labor force"/>
    <s v="Units"/>
    <x v="2"/>
    <n v="2.7320000000000002"/>
  </r>
  <r>
    <n v="123"/>
    <x v="9"/>
    <x v="44"/>
    <x v="11"/>
    <s v="Percent of total labor force"/>
    <s v="Units"/>
    <x v="3"/>
    <n v="2.1659999999999999"/>
  </r>
  <r>
    <n v="123"/>
    <x v="9"/>
    <x v="44"/>
    <x v="11"/>
    <s v="Percent of total labor force"/>
    <s v="Units"/>
    <x v="4"/>
    <n v="2.5790000000000002"/>
  </r>
  <r>
    <n v="123"/>
    <x v="9"/>
    <x v="44"/>
    <x v="11"/>
    <s v="Percent of total labor force"/>
    <s v="Units"/>
    <x v="5"/>
    <n v="2.56"/>
  </r>
  <r>
    <n v="123"/>
    <x v="9"/>
    <x v="44"/>
    <x v="11"/>
    <s v="Percent of total labor force"/>
    <s v="Units"/>
    <x v="6"/>
    <n v="2.5"/>
  </r>
  <r>
    <n v="603"/>
    <x v="12"/>
    <x v="75"/>
    <x v="8"/>
    <s v="Percent change"/>
    <s v="Units"/>
    <x v="0"/>
    <n v="-0.70199999999999996"/>
  </r>
  <r>
    <n v="603"/>
    <x v="12"/>
    <x v="75"/>
    <x v="8"/>
    <s v="Percent change"/>
    <s v="Units"/>
    <x v="1"/>
    <n v="-5.6379999999999999"/>
  </r>
  <r>
    <n v="603"/>
    <x v="12"/>
    <x v="75"/>
    <x v="8"/>
    <s v="Percent change"/>
    <s v="Units"/>
    <x v="2"/>
    <n v="1.1990000000000001"/>
  </r>
  <r>
    <n v="603"/>
    <x v="12"/>
    <x v="75"/>
    <x v="8"/>
    <s v="Percent change"/>
    <s v="Units"/>
    <x v="3"/>
    <n v="3.0449999999999999"/>
  </r>
  <r>
    <n v="603"/>
    <x v="12"/>
    <x v="75"/>
    <x v="8"/>
    <s v="Percent change"/>
    <s v="Units"/>
    <x v="4"/>
    <n v="0.47"/>
  </r>
  <r>
    <n v="603"/>
    <x v="12"/>
    <x v="75"/>
    <x v="8"/>
    <s v="Percent change"/>
    <s v="Units"/>
    <x v="5"/>
    <n v="2.5579999999999998"/>
  </r>
  <r>
    <n v="603"/>
    <x v="12"/>
    <x v="75"/>
    <x v="8"/>
    <s v="Percent change"/>
    <s v="Units"/>
    <x v="6"/>
    <n v="3.1280000000000001"/>
  </r>
  <r>
    <n v="200"/>
    <x v="3"/>
    <x v="75"/>
    <x v="8"/>
    <s v="Percent change"/>
    <s v="Units"/>
    <x v="0"/>
    <n v="-0.70199999999999996"/>
  </r>
  <r>
    <n v="200"/>
    <x v="3"/>
    <x v="75"/>
    <x v="8"/>
    <s v="Percent change"/>
    <s v="Units"/>
    <x v="1"/>
    <n v="-5.6379999999999999"/>
  </r>
  <r>
    <n v="200"/>
    <x v="3"/>
    <x v="75"/>
    <x v="8"/>
    <s v="Percent change"/>
    <s v="Units"/>
    <x v="2"/>
    <n v="1.1990000000000001"/>
  </r>
  <r>
    <n v="200"/>
    <x v="3"/>
    <x v="75"/>
    <x v="8"/>
    <s v="Percent change"/>
    <s v="Units"/>
    <x v="3"/>
    <n v="3.0449999999999999"/>
  </r>
  <r>
    <n v="200"/>
    <x v="3"/>
    <x v="75"/>
    <x v="8"/>
    <s v="Percent change"/>
    <s v="Units"/>
    <x v="4"/>
    <n v="0.47"/>
  </r>
  <r>
    <n v="200"/>
    <x v="3"/>
    <x v="75"/>
    <x v="8"/>
    <s v="Percent change"/>
    <s v="Units"/>
    <x v="5"/>
    <n v="2.5579999999999998"/>
  </r>
  <r>
    <n v="200"/>
    <x v="3"/>
    <x v="75"/>
    <x v="8"/>
    <s v="Percent change"/>
    <s v="Units"/>
    <x v="6"/>
    <n v="3.1280000000000001"/>
  </r>
  <r>
    <n v="1"/>
    <x v="2"/>
    <x v="75"/>
    <x v="8"/>
    <s v="Percent change"/>
    <s v="Units"/>
    <x v="0"/>
    <n v="-0.70199999999999996"/>
  </r>
  <r>
    <n v="1"/>
    <x v="2"/>
    <x v="75"/>
    <x v="8"/>
    <s v="Percent change"/>
    <s v="Units"/>
    <x v="1"/>
    <n v="-5.6379999999999999"/>
  </r>
  <r>
    <n v="1"/>
    <x v="2"/>
    <x v="75"/>
    <x v="8"/>
    <s v="Percent change"/>
    <s v="Units"/>
    <x v="2"/>
    <n v="1.1990000000000001"/>
  </r>
  <r>
    <n v="1"/>
    <x v="2"/>
    <x v="75"/>
    <x v="8"/>
    <s v="Percent change"/>
    <s v="Units"/>
    <x v="3"/>
    <n v="3.0449999999999999"/>
  </r>
  <r>
    <n v="1"/>
    <x v="2"/>
    <x v="75"/>
    <x v="8"/>
    <s v="Percent change"/>
    <s v="Units"/>
    <x v="4"/>
    <n v="0.47"/>
  </r>
  <r>
    <n v="1"/>
    <x v="2"/>
    <x v="75"/>
    <x v="8"/>
    <s v="Percent change"/>
    <s v="Units"/>
    <x v="5"/>
    <n v="2.5579999999999998"/>
  </r>
  <r>
    <n v="1"/>
    <x v="2"/>
    <x v="75"/>
    <x v="8"/>
    <s v="Percent change"/>
    <s v="Units"/>
    <x v="6"/>
    <n v="3.1280000000000001"/>
  </r>
  <r>
    <n v="200"/>
    <x v="3"/>
    <x v="15"/>
    <x v="1"/>
    <s v="Percent change"/>
    <s v="Units"/>
    <x v="0"/>
    <n v="2.8220000000000001"/>
  </r>
  <r>
    <n v="200"/>
    <x v="3"/>
    <x v="15"/>
    <x v="1"/>
    <s v="Percent change"/>
    <s v="Units"/>
    <x v="1"/>
    <n v="2.0310000000000001"/>
  </r>
  <r>
    <n v="200"/>
    <x v="3"/>
    <x v="15"/>
    <x v="1"/>
    <s v="Percent change"/>
    <s v="Units"/>
    <x v="2"/>
    <n v="1.5609999999999999"/>
  </r>
  <r>
    <n v="200"/>
    <x v="3"/>
    <x v="15"/>
    <x v="1"/>
    <s v="Percent change"/>
    <s v="Units"/>
    <x v="3"/>
    <n v="4.1390000000000002"/>
  </r>
  <r>
    <n v="200"/>
    <x v="3"/>
    <x v="15"/>
    <x v="1"/>
    <s v="Percent change"/>
    <s v="Units"/>
    <x v="4"/>
    <n v="3.7130000000000001"/>
  </r>
  <r>
    <n v="200"/>
    <x v="3"/>
    <x v="15"/>
    <x v="1"/>
    <s v="Percent change"/>
    <s v="Units"/>
    <x v="5"/>
    <n v="2.5569999999999999"/>
  </r>
  <r>
    <n v="200"/>
    <x v="3"/>
    <x v="15"/>
    <x v="1"/>
    <s v="Percent change"/>
    <s v="Units"/>
    <x v="6"/>
    <n v="2.5870000000000002"/>
  </r>
  <r>
    <n v="1"/>
    <x v="2"/>
    <x v="15"/>
    <x v="1"/>
    <s v="Percent change"/>
    <s v="Units"/>
    <x v="0"/>
    <n v="2.8220000000000001"/>
  </r>
  <r>
    <n v="1"/>
    <x v="2"/>
    <x v="15"/>
    <x v="1"/>
    <s v="Percent change"/>
    <s v="Units"/>
    <x v="1"/>
    <n v="2.0310000000000001"/>
  </r>
  <r>
    <n v="1"/>
    <x v="2"/>
    <x v="15"/>
    <x v="1"/>
    <s v="Percent change"/>
    <s v="Units"/>
    <x v="2"/>
    <n v="1.5609999999999999"/>
  </r>
  <r>
    <n v="1"/>
    <x v="2"/>
    <x v="15"/>
    <x v="1"/>
    <s v="Percent change"/>
    <s v="Units"/>
    <x v="3"/>
    <n v="4.1390000000000002"/>
  </r>
  <r>
    <n v="1"/>
    <x v="2"/>
    <x v="15"/>
    <x v="1"/>
    <s v="Percent change"/>
    <s v="Units"/>
    <x v="4"/>
    <n v="3.7130000000000001"/>
  </r>
  <r>
    <n v="1"/>
    <x v="2"/>
    <x v="15"/>
    <x v="1"/>
    <s v="Percent change"/>
    <s v="Units"/>
    <x v="5"/>
    <n v="2.5569999999999999"/>
  </r>
  <r>
    <n v="1"/>
    <x v="2"/>
    <x v="15"/>
    <x v="1"/>
    <s v="Percent change"/>
    <s v="Units"/>
    <x v="6"/>
    <n v="2.5870000000000002"/>
  </r>
  <r>
    <n v="505"/>
    <x v="4"/>
    <x v="15"/>
    <x v="1"/>
    <s v="Percent change"/>
    <s v="Units"/>
    <x v="0"/>
    <n v="2.8220000000000001"/>
  </r>
  <r>
    <n v="505"/>
    <x v="4"/>
    <x v="15"/>
    <x v="1"/>
    <s v="Percent change"/>
    <s v="Units"/>
    <x v="1"/>
    <n v="2.0310000000000001"/>
  </r>
  <r>
    <n v="505"/>
    <x v="4"/>
    <x v="15"/>
    <x v="1"/>
    <s v="Percent change"/>
    <s v="Units"/>
    <x v="2"/>
    <n v="1.5609999999999999"/>
  </r>
  <r>
    <n v="505"/>
    <x v="4"/>
    <x v="15"/>
    <x v="1"/>
    <s v="Percent change"/>
    <s v="Units"/>
    <x v="3"/>
    <n v="4.1390000000000002"/>
  </r>
  <r>
    <n v="505"/>
    <x v="4"/>
    <x v="15"/>
    <x v="1"/>
    <s v="Percent change"/>
    <s v="Units"/>
    <x v="4"/>
    <n v="3.7130000000000001"/>
  </r>
  <r>
    <n v="505"/>
    <x v="4"/>
    <x v="15"/>
    <x v="1"/>
    <s v="Percent change"/>
    <s v="Units"/>
    <x v="5"/>
    <n v="2.5569999999999999"/>
  </r>
  <r>
    <n v="505"/>
    <x v="4"/>
    <x v="15"/>
    <x v="1"/>
    <s v="Percent change"/>
    <s v="Units"/>
    <x v="6"/>
    <n v="2.5870000000000002"/>
  </r>
  <r>
    <n v="510"/>
    <x v="10"/>
    <x v="15"/>
    <x v="1"/>
    <s v="Percent change"/>
    <s v="Units"/>
    <x v="0"/>
    <n v="2.8220000000000001"/>
  </r>
  <r>
    <n v="510"/>
    <x v="10"/>
    <x v="15"/>
    <x v="1"/>
    <s v="Percent change"/>
    <s v="Units"/>
    <x v="1"/>
    <n v="2.0310000000000001"/>
  </r>
  <r>
    <n v="510"/>
    <x v="10"/>
    <x v="15"/>
    <x v="1"/>
    <s v="Percent change"/>
    <s v="Units"/>
    <x v="2"/>
    <n v="1.5609999999999999"/>
  </r>
  <r>
    <n v="510"/>
    <x v="10"/>
    <x v="15"/>
    <x v="1"/>
    <s v="Percent change"/>
    <s v="Units"/>
    <x v="3"/>
    <n v="4.1390000000000002"/>
  </r>
  <r>
    <n v="510"/>
    <x v="10"/>
    <x v="15"/>
    <x v="1"/>
    <s v="Percent change"/>
    <s v="Units"/>
    <x v="4"/>
    <n v="3.7130000000000001"/>
  </r>
  <r>
    <n v="510"/>
    <x v="10"/>
    <x v="15"/>
    <x v="1"/>
    <s v="Percent change"/>
    <s v="Units"/>
    <x v="5"/>
    <n v="2.5569999999999999"/>
  </r>
  <r>
    <n v="510"/>
    <x v="10"/>
    <x v="15"/>
    <x v="1"/>
    <s v="Percent change"/>
    <s v="Units"/>
    <x v="6"/>
    <n v="2.5870000000000002"/>
  </r>
  <r>
    <n v="1"/>
    <x v="2"/>
    <x v="17"/>
    <x v="8"/>
    <s v="Percent change"/>
    <s v="Units"/>
    <x v="0"/>
    <n v="1.0980000000000001"/>
  </r>
  <r>
    <n v="1"/>
    <x v="2"/>
    <x v="17"/>
    <x v="8"/>
    <s v="Percent change"/>
    <s v="Units"/>
    <x v="1"/>
    <n v="-3.5819999999999999"/>
  </r>
  <r>
    <n v="1"/>
    <x v="2"/>
    <x v="17"/>
    <x v="8"/>
    <s v="Percent change"/>
    <s v="Units"/>
    <x v="2"/>
    <n v="5.0750000000000002"/>
  </r>
  <r>
    <n v="1"/>
    <x v="2"/>
    <x v="17"/>
    <x v="8"/>
    <s v="Percent change"/>
    <s v="Units"/>
    <x v="3"/>
    <n v="7.4859999999999998"/>
  </r>
  <r>
    <n v="1"/>
    <x v="2"/>
    <x v="17"/>
    <x v="8"/>
    <s v="Percent change"/>
    <s v="Units"/>
    <x v="4"/>
    <n v="-0.755"/>
  </r>
  <r>
    <n v="1"/>
    <x v="2"/>
    <x v="17"/>
    <x v="8"/>
    <s v="Percent change"/>
    <s v="Units"/>
    <x v="5"/>
    <n v="2.5539999999999998"/>
  </r>
  <r>
    <n v="1"/>
    <x v="2"/>
    <x v="17"/>
    <x v="8"/>
    <s v="Percent change"/>
    <s v="Units"/>
    <x v="6"/>
    <n v="5.968"/>
  </r>
  <r>
    <n v="200"/>
    <x v="3"/>
    <x v="17"/>
    <x v="8"/>
    <s v="Percent change"/>
    <s v="Units"/>
    <x v="0"/>
    <n v="1.0980000000000001"/>
  </r>
  <r>
    <n v="200"/>
    <x v="3"/>
    <x v="17"/>
    <x v="8"/>
    <s v="Percent change"/>
    <s v="Units"/>
    <x v="1"/>
    <n v="-3.5819999999999999"/>
  </r>
  <r>
    <n v="200"/>
    <x v="3"/>
    <x v="17"/>
    <x v="8"/>
    <s v="Percent change"/>
    <s v="Units"/>
    <x v="2"/>
    <n v="5.0750000000000002"/>
  </r>
  <r>
    <n v="200"/>
    <x v="3"/>
    <x v="17"/>
    <x v="8"/>
    <s v="Percent change"/>
    <s v="Units"/>
    <x v="3"/>
    <n v="7.4859999999999998"/>
  </r>
  <r>
    <n v="200"/>
    <x v="3"/>
    <x v="17"/>
    <x v="8"/>
    <s v="Percent change"/>
    <s v="Units"/>
    <x v="4"/>
    <n v="-0.755"/>
  </r>
  <r>
    <n v="200"/>
    <x v="3"/>
    <x v="17"/>
    <x v="8"/>
    <s v="Percent change"/>
    <s v="Units"/>
    <x v="5"/>
    <n v="2.5539999999999998"/>
  </r>
  <r>
    <n v="200"/>
    <x v="3"/>
    <x v="17"/>
    <x v="8"/>
    <s v="Percent change"/>
    <s v="Units"/>
    <x v="6"/>
    <n v="5.968"/>
  </r>
  <r>
    <n v="400"/>
    <x v="11"/>
    <x v="17"/>
    <x v="8"/>
    <s v="Percent change"/>
    <s v="Units"/>
    <x v="0"/>
    <n v="1.0980000000000001"/>
  </r>
  <r>
    <n v="400"/>
    <x v="11"/>
    <x v="17"/>
    <x v="8"/>
    <s v="Percent change"/>
    <s v="Units"/>
    <x v="1"/>
    <n v="-3.5819999999999999"/>
  </r>
  <r>
    <n v="400"/>
    <x v="11"/>
    <x v="17"/>
    <x v="8"/>
    <s v="Percent change"/>
    <s v="Units"/>
    <x v="2"/>
    <n v="5.0750000000000002"/>
  </r>
  <r>
    <n v="400"/>
    <x v="11"/>
    <x v="17"/>
    <x v="8"/>
    <s v="Percent change"/>
    <s v="Units"/>
    <x v="3"/>
    <n v="7.4859999999999998"/>
  </r>
  <r>
    <n v="400"/>
    <x v="11"/>
    <x v="17"/>
    <x v="8"/>
    <s v="Percent change"/>
    <s v="Units"/>
    <x v="4"/>
    <n v="-0.755"/>
  </r>
  <r>
    <n v="400"/>
    <x v="11"/>
    <x v="17"/>
    <x v="8"/>
    <s v="Percent change"/>
    <s v="Units"/>
    <x v="5"/>
    <n v="2.5539999999999998"/>
  </r>
  <r>
    <n v="400"/>
    <x v="11"/>
    <x v="17"/>
    <x v="8"/>
    <s v="Percent change"/>
    <s v="Units"/>
    <x v="6"/>
    <n v="5.968"/>
  </r>
  <r>
    <n v="510"/>
    <x v="10"/>
    <x v="15"/>
    <x v="10"/>
    <s v="Percent"/>
    <s v="Units"/>
    <x v="0"/>
    <n v="2.448"/>
  </r>
  <r>
    <n v="510"/>
    <x v="10"/>
    <x v="15"/>
    <x v="10"/>
    <s v="Percent"/>
    <s v="Units"/>
    <x v="1"/>
    <n v="2.4689999999999999"/>
  </r>
  <r>
    <n v="510"/>
    <x v="10"/>
    <x v="15"/>
    <x v="10"/>
    <s v="Percent"/>
    <s v="Units"/>
    <x v="2"/>
    <n v="2.4060000000000001"/>
  </r>
  <r>
    <n v="510"/>
    <x v="10"/>
    <x v="15"/>
    <x v="10"/>
    <s v="Percent"/>
    <s v="Units"/>
    <x v="3"/>
    <n v="2.452"/>
  </r>
  <r>
    <n v="510"/>
    <x v="10"/>
    <x v="15"/>
    <x v="10"/>
    <s v="Percent"/>
    <s v="Units"/>
    <x v="4"/>
    <n v="2.4980000000000002"/>
  </r>
  <r>
    <n v="510"/>
    <x v="10"/>
    <x v="15"/>
    <x v="10"/>
    <s v="Percent"/>
    <s v="Units"/>
    <x v="5"/>
    <n v="2.5419999999999998"/>
  </r>
  <r>
    <n v="510"/>
    <x v="10"/>
    <x v="15"/>
    <x v="10"/>
    <s v="Percent"/>
    <s v="Units"/>
    <x v="6"/>
    <n v="2.5880000000000001"/>
  </r>
  <r>
    <n v="200"/>
    <x v="3"/>
    <x v="15"/>
    <x v="10"/>
    <s v="Percent"/>
    <s v="Units"/>
    <x v="0"/>
    <n v="2.448"/>
  </r>
  <r>
    <n v="200"/>
    <x v="3"/>
    <x v="15"/>
    <x v="10"/>
    <s v="Percent"/>
    <s v="Units"/>
    <x v="1"/>
    <n v="2.4689999999999999"/>
  </r>
  <r>
    <n v="200"/>
    <x v="3"/>
    <x v="15"/>
    <x v="10"/>
    <s v="Percent"/>
    <s v="Units"/>
    <x v="2"/>
    <n v="2.4060000000000001"/>
  </r>
  <r>
    <n v="200"/>
    <x v="3"/>
    <x v="15"/>
    <x v="10"/>
    <s v="Percent"/>
    <s v="Units"/>
    <x v="3"/>
    <n v="2.452"/>
  </r>
  <r>
    <n v="200"/>
    <x v="3"/>
    <x v="15"/>
    <x v="10"/>
    <s v="Percent"/>
    <s v="Units"/>
    <x v="4"/>
    <n v="2.4980000000000002"/>
  </r>
  <r>
    <n v="200"/>
    <x v="3"/>
    <x v="15"/>
    <x v="10"/>
    <s v="Percent"/>
    <s v="Units"/>
    <x v="5"/>
    <n v="2.5419999999999998"/>
  </r>
  <r>
    <n v="200"/>
    <x v="3"/>
    <x v="15"/>
    <x v="10"/>
    <s v="Percent"/>
    <s v="Units"/>
    <x v="6"/>
    <n v="2.5880000000000001"/>
  </r>
  <r>
    <n v="505"/>
    <x v="4"/>
    <x v="15"/>
    <x v="10"/>
    <s v="Percent"/>
    <s v="Units"/>
    <x v="0"/>
    <n v="2.448"/>
  </r>
  <r>
    <n v="505"/>
    <x v="4"/>
    <x v="15"/>
    <x v="10"/>
    <s v="Percent"/>
    <s v="Units"/>
    <x v="1"/>
    <n v="2.4689999999999999"/>
  </r>
  <r>
    <n v="505"/>
    <x v="4"/>
    <x v="15"/>
    <x v="10"/>
    <s v="Percent"/>
    <s v="Units"/>
    <x v="2"/>
    <n v="2.4060000000000001"/>
  </r>
  <r>
    <n v="505"/>
    <x v="4"/>
    <x v="15"/>
    <x v="10"/>
    <s v="Percent"/>
    <s v="Units"/>
    <x v="3"/>
    <n v="2.452"/>
  </r>
  <r>
    <n v="505"/>
    <x v="4"/>
    <x v="15"/>
    <x v="10"/>
    <s v="Percent"/>
    <s v="Units"/>
    <x v="4"/>
    <n v="2.4980000000000002"/>
  </r>
  <r>
    <n v="505"/>
    <x v="4"/>
    <x v="15"/>
    <x v="10"/>
    <s v="Percent"/>
    <s v="Units"/>
    <x v="5"/>
    <n v="2.5419999999999998"/>
  </r>
  <r>
    <n v="505"/>
    <x v="4"/>
    <x v="15"/>
    <x v="10"/>
    <s v="Percent"/>
    <s v="Units"/>
    <x v="6"/>
    <n v="2.5880000000000001"/>
  </r>
  <r>
    <n v="1"/>
    <x v="2"/>
    <x v="76"/>
    <x v="1"/>
    <s v="Percent change"/>
    <s v="Units"/>
    <x v="0"/>
    <n v="1.651"/>
  </r>
  <r>
    <n v="1"/>
    <x v="2"/>
    <x v="76"/>
    <x v="1"/>
    <s v="Percent change"/>
    <s v="Units"/>
    <x v="1"/>
    <n v="6.0000000000000001E-3"/>
  </r>
  <r>
    <n v="1"/>
    <x v="2"/>
    <x v="76"/>
    <x v="1"/>
    <s v="Percent change"/>
    <s v="Units"/>
    <x v="2"/>
    <n v="3.468"/>
  </r>
  <r>
    <n v="1"/>
    <x v="2"/>
    <x v="76"/>
    <x v="1"/>
    <s v="Percent change"/>
    <s v="Units"/>
    <x v="3"/>
    <n v="8.15"/>
  </r>
  <r>
    <n v="1"/>
    <x v="2"/>
    <x v="76"/>
    <x v="1"/>
    <s v="Percent change"/>
    <s v="Units"/>
    <x v="4"/>
    <n v="2.9289999999999998"/>
  </r>
  <r>
    <n v="1"/>
    <x v="2"/>
    <x v="76"/>
    <x v="1"/>
    <s v="Percent change"/>
    <s v="Units"/>
    <x v="5"/>
    <n v="2.5390000000000001"/>
  </r>
  <r>
    <n v="1"/>
    <x v="2"/>
    <x v="76"/>
    <x v="1"/>
    <s v="Percent change"/>
    <s v="Units"/>
    <x v="6"/>
    <n v="3.0950000000000002"/>
  </r>
  <r>
    <n v="110"/>
    <x v="0"/>
    <x v="76"/>
    <x v="1"/>
    <s v="Percent change"/>
    <s v="Units"/>
    <x v="0"/>
    <n v="1.651"/>
  </r>
  <r>
    <n v="110"/>
    <x v="0"/>
    <x v="76"/>
    <x v="1"/>
    <s v="Percent change"/>
    <s v="Units"/>
    <x v="1"/>
    <n v="6.0000000000000001E-3"/>
  </r>
  <r>
    <n v="110"/>
    <x v="0"/>
    <x v="76"/>
    <x v="1"/>
    <s v="Percent change"/>
    <s v="Units"/>
    <x v="2"/>
    <n v="3.468"/>
  </r>
  <r>
    <n v="110"/>
    <x v="0"/>
    <x v="76"/>
    <x v="1"/>
    <s v="Percent change"/>
    <s v="Units"/>
    <x v="3"/>
    <n v="8.15"/>
  </r>
  <r>
    <n v="110"/>
    <x v="0"/>
    <x v="76"/>
    <x v="1"/>
    <s v="Percent change"/>
    <s v="Units"/>
    <x v="4"/>
    <n v="2.9289999999999998"/>
  </r>
  <r>
    <n v="110"/>
    <x v="0"/>
    <x v="76"/>
    <x v="1"/>
    <s v="Percent change"/>
    <s v="Units"/>
    <x v="5"/>
    <n v="2.5390000000000001"/>
  </r>
  <r>
    <n v="110"/>
    <x v="0"/>
    <x v="76"/>
    <x v="1"/>
    <s v="Percent change"/>
    <s v="Units"/>
    <x v="6"/>
    <n v="3.0950000000000002"/>
  </r>
  <r>
    <n v="163"/>
    <x v="5"/>
    <x v="76"/>
    <x v="1"/>
    <s v="Percent change"/>
    <s v="Units"/>
    <x v="0"/>
    <n v="1.651"/>
  </r>
  <r>
    <n v="163"/>
    <x v="5"/>
    <x v="76"/>
    <x v="1"/>
    <s v="Percent change"/>
    <s v="Units"/>
    <x v="1"/>
    <n v="6.0000000000000001E-3"/>
  </r>
  <r>
    <n v="163"/>
    <x v="5"/>
    <x v="76"/>
    <x v="1"/>
    <s v="Percent change"/>
    <s v="Units"/>
    <x v="2"/>
    <n v="3.468"/>
  </r>
  <r>
    <n v="163"/>
    <x v="5"/>
    <x v="76"/>
    <x v="1"/>
    <s v="Percent change"/>
    <s v="Units"/>
    <x v="3"/>
    <n v="8.15"/>
  </r>
  <r>
    <n v="163"/>
    <x v="5"/>
    <x v="76"/>
    <x v="1"/>
    <s v="Percent change"/>
    <s v="Units"/>
    <x v="4"/>
    <n v="2.9289999999999998"/>
  </r>
  <r>
    <n v="163"/>
    <x v="5"/>
    <x v="76"/>
    <x v="1"/>
    <s v="Percent change"/>
    <s v="Units"/>
    <x v="5"/>
    <n v="2.5390000000000001"/>
  </r>
  <r>
    <n v="163"/>
    <x v="5"/>
    <x v="76"/>
    <x v="1"/>
    <s v="Percent change"/>
    <s v="Units"/>
    <x v="6"/>
    <n v="3.0950000000000002"/>
  </r>
  <r>
    <n v="998"/>
    <x v="6"/>
    <x v="76"/>
    <x v="1"/>
    <s v="Percent change"/>
    <s v="Units"/>
    <x v="0"/>
    <n v="1.651"/>
  </r>
  <r>
    <n v="998"/>
    <x v="6"/>
    <x v="76"/>
    <x v="1"/>
    <s v="Percent change"/>
    <s v="Units"/>
    <x v="1"/>
    <n v="6.0000000000000001E-3"/>
  </r>
  <r>
    <n v="998"/>
    <x v="6"/>
    <x v="76"/>
    <x v="1"/>
    <s v="Percent change"/>
    <s v="Units"/>
    <x v="2"/>
    <n v="3.468"/>
  </r>
  <r>
    <n v="998"/>
    <x v="6"/>
    <x v="76"/>
    <x v="1"/>
    <s v="Percent change"/>
    <s v="Units"/>
    <x v="3"/>
    <n v="8.15"/>
  </r>
  <r>
    <n v="998"/>
    <x v="6"/>
    <x v="76"/>
    <x v="1"/>
    <s v="Percent change"/>
    <s v="Units"/>
    <x v="4"/>
    <n v="2.9289999999999998"/>
  </r>
  <r>
    <n v="998"/>
    <x v="6"/>
    <x v="76"/>
    <x v="1"/>
    <s v="Percent change"/>
    <s v="Units"/>
    <x v="5"/>
    <n v="2.5390000000000001"/>
  </r>
  <r>
    <n v="998"/>
    <x v="6"/>
    <x v="76"/>
    <x v="1"/>
    <s v="Percent change"/>
    <s v="Units"/>
    <x v="6"/>
    <n v="3.0950000000000002"/>
  </r>
  <r>
    <n v="200"/>
    <x v="3"/>
    <x v="48"/>
    <x v="8"/>
    <s v="Percent change"/>
    <s v="Units"/>
    <x v="0"/>
    <n v="2.2400000000000002"/>
  </r>
  <r>
    <n v="200"/>
    <x v="3"/>
    <x v="48"/>
    <x v="8"/>
    <s v="Percent change"/>
    <s v="Units"/>
    <x v="1"/>
    <n v="-10.869"/>
  </r>
  <r>
    <n v="200"/>
    <x v="3"/>
    <x v="48"/>
    <x v="8"/>
    <s v="Percent change"/>
    <s v="Units"/>
    <x v="2"/>
    <n v="13.417999999999999"/>
  </r>
  <r>
    <n v="200"/>
    <x v="3"/>
    <x v="48"/>
    <x v="8"/>
    <s v="Percent change"/>
    <s v="Units"/>
    <x v="3"/>
    <n v="2.6840000000000002"/>
  </r>
  <r>
    <n v="200"/>
    <x v="3"/>
    <x v="48"/>
    <x v="8"/>
    <s v="Percent change"/>
    <s v="Units"/>
    <x v="4"/>
    <n v="-0.55200000000000005"/>
  </r>
  <r>
    <n v="200"/>
    <x v="3"/>
    <x v="48"/>
    <x v="8"/>
    <s v="Percent change"/>
    <s v="Units"/>
    <x v="5"/>
    <n v="2.5379999999999998"/>
  </r>
  <r>
    <n v="200"/>
    <x v="3"/>
    <x v="48"/>
    <x v="8"/>
    <s v="Percent change"/>
    <s v="Units"/>
    <x v="6"/>
    <n v="2.68"/>
  </r>
  <r>
    <n v="1"/>
    <x v="2"/>
    <x v="48"/>
    <x v="8"/>
    <s v="Percent change"/>
    <s v="Units"/>
    <x v="0"/>
    <n v="2.2400000000000002"/>
  </r>
  <r>
    <n v="1"/>
    <x v="2"/>
    <x v="48"/>
    <x v="8"/>
    <s v="Percent change"/>
    <s v="Units"/>
    <x v="1"/>
    <n v="-10.869"/>
  </r>
  <r>
    <n v="1"/>
    <x v="2"/>
    <x v="48"/>
    <x v="8"/>
    <s v="Percent change"/>
    <s v="Units"/>
    <x v="2"/>
    <n v="13.417999999999999"/>
  </r>
  <r>
    <n v="1"/>
    <x v="2"/>
    <x v="48"/>
    <x v="8"/>
    <s v="Percent change"/>
    <s v="Units"/>
    <x v="3"/>
    <n v="2.6840000000000002"/>
  </r>
  <r>
    <n v="1"/>
    <x v="2"/>
    <x v="48"/>
    <x v="8"/>
    <s v="Percent change"/>
    <s v="Units"/>
    <x v="4"/>
    <n v="-0.55200000000000005"/>
  </r>
  <r>
    <n v="1"/>
    <x v="2"/>
    <x v="48"/>
    <x v="8"/>
    <s v="Percent change"/>
    <s v="Units"/>
    <x v="5"/>
    <n v="2.5379999999999998"/>
  </r>
  <r>
    <n v="1"/>
    <x v="2"/>
    <x v="48"/>
    <x v="8"/>
    <s v="Percent change"/>
    <s v="Units"/>
    <x v="6"/>
    <n v="2.68"/>
  </r>
  <r>
    <n v="205"/>
    <x v="7"/>
    <x v="48"/>
    <x v="8"/>
    <s v="Percent change"/>
    <s v="Units"/>
    <x v="0"/>
    <n v="2.2400000000000002"/>
  </r>
  <r>
    <n v="205"/>
    <x v="7"/>
    <x v="48"/>
    <x v="8"/>
    <s v="Percent change"/>
    <s v="Units"/>
    <x v="1"/>
    <n v="-10.869"/>
  </r>
  <r>
    <n v="205"/>
    <x v="7"/>
    <x v="48"/>
    <x v="8"/>
    <s v="Percent change"/>
    <s v="Units"/>
    <x v="2"/>
    <n v="13.417999999999999"/>
  </r>
  <r>
    <n v="205"/>
    <x v="7"/>
    <x v="48"/>
    <x v="8"/>
    <s v="Percent change"/>
    <s v="Units"/>
    <x v="3"/>
    <n v="2.6840000000000002"/>
  </r>
  <r>
    <n v="205"/>
    <x v="7"/>
    <x v="48"/>
    <x v="8"/>
    <s v="Percent change"/>
    <s v="Units"/>
    <x v="4"/>
    <n v="-0.55200000000000005"/>
  </r>
  <r>
    <n v="205"/>
    <x v="7"/>
    <x v="48"/>
    <x v="8"/>
    <s v="Percent change"/>
    <s v="Units"/>
    <x v="5"/>
    <n v="2.5379999999999998"/>
  </r>
  <r>
    <n v="205"/>
    <x v="7"/>
    <x v="48"/>
    <x v="8"/>
    <s v="Percent change"/>
    <s v="Units"/>
    <x v="6"/>
    <n v="2.68"/>
  </r>
  <r>
    <n v="505"/>
    <x v="4"/>
    <x v="107"/>
    <x v="8"/>
    <s v="Percent change"/>
    <s v="Units"/>
    <x v="0"/>
    <n v="0.70599999999999996"/>
  </r>
  <r>
    <n v="505"/>
    <x v="4"/>
    <x v="107"/>
    <x v="8"/>
    <s v="Percent change"/>
    <s v="Units"/>
    <x v="1"/>
    <n v="0.48899999999999999"/>
  </r>
  <r>
    <n v="505"/>
    <x v="4"/>
    <x v="107"/>
    <x v="8"/>
    <s v="Percent change"/>
    <s v="Units"/>
    <x v="2"/>
    <n v="-2.6669999999999998"/>
  </r>
  <r>
    <n v="505"/>
    <x v="4"/>
    <x v="107"/>
    <x v="8"/>
    <s v="Percent change"/>
    <s v="Units"/>
    <x v="3"/>
    <n v="-1.962"/>
  </r>
  <r>
    <n v="505"/>
    <x v="4"/>
    <x v="107"/>
    <x v="8"/>
    <s v="Percent change"/>
    <s v="Units"/>
    <x v="4"/>
    <n v="2.5579999999999998"/>
  </r>
  <r>
    <n v="505"/>
    <x v="4"/>
    <x v="107"/>
    <x v="8"/>
    <s v="Percent change"/>
    <s v="Units"/>
    <x v="5"/>
    <n v="2.524"/>
  </r>
  <r>
    <n v="505"/>
    <x v="4"/>
    <x v="107"/>
    <x v="8"/>
    <s v="Percent change"/>
    <s v="Units"/>
    <x v="6"/>
    <n v="2.3839999999999999"/>
  </r>
  <r>
    <n v="200"/>
    <x v="3"/>
    <x v="107"/>
    <x v="8"/>
    <s v="Percent change"/>
    <s v="Units"/>
    <x v="0"/>
    <n v="0.70599999999999996"/>
  </r>
  <r>
    <n v="200"/>
    <x v="3"/>
    <x v="107"/>
    <x v="8"/>
    <s v="Percent change"/>
    <s v="Units"/>
    <x v="1"/>
    <n v="0.48899999999999999"/>
  </r>
  <r>
    <n v="200"/>
    <x v="3"/>
    <x v="107"/>
    <x v="8"/>
    <s v="Percent change"/>
    <s v="Units"/>
    <x v="2"/>
    <n v="-2.6669999999999998"/>
  </r>
  <r>
    <n v="200"/>
    <x v="3"/>
    <x v="107"/>
    <x v="8"/>
    <s v="Percent change"/>
    <s v="Units"/>
    <x v="3"/>
    <n v="-1.962"/>
  </r>
  <r>
    <n v="200"/>
    <x v="3"/>
    <x v="107"/>
    <x v="8"/>
    <s v="Percent change"/>
    <s v="Units"/>
    <x v="4"/>
    <n v="2.5579999999999998"/>
  </r>
  <r>
    <n v="200"/>
    <x v="3"/>
    <x v="107"/>
    <x v="8"/>
    <s v="Percent change"/>
    <s v="Units"/>
    <x v="5"/>
    <n v="2.524"/>
  </r>
  <r>
    <n v="200"/>
    <x v="3"/>
    <x v="107"/>
    <x v="8"/>
    <s v="Percent change"/>
    <s v="Units"/>
    <x v="6"/>
    <n v="2.3839999999999999"/>
  </r>
  <r>
    <n v="1"/>
    <x v="2"/>
    <x v="107"/>
    <x v="8"/>
    <s v="Percent change"/>
    <s v="Units"/>
    <x v="0"/>
    <n v="0.70599999999999996"/>
  </r>
  <r>
    <n v="1"/>
    <x v="2"/>
    <x v="107"/>
    <x v="8"/>
    <s v="Percent change"/>
    <s v="Units"/>
    <x v="1"/>
    <n v="0.48899999999999999"/>
  </r>
  <r>
    <n v="1"/>
    <x v="2"/>
    <x v="107"/>
    <x v="8"/>
    <s v="Percent change"/>
    <s v="Units"/>
    <x v="2"/>
    <n v="-2.6669999999999998"/>
  </r>
  <r>
    <n v="1"/>
    <x v="2"/>
    <x v="107"/>
    <x v="8"/>
    <s v="Percent change"/>
    <s v="Units"/>
    <x v="3"/>
    <n v="-1.962"/>
  </r>
  <r>
    <n v="1"/>
    <x v="2"/>
    <x v="107"/>
    <x v="8"/>
    <s v="Percent change"/>
    <s v="Units"/>
    <x v="4"/>
    <n v="2.5579999999999998"/>
  </r>
  <r>
    <n v="1"/>
    <x v="2"/>
    <x v="107"/>
    <x v="8"/>
    <s v="Percent change"/>
    <s v="Units"/>
    <x v="5"/>
    <n v="2.524"/>
  </r>
  <r>
    <n v="1"/>
    <x v="2"/>
    <x v="107"/>
    <x v="8"/>
    <s v="Percent change"/>
    <s v="Units"/>
    <x v="6"/>
    <n v="2.3839999999999999"/>
  </r>
  <r>
    <n v="110"/>
    <x v="0"/>
    <x v="13"/>
    <x v="1"/>
    <s v="Percent change"/>
    <s v="Units"/>
    <x v="0"/>
    <n v="0.38300000000000001"/>
  </r>
  <r>
    <n v="110"/>
    <x v="0"/>
    <x v="13"/>
    <x v="1"/>
    <s v="Percent change"/>
    <s v="Units"/>
    <x v="1"/>
    <n v="0.53700000000000003"/>
  </r>
  <r>
    <n v="110"/>
    <x v="0"/>
    <x v="13"/>
    <x v="1"/>
    <s v="Percent change"/>
    <s v="Units"/>
    <x v="2"/>
    <n v="2.4980000000000002"/>
  </r>
  <r>
    <n v="110"/>
    <x v="0"/>
    <x v="13"/>
    <x v="1"/>
    <s v="Percent change"/>
    <s v="Units"/>
    <x v="3"/>
    <n v="5.09"/>
  </r>
  <r>
    <n v="110"/>
    <x v="0"/>
    <x v="13"/>
    <x v="1"/>
    <s v="Percent change"/>
    <s v="Units"/>
    <x v="4"/>
    <n v="3.593"/>
  </r>
  <r>
    <n v="110"/>
    <x v="0"/>
    <x v="13"/>
    <x v="1"/>
    <s v="Percent change"/>
    <s v="Units"/>
    <x v="5"/>
    <n v="2.5219999999999998"/>
  </r>
  <r>
    <n v="110"/>
    <x v="0"/>
    <x v="13"/>
    <x v="1"/>
    <s v="Percent change"/>
    <s v="Units"/>
    <x v="6"/>
    <n v="2"/>
  </r>
  <r>
    <n v="123"/>
    <x v="9"/>
    <x v="13"/>
    <x v="1"/>
    <s v="Percent change"/>
    <s v="Units"/>
    <x v="0"/>
    <n v="0.38300000000000001"/>
  </r>
  <r>
    <n v="123"/>
    <x v="9"/>
    <x v="13"/>
    <x v="1"/>
    <s v="Percent change"/>
    <s v="Units"/>
    <x v="1"/>
    <n v="0.53700000000000003"/>
  </r>
  <r>
    <n v="123"/>
    <x v="9"/>
    <x v="13"/>
    <x v="1"/>
    <s v="Percent change"/>
    <s v="Units"/>
    <x v="2"/>
    <n v="2.4980000000000002"/>
  </r>
  <r>
    <n v="123"/>
    <x v="9"/>
    <x v="13"/>
    <x v="1"/>
    <s v="Percent change"/>
    <s v="Units"/>
    <x v="3"/>
    <n v="5.09"/>
  </r>
  <r>
    <n v="123"/>
    <x v="9"/>
    <x v="13"/>
    <x v="1"/>
    <s v="Percent change"/>
    <s v="Units"/>
    <x v="4"/>
    <n v="3.593"/>
  </r>
  <r>
    <n v="123"/>
    <x v="9"/>
    <x v="13"/>
    <x v="1"/>
    <s v="Percent change"/>
    <s v="Units"/>
    <x v="5"/>
    <n v="2.5219999999999998"/>
  </r>
  <r>
    <n v="123"/>
    <x v="9"/>
    <x v="13"/>
    <x v="1"/>
    <s v="Percent change"/>
    <s v="Units"/>
    <x v="6"/>
    <n v="2"/>
  </r>
  <r>
    <n v="1"/>
    <x v="2"/>
    <x v="13"/>
    <x v="1"/>
    <s v="Percent change"/>
    <s v="Units"/>
    <x v="0"/>
    <n v="0.38300000000000001"/>
  </r>
  <r>
    <n v="1"/>
    <x v="2"/>
    <x v="13"/>
    <x v="1"/>
    <s v="Percent change"/>
    <s v="Units"/>
    <x v="1"/>
    <n v="0.53700000000000003"/>
  </r>
  <r>
    <n v="1"/>
    <x v="2"/>
    <x v="13"/>
    <x v="1"/>
    <s v="Percent change"/>
    <s v="Units"/>
    <x v="2"/>
    <n v="2.4980000000000002"/>
  </r>
  <r>
    <n v="1"/>
    <x v="2"/>
    <x v="13"/>
    <x v="1"/>
    <s v="Percent change"/>
    <s v="Units"/>
    <x v="3"/>
    <n v="5.09"/>
  </r>
  <r>
    <n v="1"/>
    <x v="2"/>
    <x v="13"/>
    <x v="1"/>
    <s v="Percent change"/>
    <s v="Units"/>
    <x v="4"/>
    <n v="3.593"/>
  </r>
  <r>
    <n v="1"/>
    <x v="2"/>
    <x v="13"/>
    <x v="1"/>
    <s v="Percent change"/>
    <s v="Units"/>
    <x v="5"/>
    <n v="2.5219999999999998"/>
  </r>
  <r>
    <n v="1"/>
    <x v="2"/>
    <x v="13"/>
    <x v="1"/>
    <s v="Percent change"/>
    <s v="Units"/>
    <x v="6"/>
    <n v="2"/>
  </r>
  <r>
    <n v="200"/>
    <x v="3"/>
    <x v="106"/>
    <x v="6"/>
    <s v="Percent change"/>
    <s v="Units"/>
    <x v="0"/>
    <n v="0.221"/>
  </r>
  <r>
    <n v="200"/>
    <x v="3"/>
    <x v="106"/>
    <x v="6"/>
    <s v="Percent change"/>
    <s v="Units"/>
    <x v="1"/>
    <n v="-26.640999999999998"/>
  </r>
  <r>
    <n v="200"/>
    <x v="3"/>
    <x v="106"/>
    <x v="6"/>
    <s v="Percent change"/>
    <s v="Units"/>
    <x v="2"/>
    <n v="20.875"/>
  </r>
  <r>
    <n v="200"/>
    <x v="3"/>
    <x v="106"/>
    <x v="6"/>
    <s v="Percent change"/>
    <s v="Units"/>
    <x v="3"/>
    <n v="21.318000000000001"/>
  </r>
  <r>
    <n v="200"/>
    <x v="3"/>
    <x v="106"/>
    <x v="6"/>
    <s v="Percent change"/>
    <s v="Units"/>
    <x v="4"/>
    <n v="13.605"/>
  </r>
  <r>
    <n v="200"/>
    <x v="3"/>
    <x v="106"/>
    <x v="6"/>
    <s v="Percent change"/>
    <s v="Units"/>
    <x v="5"/>
    <n v="2.5209999999999999"/>
  </r>
  <r>
    <n v="200"/>
    <x v="3"/>
    <x v="106"/>
    <x v="6"/>
    <s v="Percent change"/>
    <s v="Units"/>
    <x v="6"/>
    <n v="6.0890000000000004"/>
  </r>
  <r>
    <n v="205"/>
    <x v="7"/>
    <x v="106"/>
    <x v="6"/>
    <s v="Percent change"/>
    <s v="Units"/>
    <x v="0"/>
    <n v="0.221"/>
  </r>
  <r>
    <n v="205"/>
    <x v="7"/>
    <x v="106"/>
    <x v="6"/>
    <s v="Percent change"/>
    <s v="Units"/>
    <x v="1"/>
    <n v="-26.640999999999998"/>
  </r>
  <r>
    <n v="205"/>
    <x v="7"/>
    <x v="106"/>
    <x v="6"/>
    <s v="Percent change"/>
    <s v="Units"/>
    <x v="2"/>
    <n v="20.875"/>
  </r>
  <r>
    <n v="205"/>
    <x v="7"/>
    <x v="106"/>
    <x v="6"/>
    <s v="Percent change"/>
    <s v="Units"/>
    <x v="3"/>
    <n v="21.318000000000001"/>
  </r>
  <r>
    <n v="205"/>
    <x v="7"/>
    <x v="106"/>
    <x v="6"/>
    <s v="Percent change"/>
    <s v="Units"/>
    <x v="4"/>
    <n v="13.605"/>
  </r>
  <r>
    <n v="205"/>
    <x v="7"/>
    <x v="106"/>
    <x v="6"/>
    <s v="Percent change"/>
    <s v="Units"/>
    <x v="5"/>
    <n v="2.5209999999999999"/>
  </r>
  <r>
    <n v="205"/>
    <x v="7"/>
    <x v="106"/>
    <x v="6"/>
    <s v="Percent change"/>
    <s v="Units"/>
    <x v="6"/>
    <n v="6.0890000000000004"/>
  </r>
  <r>
    <n v="1"/>
    <x v="2"/>
    <x v="106"/>
    <x v="6"/>
    <s v="Percent change"/>
    <s v="Units"/>
    <x v="0"/>
    <n v="0.221"/>
  </r>
  <r>
    <n v="1"/>
    <x v="2"/>
    <x v="106"/>
    <x v="6"/>
    <s v="Percent change"/>
    <s v="Units"/>
    <x v="1"/>
    <n v="-26.640999999999998"/>
  </r>
  <r>
    <n v="1"/>
    <x v="2"/>
    <x v="106"/>
    <x v="6"/>
    <s v="Percent change"/>
    <s v="Units"/>
    <x v="2"/>
    <n v="20.875"/>
  </r>
  <r>
    <n v="1"/>
    <x v="2"/>
    <x v="106"/>
    <x v="6"/>
    <s v="Percent change"/>
    <s v="Units"/>
    <x v="3"/>
    <n v="21.318000000000001"/>
  </r>
  <r>
    <n v="1"/>
    <x v="2"/>
    <x v="106"/>
    <x v="6"/>
    <s v="Percent change"/>
    <s v="Units"/>
    <x v="4"/>
    <n v="13.605"/>
  </r>
  <r>
    <n v="1"/>
    <x v="2"/>
    <x v="106"/>
    <x v="6"/>
    <s v="Percent change"/>
    <s v="Units"/>
    <x v="5"/>
    <n v="2.5209999999999999"/>
  </r>
  <r>
    <n v="1"/>
    <x v="2"/>
    <x v="106"/>
    <x v="6"/>
    <s v="Percent change"/>
    <s v="Units"/>
    <x v="6"/>
    <n v="6.0890000000000004"/>
  </r>
  <r>
    <n v="505"/>
    <x v="4"/>
    <x v="1"/>
    <x v="4"/>
    <s v="Percent change"/>
    <s v="Units"/>
    <x v="0"/>
    <n v="1.9570000000000001"/>
  </r>
  <r>
    <n v="505"/>
    <x v="4"/>
    <x v="1"/>
    <x v="4"/>
    <s v="Percent change"/>
    <s v="Units"/>
    <x v="1"/>
    <n v="-3.15"/>
  </r>
  <r>
    <n v="505"/>
    <x v="4"/>
    <x v="1"/>
    <x v="4"/>
    <s v="Percent change"/>
    <s v="Units"/>
    <x v="2"/>
    <n v="18.516999999999999"/>
  </r>
  <r>
    <n v="505"/>
    <x v="4"/>
    <x v="1"/>
    <x v="4"/>
    <s v="Percent change"/>
    <s v="Units"/>
    <x v="3"/>
    <n v="-0.16600000000000001"/>
  </r>
  <r>
    <n v="505"/>
    <x v="4"/>
    <x v="1"/>
    <x v="4"/>
    <s v="Percent change"/>
    <s v="Units"/>
    <x v="4"/>
    <n v="-0.31900000000000001"/>
  </r>
  <r>
    <n v="505"/>
    <x v="4"/>
    <x v="1"/>
    <x v="4"/>
    <s v="Percent change"/>
    <s v="Units"/>
    <x v="5"/>
    <n v="2.5179999999999998"/>
  </r>
  <r>
    <n v="505"/>
    <x v="4"/>
    <x v="1"/>
    <x v="4"/>
    <s v="Percent change"/>
    <s v="Units"/>
    <x v="6"/>
    <n v="2"/>
  </r>
  <r>
    <n v="200"/>
    <x v="3"/>
    <x v="1"/>
    <x v="4"/>
    <s v="Percent change"/>
    <s v="Units"/>
    <x v="0"/>
    <n v="1.9570000000000001"/>
  </r>
  <r>
    <n v="200"/>
    <x v="3"/>
    <x v="1"/>
    <x v="4"/>
    <s v="Percent change"/>
    <s v="Units"/>
    <x v="1"/>
    <n v="-3.15"/>
  </r>
  <r>
    <n v="200"/>
    <x v="3"/>
    <x v="1"/>
    <x v="4"/>
    <s v="Percent change"/>
    <s v="Units"/>
    <x v="2"/>
    <n v="18.516999999999999"/>
  </r>
  <r>
    <n v="200"/>
    <x v="3"/>
    <x v="1"/>
    <x v="4"/>
    <s v="Percent change"/>
    <s v="Units"/>
    <x v="3"/>
    <n v="-0.16600000000000001"/>
  </r>
  <r>
    <n v="200"/>
    <x v="3"/>
    <x v="1"/>
    <x v="4"/>
    <s v="Percent change"/>
    <s v="Units"/>
    <x v="4"/>
    <n v="-0.31900000000000001"/>
  </r>
  <r>
    <n v="200"/>
    <x v="3"/>
    <x v="1"/>
    <x v="4"/>
    <s v="Percent change"/>
    <s v="Units"/>
    <x v="5"/>
    <n v="2.5179999999999998"/>
  </r>
  <r>
    <n v="200"/>
    <x v="3"/>
    <x v="1"/>
    <x v="4"/>
    <s v="Percent change"/>
    <s v="Units"/>
    <x v="6"/>
    <n v="2"/>
  </r>
  <r>
    <n v="1"/>
    <x v="2"/>
    <x v="1"/>
    <x v="4"/>
    <s v="Percent change"/>
    <s v="Units"/>
    <x v="0"/>
    <n v="1.9570000000000001"/>
  </r>
  <r>
    <n v="1"/>
    <x v="2"/>
    <x v="1"/>
    <x v="4"/>
    <s v="Percent change"/>
    <s v="Units"/>
    <x v="1"/>
    <n v="-3.15"/>
  </r>
  <r>
    <n v="1"/>
    <x v="2"/>
    <x v="1"/>
    <x v="4"/>
    <s v="Percent change"/>
    <s v="Units"/>
    <x v="2"/>
    <n v="18.516999999999999"/>
  </r>
  <r>
    <n v="1"/>
    <x v="2"/>
    <x v="1"/>
    <x v="4"/>
    <s v="Percent change"/>
    <s v="Units"/>
    <x v="3"/>
    <n v="-0.16600000000000001"/>
  </r>
  <r>
    <n v="1"/>
    <x v="2"/>
    <x v="1"/>
    <x v="4"/>
    <s v="Percent change"/>
    <s v="Units"/>
    <x v="4"/>
    <n v="-0.31900000000000001"/>
  </r>
  <r>
    <n v="1"/>
    <x v="2"/>
    <x v="1"/>
    <x v="4"/>
    <s v="Percent change"/>
    <s v="Units"/>
    <x v="5"/>
    <n v="2.5179999999999998"/>
  </r>
  <r>
    <n v="1"/>
    <x v="2"/>
    <x v="1"/>
    <x v="4"/>
    <s v="Percent change"/>
    <s v="Units"/>
    <x v="6"/>
    <n v="2"/>
  </r>
  <r>
    <n v="603"/>
    <x v="12"/>
    <x v="89"/>
    <x v="6"/>
    <s v="Percent change"/>
    <s v="Units"/>
    <x v="0"/>
    <n v="-17.015999999999998"/>
  </r>
  <r>
    <n v="603"/>
    <x v="12"/>
    <x v="89"/>
    <x v="6"/>
    <s v="Percent change"/>
    <s v="Units"/>
    <x v="1"/>
    <n v="48.438000000000002"/>
  </r>
  <r>
    <n v="603"/>
    <x v="12"/>
    <x v="89"/>
    <x v="6"/>
    <s v="Percent change"/>
    <s v="Units"/>
    <x v="2"/>
    <n v="32.652999999999999"/>
  </r>
  <r>
    <n v="603"/>
    <x v="12"/>
    <x v="89"/>
    <x v="6"/>
    <s v="Percent change"/>
    <s v="Units"/>
    <x v="3"/>
    <n v="25.547999999999998"/>
  </r>
  <r>
    <n v="603"/>
    <x v="12"/>
    <x v="89"/>
    <x v="6"/>
    <s v="Percent change"/>
    <s v="Units"/>
    <x v="4"/>
    <n v="4.7430000000000003"/>
  </r>
  <r>
    <n v="603"/>
    <x v="12"/>
    <x v="89"/>
    <x v="6"/>
    <s v="Percent change"/>
    <s v="Units"/>
    <x v="5"/>
    <n v="2.5070000000000001"/>
  </r>
  <r>
    <n v="603"/>
    <x v="12"/>
    <x v="89"/>
    <x v="6"/>
    <s v="Percent change"/>
    <s v="Units"/>
    <x v="6"/>
    <n v="4.8259999999999996"/>
  </r>
  <r>
    <n v="200"/>
    <x v="3"/>
    <x v="89"/>
    <x v="6"/>
    <s v="Percent change"/>
    <s v="Units"/>
    <x v="0"/>
    <n v="-17.015999999999998"/>
  </r>
  <r>
    <n v="200"/>
    <x v="3"/>
    <x v="89"/>
    <x v="6"/>
    <s v="Percent change"/>
    <s v="Units"/>
    <x v="1"/>
    <n v="48.438000000000002"/>
  </r>
  <r>
    <n v="200"/>
    <x v="3"/>
    <x v="89"/>
    <x v="6"/>
    <s v="Percent change"/>
    <s v="Units"/>
    <x v="2"/>
    <n v="32.652999999999999"/>
  </r>
  <r>
    <n v="200"/>
    <x v="3"/>
    <x v="89"/>
    <x v="6"/>
    <s v="Percent change"/>
    <s v="Units"/>
    <x v="3"/>
    <n v="25.547999999999998"/>
  </r>
  <r>
    <n v="200"/>
    <x v="3"/>
    <x v="89"/>
    <x v="6"/>
    <s v="Percent change"/>
    <s v="Units"/>
    <x v="4"/>
    <n v="4.7430000000000003"/>
  </r>
  <r>
    <n v="200"/>
    <x v="3"/>
    <x v="89"/>
    <x v="6"/>
    <s v="Percent change"/>
    <s v="Units"/>
    <x v="5"/>
    <n v="2.5070000000000001"/>
  </r>
  <r>
    <n v="200"/>
    <x v="3"/>
    <x v="89"/>
    <x v="6"/>
    <s v="Percent change"/>
    <s v="Units"/>
    <x v="6"/>
    <n v="4.8259999999999996"/>
  </r>
  <r>
    <n v="1"/>
    <x v="2"/>
    <x v="89"/>
    <x v="6"/>
    <s v="Percent change"/>
    <s v="Units"/>
    <x v="0"/>
    <n v="-17.015999999999998"/>
  </r>
  <r>
    <n v="1"/>
    <x v="2"/>
    <x v="89"/>
    <x v="6"/>
    <s v="Percent change"/>
    <s v="Units"/>
    <x v="1"/>
    <n v="48.438000000000002"/>
  </r>
  <r>
    <n v="1"/>
    <x v="2"/>
    <x v="89"/>
    <x v="6"/>
    <s v="Percent change"/>
    <s v="Units"/>
    <x v="2"/>
    <n v="32.652999999999999"/>
  </r>
  <r>
    <n v="1"/>
    <x v="2"/>
    <x v="89"/>
    <x v="6"/>
    <s v="Percent change"/>
    <s v="Units"/>
    <x v="3"/>
    <n v="25.547999999999998"/>
  </r>
  <r>
    <n v="1"/>
    <x v="2"/>
    <x v="89"/>
    <x v="6"/>
    <s v="Percent change"/>
    <s v="Units"/>
    <x v="4"/>
    <n v="4.7430000000000003"/>
  </r>
  <r>
    <n v="1"/>
    <x v="2"/>
    <x v="89"/>
    <x v="6"/>
    <s v="Percent change"/>
    <s v="Units"/>
    <x v="5"/>
    <n v="2.5070000000000001"/>
  </r>
  <r>
    <n v="1"/>
    <x v="2"/>
    <x v="89"/>
    <x v="6"/>
    <s v="Percent change"/>
    <s v="Units"/>
    <x v="6"/>
    <n v="4.8259999999999996"/>
  </r>
  <r>
    <n v="903"/>
    <x v="8"/>
    <x v="121"/>
    <x v="8"/>
    <s v="Percent change"/>
    <s v="Units"/>
    <x v="0"/>
    <n v="2.8860000000000001"/>
  </r>
  <r>
    <n v="903"/>
    <x v="8"/>
    <x v="121"/>
    <x v="8"/>
    <s v="Percent change"/>
    <s v="Units"/>
    <x v="1"/>
    <n v="-3.0150000000000001"/>
  </r>
  <r>
    <n v="903"/>
    <x v="8"/>
    <x v="121"/>
    <x v="8"/>
    <s v="Percent change"/>
    <s v="Units"/>
    <x v="2"/>
    <n v="7.3920000000000003"/>
  </r>
  <r>
    <n v="903"/>
    <x v="8"/>
    <x v="121"/>
    <x v="8"/>
    <s v="Percent change"/>
    <s v="Units"/>
    <x v="3"/>
    <n v="4.2270000000000003"/>
  </r>
  <r>
    <n v="903"/>
    <x v="8"/>
    <x v="121"/>
    <x v="8"/>
    <s v="Percent change"/>
    <s v="Units"/>
    <x v="4"/>
    <n v="1.8"/>
  </r>
  <r>
    <n v="903"/>
    <x v="8"/>
    <x v="121"/>
    <x v="8"/>
    <s v="Percent change"/>
    <s v="Units"/>
    <x v="5"/>
    <n v="2.5"/>
  </r>
  <r>
    <n v="903"/>
    <x v="8"/>
    <x v="121"/>
    <x v="8"/>
    <s v="Percent change"/>
    <s v="Units"/>
    <x v="6"/>
    <n v="3"/>
  </r>
  <r>
    <n v="998"/>
    <x v="6"/>
    <x v="118"/>
    <x v="9"/>
    <s v="Percent of GDP"/>
    <s v="Units"/>
    <x v="0"/>
    <n v="1.2549999999999999"/>
  </r>
  <r>
    <n v="998"/>
    <x v="6"/>
    <x v="118"/>
    <x v="9"/>
    <s v="Percent of GDP"/>
    <s v="Units"/>
    <x v="1"/>
    <n v="-5.7359999999999998"/>
  </r>
  <r>
    <n v="998"/>
    <x v="6"/>
    <x v="118"/>
    <x v="9"/>
    <s v="Percent of GDP"/>
    <s v="Units"/>
    <x v="2"/>
    <n v="-1.9339999999999999"/>
  </r>
  <r>
    <n v="998"/>
    <x v="6"/>
    <x v="118"/>
    <x v="9"/>
    <s v="Percent of GDP"/>
    <s v="Units"/>
    <x v="3"/>
    <n v="2.4380000000000002"/>
  </r>
  <r>
    <n v="998"/>
    <x v="6"/>
    <x v="118"/>
    <x v="9"/>
    <s v="Percent of GDP"/>
    <s v="Units"/>
    <x v="4"/>
    <n v="2.9449999999999998"/>
  </r>
  <r>
    <n v="998"/>
    <x v="6"/>
    <x v="118"/>
    <x v="9"/>
    <s v="Percent of GDP"/>
    <s v="Units"/>
    <x v="5"/>
    <n v="2.5"/>
  </r>
  <r>
    <n v="998"/>
    <x v="6"/>
    <x v="118"/>
    <x v="9"/>
    <s v="Percent of GDP"/>
    <s v="Units"/>
    <x v="6"/>
    <n v="2.4430000000000001"/>
  </r>
  <r>
    <n v="200"/>
    <x v="3"/>
    <x v="121"/>
    <x v="8"/>
    <s v="Percent change"/>
    <s v="Units"/>
    <x v="0"/>
    <n v="2.8860000000000001"/>
  </r>
  <r>
    <n v="200"/>
    <x v="3"/>
    <x v="121"/>
    <x v="8"/>
    <s v="Percent change"/>
    <s v="Units"/>
    <x v="1"/>
    <n v="-3.0150000000000001"/>
  </r>
  <r>
    <n v="200"/>
    <x v="3"/>
    <x v="121"/>
    <x v="8"/>
    <s v="Percent change"/>
    <s v="Units"/>
    <x v="2"/>
    <n v="7.3920000000000003"/>
  </r>
  <r>
    <n v="200"/>
    <x v="3"/>
    <x v="121"/>
    <x v="8"/>
    <s v="Percent change"/>
    <s v="Units"/>
    <x v="3"/>
    <n v="4.2270000000000003"/>
  </r>
  <r>
    <n v="200"/>
    <x v="3"/>
    <x v="121"/>
    <x v="8"/>
    <s v="Percent change"/>
    <s v="Units"/>
    <x v="4"/>
    <n v="1.8"/>
  </r>
  <r>
    <n v="200"/>
    <x v="3"/>
    <x v="121"/>
    <x v="8"/>
    <s v="Percent change"/>
    <s v="Units"/>
    <x v="5"/>
    <n v="2.5"/>
  </r>
  <r>
    <n v="200"/>
    <x v="3"/>
    <x v="121"/>
    <x v="8"/>
    <s v="Percent change"/>
    <s v="Units"/>
    <x v="6"/>
    <n v="3"/>
  </r>
  <r>
    <n v="205"/>
    <x v="7"/>
    <x v="79"/>
    <x v="8"/>
    <s v="Percent change"/>
    <s v="Units"/>
    <x v="0"/>
    <n v="3.282"/>
  </r>
  <r>
    <n v="205"/>
    <x v="7"/>
    <x v="79"/>
    <x v="8"/>
    <s v="Percent change"/>
    <s v="Units"/>
    <x v="1"/>
    <n v="-17.667999999999999"/>
  </r>
  <r>
    <n v="205"/>
    <x v="7"/>
    <x v="79"/>
    <x v="8"/>
    <s v="Percent change"/>
    <s v="Units"/>
    <x v="2"/>
    <n v="15.836"/>
  </r>
  <r>
    <n v="205"/>
    <x v="7"/>
    <x v="79"/>
    <x v="8"/>
    <s v="Percent change"/>
    <s v="Units"/>
    <x v="3"/>
    <n v="10.808999999999999"/>
  </r>
  <r>
    <n v="205"/>
    <x v="7"/>
    <x v="79"/>
    <x v="8"/>
    <s v="Percent change"/>
    <s v="Units"/>
    <x v="4"/>
    <n v="7.3170000000000002"/>
  </r>
  <r>
    <n v="205"/>
    <x v="7"/>
    <x v="79"/>
    <x v="8"/>
    <s v="Percent change"/>
    <s v="Units"/>
    <x v="5"/>
    <n v="2.5"/>
  </r>
  <r>
    <n v="205"/>
    <x v="7"/>
    <x v="79"/>
    <x v="8"/>
    <s v="Percent change"/>
    <s v="Units"/>
    <x v="6"/>
    <n v="3"/>
  </r>
  <r>
    <n v="110"/>
    <x v="0"/>
    <x v="128"/>
    <x v="11"/>
    <s v="Percent of total labor force"/>
    <s v="Units"/>
    <x v="0"/>
    <n v="3.633"/>
  </r>
  <r>
    <n v="110"/>
    <x v="0"/>
    <x v="128"/>
    <x v="11"/>
    <s v="Percent of total labor force"/>
    <s v="Units"/>
    <x v="1"/>
    <n v="4.3579999999999997"/>
  </r>
  <r>
    <n v="110"/>
    <x v="0"/>
    <x v="128"/>
    <x v="11"/>
    <s v="Percent of total labor force"/>
    <s v="Units"/>
    <x v="2"/>
    <n v="3.4079999999999999"/>
  </r>
  <r>
    <n v="110"/>
    <x v="0"/>
    <x v="128"/>
    <x v="11"/>
    <s v="Percent of total labor force"/>
    <s v="Units"/>
    <x v="3"/>
    <n v="2.9169999999999998"/>
  </r>
  <r>
    <n v="110"/>
    <x v="0"/>
    <x v="128"/>
    <x v="11"/>
    <s v="Percent of total labor force"/>
    <s v="Units"/>
    <x v="4"/>
    <n v="2.5"/>
  </r>
  <r>
    <n v="110"/>
    <x v="0"/>
    <x v="128"/>
    <x v="11"/>
    <s v="Percent of total labor force"/>
    <s v="Units"/>
    <x v="5"/>
    <n v="2.5"/>
  </r>
  <r>
    <n v="110"/>
    <x v="0"/>
    <x v="128"/>
    <x v="11"/>
    <s v="Percent of total labor force"/>
    <s v="Units"/>
    <x v="6"/>
    <n v="2.5"/>
  </r>
  <r>
    <n v="110"/>
    <x v="0"/>
    <x v="3"/>
    <x v="11"/>
    <s v="Percent of total labor force"/>
    <s v="Units"/>
    <x v="0"/>
    <n v="2.3580000000000001"/>
  </r>
  <r>
    <n v="110"/>
    <x v="0"/>
    <x v="3"/>
    <x v="11"/>
    <s v="Percent of total labor force"/>
    <s v="Units"/>
    <x v="1"/>
    <n v="2.7829999999999999"/>
  </r>
  <r>
    <n v="110"/>
    <x v="0"/>
    <x v="3"/>
    <x v="11"/>
    <s v="Percent of total labor force"/>
    <s v="Units"/>
    <x v="2"/>
    <n v="2.8079999999999998"/>
  </r>
  <r>
    <n v="110"/>
    <x v="0"/>
    <x v="3"/>
    <x v="11"/>
    <s v="Percent of total labor force"/>
    <s v="Units"/>
    <x v="3"/>
    <n v="2.5920000000000001"/>
  </r>
  <r>
    <n v="110"/>
    <x v="0"/>
    <x v="3"/>
    <x v="11"/>
    <s v="Percent of total labor force"/>
    <s v="Units"/>
    <x v="4"/>
    <n v="2.5670000000000002"/>
  </r>
  <r>
    <n v="110"/>
    <x v="0"/>
    <x v="3"/>
    <x v="11"/>
    <s v="Percent of total labor force"/>
    <s v="Units"/>
    <x v="5"/>
    <n v="2.5"/>
  </r>
  <r>
    <n v="110"/>
    <x v="0"/>
    <x v="3"/>
    <x v="11"/>
    <s v="Percent of total labor force"/>
    <s v="Units"/>
    <x v="6"/>
    <n v="2.5"/>
  </r>
  <r>
    <n v="1"/>
    <x v="2"/>
    <x v="79"/>
    <x v="8"/>
    <s v="Percent change"/>
    <s v="Units"/>
    <x v="0"/>
    <n v="3.282"/>
  </r>
  <r>
    <n v="1"/>
    <x v="2"/>
    <x v="79"/>
    <x v="8"/>
    <s v="Percent change"/>
    <s v="Units"/>
    <x v="1"/>
    <n v="-17.667999999999999"/>
  </r>
  <r>
    <n v="1"/>
    <x v="2"/>
    <x v="79"/>
    <x v="8"/>
    <s v="Percent change"/>
    <s v="Units"/>
    <x v="2"/>
    <n v="15.836"/>
  </r>
  <r>
    <n v="1"/>
    <x v="2"/>
    <x v="79"/>
    <x v="8"/>
    <s v="Percent change"/>
    <s v="Units"/>
    <x v="3"/>
    <n v="10.808999999999999"/>
  </r>
  <r>
    <n v="1"/>
    <x v="2"/>
    <x v="79"/>
    <x v="8"/>
    <s v="Percent change"/>
    <s v="Units"/>
    <x v="4"/>
    <n v="7.3170000000000002"/>
  </r>
  <r>
    <n v="1"/>
    <x v="2"/>
    <x v="79"/>
    <x v="8"/>
    <s v="Percent change"/>
    <s v="Units"/>
    <x v="5"/>
    <n v="2.5"/>
  </r>
  <r>
    <n v="1"/>
    <x v="2"/>
    <x v="79"/>
    <x v="8"/>
    <s v="Percent change"/>
    <s v="Units"/>
    <x v="6"/>
    <n v="3"/>
  </r>
  <r>
    <n v="163"/>
    <x v="5"/>
    <x v="118"/>
    <x v="9"/>
    <s v="Percent of GDP"/>
    <s v="Units"/>
    <x v="0"/>
    <n v="1.2549999999999999"/>
  </r>
  <r>
    <n v="163"/>
    <x v="5"/>
    <x v="118"/>
    <x v="9"/>
    <s v="Percent of GDP"/>
    <s v="Units"/>
    <x v="1"/>
    <n v="-5.7359999999999998"/>
  </r>
  <r>
    <n v="163"/>
    <x v="5"/>
    <x v="118"/>
    <x v="9"/>
    <s v="Percent of GDP"/>
    <s v="Units"/>
    <x v="2"/>
    <n v="-1.9339999999999999"/>
  </r>
  <r>
    <n v="163"/>
    <x v="5"/>
    <x v="118"/>
    <x v="9"/>
    <s v="Percent of GDP"/>
    <s v="Units"/>
    <x v="3"/>
    <n v="2.4380000000000002"/>
  </r>
  <r>
    <n v="163"/>
    <x v="5"/>
    <x v="118"/>
    <x v="9"/>
    <s v="Percent of GDP"/>
    <s v="Units"/>
    <x v="4"/>
    <n v="2.9449999999999998"/>
  </r>
  <r>
    <n v="163"/>
    <x v="5"/>
    <x v="118"/>
    <x v="9"/>
    <s v="Percent of GDP"/>
    <s v="Units"/>
    <x v="5"/>
    <n v="2.5"/>
  </r>
  <r>
    <n v="163"/>
    <x v="5"/>
    <x v="118"/>
    <x v="9"/>
    <s v="Percent of GDP"/>
    <s v="Units"/>
    <x v="6"/>
    <n v="2.4430000000000001"/>
  </r>
  <r>
    <n v="110"/>
    <x v="0"/>
    <x v="118"/>
    <x v="9"/>
    <s v="Percent of GDP"/>
    <s v="Units"/>
    <x v="0"/>
    <n v="1.2549999999999999"/>
  </r>
  <r>
    <n v="110"/>
    <x v="0"/>
    <x v="118"/>
    <x v="9"/>
    <s v="Percent of GDP"/>
    <s v="Units"/>
    <x v="1"/>
    <n v="-5.7359999999999998"/>
  </r>
  <r>
    <n v="110"/>
    <x v="0"/>
    <x v="118"/>
    <x v="9"/>
    <s v="Percent of GDP"/>
    <s v="Units"/>
    <x v="2"/>
    <n v="-1.9339999999999999"/>
  </r>
  <r>
    <n v="110"/>
    <x v="0"/>
    <x v="118"/>
    <x v="9"/>
    <s v="Percent of GDP"/>
    <s v="Units"/>
    <x v="3"/>
    <n v="2.4380000000000002"/>
  </r>
  <r>
    <n v="110"/>
    <x v="0"/>
    <x v="118"/>
    <x v="9"/>
    <s v="Percent of GDP"/>
    <s v="Units"/>
    <x v="4"/>
    <n v="2.9449999999999998"/>
  </r>
  <r>
    <n v="110"/>
    <x v="0"/>
    <x v="118"/>
    <x v="9"/>
    <s v="Percent of GDP"/>
    <s v="Units"/>
    <x v="5"/>
    <n v="2.5"/>
  </r>
  <r>
    <n v="110"/>
    <x v="0"/>
    <x v="118"/>
    <x v="9"/>
    <s v="Percent of GDP"/>
    <s v="Units"/>
    <x v="6"/>
    <n v="2.4430000000000001"/>
  </r>
  <r>
    <n v="163"/>
    <x v="5"/>
    <x v="128"/>
    <x v="11"/>
    <s v="Percent of total labor force"/>
    <s v="Units"/>
    <x v="0"/>
    <n v="3.633"/>
  </r>
  <r>
    <n v="163"/>
    <x v="5"/>
    <x v="128"/>
    <x v="11"/>
    <s v="Percent of total labor force"/>
    <s v="Units"/>
    <x v="1"/>
    <n v="4.3579999999999997"/>
  </r>
  <r>
    <n v="163"/>
    <x v="5"/>
    <x v="128"/>
    <x v="11"/>
    <s v="Percent of total labor force"/>
    <s v="Units"/>
    <x v="2"/>
    <n v="3.4079999999999999"/>
  </r>
  <r>
    <n v="163"/>
    <x v="5"/>
    <x v="128"/>
    <x v="11"/>
    <s v="Percent of total labor force"/>
    <s v="Units"/>
    <x v="3"/>
    <n v="2.9169999999999998"/>
  </r>
  <r>
    <n v="163"/>
    <x v="5"/>
    <x v="128"/>
    <x v="11"/>
    <s v="Percent of total labor force"/>
    <s v="Units"/>
    <x v="4"/>
    <n v="2.5"/>
  </r>
  <r>
    <n v="163"/>
    <x v="5"/>
    <x v="128"/>
    <x v="11"/>
    <s v="Percent of total labor force"/>
    <s v="Units"/>
    <x v="5"/>
    <n v="2.5"/>
  </r>
  <r>
    <n v="163"/>
    <x v="5"/>
    <x v="128"/>
    <x v="11"/>
    <s v="Percent of total labor force"/>
    <s v="Units"/>
    <x v="6"/>
    <n v="2.5"/>
  </r>
  <r>
    <n v="200"/>
    <x v="3"/>
    <x v="79"/>
    <x v="8"/>
    <s v="Percent change"/>
    <s v="Units"/>
    <x v="0"/>
    <n v="3.282"/>
  </r>
  <r>
    <n v="200"/>
    <x v="3"/>
    <x v="79"/>
    <x v="8"/>
    <s v="Percent change"/>
    <s v="Units"/>
    <x v="1"/>
    <n v="-17.667999999999999"/>
  </r>
  <r>
    <n v="200"/>
    <x v="3"/>
    <x v="79"/>
    <x v="8"/>
    <s v="Percent change"/>
    <s v="Units"/>
    <x v="2"/>
    <n v="15.836"/>
  </r>
  <r>
    <n v="200"/>
    <x v="3"/>
    <x v="79"/>
    <x v="8"/>
    <s v="Percent change"/>
    <s v="Units"/>
    <x v="3"/>
    <n v="10.808999999999999"/>
  </r>
  <r>
    <n v="200"/>
    <x v="3"/>
    <x v="79"/>
    <x v="8"/>
    <s v="Percent change"/>
    <s v="Units"/>
    <x v="4"/>
    <n v="7.3170000000000002"/>
  </r>
  <r>
    <n v="200"/>
    <x v="3"/>
    <x v="79"/>
    <x v="8"/>
    <s v="Percent change"/>
    <s v="Units"/>
    <x v="5"/>
    <n v="2.5"/>
  </r>
  <r>
    <n v="200"/>
    <x v="3"/>
    <x v="79"/>
    <x v="8"/>
    <s v="Percent change"/>
    <s v="Units"/>
    <x v="6"/>
    <n v="3"/>
  </r>
  <r>
    <n v="119"/>
    <x v="1"/>
    <x v="3"/>
    <x v="11"/>
    <s v="Percent of total labor force"/>
    <s v="Units"/>
    <x v="0"/>
    <n v="2.3580000000000001"/>
  </r>
  <r>
    <n v="119"/>
    <x v="1"/>
    <x v="3"/>
    <x v="11"/>
    <s v="Percent of total labor force"/>
    <s v="Units"/>
    <x v="1"/>
    <n v="2.7829999999999999"/>
  </r>
  <r>
    <n v="119"/>
    <x v="1"/>
    <x v="3"/>
    <x v="11"/>
    <s v="Percent of total labor force"/>
    <s v="Units"/>
    <x v="2"/>
    <n v="2.8079999999999998"/>
  </r>
  <r>
    <n v="119"/>
    <x v="1"/>
    <x v="3"/>
    <x v="11"/>
    <s v="Percent of total labor force"/>
    <s v="Units"/>
    <x v="3"/>
    <n v="2.5920000000000001"/>
  </r>
  <r>
    <n v="119"/>
    <x v="1"/>
    <x v="3"/>
    <x v="11"/>
    <s v="Percent of total labor force"/>
    <s v="Units"/>
    <x v="4"/>
    <n v="2.5670000000000002"/>
  </r>
  <r>
    <n v="119"/>
    <x v="1"/>
    <x v="3"/>
    <x v="11"/>
    <s v="Percent of total labor force"/>
    <s v="Units"/>
    <x v="5"/>
    <n v="2.5"/>
  </r>
  <r>
    <n v="119"/>
    <x v="1"/>
    <x v="3"/>
    <x v="11"/>
    <s v="Percent of total labor force"/>
    <s v="Units"/>
    <x v="6"/>
    <n v="2.5"/>
  </r>
  <r>
    <n v="1"/>
    <x v="2"/>
    <x v="121"/>
    <x v="8"/>
    <s v="Percent change"/>
    <s v="Units"/>
    <x v="0"/>
    <n v="2.8860000000000001"/>
  </r>
  <r>
    <n v="1"/>
    <x v="2"/>
    <x v="121"/>
    <x v="8"/>
    <s v="Percent change"/>
    <s v="Units"/>
    <x v="1"/>
    <n v="-3.0150000000000001"/>
  </r>
  <r>
    <n v="1"/>
    <x v="2"/>
    <x v="121"/>
    <x v="8"/>
    <s v="Percent change"/>
    <s v="Units"/>
    <x v="2"/>
    <n v="7.3920000000000003"/>
  </r>
  <r>
    <n v="1"/>
    <x v="2"/>
    <x v="121"/>
    <x v="8"/>
    <s v="Percent change"/>
    <s v="Units"/>
    <x v="3"/>
    <n v="4.2270000000000003"/>
  </r>
  <r>
    <n v="1"/>
    <x v="2"/>
    <x v="121"/>
    <x v="8"/>
    <s v="Percent change"/>
    <s v="Units"/>
    <x v="4"/>
    <n v="1.8"/>
  </r>
  <r>
    <n v="1"/>
    <x v="2"/>
    <x v="121"/>
    <x v="8"/>
    <s v="Percent change"/>
    <s v="Units"/>
    <x v="5"/>
    <n v="2.5"/>
  </r>
  <r>
    <n v="1"/>
    <x v="2"/>
    <x v="121"/>
    <x v="8"/>
    <s v="Percent change"/>
    <s v="Units"/>
    <x v="6"/>
    <n v="3"/>
  </r>
  <r>
    <n v="110"/>
    <x v="0"/>
    <x v="53"/>
    <x v="6"/>
    <s v="Percent change"/>
    <s v="Units"/>
    <x v="0"/>
    <n v="1.1599999999999999"/>
  </r>
  <r>
    <n v="110"/>
    <x v="0"/>
    <x v="53"/>
    <x v="6"/>
    <s v="Percent change"/>
    <s v="Units"/>
    <x v="1"/>
    <n v="-1.454"/>
  </r>
  <r>
    <n v="110"/>
    <x v="0"/>
    <x v="53"/>
    <x v="6"/>
    <s v="Percent change"/>
    <s v="Units"/>
    <x v="2"/>
    <n v="8.9749999999999996"/>
  </r>
  <r>
    <n v="110"/>
    <x v="0"/>
    <x v="53"/>
    <x v="6"/>
    <s v="Percent change"/>
    <s v="Units"/>
    <x v="3"/>
    <n v="3.4129999999999998"/>
  </r>
  <r>
    <n v="110"/>
    <x v="0"/>
    <x v="53"/>
    <x v="6"/>
    <s v="Percent change"/>
    <s v="Units"/>
    <x v="4"/>
    <n v="-1.4630000000000001"/>
  </r>
  <r>
    <n v="110"/>
    <x v="0"/>
    <x v="53"/>
    <x v="6"/>
    <s v="Percent change"/>
    <s v="Units"/>
    <x v="5"/>
    <n v="2.4969999999999999"/>
  </r>
  <r>
    <n v="110"/>
    <x v="0"/>
    <x v="53"/>
    <x v="6"/>
    <s v="Percent change"/>
    <s v="Units"/>
    <x v="6"/>
    <n v="2.9489999999999998"/>
  </r>
  <r>
    <n v="163"/>
    <x v="5"/>
    <x v="53"/>
    <x v="6"/>
    <s v="Percent change"/>
    <s v="Units"/>
    <x v="0"/>
    <n v="1.1599999999999999"/>
  </r>
  <r>
    <n v="163"/>
    <x v="5"/>
    <x v="53"/>
    <x v="6"/>
    <s v="Percent change"/>
    <s v="Units"/>
    <x v="1"/>
    <n v="-1.454"/>
  </r>
  <r>
    <n v="163"/>
    <x v="5"/>
    <x v="53"/>
    <x v="6"/>
    <s v="Percent change"/>
    <s v="Units"/>
    <x v="2"/>
    <n v="8.9749999999999996"/>
  </r>
  <r>
    <n v="163"/>
    <x v="5"/>
    <x v="53"/>
    <x v="6"/>
    <s v="Percent change"/>
    <s v="Units"/>
    <x v="3"/>
    <n v="3.4129999999999998"/>
  </r>
  <r>
    <n v="163"/>
    <x v="5"/>
    <x v="53"/>
    <x v="6"/>
    <s v="Percent change"/>
    <s v="Units"/>
    <x v="4"/>
    <n v="-1.4630000000000001"/>
  </r>
  <r>
    <n v="163"/>
    <x v="5"/>
    <x v="53"/>
    <x v="6"/>
    <s v="Percent change"/>
    <s v="Units"/>
    <x v="5"/>
    <n v="2.4969999999999999"/>
  </r>
  <r>
    <n v="163"/>
    <x v="5"/>
    <x v="53"/>
    <x v="6"/>
    <s v="Percent change"/>
    <s v="Units"/>
    <x v="6"/>
    <n v="2.9489999999999998"/>
  </r>
  <r>
    <n v="1"/>
    <x v="2"/>
    <x v="53"/>
    <x v="6"/>
    <s v="Percent change"/>
    <s v="Units"/>
    <x v="0"/>
    <n v="1.1599999999999999"/>
  </r>
  <r>
    <n v="1"/>
    <x v="2"/>
    <x v="53"/>
    <x v="6"/>
    <s v="Percent change"/>
    <s v="Units"/>
    <x v="1"/>
    <n v="-1.454"/>
  </r>
  <r>
    <n v="1"/>
    <x v="2"/>
    <x v="53"/>
    <x v="6"/>
    <s v="Percent change"/>
    <s v="Units"/>
    <x v="2"/>
    <n v="8.9749999999999996"/>
  </r>
  <r>
    <n v="1"/>
    <x v="2"/>
    <x v="53"/>
    <x v="6"/>
    <s v="Percent change"/>
    <s v="Units"/>
    <x v="3"/>
    <n v="3.4129999999999998"/>
  </r>
  <r>
    <n v="1"/>
    <x v="2"/>
    <x v="53"/>
    <x v="6"/>
    <s v="Percent change"/>
    <s v="Units"/>
    <x v="4"/>
    <n v="-1.4630000000000001"/>
  </r>
  <r>
    <n v="1"/>
    <x v="2"/>
    <x v="53"/>
    <x v="6"/>
    <s v="Percent change"/>
    <s v="Units"/>
    <x v="5"/>
    <n v="2.4969999999999999"/>
  </r>
  <r>
    <n v="1"/>
    <x v="2"/>
    <x v="53"/>
    <x v="6"/>
    <s v="Percent change"/>
    <s v="Units"/>
    <x v="6"/>
    <n v="2.9489999999999998"/>
  </r>
  <r>
    <n v="110"/>
    <x v="0"/>
    <x v="24"/>
    <x v="6"/>
    <s v="Percent change"/>
    <s v="Units"/>
    <x v="0"/>
    <n v="42.323"/>
  </r>
  <r>
    <n v="110"/>
    <x v="0"/>
    <x v="24"/>
    <x v="6"/>
    <s v="Percent change"/>
    <s v="Units"/>
    <x v="1"/>
    <n v="-1.7290000000000001"/>
  </r>
  <r>
    <n v="110"/>
    <x v="0"/>
    <x v="24"/>
    <x v="6"/>
    <s v="Percent change"/>
    <s v="Units"/>
    <x v="2"/>
    <n v="-7.5069999999999997"/>
  </r>
  <r>
    <n v="110"/>
    <x v="0"/>
    <x v="24"/>
    <x v="6"/>
    <s v="Percent change"/>
    <s v="Units"/>
    <x v="3"/>
    <n v="15.901"/>
  </r>
  <r>
    <n v="110"/>
    <x v="0"/>
    <x v="24"/>
    <x v="6"/>
    <s v="Percent change"/>
    <s v="Units"/>
    <x v="4"/>
    <n v="0.40600000000000003"/>
  </r>
  <r>
    <n v="110"/>
    <x v="0"/>
    <x v="24"/>
    <x v="6"/>
    <s v="Percent change"/>
    <s v="Units"/>
    <x v="5"/>
    <n v="2.4700000000000002"/>
  </r>
  <r>
    <n v="110"/>
    <x v="0"/>
    <x v="24"/>
    <x v="6"/>
    <s v="Percent change"/>
    <s v="Units"/>
    <x v="6"/>
    <n v="3.5"/>
  </r>
  <r>
    <n v="163"/>
    <x v="5"/>
    <x v="24"/>
    <x v="6"/>
    <s v="Percent change"/>
    <s v="Units"/>
    <x v="0"/>
    <n v="42.323"/>
  </r>
  <r>
    <n v="163"/>
    <x v="5"/>
    <x v="24"/>
    <x v="6"/>
    <s v="Percent change"/>
    <s v="Units"/>
    <x v="1"/>
    <n v="-1.7290000000000001"/>
  </r>
  <r>
    <n v="163"/>
    <x v="5"/>
    <x v="24"/>
    <x v="6"/>
    <s v="Percent change"/>
    <s v="Units"/>
    <x v="2"/>
    <n v="-7.5069999999999997"/>
  </r>
  <r>
    <n v="163"/>
    <x v="5"/>
    <x v="24"/>
    <x v="6"/>
    <s v="Percent change"/>
    <s v="Units"/>
    <x v="3"/>
    <n v="15.901"/>
  </r>
  <r>
    <n v="163"/>
    <x v="5"/>
    <x v="24"/>
    <x v="6"/>
    <s v="Percent change"/>
    <s v="Units"/>
    <x v="4"/>
    <n v="0.40600000000000003"/>
  </r>
  <r>
    <n v="163"/>
    <x v="5"/>
    <x v="24"/>
    <x v="6"/>
    <s v="Percent change"/>
    <s v="Units"/>
    <x v="5"/>
    <n v="2.4700000000000002"/>
  </r>
  <r>
    <n v="163"/>
    <x v="5"/>
    <x v="24"/>
    <x v="6"/>
    <s v="Percent change"/>
    <s v="Units"/>
    <x v="6"/>
    <n v="3.5"/>
  </r>
  <r>
    <n v="1"/>
    <x v="2"/>
    <x v="24"/>
    <x v="6"/>
    <s v="Percent change"/>
    <s v="Units"/>
    <x v="0"/>
    <n v="42.323"/>
  </r>
  <r>
    <n v="1"/>
    <x v="2"/>
    <x v="24"/>
    <x v="6"/>
    <s v="Percent change"/>
    <s v="Units"/>
    <x v="1"/>
    <n v="-1.7290000000000001"/>
  </r>
  <r>
    <n v="1"/>
    <x v="2"/>
    <x v="24"/>
    <x v="6"/>
    <s v="Percent change"/>
    <s v="Units"/>
    <x v="2"/>
    <n v="-7.5069999999999997"/>
  </r>
  <r>
    <n v="1"/>
    <x v="2"/>
    <x v="24"/>
    <x v="6"/>
    <s v="Percent change"/>
    <s v="Units"/>
    <x v="3"/>
    <n v="15.901"/>
  </r>
  <r>
    <n v="1"/>
    <x v="2"/>
    <x v="24"/>
    <x v="6"/>
    <s v="Percent change"/>
    <s v="Units"/>
    <x v="4"/>
    <n v="0.40600000000000003"/>
  </r>
  <r>
    <n v="1"/>
    <x v="2"/>
    <x v="24"/>
    <x v="6"/>
    <s v="Percent change"/>
    <s v="Units"/>
    <x v="5"/>
    <n v="2.4700000000000002"/>
  </r>
  <r>
    <n v="1"/>
    <x v="2"/>
    <x v="24"/>
    <x v="6"/>
    <s v="Percent change"/>
    <s v="Units"/>
    <x v="6"/>
    <n v="3.5"/>
  </r>
  <r>
    <n v="1"/>
    <x v="2"/>
    <x v="124"/>
    <x v="1"/>
    <s v="Percent change"/>
    <s v="Units"/>
    <x v="0"/>
    <n v="-0.33100000000000002"/>
  </r>
  <r>
    <n v="1"/>
    <x v="2"/>
    <x v="124"/>
    <x v="1"/>
    <s v="Percent change"/>
    <s v="Units"/>
    <x v="1"/>
    <n v="-1.177"/>
  </r>
  <r>
    <n v="1"/>
    <x v="2"/>
    <x v="124"/>
    <x v="1"/>
    <s v="Percent change"/>
    <s v="Units"/>
    <x v="2"/>
    <n v="1.206"/>
  </r>
  <r>
    <n v="1"/>
    <x v="2"/>
    <x v="124"/>
    <x v="1"/>
    <s v="Percent change"/>
    <s v="Units"/>
    <x v="3"/>
    <n v="2.669"/>
  </r>
  <r>
    <n v="1"/>
    <x v="2"/>
    <x v="124"/>
    <x v="1"/>
    <s v="Percent change"/>
    <s v="Units"/>
    <x v="4"/>
    <n v="3.6110000000000002"/>
  </r>
  <r>
    <n v="1"/>
    <x v="2"/>
    <x v="124"/>
    <x v="1"/>
    <s v="Percent change"/>
    <s v="Units"/>
    <x v="5"/>
    <n v="2.46"/>
  </r>
  <r>
    <n v="1"/>
    <x v="2"/>
    <x v="124"/>
    <x v="1"/>
    <s v="Percent change"/>
    <s v="Units"/>
    <x v="6"/>
    <n v="2.2229999999999999"/>
  </r>
  <r>
    <n v="200"/>
    <x v="3"/>
    <x v="124"/>
    <x v="1"/>
    <s v="Percent change"/>
    <s v="Units"/>
    <x v="0"/>
    <n v="-0.33100000000000002"/>
  </r>
  <r>
    <n v="200"/>
    <x v="3"/>
    <x v="124"/>
    <x v="1"/>
    <s v="Percent change"/>
    <s v="Units"/>
    <x v="1"/>
    <n v="-1.177"/>
  </r>
  <r>
    <n v="200"/>
    <x v="3"/>
    <x v="124"/>
    <x v="1"/>
    <s v="Percent change"/>
    <s v="Units"/>
    <x v="2"/>
    <n v="1.206"/>
  </r>
  <r>
    <n v="200"/>
    <x v="3"/>
    <x v="124"/>
    <x v="1"/>
    <s v="Percent change"/>
    <s v="Units"/>
    <x v="3"/>
    <n v="2.669"/>
  </r>
  <r>
    <n v="200"/>
    <x v="3"/>
    <x v="124"/>
    <x v="1"/>
    <s v="Percent change"/>
    <s v="Units"/>
    <x v="4"/>
    <n v="3.6110000000000002"/>
  </r>
  <r>
    <n v="200"/>
    <x v="3"/>
    <x v="124"/>
    <x v="1"/>
    <s v="Percent change"/>
    <s v="Units"/>
    <x v="5"/>
    <n v="2.46"/>
  </r>
  <r>
    <n v="200"/>
    <x v="3"/>
    <x v="124"/>
    <x v="1"/>
    <s v="Percent change"/>
    <s v="Units"/>
    <x v="6"/>
    <n v="2.2229999999999999"/>
  </r>
  <r>
    <n v="205"/>
    <x v="7"/>
    <x v="124"/>
    <x v="1"/>
    <s v="Percent change"/>
    <s v="Units"/>
    <x v="0"/>
    <n v="-0.33100000000000002"/>
  </r>
  <r>
    <n v="205"/>
    <x v="7"/>
    <x v="124"/>
    <x v="1"/>
    <s v="Percent change"/>
    <s v="Units"/>
    <x v="1"/>
    <n v="-1.177"/>
  </r>
  <r>
    <n v="205"/>
    <x v="7"/>
    <x v="124"/>
    <x v="1"/>
    <s v="Percent change"/>
    <s v="Units"/>
    <x v="2"/>
    <n v="1.206"/>
  </r>
  <r>
    <n v="205"/>
    <x v="7"/>
    <x v="124"/>
    <x v="1"/>
    <s v="Percent change"/>
    <s v="Units"/>
    <x v="3"/>
    <n v="2.669"/>
  </r>
  <r>
    <n v="205"/>
    <x v="7"/>
    <x v="124"/>
    <x v="1"/>
    <s v="Percent change"/>
    <s v="Units"/>
    <x v="4"/>
    <n v="3.6110000000000002"/>
  </r>
  <r>
    <n v="205"/>
    <x v="7"/>
    <x v="124"/>
    <x v="1"/>
    <s v="Percent change"/>
    <s v="Units"/>
    <x v="5"/>
    <n v="2.46"/>
  </r>
  <r>
    <n v="205"/>
    <x v="7"/>
    <x v="124"/>
    <x v="1"/>
    <s v="Percent change"/>
    <s v="Units"/>
    <x v="6"/>
    <n v="2.2229999999999999"/>
  </r>
  <r>
    <n v="110"/>
    <x v="0"/>
    <x v="5"/>
    <x v="1"/>
    <s v="Percent change"/>
    <s v="Units"/>
    <x v="0"/>
    <n v="1.7909999999999999"/>
  </r>
  <r>
    <n v="110"/>
    <x v="0"/>
    <x v="5"/>
    <x v="1"/>
    <s v="Percent change"/>
    <s v="Units"/>
    <x v="1"/>
    <n v="0.85099999999999998"/>
  </r>
  <r>
    <n v="110"/>
    <x v="0"/>
    <x v="5"/>
    <x v="1"/>
    <s v="Percent change"/>
    <s v="Units"/>
    <x v="2"/>
    <n v="2.5880000000000001"/>
  </r>
  <r>
    <n v="110"/>
    <x v="0"/>
    <x v="5"/>
    <x v="1"/>
    <s v="Percent change"/>
    <s v="Units"/>
    <x v="3"/>
    <n v="9.0670000000000002"/>
  </r>
  <r>
    <n v="110"/>
    <x v="0"/>
    <x v="5"/>
    <x v="1"/>
    <s v="Percent change"/>
    <s v="Units"/>
    <x v="4"/>
    <n v="7.306"/>
  </r>
  <r>
    <n v="110"/>
    <x v="0"/>
    <x v="5"/>
    <x v="1"/>
    <s v="Percent change"/>
    <s v="Units"/>
    <x v="5"/>
    <n v="2.4529999999999998"/>
  </r>
  <r>
    <n v="110"/>
    <x v="0"/>
    <x v="5"/>
    <x v="1"/>
    <s v="Percent change"/>
    <s v="Units"/>
    <x v="6"/>
    <n v="2.0099999999999998"/>
  </r>
  <r>
    <n v="119"/>
    <x v="1"/>
    <x v="5"/>
    <x v="1"/>
    <s v="Percent change"/>
    <s v="Units"/>
    <x v="0"/>
    <n v="1.7909999999999999"/>
  </r>
  <r>
    <n v="119"/>
    <x v="1"/>
    <x v="5"/>
    <x v="1"/>
    <s v="Percent change"/>
    <s v="Units"/>
    <x v="1"/>
    <n v="0.85099999999999998"/>
  </r>
  <r>
    <n v="119"/>
    <x v="1"/>
    <x v="5"/>
    <x v="1"/>
    <s v="Percent change"/>
    <s v="Units"/>
    <x v="2"/>
    <n v="2.5880000000000001"/>
  </r>
  <r>
    <n v="119"/>
    <x v="1"/>
    <x v="5"/>
    <x v="1"/>
    <s v="Percent change"/>
    <s v="Units"/>
    <x v="3"/>
    <n v="9.0670000000000002"/>
  </r>
  <r>
    <n v="119"/>
    <x v="1"/>
    <x v="5"/>
    <x v="1"/>
    <s v="Percent change"/>
    <s v="Units"/>
    <x v="4"/>
    <n v="7.306"/>
  </r>
  <r>
    <n v="119"/>
    <x v="1"/>
    <x v="5"/>
    <x v="1"/>
    <s v="Percent change"/>
    <s v="Units"/>
    <x v="5"/>
    <n v="2.4529999999999998"/>
  </r>
  <r>
    <n v="119"/>
    <x v="1"/>
    <x v="5"/>
    <x v="1"/>
    <s v="Percent change"/>
    <s v="Units"/>
    <x v="6"/>
    <n v="2.0099999999999998"/>
  </r>
  <r>
    <n v="205"/>
    <x v="7"/>
    <x v="109"/>
    <x v="6"/>
    <s v="Percent change"/>
    <s v="Units"/>
    <x v="0"/>
    <n v="-8.7590000000000003"/>
  </r>
  <r>
    <n v="205"/>
    <x v="7"/>
    <x v="109"/>
    <x v="6"/>
    <s v="Percent change"/>
    <s v="Units"/>
    <x v="1"/>
    <n v="-21.542999999999999"/>
  </r>
  <r>
    <n v="205"/>
    <x v="7"/>
    <x v="109"/>
    <x v="6"/>
    <s v="Percent change"/>
    <s v="Units"/>
    <x v="2"/>
    <n v="21.187000000000001"/>
  </r>
  <r>
    <n v="205"/>
    <x v="7"/>
    <x v="109"/>
    <x v="6"/>
    <s v="Percent change"/>
    <s v="Units"/>
    <x v="3"/>
    <n v="5.343"/>
  </r>
  <r>
    <n v="205"/>
    <x v="7"/>
    <x v="109"/>
    <x v="6"/>
    <s v="Percent change"/>
    <s v="Units"/>
    <x v="4"/>
    <n v="9.6660000000000004"/>
  </r>
  <r>
    <n v="205"/>
    <x v="7"/>
    <x v="109"/>
    <x v="6"/>
    <s v="Percent change"/>
    <s v="Units"/>
    <x v="5"/>
    <n v="2.4529999999999998"/>
  </r>
  <r>
    <n v="205"/>
    <x v="7"/>
    <x v="109"/>
    <x v="6"/>
    <s v="Percent change"/>
    <s v="Units"/>
    <x v="6"/>
    <n v="2.0230000000000001"/>
  </r>
  <r>
    <n v="1"/>
    <x v="2"/>
    <x v="5"/>
    <x v="1"/>
    <s v="Percent change"/>
    <s v="Units"/>
    <x v="0"/>
    <n v="1.7909999999999999"/>
  </r>
  <r>
    <n v="1"/>
    <x v="2"/>
    <x v="5"/>
    <x v="1"/>
    <s v="Percent change"/>
    <s v="Units"/>
    <x v="1"/>
    <n v="0.85099999999999998"/>
  </r>
  <r>
    <n v="1"/>
    <x v="2"/>
    <x v="5"/>
    <x v="1"/>
    <s v="Percent change"/>
    <s v="Units"/>
    <x v="2"/>
    <n v="2.5880000000000001"/>
  </r>
  <r>
    <n v="1"/>
    <x v="2"/>
    <x v="5"/>
    <x v="1"/>
    <s v="Percent change"/>
    <s v="Units"/>
    <x v="3"/>
    <n v="9.0670000000000002"/>
  </r>
  <r>
    <n v="1"/>
    <x v="2"/>
    <x v="5"/>
    <x v="1"/>
    <s v="Percent change"/>
    <s v="Units"/>
    <x v="4"/>
    <n v="7.306"/>
  </r>
  <r>
    <n v="1"/>
    <x v="2"/>
    <x v="5"/>
    <x v="1"/>
    <s v="Percent change"/>
    <s v="Units"/>
    <x v="5"/>
    <n v="2.4529999999999998"/>
  </r>
  <r>
    <n v="1"/>
    <x v="2"/>
    <x v="5"/>
    <x v="1"/>
    <s v="Percent change"/>
    <s v="Units"/>
    <x v="6"/>
    <n v="2.0099999999999998"/>
  </r>
  <r>
    <n v="1"/>
    <x v="2"/>
    <x v="109"/>
    <x v="6"/>
    <s v="Percent change"/>
    <s v="Units"/>
    <x v="0"/>
    <n v="-8.7590000000000003"/>
  </r>
  <r>
    <n v="1"/>
    <x v="2"/>
    <x v="109"/>
    <x v="6"/>
    <s v="Percent change"/>
    <s v="Units"/>
    <x v="1"/>
    <n v="-21.542999999999999"/>
  </r>
  <r>
    <n v="1"/>
    <x v="2"/>
    <x v="109"/>
    <x v="6"/>
    <s v="Percent change"/>
    <s v="Units"/>
    <x v="2"/>
    <n v="21.187000000000001"/>
  </r>
  <r>
    <n v="1"/>
    <x v="2"/>
    <x v="109"/>
    <x v="6"/>
    <s v="Percent change"/>
    <s v="Units"/>
    <x v="3"/>
    <n v="5.343"/>
  </r>
  <r>
    <n v="1"/>
    <x v="2"/>
    <x v="109"/>
    <x v="6"/>
    <s v="Percent change"/>
    <s v="Units"/>
    <x v="4"/>
    <n v="9.6660000000000004"/>
  </r>
  <r>
    <n v="1"/>
    <x v="2"/>
    <x v="109"/>
    <x v="6"/>
    <s v="Percent change"/>
    <s v="Units"/>
    <x v="5"/>
    <n v="2.4529999999999998"/>
  </r>
  <r>
    <n v="1"/>
    <x v="2"/>
    <x v="109"/>
    <x v="6"/>
    <s v="Percent change"/>
    <s v="Units"/>
    <x v="6"/>
    <n v="2.0230000000000001"/>
  </r>
  <r>
    <n v="200"/>
    <x v="3"/>
    <x v="109"/>
    <x v="6"/>
    <s v="Percent change"/>
    <s v="Units"/>
    <x v="0"/>
    <n v="-8.7590000000000003"/>
  </r>
  <r>
    <n v="200"/>
    <x v="3"/>
    <x v="109"/>
    <x v="6"/>
    <s v="Percent change"/>
    <s v="Units"/>
    <x v="1"/>
    <n v="-21.542999999999999"/>
  </r>
  <r>
    <n v="200"/>
    <x v="3"/>
    <x v="109"/>
    <x v="6"/>
    <s v="Percent change"/>
    <s v="Units"/>
    <x v="2"/>
    <n v="21.187000000000001"/>
  </r>
  <r>
    <n v="200"/>
    <x v="3"/>
    <x v="109"/>
    <x v="6"/>
    <s v="Percent change"/>
    <s v="Units"/>
    <x v="3"/>
    <n v="5.343"/>
  </r>
  <r>
    <n v="200"/>
    <x v="3"/>
    <x v="109"/>
    <x v="6"/>
    <s v="Percent change"/>
    <s v="Units"/>
    <x v="4"/>
    <n v="9.6660000000000004"/>
  </r>
  <r>
    <n v="200"/>
    <x v="3"/>
    <x v="109"/>
    <x v="6"/>
    <s v="Percent change"/>
    <s v="Units"/>
    <x v="5"/>
    <n v="2.4529999999999998"/>
  </r>
  <r>
    <n v="200"/>
    <x v="3"/>
    <x v="109"/>
    <x v="6"/>
    <s v="Percent change"/>
    <s v="Units"/>
    <x v="6"/>
    <n v="2.0230000000000001"/>
  </r>
  <r>
    <n v="1"/>
    <x v="2"/>
    <x v="133"/>
    <x v="6"/>
    <s v="Percent change"/>
    <s v="Units"/>
    <x v="0"/>
    <n v="4.8"/>
  </r>
  <r>
    <n v="1"/>
    <x v="2"/>
    <x v="133"/>
    <x v="6"/>
    <s v="Percent change"/>
    <s v="Units"/>
    <x v="1"/>
    <n v="-0.503"/>
  </r>
  <r>
    <n v="1"/>
    <x v="2"/>
    <x v="133"/>
    <x v="6"/>
    <s v="Percent change"/>
    <s v="Units"/>
    <x v="2"/>
    <n v="9.6820000000000004"/>
  </r>
  <r>
    <n v="1"/>
    <x v="2"/>
    <x v="133"/>
    <x v="6"/>
    <s v="Percent change"/>
    <s v="Units"/>
    <x v="3"/>
    <n v="6.4550000000000001"/>
  </r>
  <r>
    <n v="1"/>
    <x v="2"/>
    <x v="133"/>
    <x v="6"/>
    <s v="Percent change"/>
    <s v="Units"/>
    <x v="4"/>
    <n v="0.16700000000000001"/>
  </r>
  <r>
    <n v="1"/>
    <x v="2"/>
    <x v="133"/>
    <x v="6"/>
    <s v="Percent change"/>
    <s v="Units"/>
    <x v="5"/>
    <n v="2.452"/>
  </r>
  <r>
    <n v="1"/>
    <x v="2"/>
    <x v="133"/>
    <x v="6"/>
    <s v="Percent change"/>
    <s v="Units"/>
    <x v="6"/>
    <n v="7.01"/>
  </r>
  <r>
    <n v="200"/>
    <x v="3"/>
    <x v="133"/>
    <x v="6"/>
    <s v="Percent change"/>
    <s v="Units"/>
    <x v="0"/>
    <n v="4.8"/>
  </r>
  <r>
    <n v="200"/>
    <x v="3"/>
    <x v="133"/>
    <x v="6"/>
    <s v="Percent change"/>
    <s v="Units"/>
    <x v="1"/>
    <n v="-0.503"/>
  </r>
  <r>
    <n v="200"/>
    <x v="3"/>
    <x v="133"/>
    <x v="6"/>
    <s v="Percent change"/>
    <s v="Units"/>
    <x v="2"/>
    <n v="9.6820000000000004"/>
  </r>
  <r>
    <n v="200"/>
    <x v="3"/>
    <x v="133"/>
    <x v="6"/>
    <s v="Percent change"/>
    <s v="Units"/>
    <x v="3"/>
    <n v="6.4550000000000001"/>
  </r>
  <r>
    <n v="200"/>
    <x v="3"/>
    <x v="133"/>
    <x v="6"/>
    <s v="Percent change"/>
    <s v="Units"/>
    <x v="4"/>
    <n v="0.16700000000000001"/>
  </r>
  <r>
    <n v="200"/>
    <x v="3"/>
    <x v="133"/>
    <x v="6"/>
    <s v="Percent change"/>
    <s v="Units"/>
    <x v="5"/>
    <n v="2.452"/>
  </r>
  <r>
    <n v="200"/>
    <x v="3"/>
    <x v="133"/>
    <x v="6"/>
    <s v="Percent change"/>
    <s v="Units"/>
    <x v="6"/>
    <n v="7.01"/>
  </r>
  <r>
    <n v="903"/>
    <x v="8"/>
    <x v="133"/>
    <x v="6"/>
    <s v="Percent change"/>
    <s v="Units"/>
    <x v="0"/>
    <n v="4.8"/>
  </r>
  <r>
    <n v="903"/>
    <x v="8"/>
    <x v="133"/>
    <x v="6"/>
    <s v="Percent change"/>
    <s v="Units"/>
    <x v="1"/>
    <n v="-0.503"/>
  </r>
  <r>
    <n v="903"/>
    <x v="8"/>
    <x v="133"/>
    <x v="6"/>
    <s v="Percent change"/>
    <s v="Units"/>
    <x v="2"/>
    <n v="9.6820000000000004"/>
  </r>
  <r>
    <n v="903"/>
    <x v="8"/>
    <x v="133"/>
    <x v="6"/>
    <s v="Percent change"/>
    <s v="Units"/>
    <x v="3"/>
    <n v="6.4550000000000001"/>
  </r>
  <r>
    <n v="903"/>
    <x v="8"/>
    <x v="133"/>
    <x v="6"/>
    <s v="Percent change"/>
    <s v="Units"/>
    <x v="4"/>
    <n v="0.16700000000000001"/>
  </r>
  <r>
    <n v="903"/>
    <x v="8"/>
    <x v="133"/>
    <x v="6"/>
    <s v="Percent change"/>
    <s v="Units"/>
    <x v="5"/>
    <n v="2.452"/>
  </r>
  <r>
    <n v="903"/>
    <x v="8"/>
    <x v="133"/>
    <x v="6"/>
    <s v="Percent change"/>
    <s v="Units"/>
    <x v="6"/>
    <n v="7.01"/>
  </r>
  <r>
    <n v="1"/>
    <x v="2"/>
    <x v="28"/>
    <x v="1"/>
    <s v="Percent change"/>
    <s v="Units"/>
    <x v="0"/>
    <n v="0.84199999999999997"/>
  </r>
  <r>
    <n v="1"/>
    <x v="2"/>
    <x v="28"/>
    <x v="1"/>
    <s v="Percent change"/>
    <s v="Units"/>
    <x v="1"/>
    <n v="-0.58699999999999997"/>
  </r>
  <r>
    <n v="1"/>
    <x v="2"/>
    <x v="28"/>
    <x v="1"/>
    <s v="Percent change"/>
    <s v="Units"/>
    <x v="2"/>
    <n v="1.492"/>
  </r>
  <r>
    <n v="1"/>
    <x v="2"/>
    <x v="28"/>
    <x v="1"/>
    <s v="Percent change"/>
    <s v="Units"/>
    <x v="3"/>
    <n v="4.3949999999999996"/>
  </r>
  <r>
    <n v="1"/>
    <x v="2"/>
    <x v="28"/>
    <x v="1"/>
    <s v="Percent change"/>
    <s v="Units"/>
    <x v="4"/>
    <n v="4.2080000000000002"/>
  </r>
  <r>
    <n v="1"/>
    <x v="2"/>
    <x v="28"/>
    <x v="1"/>
    <s v="Percent change"/>
    <s v="Units"/>
    <x v="5"/>
    <n v="2.448"/>
  </r>
  <r>
    <n v="1"/>
    <x v="2"/>
    <x v="28"/>
    <x v="1"/>
    <s v="Percent change"/>
    <s v="Units"/>
    <x v="6"/>
    <n v="2.5470000000000002"/>
  </r>
  <r>
    <n v="123"/>
    <x v="9"/>
    <x v="28"/>
    <x v="1"/>
    <s v="Percent change"/>
    <s v="Units"/>
    <x v="0"/>
    <n v="0.84199999999999997"/>
  </r>
  <r>
    <n v="123"/>
    <x v="9"/>
    <x v="28"/>
    <x v="1"/>
    <s v="Percent change"/>
    <s v="Units"/>
    <x v="1"/>
    <n v="-0.58699999999999997"/>
  </r>
  <r>
    <n v="123"/>
    <x v="9"/>
    <x v="28"/>
    <x v="1"/>
    <s v="Percent change"/>
    <s v="Units"/>
    <x v="2"/>
    <n v="1.492"/>
  </r>
  <r>
    <n v="123"/>
    <x v="9"/>
    <x v="28"/>
    <x v="1"/>
    <s v="Percent change"/>
    <s v="Units"/>
    <x v="3"/>
    <n v="4.3949999999999996"/>
  </r>
  <r>
    <n v="123"/>
    <x v="9"/>
    <x v="28"/>
    <x v="1"/>
    <s v="Percent change"/>
    <s v="Units"/>
    <x v="4"/>
    <n v="4.2080000000000002"/>
  </r>
  <r>
    <n v="123"/>
    <x v="9"/>
    <x v="28"/>
    <x v="1"/>
    <s v="Percent change"/>
    <s v="Units"/>
    <x v="5"/>
    <n v="2.448"/>
  </r>
  <r>
    <n v="123"/>
    <x v="9"/>
    <x v="28"/>
    <x v="1"/>
    <s v="Percent change"/>
    <s v="Units"/>
    <x v="6"/>
    <n v="2.5470000000000002"/>
  </r>
  <r>
    <n v="110"/>
    <x v="0"/>
    <x v="28"/>
    <x v="1"/>
    <s v="Percent change"/>
    <s v="Units"/>
    <x v="0"/>
    <n v="0.84199999999999997"/>
  </r>
  <r>
    <n v="110"/>
    <x v="0"/>
    <x v="28"/>
    <x v="1"/>
    <s v="Percent change"/>
    <s v="Units"/>
    <x v="1"/>
    <n v="-0.58699999999999997"/>
  </r>
  <r>
    <n v="110"/>
    <x v="0"/>
    <x v="28"/>
    <x v="1"/>
    <s v="Percent change"/>
    <s v="Units"/>
    <x v="2"/>
    <n v="1.492"/>
  </r>
  <r>
    <n v="110"/>
    <x v="0"/>
    <x v="28"/>
    <x v="1"/>
    <s v="Percent change"/>
    <s v="Units"/>
    <x v="3"/>
    <n v="4.3949999999999996"/>
  </r>
  <r>
    <n v="110"/>
    <x v="0"/>
    <x v="28"/>
    <x v="1"/>
    <s v="Percent change"/>
    <s v="Units"/>
    <x v="4"/>
    <n v="4.2080000000000002"/>
  </r>
  <r>
    <n v="110"/>
    <x v="0"/>
    <x v="28"/>
    <x v="1"/>
    <s v="Percent change"/>
    <s v="Units"/>
    <x v="5"/>
    <n v="2.448"/>
  </r>
  <r>
    <n v="110"/>
    <x v="0"/>
    <x v="28"/>
    <x v="1"/>
    <s v="Percent change"/>
    <s v="Units"/>
    <x v="6"/>
    <n v="2.5470000000000002"/>
  </r>
  <r>
    <n v="1"/>
    <x v="2"/>
    <x v="178"/>
    <x v="8"/>
    <s v="Percent change"/>
    <s v="Units"/>
    <x v="0"/>
    <n v="-0.2"/>
  </r>
  <r>
    <n v="1"/>
    <x v="2"/>
    <x v="178"/>
    <x v="8"/>
    <s v="Percent change"/>
    <s v="Units"/>
    <x v="1"/>
    <n v="-23.585999999999999"/>
  </r>
  <r>
    <n v="1"/>
    <x v="2"/>
    <x v="178"/>
    <x v="8"/>
    <s v="Percent change"/>
    <s v="Units"/>
    <x v="2"/>
    <n v="11.315"/>
  </r>
  <r>
    <n v="1"/>
    <x v="2"/>
    <x v="178"/>
    <x v="8"/>
    <s v="Percent change"/>
    <s v="Units"/>
    <x v="3"/>
    <n v="15.673999999999999"/>
  </r>
  <r>
    <n v="1"/>
    <x v="2"/>
    <x v="178"/>
    <x v="8"/>
    <s v="Percent change"/>
    <s v="Units"/>
    <x v="4"/>
    <n v="3.0230000000000001"/>
  </r>
  <r>
    <n v="1"/>
    <x v="2"/>
    <x v="178"/>
    <x v="8"/>
    <s v="Percent change"/>
    <s v="Units"/>
    <x v="5"/>
    <n v="2.4420000000000002"/>
  </r>
  <r>
    <n v="1"/>
    <x v="2"/>
    <x v="178"/>
    <x v="8"/>
    <s v="Percent change"/>
    <s v="Units"/>
    <x v="6"/>
    <n v="2.1120000000000001"/>
  </r>
  <r>
    <n v="205"/>
    <x v="7"/>
    <x v="178"/>
    <x v="8"/>
    <s v="Percent change"/>
    <s v="Units"/>
    <x v="0"/>
    <n v="-0.2"/>
  </r>
  <r>
    <n v="205"/>
    <x v="7"/>
    <x v="178"/>
    <x v="8"/>
    <s v="Percent change"/>
    <s v="Units"/>
    <x v="1"/>
    <n v="-23.585999999999999"/>
  </r>
  <r>
    <n v="205"/>
    <x v="7"/>
    <x v="178"/>
    <x v="8"/>
    <s v="Percent change"/>
    <s v="Units"/>
    <x v="2"/>
    <n v="11.315"/>
  </r>
  <r>
    <n v="205"/>
    <x v="7"/>
    <x v="178"/>
    <x v="8"/>
    <s v="Percent change"/>
    <s v="Units"/>
    <x v="3"/>
    <n v="15.673999999999999"/>
  </r>
  <r>
    <n v="205"/>
    <x v="7"/>
    <x v="178"/>
    <x v="8"/>
    <s v="Percent change"/>
    <s v="Units"/>
    <x v="4"/>
    <n v="3.0230000000000001"/>
  </r>
  <r>
    <n v="205"/>
    <x v="7"/>
    <x v="178"/>
    <x v="8"/>
    <s v="Percent change"/>
    <s v="Units"/>
    <x v="5"/>
    <n v="2.4420000000000002"/>
  </r>
  <r>
    <n v="205"/>
    <x v="7"/>
    <x v="178"/>
    <x v="8"/>
    <s v="Percent change"/>
    <s v="Units"/>
    <x v="6"/>
    <n v="2.1120000000000001"/>
  </r>
  <r>
    <n v="200"/>
    <x v="3"/>
    <x v="178"/>
    <x v="8"/>
    <s v="Percent change"/>
    <s v="Units"/>
    <x v="0"/>
    <n v="-0.2"/>
  </r>
  <r>
    <n v="200"/>
    <x v="3"/>
    <x v="178"/>
    <x v="8"/>
    <s v="Percent change"/>
    <s v="Units"/>
    <x v="1"/>
    <n v="-23.585999999999999"/>
  </r>
  <r>
    <n v="200"/>
    <x v="3"/>
    <x v="178"/>
    <x v="8"/>
    <s v="Percent change"/>
    <s v="Units"/>
    <x v="2"/>
    <n v="11.315"/>
  </r>
  <r>
    <n v="200"/>
    <x v="3"/>
    <x v="178"/>
    <x v="8"/>
    <s v="Percent change"/>
    <s v="Units"/>
    <x v="3"/>
    <n v="15.673999999999999"/>
  </r>
  <r>
    <n v="200"/>
    <x v="3"/>
    <x v="178"/>
    <x v="8"/>
    <s v="Percent change"/>
    <s v="Units"/>
    <x v="4"/>
    <n v="3.0230000000000001"/>
  </r>
  <r>
    <n v="200"/>
    <x v="3"/>
    <x v="178"/>
    <x v="8"/>
    <s v="Percent change"/>
    <s v="Units"/>
    <x v="5"/>
    <n v="2.4420000000000002"/>
  </r>
  <r>
    <n v="200"/>
    <x v="3"/>
    <x v="178"/>
    <x v="8"/>
    <s v="Percent change"/>
    <s v="Units"/>
    <x v="6"/>
    <n v="2.1120000000000001"/>
  </r>
  <r>
    <n v="200"/>
    <x v="3"/>
    <x v="29"/>
    <x v="4"/>
    <s v="Percent change"/>
    <s v="Units"/>
    <x v="0"/>
    <n v="-0.217"/>
  </r>
  <r>
    <n v="200"/>
    <x v="3"/>
    <x v="29"/>
    <x v="4"/>
    <s v="Percent change"/>
    <s v="Units"/>
    <x v="1"/>
    <n v="-8.4570000000000007"/>
  </r>
  <r>
    <n v="200"/>
    <x v="3"/>
    <x v="29"/>
    <x v="4"/>
    <s v="Percent change"/>
    <s v="Units"/>
    <x v="2"/>
    <n v="1.4039999999999999"/>
  </r>
  <r>
    <n v="200"/>
    <x v="3"/>
    <x v="29"/>
    <x v="4"/>
    <s v="Percent change"/>
    <s v="Units"/>
    <x v="3"/>
    <n v="6.2460000000000004"/>
  </r>
  <r>
    <n v="200"/>
    <x v="3"/>
    <x v="29"/>
    <x v="4"/>
    <s v="Percent change"/>
    <s v="Units"/>
    <x v="4"/>
    <n v="9.9280000000000008"/>
  </r>
  <r>
    <n v="200"/>
    <x v="3"/>
    <x v="29"/>
    <x v="4"/>
    <s v="Percent change"/>
    <s v="Units"/>
    <x v="5"/>
    <n v="2.44"/>
  </r>
  <r>
    <n v="200"/>
    <x v="3"/>
    <x v="29"/>
    <x v="4"/>
    <s v="Percent change"/>
    <s v="Units"/>
    <x v="6"/>
    <n v="3.8159999999999998"/>
  </r>
  <r>
    <n v="1"/>
    <x v="2"/>
    <x v="29"/>
    <x v="4"/>
    <s v="Percent change"/>
    <s v="Units"/>
    <x v="0"/>
    <n v="-0.217"/>
  </r>
  <r>
    <n v="1"/>
    <x v="2"/>
    <x v="29"/>
    <x v="4"/>
    <s v="Percent change"/>
    <s v="Units"/>
    <x v="1"/>
    <n v="-8.4570000000000007"/>
  </r>
  <r>
    <n v="1"/>
    <x v="2"/>
    <x v="29"/>
    <x v="4"/>
    <s v="Percent change"/>
    <s v="Units"/>
    <x v="2"/>
    <n v="1.4039999999999999"/>
  </r>
  <r>
    <n v="1"/>
    <x v="2"/>
    <x v="29"/>
    <x v="4"/>
    <s v="Percent change"/>
    <s v="Units"/>
    <x v="3"/>
    <n v="6.2460000000000004"/>
  </r>
  <r>
    <n v="1"/>
    <x v="2"/>
    <x v="29"/>
    <x v="4"/>
    <s v="Percent change"/>
    <s v="Units"/>
    <x v="4"/>
    <n v="9.9280000000000008"/>
  </r>
  <r>
    <n v="1"/>
    <x v="2"/>
    <x v="29"/>
    <x v="4"/>
    <s v="Percent change"/>
    <s v="Units"/>
    <x v="5"/>
    <n v="2.44"/>
  </r>
  <r>
    <n v="1"/>
    <x v="2"/>
    <x v="29"/>
    <x v="4"/>
    <s v="Percent change"/>
    <s v="Units"/>
    <x v="6"/>
    <n v="3.8159999999999998"/>
  </r>
  <r>
    <n v="400"/>
    <x v="11"/>
    <x v="29"/>
    <x v="4"/>
    <s v="Percent change"/>
    <s v="Units"/>
    <x v="0"/>
    <n v="-0.217"/>
  </r>
  <r>
    <n v="400"/>
    <x v="11"/>
    <x v="29"/>
    <x v="4"/>
    <s v="Percent change"/>
    <s v="Units"/>
    <x v="1"/>
    <n v="-8.4570000000000007"/>
  </r>
  <r>
    <n v="400"/>
    <x v="11"/>
    <x v="29"/>
    <x v="4"/>
    <s v="Percent change"/>
    <s v="Units"/>
    <x v="2"/>
    <n v="1.4039999999999999"/>
  </r>
  <r>
    <n v="400"/>
    <x v="11"/>
    <x v="29"/>
    <x v="4"/>
    <s v="Percent change"/>
    <s v="Units"/>
    <x v="3"/>
    <n v="6.2460000000000004"/>
  </r>
  <r>
    <n v="400"/>
    <x v="11"/>
    <x v="29"/>
    <x v="4"/>
    <s v="Percent change"/>
    <s v="Units"/>
    <x v="4"/>
    <n v="9.9280000000000008"/>
  </r>
  <r>
    <n v="400"/>
    <x v="11"/>
    <x v="29"/>
    <x v="4"/>
    <s v="Percent change"/>
    <s v="Units"/>
    <x v="5"/>
    <n v="2.44"/>
  </r>
  <r>
    <n v="400"/>
    <x v="11"/>
    <x v="29"/>
    <x v="4"/>
    <s v="Percent change"/>
    <s v="Units"/>
    <x v="6"/>
    <n v="3.8159999999999998"/>
  </r>
  <r>
    <n v="119"/>
    <x v="1"/>
    <x v="6"/>
    <x v="1"/>
    <s v="Percent change"/>
    <s v="Units"/>
    <x v="0"/>
    <n v="1.2969999999999999"/>
  </r>
  <r>
    <n v="119"/>
    <x v="1"/>
    <x v="6"/>
    <x v="1"/>
    <s v="Percent change"/>
    <s v="Units"/>
    <x v="1"/>
    <n v="0.52700000000000002"/>
  </r>
  <r>
    <n v="119"/>
    <x v="1"/>
    <x v="6"/>
    <x v="1"/>
    <s v="Percent change"/>
    <s v="Units"/>
    <x v="2"/>
    <n v="2.0680000000000001"/>
  </r>
  <r>
    <n v="119"/>
    <x v="1"/>
    <x v="6"/>
    <x v="1"/>
    <s v="Percent change"/>
    <s v="Units"/>
    <x v="3"/>
    <n v="5.9029999999999996"/>
  </r>
  <r>
    <n v="119"/>
    <x v="1"/>
    <x v="6"/>
    <x v="1"/>
    <s v="Percent change"/>
    <s v="Units"/>
    <x v="4"/>
    <n v="5.6619999999999999"/>
  </r>
  <r>
    <n v="119"/>
    <x v="1"/>
    <x v="6"/>
    <x v="1"/>
    <s v="Percent change"/>
    <s v="Units"/>
    <x v="5"/>
    <n v="2.4169999999999998"/>
  </r>
  <r>
    <n v="119"/>
    <x v="1"/>
    <x v="6"/>
    <x v="1"/>
    <s v="Percent change"/>
    <s v="Units"/>
    <x v="6"/>
    <n v="1.792"/>
  </r>
  <r>
    <n v="1"/>
    <x v="2"/>
    <x v="6"/>
    <x v="1"/>
    <s v="Percent change"/>
    <s v="Units"/>
    <x v="0"/>
    <n v="1.2969999999999999"/>
  </r>
  <r>
    <n v="1"/>
    <x v="2"/>
    <x v="6"/>
    <x v="1"/>
    <s v="Percent change"/>
    <s v="Units"/>
    <x v="1"/>
    <n v="0.52700000000000002"/>
  </r>
  <r>
    <n v="1"/>
    <x v="2"/>
    <x v="6"/>
    <x v="1"/>
    <s v="Percent change"/>
    <s v="Units"/>
    <x v="2"/>
    <n v="2.0680000000000001"/>
  </r>
  <r>
    <n v="1"/>
    <x v="2"/>
    <x v="6"/>
    <x v="1"/>
    <s v="Percent change"/>
    <s v="Units"/>
    <x v="3"/>
    <n v="5.9029999999999996"/>
  </r>
  <r>
    <n v="1"/>
    <x v="2"/>
    <x v="6"/>
    <x v="1"/>
    <s v="Percent change"/>
    <s v="Units"/>
    <x v="4"/>
    <n v="5.6619999999999999"/>
  </r>
  <r>
    <n v="1"/>
    <x v="2"/>
    <x v="6"/>
    <x v="1"/>
    <s v="Percent change"/>
    <s v="Units"/>
    <x v="5"/>
    <n v="2.4169999999999998"/>
  </r>
  <r>
    <n v="1"/>
    <x v="2"/>
    <x v="6"/>
    <x v="1"/>
    <s v="Percent change"/>
    <s v="Units"/>
    <x v="6"/>
    <n v="1.792"/>
  </r>
  <r>
    <n v="163"/>
    <x v="5"/>
    <x v="6"/>
    <x v="1"/>
    <s v="Percent change"/>
    <s v="Units"/>
    <x v="0"/>
    <n v="1.2969999999999999"/>
  </r>
  <r>
    <n v="163"/>
    <x v="5"/>
    <x v="6"/>
    <x v="1"/>
    <s v="Percent change"/>
    <s v="Units"/>
    <x v="1"/>
    <n v="0.52700000000000002"/>
  </r>
  <r>
    <n v="163"/>
    <x v="5"/>
    <x v="6"/>
    <x v="1"/>
    <s v="Percent change"/>
    <s v="Units"/>
    <x v="2"/>
    <n v="2.0680000000000001"/>
  </r>
  <r>
    <n v="163"/>
    <x v="5"/>
    <x v="6"/>
    <x v="1"/>
    <s v="Percent change"/>
    <s v="Units"/>
    <x v="3"/>
    <n v="5.9029999999999996"/>
  </r>
  <r>
    <n v="163"/>
    <x v="5"/>
    <x v="6"/>
    <x v="1"/>
    <s v="Percent change"/>
    <s v="Units"/>
    <x v="4"/>
    <n v="5.6619999999999999"/>
  </r>
  <r>
    <n v="163"/>
    <x v="5"/>
    <x v="6"/>
    <x v="1"/>
    <s v="Percent change"/>
    <s v="Units"/>
    <x v="5"/>
    <n v="2.4169999999999998"/>
  </r>
  <r>
    <n v="163"/>
    <x v="5"/>
    <x v="6"/>
    <x v="1"/>
    <s v="Percent change"/>
    <s v="Units"/>
    <x v="6"/>
    <n v="1.792"/>
  </r>
  <r>
    <n v="998"/>
    <x v="6"/>
    <x v="6"/>
    <x v="1"/>
    <s v="Percent change"/>
    <s v="Units"/>
    <x v="0"/>
    <n v="1.2969999999999999"/>
  </r>
  <r>
    <n v="998"/>
    <x v="6"/>
    <x v="6"/>
    <x v="1"/>
    <s v="Percent change"/>
    <s v="Units"/>
    <x v="1"/>
    <n v="0.52700000000000002"/>
  </r>
  <r>
    <n v="998"/>
    <x v="6"/>
    <x v="6"/>
    <x v="1"/>
    <s v="Percent change"/>
    <s v="Units"/>
    <x v="2"/>
    <n v="2.0680000000000001"/>
  </r>
  <r>
    <n v="998"/>
    <x v="6"/>
    <x v="6"/>
    <x v="1"/>
    <s v="Percent change"/>
    <s v="Units"/>
    <x v="3"/>
    <n v="5.9029999999999996"/>
  </r>
  <r>
    <n v="998"/>
    <x v="6"/>
    <x v="6"/>
    <x v="1"/>
    <s v="Percent change"/>
    <s v="Units"/>
    <x v="4"/>
    <n v="5.6619999999999999"/>
  </r>
  <r>
    <n v="998"/>
    <x v="6"/>
    <x v="6"/>
    <x v="1"/>
    <s v="Percent change"/>
    <s v="Units"/>
    <x v="5"/>
    <n v="2.4169999999999998"/>
  </r>
  <r>
    <n v="998"/>
    <x v="6"/>
    <x v="6"/>
    <x v="1"/>
    <s v="Percent change"/>
    <s v="Units"/>
    <x v="6"/>
    <n v="1.792"/>
  </r>
  <r>
    <n v="110"/>
    <x v="0"/>
    <x v="6"/>
    <x v="1"/>
    <s v="Percent change"/>
    <s v="Units"/>
    <x v="0"/>
    <n v="1.2969999999999999"/>
  </r>
  <r>
    <n v="110"/>
    <x v="0"/>
    <x v="6"/>
    <x v="1"/>
    <s v="Percent change"/>
    <s v="Units"/>
    <x v="1"/>
    <n v="0.52700000000000002"/>
  </r>
  <r>
    <n v="110"/>
    <x v="0"/>
    <x v="6"/>
    <x v="1"/>
    <s v="Percent change"/>
    <s v="Units"/>
    <x v="2"/>
    <n v="2.0680000000000001"/>
  </r>
  <r>
    <n v="110"/>
    <x v="0"/>
    <x v="6"/>
    <x v="1"/>
    <s v="Percent change"/>
    <s v="Units"/>
    <x v="3"/>
    <n v="5.9029999999999996"/>
  </r>
  <r>
    <n v="110"/>
    <x v="0"/>
    <x v="6"/>
    <x v="1"/>
    <s v="Percent change"/>
    <s v="Units"/>
    <x v="4"/>
    <n v="5.6619999999999999"/>
  </r>
  <r>
    <n v="110"/>
    <x v="0"/>
    <x v="6"/>
    <x v="1"/>
    <s v="Percent change"/>
    <s v="Units"/>
    <x v="5"/>
    <n v="2.4169999999999998"/>
  </r>
  <r>
    <n v="110"/>
    <x v="0"/>
    <x v="6"/>
    <x v="1"/>
    <s v="Percent change"/>
    <s v="Units"/>
    <x v="6"/>
    <n v="1.792"/>
  </r>
  <r>
    <n v="998"/>
    <x v="6"/>
    <x v="2"/>
    <x v="1"/>
    <s v="Percent change"/>
    <s v="Units"/>
    <x v="0"/>
    <n v="1.3540000000000001"/>
  </r>
  <r>
    <n v="998"/>
    <x v="6"/>
    <x v="2"/>
    <x v="1"/>
    <s v="Percent change"/>
    <s v="Units"/>
    <x v="1"/>
    <n v="0.371"/>
  </r>
  <r>
    <n v="998"/>
    <x v="6"/>
    <x v="2"/>
    <x v="1"/>
    <s v="Percent change"/>
    <s v="Units"/>
    <x v="2"/>
    <n v="3.2120000000000002"/>
  </r>
  <r>
    <n v="998"/>
    <x v="6"/>
    <x v="2"/>
    <x v="1"/>
    <s v="Percent change"/>
    <s v="Units"/>
    <x v="3"/>
    <n v="8.6660000000000004"/>
  </r>
  <r>
    <n v="998"/>
    <x v="6"/>
    <x v="2"/>
    <x v="1"/>
    <s v="Percent change"/>
    <s v="Units"/>
    <x v="4"/>
    <n v="6.03"/>
  </r>
  <r>
    <n v="998"/>
    <x v="6"/>
    <x v="2"/>
    <x v="1"/>
    <s v="Percent change"/>
    <s v="Units"/>
    <x v="5"/>
    <n v="2.4060000000000001"/>
  </r>
  <r>
    <n v="998"/>
    <x v="6"/>
    <x v="2"/>
    <x v="1"/>
    <s v="Percent change"/>
    <s v="Units"/>
    <x v="6"/>
    <n v="2.0190000000000001"/>
  </r>
  <r>
    <n v="110"/>
    <x v="0"/>
    <x v="2"/>
    <x v="1"/>
    <s v="Percent change"/>
    <s v="Units"/>
    <x v="0"/>
    <n v="1.3540000000000001"/>
  </r>
  <r>
    <n v="110"/>
    <x v="0"/>
    <x v="2"/>
    <x v="1"/>
    <s v="Percent change"/>
    <s v="Units"/>
    <x v="1"/>
    <n v="0.371"/>
  </r>
  <r>
    <n v="110"/>
    <x v="0"/>
    <x v="2"/>
    <x v="1"/>
    <s v="Percent change"/>
    <s v="Units"/>
    <x v="2"/>
    <n v="3.2120000000000002"/>
  </r>
  <r>
    <n v="110"/>
    <x v="0"/>
    <x v="2"/>
    <x v="1"/>
    <s v="Percent change"/>
    <s v="Units"/>
    <x v="3"/>
    <n v="8.6660000000000004"/>
  </r>
  <r>
    <n v="110"/>
    <x v="0"/>
    <x v="2"/>
    <x v="1"/>
    <s v="Percent change"/>
    <s v="Units"/>
    <x v="4"/>
    <n v="6.03"/>
  </r>
  <r>
    <n v="110"/>
    <x v="0"/>
    <x v="2"/>
    <x v="1"/>
    <s v="Percent change"/>
    <s v="Units"/>
    <x v="5"/>
    <n v="2.4060000000000001"/>
  </r>
  <r>
    <n v="110"/>
    <x v="0"/>
    <x v="2"/>
    <x v="1"/>
    <s v="Percent change"/>
    <s v="Units"/>
    <x v="6"/>
    <n v="2.0190000000000001"/>
  </r>
  <r>
    <n v="119"/>
    <x v="1"/>
    <x v="2"/>
    <x v="1"/>
    <s v="Percent change"/>
    <s v="Units"/>
    <x v="0"/>
    <n v="1.3540000000000001"/>
  </r>
  <r>
    <n v="119"/>
    <x v="1"/>
    <x v="2"/>
    <x v="1"/>
    <s v="Percent change"/>
    <s v="Units"/>
    <x v="1"/>
    <n v="0.371"/>
  </r>
  <r>
    <n v="119"/>
    <x v="1"/>
    <x v="2"/>
    <x v="1"/>
    <s v="Percent change"/>
    <s v="Units"/>
    <x v="2"/>
    <n v="3.2120000000000002"/>
  </r>
  <r>
    <n v="119"/>
    <x v="1"/>
    <x v="2"/>
    <x v="1"/>
    <s v="Percent change"/>
    <s v="Units"/>
    <x v="3"/>
    <n v="8.6660000000000004"/>
  </r>
  <r>
    <n v="119"/>
    <x v="1"/>
    <x v="2"/>
    <x v="1"/>
    <s v="Percent change"/>
    <s v="Units"/>
    <x v="4"/>
    <n v="6.03"/>
  </r>
  <r>
    <n v="119"/>
    <x v="1"/>
    <x v="2"/>
    <x v="1"/>
    <s v="Percent change"/>
    <s v="Units"/>
    <x v="5"/>
    <n v="2.4060000000000001"/>
  </r>
  <r>
    <n v="119"/>
    <x v="1"/>
    <x v="2"/>
    <x v="1"/>
    <s v="Percent change"/>
    <s v="Units"/>
    <x v="6"/>
    <n v="2.0190000000000001"/>
  </r>
  <r>
    <n v="163"/>
    <x v="5"/>
    <x v="2"/>
    <x v="1"/>
    <s v="Percent change"/>
    <s v="Units"/>
    <x v="0"/>
    <n v="1.3540000000000001"/>
  </r>
  <r>
    <n v="163"/>
    <x v="5"/>
    <x v="2"/>
    <x v="1"/>
    <s v="Percent change"/>
    <s v="Units"/>
    <x v="1"/>
    <n v="0.371"/>
  </r>
  <r>
    <n v="163"/>
    <x v="5"/>
    <x v="2"/>
    <x v="1"/>
    <s v="Percent change"/>
    <s v="Units"/>
    <x v="2"/>
    <n v="3.2120000000000002"/>
  </r>
  <r>
    <n v="163"/>
    <x v="5"/>
    <x v="2"/>
    <x v="1"/>
    <s v="Percent change"/>
    <s v="Units"/>
    <x v="3"/>
    <n v="8.6660000000000004"/>
  </r>
  <r>
    <n v="163"/>
    <x v="5"/>
    <x v="2"/>
    <x v="1"/>
    <s v="Percent change"/>
    <s v="Units"/>
    <x v="4"/>
    <n v="6.03"/>
  </r>
  <r>
    <n v="163"/>
    <x v="5"/>
    <x v="2"/>
    <x v="1"/>
    <s v="Percent change"/>
    <s v="Units"/>
    <x v="5"/>
    <n v="2.4060000000000001"/>
  </r>
  <r>
    <n v="163"/>
    <x v="5"/>
    <x v="2"/>
    <x v="1"/>
    <s v="Percent change"/>
    <s v="Units"/>
    <x v="6"/>
    <n v="2.0190000000000001"/>
  </r>
  <r>
    <n v="1"/>
    <x v="2"/>
    <x v="2"/>
    <x v="1"/>
    <s v="Percent change"/>
    <s v="Units"/>
    <x v="0"/>
    <n v="1.3540000000000001"/>
  </r>
  <r>
    <n v="1"/>
    <x v="2"/>
    <x v="2"/>
    <x v="1"/>
    <s v="Percent change"/>
    <s v="Units"/>
    <x v="1"/>
    <n v="0.371"/>
  </r>
  <r>
    <n v="1"/>
    <x v="2"/>
    <x v="2"/>
    <x v="1"/>
    <s v="Percent change"/>
    <s v="Units"/>
    <x v="2"/>
    <n v="3.2120000000000002"/>
  </r>
  <r>
    <n v="1"/>
    <x v="2"/>
    <x v="2"/>
    <x v="1"/>
    <s v="Percent change"/>
    <s v="Units"/>
    <x v="3"/>
    <n v="8.6660000000000004"/>
  </r>
  <r>
    <n v="1"/>
    <x v="2"/>
    <x v="2"/>
    <x v="1"/>
    <s v="Percent change"/>
    <s v="Units"/>
    <x v="4"/>
    <n v="6.03"/>
  </r>
  <r>
    <n v="1"/>
    <x v="2"/>
    <x v="2"/>
    <x v="1"/>
    <s v="Percent change"/>
    <s v="Units"/>
    <x v="5"/>
    <n v="2.4060000000000001"/>
  </r>
  <r>
    <n v="1"/>
    <x v="2"/>
    <x v="2"/>
    <x v="1"/>
    <s v="Percent change"/>
    <s v="Units"/>
    <x v="6"/>
    <n v="2.0190000000000001"/>
  </r>
  <r>
    <n v="903"/>
    <x v="8"/>
    <x v="91"/>
    <x v="8"/>
    <s v="Percent change"/>
    <s v="Units"/>
    <x v="0"/>
    <n v="1.446"/>
  </r>
  <r>
    <n v="903"/>
    <x v="8"/>
    <x v="91"/>
    <x v="8"/>
    <s v="Percent change"/>
    <s v="Units"/>
    <x v="1"/>
    <n v="-0.67300000000000004"/>
  </r>
  <r>
    <n v="903"/>
    <x v="8"/>
    <x v="91"/>
    <x v="8"/>
    <s v="Percent change"/>
    <s v="Units"/>
    <x v="2"/>
    <n v="2.4390000000000001"/>
  </r>
  <r>
    <n v="903"/>
    <x v="8"/>
    <x v="91"/>
    <x v="8"/>
    <s v="Percent change"/>
    <s v="Units"/>
    <x v="3"/>
    <n v="-4.6980000000000004"/>
  </r>
  <r>
    <n v="903"/>
    <x v="8"/>
    <x v="91"/>
    <x v="8"/>
    <s v="Percent change"/>
    <s v="Units"/>
    <x v="4"/>
    <n v="3.8820000000000001"/>
  </r>
  <r>
    <n v="903"/>
    <x v="8"/>
    <x v="91"/>
    <x v="8"/>
    <s v="Percent change"/>
    <s v="Units"/>
    <x v="5"/>
    <n v="2.4009999999999998"/>
  </r>
  <r>
    <n v="903"/>
    <x v="8"/>
    <x v="91"/>
    <x v="8"/>
    <s v="Percent change"/>
    <s v="Units"/>
    <x v="6"/>
    <n v="1.149"/>
  </r>
  <r>
    <n v="200"/>
    <x v="3"/>
    <x v="91"/>
    <x v="8"/>
    <s v="Percent change"/>
    <s v="Units"/>
    <x v="0"/>
    <n v="1.446"/>
  </r>
  <r>
    <n v="200"/>
    <x v="3"/>
    <x v="91"/>
    <x v="8"/>
    <s v="Percent change"/>
    <s v="Units"/>
    <x v="1"/>
    <n v="-0.67300000000000004"/>
  </r>
  <r>
    <n v="200"/>
    <x v="3"/>
    <x v="91"/>
    <x v="8"/>
    <s v="Percent change"/>
    <s v="Units"/>
    <x v="2"/>
    <n v="2.4390000000000001"/>
  </r>
  <r>
    <n v="200"/>
    <x v="3"/>
    <x v="91"/>
    <x v="8"/>
    <s v="Percent change"/>
    <s v="Units"/>
    <x v="3"/>
    <n v="-4.6980000000000004"/>
  </r>
  <r>
    <n v="200"/>
    <x v="3"/>
    <x v="91"/>
    <x v="8"/>
    <s v="Percent change"/>
    <s v="Units"/>
    <x v="4"/>
    <n v="3.8820000000000001"/>
  </r>
  <r>
    <n v="200"/>
    <x v="3"/>
    <x v="91"/>
    <x v="8"/>
    <s v="Percent change"/>
    <s v="Units"/>
    <x v="5"/>
    <n v="2.4009999999999998"/>
  </r>
  <r>
    <n v="200"/>
    <x v="3"/>
    <x v="91"/>
    <x v="8"/>
    <s v="Percent change"/>
    <s v="Units"/>
    <x v="6"/>
    <n v="1.149"/>
  </r>
  <r>
    <n v="1"/>
    <x v="2"/>
    <x v="91"/>
    <x v="8"/>
    <s v="Percent change"/>
    <s v="Units"/>
    <x v="0"/>
    <n v="1.446"/>
  </r>
  <r>
    <n v="1"/>
    <x v="2"/>
    <x v="91"/>
    <x v="8"/>
    <s v="Percent change"/>
    <s v="Units"/>
    <x v="1"/>
    <n v="-0.67300000000000004"/>
  </r>
  <r>
    <n v="1"/>
    <x v="2"/>
    <x v="91"/>
    <x v="8"/>
    <s v="Percent change"/>
    <s v="Units"/>
    <x v="2"/>
    <n v="2.4390000000000001"/>
  </r>
  <r>
    <n v="1"/>
    <x v="2"/>
    <x v="91"/>
    <x v="8"/>
    <s v="Percent change"/>
    <s v="Units"/>
    <x v="3"/>
    <n v="-4.6980000000000004"/>
  </r>
  <r>
    <n v="1"/>
    <x v="2"/>
    <x v="91"/>
    <x v="8"/>
    <s v="Percent change"/>
    <s v="Units"/>
    <x v="4"/>
    <n v="3.8820000000000001"/>
  </r>
  <r>
    <n v="1"/>
    <x v="2"/>
    <x v="91"/>
    <x v="8"/>
    <s v="Percent change"/>
    <s v="Units"/>
    <x v="5"/>
    <n v="2.4009999999999998"/>
  </r>
  <r>
    <n v="1"/>
    <x v="2"/>
    <x v="91"/>
    <x v="8"/>
    <s v="Percent change"/>
    <s v="Units"/>
    <x v="6"/>
    <n v="1.149"/>
  </r>
  <r>
    <n v="200"/>
    <x v="3"/>
    <x v="103"/>
    <x v="0"/>
    <s v="U.S. dollars"/>
    <s v="Billions"/>
    <x v="0"/>
    <n v="2.323"/>
  </r>
  <r>
    <n v="200"/>
    <x v="3"/>
    <x v="103"/>
    <x v="0"/>
    <s v="U.S. dollars"/>
    <s v="Billions"/>
    <x v="1"/>
    <n v="2.0920000000000001"/>
  </r>
  <r>
    <n v="200"/>
    <x v="3"/>
    <x v="103"/>
    <x v="0"/>
    <s v="U.S. dollars"/>
    <s v="Billions"/>
    <x v="2"/>
    <n v="2.427"/>
  </r>
  <r>
    <n v="200"/>
    <x v="3"/>
    <x v="103"/>
    <x v="0"/>
    <s v="U.S. dollars"/>
    <s v="Billions"/>
    <x v="3"/>
    <n v="2.3250000000000002"/>
  </r>
  <r>
    <n v="200"/>
    <x v="3"/>
    <x v="103"/>
    <x v="0"/>
    <s v="U.S. dollars"/>
    <s v="Billions"/>
    <x v="4"/>
    <n v="2.2490000000000001"/>
  </r>
  <r>
    <n v="200"/>
    <x v="3"/>
    <x v="103"/>
    <x v="0"/>
    <s v="U.S. dollars"/>
    <s v="Billions"/>
    <x v="5"/>
    <n v="2.395"/>
  </r>
  <r>
    <n v="200"/>
    <x v="3"/>
    <x v="103"/>
    <x v="0"/>
    <s v="U.S. dollars"/>
    <s v="Billions"/>
    <x v="6"/>
    <n v="2.524"/>
  </r>
  <r>
    <n v="603"/>
    <x v="12"/>
    <x v="103"/>
    <x v="0"/>
    <s v="U.S. dollars"/>
    <s v="Billions"/>
    <x v="0"/>
    <n v="2.323"/>
  </r>
  <r>
    <n v="603"/>
    <x v="12"/>
    <x v="103"/>
    <x v="0"/>
    <s v="U.S. dollars"/>
    <s v="Billions"/>
    <x v="1"/>
    <n v="2.0920000000000001"/>
  </r>
  <r>
    <n v="603"/>
    <x v="12"/>
    <x v="103"/>
    <x v="0"/>
    <s v="U.S. dollars"/>
    <s v="Billions"/>
    <x v="2"/>
    <n v="2.427"/>
  </r>
  <r>
    <n v="603"/>
    <x v="12"/>
    <x v="103"/>
    <x v="0"/>
    <s v="U.S. dollars"/>
    <s v="Billions"/>
    <x v="3"/>
    <n v="2.3250000000000002"/>
  </r>
  <r>
    <n v="603"/>
    <x v="12"/>
    <x v="103"/>
    <x v="0"/>
    <s v="U.S. dollars"/>
    <s v="Billions"/>
    <x v="4"/>
    <n v="2.2490000000000001"/>
  </r>
  <r>
    <n v="603"/>
    <x v="12"/>
    <x v="103"/>
    <x v="0"/>
    <s v="U.S. dollars"/>
    <s v="Billions"/>
    <x v="5"/>
    <n v="2.395"/>
  </r>
  <r>
    <n v="603"/>
    <x v="12"/>
    <x v="103"/>
    <x v="0"/>
    <s v="U.S. dollars"/>
    <s v="Billions"/>
    <x v="6"/>
    <n v="2.524"/>
  </r>
  <r>
    <n v="1"/>
    <x v="2"/>
    <x v="103"/>
    <x v="0"/>
    <s v="U.S. dollars"/>
    <s v="Billions"/>
    <x v="0"/>
    <n v="2.323"/>
  </r>
  <r>
    <n v="1"/>
    <x v="2"/>
    <x v="103"/>
    <x v="0"/>
    <s v="U.S. dollars"/>
    <s v="Billions"/>
    <x v="1"/>
    <n v="2.0920000000000001"/>
  </r>
  <r>
    <n v="1"/>
    <x v="2"/>
    <x v="103"/>
    <x v="0"/>
    <s v="U.S. dollars"/>
    <s v="Billions"/>
    <x v="2"/>
    <n v="2.427"/>
  </r>
  <r>
    <n v="1"/>
    <x v="2"/>
    <x v="103"/>
    <x v="0"/>
    <s v="U.S. dollars"/>
    <s v="Billions"/>
    <x v="3"/>
    <n v="2.3250000000000002"/>
  </r>
  <r>
    <n v="1"/>
    <x v="2"/>
    <x v="103"/>
    <x v="0"/>
    <s v="U.S. dollars"/>
    <s v="Billions"/>
    <x v="4"/>
    <n v="2.2490000000000001"/>
  </r>
  <r>
    <n v="1"/>
    <x v="2"/>
    <x v="103"/>
    <x v="0"/>
    <s v="U.S. dollars"/>
    <s v="Billions"/>
    <x v="5"/>
    <n v="2.395"/>
  </r>
  <r>
    <n v="1"/>
    <x v="2"/>
    <x v="103"/>
    <x v="0"/>
    <s v="U.S. dollars"/>
    <s v="Billions"/>
    <x v="6"/>
    <n v="2.524"/>
  </r>
  <r>
    <n v="200"/>
    <x v="3"/>
    <x v="149"/>
    <x v="8"/>
    <s v="Percent change"/>
    <s v="Units"/>
    <x v="0"/>
    <n v="3.8690000000000002"/>
  </r>
  <r>
    <n v="200"/>
    <x v="3"/>
    <x v="149"/>
    <x v="8"/>
    <s v="Percent change"/>
    <s v="Units"/>
    <x v="1"/>
    <n v="1.1339999999999999"/>
  </r>
  <r>
    <n v="200"/>
    <x v="3"/>
    <x v="149"/>
    <x v="8"/>
    <s v="Percent change"/>
    <s v="Units"/>
    <x v="2"/>
    <n v="-1.591"/>
  </r>
  <r>
    <n v="200"/>
    <x v="3"/>
    <x v="149"/>
    <x v="8"/>
    <s v="Percent change"/>
    <s v="Units"/>
    <x v="3"/>
    <n v="-1.6279999999999999"/>
  </r>
  <r>
    <n v="200"/>
    <x v="3"/>
    <x v="149"/>
    <x v="8"/>
    <s v="Percent change"/>
    <s v="Units"/>
    <x v="4"/>
    <n v="1.407"/>
  </r>
  <r>
    <n v="200"/>
    <x v="3"/>
    <x v="149"/>
    <x v="8"/>
    <s v="Percent change"/>
    <s v="Units"/>
    <x v="5"/>
    <n v="2.3849999999999998"/>
  </r>
  <r>
    <n v="200"/>
    <x v="3"/>
    <x v="149"/>
    <x v="8"/>
    <s v="Percent change"/>
    <s v="Units"/>
    <x v="6"/>
    <n v="2.5190000000000001"/>
  </r>
  <r>
    <n v="1"/>
    <x v="2"/>
    <x v="149"/>
    <x v="8"/>
    <s v="Percent change"/>
    <s v="Units"/>
    <x v="0"/>
    <n v="3.8690000000000002"/>
  </r>
  <r>
    <n v="1"/>
    <x v="2"/>
    <x v="149"/>
    <x v="8"/>
    <s v="Percent change"/>
    <s v="Units"/>
    <x v="1"/>
    <n v="1.1339999999999999"/>
  </r>
  <r>
    <n v="1"/>
    <x v="2"/>
    <x v="149"/>
    <x v="8"/>
    <s v="Percent change"/>
    <s v="Units"/>
    <x v="2"/>
    <n v="-1.591"/>
  </r>
  <r>
    <n v="1"/>
    <x v="2"/>
    <x v="149"/>
    <x v="8"/>
    <s v="Percent change"/>
    <s v="Units"/>
    <x v="3"/>
    <n v="-1.6279999999999999"/>
  </r>
  <r>
    <n v="1"/>
    <x v="2"/>
    <x v="149"/>
    <x v="8"/>
    <s v="Percent change"/>
    <s v="Units"/>
    <x v="4"/>
    <n v="1.407"/>
  </r>
  <r>
    <n v="1"/>
    <x v="2"/>
    <x v="149"/>
    <x v="8"/>
    <s v="Percent change"/>
    <s v="Units"/>
    <x v="5"/>
    <n v="2.3849999999999998"/>
  </r>
  <r>
    <n v="1"/>
    <x v="2"/>
    <x v="149"/>
    <x v="8"/>
    <s v="Percent change"/>
    <s v="Units"/>
    <x v="6"/>
    <n v="2.5190000000000001"/>
  </r>
  <r>
    <n v="505"/>
    <x v="4"/>
    <x v="149"/>
    <x v="8"/>
    <s v="Percent change"/>
    <s v="Units"/>
    <x v="0"/>
    <n v="3.8690000000000002"/>
  </r>
  <r>
    <n v="505"/>
    <x v="4"/>
    <x v="149"/>
    <x v="8"/>
    <s v="Percent change"/>
    <s v="Units"/>
    <x v="1"/>
    <n v="1.1339999999999999"/>
  </r>
  <r>
    <n v="505"/>
    <x v="4"/>
    <x v="149"/>
    <x v="8"/>
    <s v="Percent change"/>
    <s v="Units"/>
    <x v="2"/>
    <n v="-1.591"/>
  </r>
  <r>
    <n v="505"/>
    <x v="4"/>
    <x v="149"/>
    <x v="8"/>
    <s v="Percent change"/>
    <s v="Units"/>
    <x v="3"/>
    <n v="-1.6279999999999999"/>
  </r>
  <r>
    <n v="505"/>
    <x v="4"/>
    <x v="149"/>
    <x v="8"/>
    <s v="Percent change"/>
    <s v="Units"/>
    <x v="4"/>
    <n v="1.407"/>
  </r>
  <r>
    <n v="505"/>
    <x v="4"/>
    <x v="149"/>
    <x v="8"/>
    <s v="Percent change"/>
    <s v="Units"/>
    <x v="5"/>
    <n v="2.3849999999999998"/>
  </r>
  <r>
    <n v="505"/>
    <x v="4"/>
    <x v="149"/>
    <x v="8"/>
    <s v="Percent change"/>
    <s v="Units"/>
    <x v="6"/>
    <n v="2.5190000000000001"/>
  </r>
  <r>
    <n v="110"/>
    <x v="0"/>
    <x v="24"/>
    <x v="1"/>
    <s v="Percent change"/>
    <s v="Units"/>
    <x v="0"/>
    <n v="0.86"/>
  </r>
  <r>
    <n v="110"/>
    <x v="0"/>
    <x v="24"/>
    <x v="1"/>
    <s v="Percent change"/>
    <s v="Units"/>
    <x v="1"/>
    <n v="-0.443"/>
  </r>
  <r>
    <n v="110"/>
    <x v="0"/>
    <x v="24"/>
    <x v="1"/>
    <s v="Percent change"/>
    <s v="Units"/>
    <x v="2"/>
    <n v="2.4129999999999998"/>
  </r>
  <r>
    <n v="110"/>
    <x v="0"/>
    <x v="24"/>
    <x v="1"/>
    <s v="Percent change"/>
    <s v="Units"/>
    <x v="3"/>
    <n v="8.0489999999999995"/>
  </r>
  <r>
    <n v="110"/>
    <x v="0"/>
    <x v="24"/>
    <x v="1"/>
    <s v="Percent change"/>
    <s v="Units"/>
    <x v="4"/>
    <n v="5.2089999999999996"/>
  </r>
  <r>
    <n v="110"/>
    <x v="0"/>
    <x v="24"/>
    <x v="1"/>
    <s v="Percent change"/>
    <s v="Units"/>
    <x v="5"/>
    <n v="2.38"/>
  </r>
  <r>
    <n v="110"/>
    <x v="0"/>
    <x v="24"/>
    <x v="1"/>
    <s v="Percent change"/>
    <s v="Units"/>
    <x v="6"/>
    <n v="2"/>
  </r>
  <r>
    <n v="163"/>
    <x v="5"/>
    <x v="24"/>
    <x v="1"/>
    <s v="Percent change"/>
    <s v="Units"/>
    <x v="0"/>
    <n v="0.86"/>
  </r>
  <r>
    <n v="163"/>
    <x v="5"/>
    <x v="24"/>
    <x v="1"/>
    <s v="Percent change"/>
    <s v="Units"/>
    <x v="1"/>
    <n v="-0.443"/>
  </r>
  <r>
    <n v="163"/>
    <x v="5"/>
    <x v="24"/>
    <x v="1"/>
    <s v="Percent change"/>
    <s v="Units"/>
    <x v="2"/>
    <n v="2.4129999999999998"/>
  </r>
  <r>
    <n v="163"/>
    <x v="5"/>
    <x v="24"/>
    <x v="1"/>
    <s v="Percent change"/>
    <s v="Units"/>
    <x v="3"/>
    <n v="8.0489999999999995"/>
  </r>
  <r>
    <n v="163"/>
    <x v="5"/>
    <x v="24"/>
    <x v="1"/>
    <s v="Percent change"/>
    <s v="Units"/>
    <x v="4"/>
    <n v="5.2089999999999996"/>
  </r>
  <r>
    <n v="163"/>
    <x v="5"/>
    <x v="24"/>
    <x v="1"/>
    <s v="Percent change"/>
    <s v="Units"/>
    <x v="5"/>
    <n v="2.38"/>
  </r>
  <r>
    <n v="163"/>
    <x v="5"/>
    <x v="24"/>
    <x v="1"/>
    <s v="Percent change"/>
    <s v="Units"/>
    <x v="6"/>
    <n v="2"/>
  </r>
  <r>
    <n v="998"/>
    <x v="6"/>
    <x v="24"/>
    <x v="1"/>
    <s v="Percent change"/>
    <s v="Units"/>
    <x v="0"/>
    <n v="0.86"/>
  </r>
  <r>
    <n v="998"/>
    <x v="6"/>
    <x v="24"/>
    <x v="1"/>
    <s v="Percent change"/>
    <s v="Units"/>
    <x v="1"/>
    <n v="-0.443"/>
  </r>
  <r>
    <n v="998"/>
    <x v="6"/>
    <x v="24"/>
    <x v="1"/>
    <s v="Percent change"/>
    <s v="Units"/>
    <x v="2"/>
    <n v="2.4129999999999998"/>
  </r>
  <r>
    <n v="998"/>
    <x v="6"/>
    <x v="24"/>
    <x v="1"/>
    <s v="Percent change"/>
    <s v="Units"/>
    <x v="3"/>
    <n v="8.0489999999999995"/>
  </r>
  <r>
    <n v="998"/>
    <x v="6"/>
    <x v="24"/>
    <x v="1"/>
    <s v="Percent change"/>
    <s v="Units"/>
    <x v="4"/>
    <n v="5.2089999999999996"/>
  </r>
  <r>
    <n v="998"/>
    <x v="6"/>
    <x v="24"/>
    <x v="1"/>
    <s v="Percent change"/>
    <s v="Units"/>
    <x v="5"/>
    <n v="2.38"/>
  </r>
  <r>
    <n v="998"/>
    <x v="6"/>
    <x v="24"/>
    <x v="1"/>
    <s v="Percent change"/>
    <s v="Units"/>
    <x v="6"/>
    <n v="2"/>
  </r>
  <r>
    <n v="1"/>
    <x v="2"/>
    <x v="24"/>
    <x v="1"/>
    <s v="Percent change"/>
    <s v="Units"/>
    <x v="0"/>
    <n v="0.86"/>
  </r>
  <r>
    <n v="1"/>
    <x v="2"/>
    <x v="24"/>
    <x v="1"/>
    <s v="Percent change"/>
    <s v="Units"/>
    <x v="1"/>
    <n v="-0.443"/>
  </r>
  <r>
    <n v="1"/>
    <x v="2"/>
    <x v="24"/>
    <x v="1"/>
    <s v="Percent change"/>
    <s v="Units"/>
    <x v="2"/>
    <n v="2.4129999999999998"/>
  </r>
  <r>
    <n v="1"/>
    <x v="2"/>
    <x v="24"/>
    <x v="1"/>
    <s v="Percent change"/>
    <s v="Units"/>
    <x v="3"/>
    <n v="8.0489999999999995"/>
  </r>
  <r>
    <n v="1"/>
    <x v="2"/>
    <x v="24"/>
    <x v="1"/>
    <s v="Percent change"/>
    <s v="Units"/>
    <x v="4"/>
    <n v="5.2089999999999996"/>
  </r>
  <r>
    <n v="1"/>
    <x v="2"/>
    <x v="24"/>
    <x v="1"/>
    <s v="Percent change"/>
    <s v="Units"/>
    <x v="5"/>
    <n v="2.38"/>
  </r>
  <r>
    <n v="1"/>
    <x v="2"/>
    <x v="24"/>
    <x v="1"/>
    <s v="Percent change"/>
    <s v="Units"/>
    <x v="6"/>
    <n v="2"/>
  </r>
  <r>
    <n v="1"/>
    <x v="2"/>
    <x v="103"/>
    <x v="8"/>
    <s v="Percent change"/>
    <s v="Units"/>
    <x v="0"/>
    <n v="-3.0579999999999998"/>
  </r>
  <r>
    <n v="1"/>
    <x v="2"/>
    <x v="103"/>
    <x v="8"/>
    <s v="Percent change"/>
    <s v="Units"/>
    <x v="1"/>
    <n v="-5.3029999999999999"/>
  </r>
  <r>
    <n v="1"/>
    <x v="2"/>
    <x v="103"/>
    <x v="8"/>
    <s v="Percent change"/>
    <s v="Units"/>
    <x v="2"/>
    <n v="1.7"/>
  </r>
  <r>
    <n v="1"/>
    <x v="2"/>
    <x v="103"/>
    <x v="8"/>
    <s v="Percent change"/>
    <s v="Units"/>
    <x v="3"/>
    <n v="1.6"/>
  </r>
  <r>
    <n v="1"/>
    <x v="2"/>
    <x v="103"/>
    <x v="8"/>
    <s v="Percent change"/>
    <s v="Units"/>
    <x v="4"/>
    <n v="1.877"/>
  </r>
  <r>
    <n v="1"/>
    <x v="2"/>
    <x v="103"/>
    <x v="8"/>
    <s v="Percent change"/>
    <s v="Units"/>
    <x v="5"/>
    <n v="2.3780000000000001"/>
  </r>
  <r>
    <n v="1"/>
    <x v="2"/>
    <x v="103"/>
    <x v="8"/>
    <s v="Percent change"/>
    <s v="Units"/>
    <x v="6"/>
    <n v="2.52"/>
  </r>
  <r>
    <n v="200"/>
    <x v="3"/>
    <x v="103"/>
    <x v="8"/>
    <s v="Percent change"/>
    <s v="Units"/>
    <x v="0"/>
    <n v="-3.0579999999999998"/>
  </r>
  <r>
    <n v="200"/>
    <x v="3"/>
    <x v="103"/>
    <x v="8"/>
    <s v="Percent change"/>
    <s v="Units"/>
    <x v="1"/>
    <n v="-5.3029999999999999"/>
  </r>
  <r>
    <n v="200"/>
    <x v="3"/>
    <x v="103"/>
    <x v="8"/>
    <s v="Percent change"/>
    <s v="Units"/>
    <x v="2"/>
    <n v="1.7"/>
  </r>
  <r>
    <n v="200"/>
    <x v="3"/>
    <x v="103"/>
    <x v="8"/>
    <s v="Percent change"/>
    <s v="Units"/>
    <x v="3"/>
    <n v="1.6"/>
  </r>
  <r>
    <n v="200"/>
    <x v="3"/>
    <x v="103"/>
    <x v="8"/>
    <s v="Percent change"/>
    <s v="Units"/>
    <x v="4"/>
    <n v="1.877"/>
  </r>
  <r>
    <n v="200"/>
    <x v="3"/>
    <x v="103"/>
    <x v="8"/>
    <s v="Percent change"/>
    <s v="Units"/>
    <x v="5"/>
    <n v="2.3780000000000001"/>
  </r>
  <r>
    <n v="200"/>
    <x v="3"/>
    <x v="103"/>
    <x v="8"/>
    <s v="Percent change"/>
    <s v="Units"/>
    <x v="6"/>
    <n v="2.52"/>
  </r>
  <r>
    <n v="603"/>
    <x v="12"/>
    <x v="103"/>
    <x v="8"/>
    <s v="Percent change"/>
    <s v="Units"/>
    <x v="0"/>
    <n v="-3.0579999999999998"/>
  </r>
  <r>
    <n v="603"/>
    <x v="12"/>
    <x v="103"/>
    <x v="8"/>
    <s v="Percent change"/>
    <s v="Units"/>
    <x v="1"/>
    <n v="-5.3029999999999999"/>
  </r>
  <r>
    <n v="603"/>
    <x v="12"/>
    <x v="103"/>
    <x v="8"/>
    <s v="Percent change"/>
    <s v="Units"/>
    <x v="2"/>
    <n v="1.7"/>
  </r>
  <r>
    <n v="603"/>
    <x v="12"/>
    <x v="103"/>
    <x v="8"/>
    <s v="Percent change"/>
    <s v="Units"/>
    <x v="3"/>
    <n v="1.6"/>
  </r>
  <r>
    <n v="603"/>
    <x v="12"/>
    <x v="103"/>
    <x v="8"/>
    <s v="Percent change"/>
    <s v="Units"/>
    <x v="4"/>
    <n v="1.877"/>
  </r>
  <r>
    <n v="603"/>
    <x v="12"/>
    <x v="103"/>
    <x v="8"/>
    <s v="Percent change"/>
    <s v="Units"/>
    <x v="5"/>
    <n v="2.3780000000000001"/>
  </r>
  <r>
    <n v="603"/>
    <x v="12"/>
    <x v="103"/>
    <x v="8"/>
    <s v="Percent change"/>
    <s v="Units"/>
    <x v="6"/>
    <n v="2.52"/>
  </r>
  <r>
    <n v="200"/>
    <x v="3"/>
    <x v="156"/>
    <x v="8"/>
    <s v="Percent change"/>
    <s v="Units"/>
    <x v="0"/>
    <n v="1.7490000000000001"/>
  </r>
  <r>
    <n v="200"/>
    <x v="3"/>
    <x v="156"/>
    <x v="8"/>
    <s v="Percent change"/>
    <s v="Units"/>
    <x v="1"/>
    <n v="-3.383"/>
  </r>
  <r>
    <n v="200"/>
    <x v="3"/>
    <x v="156"/>
    <x v="8"/>
    <s v="Percent change"/>
    <s v="Units"/>
    <x v="2"/>
    <n v="2.5640000000000001"/>
  </r>
  <r>
    <n v="200"/>
    <x v="3"/>
    <x v="156"/>
    <x v="8"/>
    <s v="Percent change"/>
    <s v="Units"/>
    <x v="3"/>
    <n v="2.403"/>
  </r>
  <r>
    <n v="200"/>
    <x v="3"/>
    <x v="156"/>
    <x v="8"/>
    <s v="Percent change"/>
    <s v="Units"/>
    <x v="4"/>
    <n v="2.95"/>
  </r>
  <r>
    <n v="200"/>
    <x v="3"/>
    <x v="156"/>
    <x v="8"/>
    <s v="Percent change"/>
    <s v="Units"/>
    <x v="5"/>
    <n v="2.3719999999999999"/>
  </r>
  <r>
    <n v="200"/>
    <x v="3"/>
    <x v="156"/>
    <x v="8"/>
    <s v="Percent change"/>
    <s v="Units"/>
    <x v="6"/>
    <n v="2.5299999999999998"/>
  </r>
  <r>
    <n v="505"/>
    <x v="4"/>
    <x v="156"/>
    <x v="8"/>
    <s v="Percent change"/>
    <s v="Units"/>
    <x v="0"/>
    <n v="1.7490000000000001"/>
  </r>
  <r>
    <n v="505"/>
    <x v="4"/>
    <x v="156"/>
    <x v="8"/>
    <s v="Percent change"/>
    <s v="Units"/>
    <x v="1"/>
    <n v="-3.383"/>
  </r>
  <r>
    <n v="505"/>
    <x v="4"/>
    <x v="156"/>
    <x v="8"/>
    <s v="Percent change"/>
    <s v="Units"/>
    <x v="2"/>
    <n v="2.5640000000000001"/>
  </r>
  <r>
    <n v="505"/>
    <x v="4"/>
    <x v="156"/>
    <x v="8"/>
    <s v="Percent change"/>
    <s v="Units"/>
    <x v="3"/>
    <n v="2.403"/>
  </r>
  <r>
    <n v="505"/>
    <x v="4"/>
    <x v="156"/>
    <x v="8"/>
    <s v="Percent change"/>
    <s v="Units"/>
    <x v="4"/>
    <n v="2.95"/>
  </r>
  <r>
    <n v="505"/>
    <x v="4"/>
    <x v="156"/>
    <x v="8"/>
    <s v="Percent change"/>
    <s v="Units"/>
    <x v="5"/>
    <n v="2.3719999999999999"/>
  </r>
  <r>
    <n v="505"/>
    <x v="4"/>
    <x v="156"/>
    <x v="8"/>
    <s v="Percent change"/>
    <s v="Units"/>
    <x v="6"/>
    <n v="2.5299999999999998"/>
  </r>
  <r>
    <n v="1"/>
    <x v="2"/>
    <x v="156"/>
    <x v="8"/>
    <s v="Percent change"/>
    <s v="Units"/>
    <x v="0"/>
    <n v="1.7490000000000001"/>
  </r>
  <r>
    <n v="1"/>
    <x v="2"/>
    <x v="156"/>
    <x v="8"/>
    <s v="Percent change"/>
    <s v="Units"/>
    <x v="1"/>
    <n v="-3.383"/>
  </r>
  <r>
    <n v="1"/>
    <x v="2"/>
    <x v="156"/>
    <x v="8"/>
    <s v="Percent change"/>
    <s v="Units"/>
    <x v="2"/>
    <n v="2.5640000000000001"/>
  </r>
  <r>
    <n v="1"/>
    <x v="2"/>
    <x v="156"/>
    <x v="8"/>
    <s v="Percent change"/>
    <s v="Units"/>
    <x v="3"/>
    <n v="2.403"/>
  </r>
  <r>
    <n v="1"/>
    <x v="2"/>
    <x v="156"/>
    <x v="8"/>
    <s v="Percent change"/>
    <s v="Units"/>
    <x v="4"/>
    <n v="2.95"/>
  </r>
  <r>
    <n v="1"/>
    <x v="2"/>
    <x v="156"/>
    <x v="8"/>
    <s v="Percent change"/>
    <s v="Units"/>
    <x v="5"/>
    <n v="2.3719999999999999"/>
  </r>
  <r>
    <n v="1"/>
    <x v="2"/>
    <x v="156"/>
    <x v="8"/>
    <s v="Percent change"/>
    <s v="Units"/>
    <x v="6"/>
    <n v="2.5299999999999998"/>
  </r>
  <r>
    <n v="205"/>
    <x v="7"/>
    <x v="11"/>
    <x v="8"/>
    <s v="Percent change"/>
    <s v="Units"/>
    <x v="0"/>
    <n v="-0.251"/>
  </r>
  <r>
    <n v="205"/>
    <x v="7"/>
    <x v="11"/>
    <x v="8"/>
    <s v="Percent change"/>
    <s v="Units"/>
    <x v="1"/>
    <n v="-8.625"/>
  </r>
  <r>
    <n v="205"/>
    <x v="7"/>
    <x v="11"/>
    <x v="8"/>
    <s v="Percent change"/>
    <s v="Units"/>
    <x v="2"/>
    <n v="5.7389999999999999"/>
  </r>
  <r>
    <n v="205"/>
    <x v="7"/>
    <x v="11"/>
    <x v="8"/>
    <s v="Percent change"/>
    <s v="Units"/>
    <x v="3"/>
    <n v="3.9489999999999998"/>
  </r>
  <r>
    <n v="205"/>
    <x v="7"/>
    <x v="11"/>
    <x v="8"/>
    <s v="Percent change"/>
    <s v="Units"/>
    <x v="4"/>
    <n v="3.2290000000000001"/>
  </r>
  <r>
    <n v="205"/>
    <x v="7"/>
    <x v="11"/>
    <x v="8"/>
    <s v="Percent change"/>
    <s v="Units"/>
    <x v="5"/>
    <n v="2.367"/>
  </r>
  <r>
    <n v="205"/>
    <x v="7"/>
    <x v="11"/>
    <x v="8"/>
    <s v="Percent change"/>
    <s v="Units"/>
    <x v="6"/>
    <n v="1.4379999999999999"/>
  </r>
  <r>
    <n v="1"/>
    <x v="2"/>
    <x v="11"/>
    <x v="8"/>
    <s v="Percent change"/>
    <s v="Units"/>
    <x v="0"/>
    <n v="-0.251"/>
  </r>
  <r>
    <n v="1"/>
    <x v="2"/>
    <x v="11"/>
    <x v="8"/>
    <s v="Percent change"/>
    <s v="Units"/>
    <x v="1"/>
    <n v="-8.625"/>
  </r>
  <r>
    <n v="1"/>
    <x v="2"/>
    <x v="11"/>
    <x v="8"/>
    <s v="Percent change"/>
    <s v="Units"/>
    <x v="2"/>
    <n v="5.7389999999999999"/>
  </r>
  <r>
    <n v="1"/>
    <x v="2"/>
    <x v="11"/>
    <x v="8"/>
    <s v="Percent change"/>
    <s v="Units"/>
    <x v="3"/>
    <n v="3.9489999999999998"/>
  </r>
  <r>
    <n v="1"/>
    <x v="2"/>
    <x v="11"/>
    <x v="8"/>
    <s v="Percent change"/>
    <s v="Units"/>
    <x v="4"/>
    <n v="3.2290000000000001"/>
  </r>
  <r>
    <n v="1"/>
    <x v="2"/>
    <x v="11"/>
    <x v="8"/>
    <s v="Percent change"/>
    <s v="Units"/>
    <x v="5"/>
    <n v="2.367"/>
  </r>
  <r>
    <n v="1"/>
    <x v="2"/>
    <x v="11"/>
    <x v="8"/>
    <s v="Percent change"/>
    <s v="Units"/>
    <x v="6"/>
    <n v="1.4379999999999999"/>
  </r>
  <r>
    <n v="200"/>
    <x v="3"/>
    <x v="11"/>
    <x v="8"/>
    <s v="Percent change"/>
    <s v="Units"/>
    <x v="0"/>
    <n v="-0.251"/>
  </r>
  <r>
    <n v="200"/>
    <x v="3"/>
    <x v="11"/>
    <x v="8"/>
    <s v="Percent change"/>
    <s v="Units"/>
    <x v="1"/>
    <n v="-8.625"/>
  </r>
  <r>
    <n v="200"/>
    <x v="3"/>
    <x v="11"/>
    <x v="8"/>
    <s v="Percent change"/>
    <s v="Units"/>
    <x v="2"/>
    <n v="5.7389999999999999"/>
  </r>
  <r>
    <n v="200"/>
    <x v="3"/>
    <x v="11"/>
    <x v="8"/>
    <s v="Percent change"/>
    <s v="Units"/>
    <x v="3"/>
    <n v="3.9489999999999998"/>
  </r>
  <r>
    <n v="200"/>
    <x v="3"/>
    <x v="11"/>
    <x v="8"/>
    <s v="Percent change"/>
    <s v="Units"/>
    <x v="4"/>
    <n v="3.2290000000000001"/>
  </r>
  <r>
    <n v="200"/>
    <x v="3"/>
    <x v="11"/>
    <x v="8"/>
    <s v="Percent change"/>
    <s v="Units"/>
    <x v="5"/>
    <n v="2.367"/>
  </r>
  <r>
    <n v="200"/>
    <x v="3"/>
    <x v="11"/>
    <x v="8"/>
    <s v="Percent change"/>
    <s v="Units"/>
    <x v="6"/>
    <n v="1.4379999999999999"/>
  </r>
  <r>
    <n v="1"/>
    <x v="2"/>
    <x v="160"/>
    <x v="8"/>
    <s v="Percent change"/>
    <s v="Units"/>
    <x v="0"/>
    <n v="0.36099999999999999"/>
  </r>
  <r>
    <n v="1"/>
    <x v="2"/>
    <x v="160"/>
    <x v="8"/>
    <s v="Percent change"/>
    <s v="Units"/>
    <x v="1"/>
    <n v="-9.0779999999999994"/>
  </r>
  <r>
    <n v="1"/>
    <x v="2"/>
    <x v="160"/>
    <x v="8"/>
    <s v="Percent change"/>
    <s v="Units"/>
    <x v="2"/>
    <n v="-1.0369999999999999"/>
  </r>
  <r>
    <n v="1"/>
    <x v="2"/>
    <x v="160"/>
    <x v="8"/>
    <s v="Percent change"/>
    <s v="Units"/>
    <x v="3"/>
    <n v="1.482"/>
  </r>
  <r>
    <n v="1"/>
    <x v="2"/>
    <x v="160"/>
    <x v="8"/>
    <s v="Percent change"/>
    <s v="Units"/>
    <x v="4"/>
    <n v="2.1030000000000002"/>
  </r>
  <r>
    <n v="1"/>
    <x v="2"/>
    <x v="160"/>
    <x v="8"/>
    <s v="Percent change"/>
    <s v="Units"/>
    <x v="5"/>
    <n v="2.363"/>
  </r>
  <r>
    <n v="1"/>
    <x v="2"/>
    <x v="160"/>
    <x v="8"/>
    <s v="Percent change"/>
    <s v="Units"/>
    <x v="6"/>
    <n v="2.3069999999999999"/>
  </r>
  <r>
    <n v="200"/>
    <x v="3"/>
    <x v="160"/>
    <x v="8"/>
    <s v="Percent change"/>
    <s v="Units"/>
    <x v="0"/>
    <n v="0.36099999999999999"/>
  </r>
  <r>
    <n v="200"/>
    <x v="3"/>
    <x v="160"/>
    <x v="8"/>
    <s v="Percent change"/>
    <s v="Units"/>
    <x v="1"/>
    <n v="-9.0779999999999994"/>
  </r>
  <r>
    <n v="200"/>
    <x v="3"/>
    <x v="160"/>
    <x v="8"/>
    <s v="Percent change"/>
    <s v="Units"/>
    <x v="2"/>
    <n v="-1.0369999999999999"/>
  </r>
  <r>
    <n v="200"/>
    <x v="3"/>
    <x v="160"/>
    <x v="8"/>
    <s v="Percent change"/>
    <s v="Units"/>
    <x v="3"/>
    <n v="1.482"/>
  </r>
  <r>
    <n v="200"/>
    <x v="3"/>
    <x v="160"/>
    <x v="8"/>
    <s v="Percent change"/>
    <s v="Units"/>
    <x v="4"/>
    <n v="2.1030000000000002"/>
  </r>
  <r>
    <n v="200"/>
    <x v="3"/>
    <x v="160"/>
    <x v="8"/>
    <s v="Percent change"/>
    <s v="Units"/>
    <x v="5"/>
    <n v="2.363"/>
  </r>
  <r>
    <n v="200"/>
    <x v="3"/>
    <x v="160"/>
    <x v="8"/>
    <s v="Percent change"/>
    <s v="Units"/>
    <x v="6"/>
    <n v="2.3069999999999999"/>
  </r>
  <r>
    <n v="205"/>
    <x v="7"/>
    <x v="160"/>
    <x v="8"/>
    <s v="Percent change"/>
    <s v="Units"/>
    <x v="0"/>
    <n v="0.36099999999999999"/>
  </r>
  <r>
    <n v="205"/>
    <x v="7"/>
    <x v="160"/>
    <x v="8"/>
    <s v="Percent change"/>
    <s v="Units"/>
    <x v="1"/>
    <n v="-9.0779999999999994"/>
  </r>
  <r>
    <n v="205"/>
    <x v="7"/>
    <x v="160"/>
    <x v="8"/>
    <s v="Percent change"/>
    <s v="Units"/>
    <x v="2"/>
    <n v="-1.0369999999999999"/>
  </r>
  <r>
    <n v="205"/>
    <x v="7"/>
    <x v="160"/>
    <x v="8"/>
    <s v="Percent change"/>
    <s v="Units"/>
    <x v="3"/>
    <n v="1.482"/>
  </r>
  <r>
    <n v="205"/>
    <x v="7"/>
    <x v="160"/>
    <x v="8"/>
    <s v="Percent change"/>
    <s v="Units"/>
    <x v="4"/>
    <n v="2.1030000000000002"/>
  </r>
  <r>
    <n v="205"/>
    <x v="7"/>
    <x v="160"/>
    <x v="8"/>
    <s v="Percent change"/>
    <s v="Units"/>
    <x v="5"/>
    <n v="2.363"/>
  </r>
  <r>
    <n v="205"/>
    <x v="7"/>
    <x v="160"/>
    <x v="8"/>
    <s v="Percent change"/>
    <s v="Units"/>
    <x v="6"/>
    <n v="2.3069999999999999"/>
  </r>
  <r>
    <n v="205"/>
    <x v="7"/>
    <x v="169"/>
    <x v="1"/>
    <s v="Percent change"/>
    <s v="Units"/>
    <x v="0"/>
    <n v="3.9390000000000001"/>
  </r>
  <r>
    <n v="205"/>
    <x v="7"/>
    <x v="169"/>
    <x v="1"/>
    <s v="Percent change"/>
    <s v="Units"/>
    <x v="1"/>
    <n v="-1.3129999999999999"/>
  </r>
  <r>
    <n v="205"/>
    <x v="7"/>
    <x v="169"/>
    <x v="1"/>
    <s v="Percent change"/>
    <s v="Units"/>
    <x v="2"/>
    <n v="0.74399999999999999"/>
  </r>
  <r>
    <n v="205"/>
    <x v="7"/>
    <x v="169"/>
    <x v="1"/>
    <s v="Percent change"/>
    <s v="Units"/>
    <x v="3"/>
    <n v="5.52"/>
  </r>
  <r>
    <n v="205"/>
    <x v="7"/>
    <x v="169"/>
    <x v="1"/>
    <s v="Percent change"/>
    <s v="Units"/>
    <x v="4"/>
    <n v="3.3660000000000001"/>
  </r>
  <r>
    <n v="205"/>
    <x v="7"/>
    <x v="169"/>
    <x v="1"/>
    <s v="Percent change"/>
    <s v="Units"/>
    <x v="5"/>
    <n v="2.3450000000000002"/>
  </r>
  <r>
    <n v="205"/>
    <x v="7"/>
    <x v="169"/>
    <x v="1"/>
    <s v="Percent change"/>
    <s v="Units"/>
    <x v="6"/>
    <n v="1.8149999999999999"/>
  </r>
  <r>
    <n v="200"/>
    <x v="3"/>
    <x v="169"/>
    <x v="1"/>
    <s v="Percent change"/>
    <s v="Units"/>
    <x v="0"/>
    <n v="3.9390000000000001"/>
  </r>
  <r>
    <n v="200"/>
    <x v="3"/>
    <x v="169"/>
    <x v="1"/>
    <s v="Percent change"/>
    <s v="Units"/>
    <x v="1"/>
    <n v="-1.3129999999999999"/>
  </r>
  <r>
    <n v="200"/>
    <x v="3"/>
    <x v="169"/>
    <x v="1"/>
    <s v="Percent change"/>
    <s v="Units"/>
    <x v="2"/>
    <n v="0.74399999999999999"/>
  </r>
  <r>
    <n v="200"/>
    <x v="3"/>
    <x v="169"/>
    <x v="1"/>
    <s v="Percent change"/>
    <s v="Units"/>
    <x v="3"/>
    <n v="5.52"/>
  </r>
  <r>
    <n v="200"/>
    <x v="3"/>
    <x v="169"/>
    <x v="1"/>
    <s v="Percent change"/>
    <s v="Units"/>
    <x v="4"/>
    <n v="3.3660000000000001"/>
  </r>
  <r>
    <n v="200"/>
    <x v="3"/>
    <x v="169"/>
    <x v="1"/>
    <s v="Percent change"/>
    <s v="Units"/>
    <x v="5"/>
    <n v="2.3450000000000002"/>
  </r>
  <r>
    <n v="200"/>
    <x v="3"/>
    <x v="169"/>
    <x v="1"/>
    <s v="Percent change"/>
    <s v="Units"/>
    <x v="6"/>
    <n v="1.8149999999999999"/>
  </r>
  <r>
    <n v="1"/>
    <x v="2"/>
    <x v="169"/>
    <x v="1"/>
    <s v="Percent change"/>
    <s v="Units"/>
    <x v="0"/>
    <n v="3.9390000000000001"/>
  </r>
  <r>
    <n v="1"/>
    <x v="2"/>
    <x v="169"/>
    <x v="1"/>
    <s v="Percent change"/>
    <s v="Units"/>
    <x v="1"/>
    <n v="-1.3129999999999999"/>
  </r>
  <r>
    <n v="1"/>
    <x v="2"/>
    <x v="169"/>
    <x v="1"/>
    <s v="Percent change"/>
    <s v="Units"/>
    <x v="2"/>
    <n v="0.74399999999999999"/>
  </r>
  <r>
    <n v="1"/>
    <x v="2"/>
    <x v="169"/>
    <x v="1"/>
    <s v="Percent change"/>
    <s v="Units"/>
    <x v="3"/>
    <n v="5.52"/>
  </r>
  <r>
    <n v="1"/>
    <x v="2"/>
    <x v="169"/>
    <x v="1"/>
    <s v="Percent change"/>
    <s v="Units"/>
    <x v="4"/>
    <n v="3.3660000000000001"/>
  </r>
  <r>
    <n v="1"/>
    <x v="2"/>
    <x v="169"/>
    <x v="1"/>
    <s v="Percent change"/>
    <s v="Units"/>
    <x v="5"/>
    <n v="2.3450000000000002"/>
  </r>
  <r>
    <n v="1"/>
    <x v="2"/>
    <x v="169"/>
    <x v="1"/>
    <s v="Percent change"/>
    <s v="Units"/>
    <x v="6"/>
    <n v="1.8149999999999999"/>
  </r>
  <r>
    <n v="200"/>
    <x v="3"/>
    <x v="48"/>
    <x v="1"/>
    <s v="Percent change"/>
    <s v="Units"/>
    <x v="0"/>
    <n v="2.1360000000000001"/>
  </r>
  <r>
    <n v="200"/>
    <x v="3"/>
    <x v="48"/>
    <x v="1"/>
    <s v="Percent change"/>
    <s v="Units"/>
    <x v="1"/>
    <n v="1.827"/>
  </r>
  <r>
    <n v="200"/>
    <x v="3"/>
    <x v="48"/>
    <x v="1"/>
    <s v="Percent change"/>
    <s v="Units"/>
    <x v="2"/>
    <n v="3.9790000000000001"/>
  </r>
  <r>
    <n v="200"/>
    <x v="3"/>
    <x v="48"/>
    <x v="1"/>
    <s v="Percent change"/>
    <s v="Units"/>
    <x v="3"/>
    <n v="7.8710000000000004"/>
  </r>
  <r>
    <n v="200"/>
    <x v="3"/>
    <x v="48"/>
    <x v="1"/>
    <s v="Percent change"/>
    <s v="Units"/>
    <x v="4"/>
    <n v="6.2690000000000001"/>
  </r>
  <r>
    <n v="200"/>
    <x v="3"/>
    <x v="48"/>
    <x v="1"/>
    <s v="Percent change"/>
    <s v="Units"/>
    <x v="5"/>
    <n v="2.3279999999999998"/>
  </r>
  <r>
    <n v="200"/>
    <x v="3"/>
    <x v="48"/>
    <x v="1"/>
    <s v="Percent change"/>
    <s v="Units"/>
    <x v="6"/>
    <n v="2.0089999999999999"/>
  </r>
  <r>
    <n v="205"/>
    <x v="7"/>
    <x v="48"/>
    <x v="1"/>
    <s v="Percent change"/>
    <s v="Units"/>
    <x v="0"/>
    <n v="2.1360000000000001"/>
  </r>
  <r>
    <n v="205"/>
    <x v="7"/>
    <x v="48"/>
    <x v="1"/>
    <s v="Percent change"/>
    <s v="Units"/>
    <x v="1"/>
    <n v="1.827"/>
  </r>
  <r>
    <n v="205"/>
    <x v="7"/>
    <x v="48"/>
    <x v="1"/>
    <s v="Percent change"/>
    <s v="Units"/>
    <x v="2"/>
    <n v="3.9790000000000001"/>
  </r>
  <r>
    <n v="205"/>
    <x v="7"/>
    <x v="48"/>
    <x v="1"/>
    <s v="Percent change"/>
    <s v="Units"/>
    <x v="3"/>
    <n v="7.8710000000000004"/>
  </r>
  <r>
    <n v="205"/>
    <x v="7"/>
    <x v="48"/>
    <x v="1"/>
    <s v="Percent change"/>
    <s v="Units"/>
    <x v="4"/>
    <n v="6.2690000000000001"/>
  </r>
  <r>
    <n v="205"/>
    <x v="7"/>
    <x v="48"/>
    <x v="1"/>
    <s v="Percent change"/>
    <s v="Units"/>
    <x v="5"/>
    <n v="2.3279999999999998"/>
  </r>
  <r>
    <n v="205"/>
    <x v="7"/>
    <x v="48"/>
    <x v="1"/>
    <s v="Percent change"/>
    <s v="Units"/>
    <x v="6"/>
    <n v="2.0089999999999999"/>
  </r>
  <r>
    <n v="1"/>
    <x v="2"/>
    <x v="48"/>
    <x v="1"/>
    <s v="Percent change"/>
    <s v="Units"/>
    <x v="0"/>
    <n v="2.1360000000000001"/>
  </r>
  <r>
    <n v="1"/>
    <x v="2"/>
    <x v="48"/>
    <x v="1"/>
    <s v="Percent change"/>
    <s v="Units"/>
    <x v="1"/>
    <n v="1.827"/>
  </r>
  <r>
    <n v="1"/>
    <x v="2"/>
    <x v="48"/>
    <x v="1"/>
    <s v="Percent change"/>
    <s v="Units"/>
    <x v="2"/>
    <n v="3.9790000000000001"/>
  </r>
  <r>
    <n v="1"/>
    <x v="2"/>
    <x v="48"/>
    <x v="1"/>
    <s v="Percent change"/>
    <s v="Units"/>
    <x v="3"/>
    <n v="7.8710000000000004"/>
  </r>
  <r>
    <n v="1"/>
    <x v="2"/>
    <x v="48"/>
    <x v="1"/>
    <s v="Percent change"/>
    <s v="Units"/>
    <x v="4"/>
    <n v="6.2690000000000001"/>
  </r>
  <r>
    <n v="1"/>
    <x v="2"/>
    <x v="48"/>
    <x v="1"/>
    <s v="Percent change"/>
    <s v="Units"/>
    <x v="5"/>
    <n v="2.3279999999999998"/>
  </r>
  <r>
    <n v="1"/>
    <x v="2"/>
    <x v="48"/>
    <x v="1"/>
    <s v="Percent change"/>
    <s v="Units"/>
    <x v="6"/>
    <n v="2.0089999999999999"/>
  </r>
  <r>
    <n v="123"/>
    <x v="9"/>
    <x v="13"/>
    <x v="8"/>
    <s v="Percent change"/>
    <s v="Units"/>
    <x v="0"/>
    <n v="2.2440000000000002"/>
  </r>
  <r>
    <n v="123"/>
    <x v="9"/>
    <x v="13"/>
    <x v="8"/>
    <s v="Percent change"/>
    <s v="Units"/>
    <x v="1"/>
    <n v="-0.70899999999999996"/>
  </r>
  <r>
    <n v="123"/>
    <x v="9"/>
    <x v="13"/>
    <x v="8"/>
    <s v="Percent change"/>
    <s v="Units"/>
    <x v="2"/>
    <n v="4.3049999999999997"/>
  </r>
  <r>
    <n v="123"/>
    <x v="9"/>
    <x v="13"/>
    <x v="8"/>
    <s v="Percent change"/>
    <s v="Units"/>
    <x v="3"/>
    <n v="2.613"/>
  </r>
  <r>
    <n v="123"/>
    <x v="9"/>
    <x v="13"/>
    <x v="8"/>
    <s v="Percent change"/>
    <s v="Units"/>
    <x v="4"/>
    <n v="1.357"/>
  </r>
  <r>
    <n v="123"/>
    <x v="9"/>
    <x v="13"/>
    <x v="8"/>
    <s v="Percent change"/>
    <s v="Units"/>
    <x v="5"/>
    <n v="2.3220000000000001"/>
  </r>
  <r>
    <n v="123"/>
    <x v="9"/>
    <x v="13"/>
    <x v="8"/>
    <s v="Percent change"/>
    <s v="Units"/>
    <x v="6"/>
    <n v="2.3370000000000002"/>
  </r>
  <r>
    <n v="110"/>
    <x v="0"/>
    <x v="13"/>
    <x v="8"/>
    <s v="Percent change"/>
    <s v="Units"/>
    <x v="0"/>
    <n v="2.2440000000000002"/>
  </r>
  <r>
    <n v="110"/>
    <x v="0"/>
    <x v="13"/>
    <x v="8"/>
    <s v="Percent change"/>
    <s v="Units"/>
    <x v="1"/>
    <n v="-0.70899999999999996"/>
  </r>
  <r>
    <n v="110"/>
    <x v="0"/>
    <x v="13"/>
    <x v="8"/>
    <s v="Percent change"/>
    <s v="Units"/>
    <x v="2"/>
    <n v="4.3049999999999997"/>
  </r>
  <r>
    <n v="110"/>
    <x v="0"/>
    <x v="13"/>
    <x v="8"/>
    <s v="Percent change"/>
    <s v="Units"/>
    <x v="3"/>
    <n v="2.613"/>
  </r>
  <r>
    <n v="110"/>
    <x v="0"/>
    <x v="13"/>
    <x v="8"/>
    <s v="Percent change"/>
    <s v="Units"/>
    <x v="4"/>
    <n v="1.357"/>
  </r>
  <r>
    <n v="110"/>
    <x v="0"/>
    <x v="13"/>
    <x v="8"/>
    <s v="Percent change"/>
    <s v="Units"/>
    <x v="5"/>
    <n v="2.3220000000000001"/>
  </r>
  <r>
    <n v="110"/>
    <x v="0"/>
    <x v="13"/>
    <x v="8"/>
    <s v="Percent change"/>
    <s v="Units"/>
    <x v="6"/>
    <n v="2.3370000000000002"/>
  </r>
  <r>
    <n v="1"/>
    <x v="2"/>
    <x v="13"/>
    <x v="8"/>
    <s v="Percent change"/>
    <s v="Units"/>
    <x v="0"/>
    <n v="2.2440000000000002"/>
  </r>
  <r>
    <n v="1"/>
    <x v="2"/>
    <x v="13"/>
    <x v="8"/>
    <s v="Percent change"/>
    <s v="Units"/>
    <x v="1"/>
    <n v="-0.70899999999999996"/>
  </r>
  <r>
    <n v="1"/>
    <x v="2"/>
    <x v="13"/>
    <x v="8"/>
    <s v="Percent change"/>
    <s v="Units"/>
    <x v="2"/>
    <n v="4.3049999999999997"/>
  </r>
  <r>
    <n v="1"/>
    <x v="2"/>
    <x v="13"/>
    <x v="8"/>
    <s v="Percent change"/>
    <s v="Units"/>
    <x v="3"/>
    <n v="2.613"/>
  </r>
  <r>
    <n v="1"/>
    <x v="2"/>
    <x v="13"/>
    <x v="8"/>
    <s v="Percent change"/>
    <s v="Units"/>
    <x v="4"/>
    <n v="1.357"/>
  </r>
  <r>
    <n v="1"/>
    <x v="2"/>
    <x v="13"/>
    <x v="8"/>
    <s v="Percent change"/>
    <s v="Units"/>
    <x v="5"/>
    <n v="2.3220000000000001"/>
  </r>
  <r>
    <n v="1"/>
    <x v="2"/>
    <x v="13"/>
    <x v="8"/>
    <s v="Percent change"/>
    <s v="Units"/>
    <x v="6"/>
    <n v="2.3370000000000002"/>
  </r>
  <r>
    <n v="163"/>
    <x v="5"/>
    <x v="118"/>
    <x v="1"/>
    <s v="Percent change"/>
    <s v="Units"/>
    <x v="0"/>
    <n v="0.54500000000000004"/>
  </r>
  <r>
    <n v="163"/>
    <x v="5"/>
    <x v="118"/>
    <x v="1"/>
    <s v="Percent change"/>
    <s v="Units"/>
    <x v="1"/>
    <n v="-1.0980000000000001"/>
  </r>
  <r>
    <n v="163"/>
    <x v="5"/>
    <x v="118"/>
    <x v="1"/>
    <s v="Percent change"/>
    <s v="Units"/>
    <x v="2"/>
    <n v="2.2429999999999999"/>
  </r>
  <r>
    <n v="163"/>
    <x v="5"/>
    <x v="118"/>
    <x v="1"/>
    <s v="Percent change"/>
    <s v="Units"/>
    <x v="3"/>
    <n v="8.0839999999999996"/>
  </r>
  <r>
    <n v="163"/>
    <x v="5"/>
    <x v="118"/>
    <x v="1"/>
    <s v="Percent change"/>
    <s v="Units"/>
    <x v="4"/>
    <n v="3.9430000000000001"/>
  </r>
  <r>
    <n v="163"/>
    <x v="5"/>
    <x v="118"/>
    <x v="1"/>
    <s v="Percent change"/>
    <s v="Units"/>
    <x v="5"/>
    <n v="2.3119999999999998"/>
  </r>
  <r>
    <n v="163"/>
    <x v="5"/>
    <x v="118"/>
    <x v="1"/>
    <s v="Percent change"/>
    <s v="Units"/>
    <x v="6"/>
    <n v="2.0369999999999999"/>
  </r>
  <r>
    <n v="998"/>
    <x v="6"/>
    <x v="118"/>
    <x v="1"/>
    <s v="Percent change"/>
    <s v="Units"/>
    <x v="0"/>
    <n v="0.54500000000000004"/>
  </r>
  <r>
    <n v="998"/>
    <x v="6"/>
    <x v="118"/>
    <x v="1"/>
    <s v="Percent change"/>
    <s v="Units"/>
    <x v="1"/>
    <n v="-1.0980000000000001"/>
  </r>
  <r>
    <n v="998"/>
    <x v="6"/>
    <x v="118"/>
    <x v="1"/>
    <s v="Percent change"/>
    <s v="Units"/>
    <x v="2"/>
    <n v="2.2429999999999999"/>
  </r>
  <r>
    <n v="998"/>
    <x v="6"/>
    <x v="118"/>
    <x v="1"/>
    <s v="Percent change"/>
    <s v="Units"/>
    <x v="3"/>
    <n v="8.0839999999999996"/>
  </r>
  <r>
    <n v="998"/>
    <x v="6"/>
    <x v="118"/>
    <x v="1"/>
    <s v="Percent change"/>
    <s v="Units"/>
    <x v="4"/>
    <n v="3.9430000000000001"/>
  </r>
  <r>
    <n v="998"/>
    <x v="6"/>
    <x v="118"/>
    <x v="1"/>
    <s v="Percent change"/>
    <s v="Units"/>
    <x v="5"/>
    <n v="2.3119999999999998"/>
  </r>
  <r>
    <n v="998"/>
    <x v="6"/>
    <x v="118"/>
    <x v="1"/>
    <s v="Percent change"/>
    <s v="Units"/>
    <x v="6"/>
    <n v="2.0369999999999999"/>
  </r>
  <r>
    <n v="1"/>
    <x v="2"/>
    <x v="118"/>
    <x v="1"/>
    <s v="Percent change"/>
    <s v="Units"/>
    <x v="0"/>
    <n v="0.54500000000000004"/>
  </r>
  <r>
    <n v="1"/>
    <x v="2"/>
    <x v="118"/>
    <x v="1"/>
    <s v="Percent change"/>
    <s v="Units"/>
    <x v="1"/>
    <n v="-1.0980000000000001"/>
  </r>
  <r>
    <n v="1"/>
    <x v="2"/>
    <x v="118"/>
    <x v="1"/>
    <s v="Percent change"/>
    <s v="Units"/>
    <x v="2"/>
    <n v="2.2429999999999999"/>
  </r>
  <r>
    <n v="1"/>
    <x v="2"/>
    <x v="118"/>
    <x v="1"/>
    <s v="Percent change"/>
    <s v="Units"/>
    <x v="3"/>
    <n v="8.0839999999999996"/>
  </r>
  <r>
    <n v="1"/>
    <x v="2"/>
    <x v="118"/>
    <x v="1"/>
    <s v="Percent change"/>
    <s v="Units"/>
    <x v="4"/>
    <n v="3.9430000000000001"/>
  </r>
  <r>
    <n v="1"/>
    <x v="2"/>
    <x v="118"/>
    <x v="1"/>
    <s v="Percent change"/>
    <s v="Units"/>
    <x v="5"/>
    <n v="2.3119999999999998"/>
  </r>
  <r>
    <n v="1"/>
    <x v="2"/>
    <x v="118"/>
    <x v="1"/>
    <s v="Percent change"/>
    <s v="Units"/>
    <x v="6"/>
    <n v="2.0369999999999999"/>
  </r>
  <r>
    <n v="110"/>
    <x v="0"/>
    <x v="118"/>
    <x v="1"/>
    <s v="Percent change"/>
    <s v="Units"/>
    <x v="0"/>
    <n v="0.54500000000000004"/>
  </r>
  <r>
    <n v="110"/>
    <x v="0"/>
    <x v="118"/>
    <x v="1"/>
    <s v="Percent change"/>
    <s v="Units"/>
    <x v="1"/>
    <n v="-1.0980000000000001"/>
  </r>
  <r>
    <n v="110"/>
    <x v="0"/>
    <x v="118"/>
    <x v="1"/>
    <s v="Percent change"/>
    <s v="Units"/>
    <x v="2"/>
    <n v="2.2429999999999999"/>
  </r>
  <r>
    <n v="110"/>
    <x v="0"/>
    <x v="118"/>
    <x v="1"/>
    <s v="Percent change"/>
    <s v="Units"/>
    <x v="3"/>
    <n v="8.0839999999999996"/>
  </r>
  <r>
    <n v="110"/>
    <x v="0"/>
    <x v="118"/>
    <x v="1"/>
    <s v="Percent change"/>
    <s v="Units"/>
    <x v="4"/>
    <n v="3.9430000000000001"/>
  </r>
  <r>
    <n v="110"/>
    <x v="0"/>
    <x v="118"/>
    <x v="1"/>
    <s v="Percent change"/>
    <s v="Units"/>
    <x v="5"/>
    <n v="2.3119999999999998"/>
  </r>
  <r>
    <n v="110"/>
    <x v="0"/>
    <x v="118"/>
    <x v="1"/>
    <s v="Percent change"/>
    <s v="Units"/>
    <x v="6"/>
    <n v="2.0369999999999999"/>
  </r>
  <r>
    <n v="205"/>
    <x v="7"/>
    <x v="7"/>
    <x v="10"/>
    <s v="Percent"/>
    <s v="Units"/>
    <x v="0"/>
    <n v="2.3820000000000001"/>
  </r>
  <r>
    <n v="205"/>
    <x v="7"/>
    <x v="7"/>
    <x v="10"/>
    <s v="Percent"/>
    <s v="Units"/>
    <x v="1"/>
    <n v="2.3719999999999999"/>
  </r>
  <r>
    <n v="205"/>
    <x v="7"/>
    <x v="7"/>
    <x v="10"/>
    <s v="Percent"/>
    <s v="Units"/>
    <x v="2"/>
    <n v="2.3359999999999999"/>
  </r>
  <r>
    <n v="205"/>
    <x v="7"/>
    <x v="7"/>
    <x v="10"/>
    <s v="Percent"/>
    <s v="Units"/>
    <x v="3"/>
    <n v="2.3279999999999998"/>
  </r>
  <r>
    <n v="205"/>
    <x v="7"/>
    <x v="7"/>
    <x v="10"/>
    <s v="Percent"/>
    <s v="Units"/>
    <x v="4"/>
    <n v="2.3239999999999998"/>
  </r>
  <r>
    <n v="205"/>
    <x v="7"/>
    <x v="7"/>
    <x v="10"/>
    <s v="Percent"/>
    <s v="Units"/>
    <x v="5"/>
    <n v="2.302"/>
  </r>
  <r>
    <n v="205"/>
    <x v="7"/>
    <x v="7"/>
    <x v="10"/>
    <s v="Percent"/>
    <s v="Units"/>
    <x v="6"/>
    <n v="2.278"/>
  </r>
  <r>
    <n v="200"/>
    <x v="3"/>
    <x v="7"/>
    <x v="10"/>
    <s v="Percent"/>
    <s v="Units"/>
    <x v="0"/>
    <n v="2.3820000000000001"/>
  </r>
  <r>
    <n v="200"/>
    <x v="3"/>
    <x v="7"/>
    <x v="10"/>
    <s v="Percent"/>
    <s v="Units"/>
    <x v="1"/>
    <n v="2.3719999999999999"/>
  </r>
  <r>
    <n v="200"/>
    <x v="3"/>
    <x v="7"/>
    <x v="10"/>
    <s v="Percent"/>
    <s v="Units"/>
    <x v="2"/>
    <n v="2.3359999999999999"/>
  </r>
  <r>
    <n v="200"/>
    <x v="3"/>
    <x v="7"/>
    <x v="10"/>
    <s v="Percent"/>
    <s v="Units"/>
    <x v="3"/>
    <n v="2.3279999999999998"/>
  </r>
  <r>
    <n v="200"/>
    <x v="3"/>
    <x v="7"/>
    <x v="10"/>
    <s v="Percent"/>
    <s v="Units"/>
    <x v="4"/>
    <n v="2.3239999999999998"/>
  </r>
  <r>
    <n v="200"/>
    <x v="3"/>
    <x v="7"/>
    <x v="10"/>
    <s v="Percent"/>
    <s v="Units"/>
    <x v="5"/>
    <n v="2.302"/>
  </r>
  <r>
    <n v="200"/>
    <x v="3"/>
    <x v="7"/>
    <x v="10"/>
    <s v="Percent"/>
    <s v="Units"/>
    <x v="6"/>
    <n v="2.278"/>
  </r>
  <r>
    <n v="123"/>
    <x v="9"/>
    <x v="38"/>
    <x v="1"/>
    <s v="Percent change"/>
    <s v="Units"/>
    <x v="0"/>
    <n v="2.883"/>
  </r>
  <r>
    <n v="123"/>
    <x v="9"/>
    <x v="38"/>
    <x v="1"/>
    <s v="Percent change"/>
    <s v="Units"/>
    <x v="1"/>
    <n v="0.251"/>
  </r>
  <r>
    <n v="123"/>
    <x v="9"/>
    <x v="38"/>
    <x v="1"/>
    <s v="Percent change"/>
    <s v="Units"/>
    <x v="2"/>
    <n v="1.569"/>
  </r>
  <r>
    <n v="123"/>
    <x v="9"/>
    <x v="38"/>
    <x v="1"/>
    <s v="Percent change"/>
    <s v="Units"/>
    <x v="3"/>
    <n v="1.881"/>
  </r>
  <r>
    <n v="123"/>
    <x v="9"/>
    <x v="38"/>
    <x v="1"/>
    <s v="Percent change"/>
    <s v="Units"/>
    <x v="4"/>
    <n v="2.097"/>
  </r>
  <r>
    <n v="123"/>
    <x v="9"/>
    <x v="38"/>
    <x v="1"/>
    <s v="Percent change"/>
    <s v="Units"/>
    <x v="5"/>
    <n v="2.2999999999999998"/>
  </r>
  <r>
    <n v="123"/>
    <x v="9"/>
    <x v="38"/>
    <x v="1"/>
    <s v="Percent change"/>
    <s v="Units"/>
    <x v="6"/>
    <n v="2.25"/>
  </r>
  <r>
    <n v="110"/>
    <x v="0"/>
    <x v="38"/>
    <x v="1"/>
    <s v="Percent change"/>
    <s v="Units"/>
    <x v="0"/>
    <n v="2.883"/>
  </r>
  <r>
    <n v="110"/>
    <x v="0"/>
    <x v="38"/>
    <x v="1"/>
    <s v="Percent change"/>
    <s v="Units"/>
    <x v="1"/>
    <n v="0.251"/>
  </r>
  <r>
    <n v="110"/>
    <x v="0"/>
    <x v="38"/>
    <x v="1"/>
    <s v="Percent change"/>
    <s v="Units"/>
    <x v="2"/>
    <n v="1.569"/>
  </r>
  <r>
    <n v="110"/>
    <x v="0"/>
    <x v="38"/>
    <x v="1"/>
    <s v="Percent change"/>
    <s v="Units"/>
    <x v="3"/>
    <n v="1.881"/>
  </r>
  <r>
    <n v="110"/>
    <x v="0"/>
    <x v="38"/>
    <x v="1"/>
    <s v="Percent change"/>
    <s v="Units"/>
    <x v="4"/>
    <n v="2.097"/>
  </r>
  <r>
    <n v="110"/>
    <x v="0"/>
    <x v="38"/>
    <x v="1"/>
    <s v="Percent change"/>
    <s v="Units"/>
    <x v="5"/>
    <n v="2.2999999999999998"/>
  </r>
  <r>
    <n v="110"/>
    <x v="0"/>
    <x v="38"/>
    <x v="1"/>
    <s v="Percent change"/>
    <s v="Units"/>
    <x v="6"/>
    <n v="2.25"/>
  </r>
  <r>
    <n v="1"/>
    <x v="2"/>
    <x v="38"/>
    <x v="1"/>
    <s v="Percent change"/>
    <s v="Units"/>
    <x v="0"/>
    <n v="2.883"/>
  </r>
  <r>
    <n v="1"/>
    <x v="2"/>
    <x v="38"/>
    <x v="1"/>
    <s v="Percent change"/>
    <s v="Units"/>
    <x v="1"/>
    <n v="0.251"/>
  </r>
  <r>
    <n v="1"/>
    <x v="2"/>
    <x v="38"/>
    <x v="1"/>
    <s v="Percent change"/>
    <s v="Units"/>
    <x v="2"/>
    <n v="1.569"/>
  </r>
  <r>
    <n v="1"/>
    <x v="2"/>
    <x v="38"/>
    <x v="1"/>
    <s v="Percent change"/>
    <s v="Units"/>
    <x v="3"/>
    <n v="1.881"/>
  </r>
  <r>
    <n v="1"/>
    <x v="2"/>
    <x v="38"/>
    <x v="1"/>
    <s v="Percent change"/>
    <s v="Units"/>
    <x v="4"/>
    <n v="2.097"/>
  </r>
  <r>
    <n v="1"/>
    <x v="2"/>
    <x v="38"/>
    <x v="1"/>
    <s v="Percent change"/>
    <s v="Units"/>
    <x v="5"/>
    <n v="2.2999999999999998"/>
  </r>
  <r>
    <n v="1"/>
    <x v="2"/>
    <x v="38"/>
    <x v="1"/>
    <s v="Percent change"/>
    <s v="Units"/>
    <x v="6"/>
    <n v="2.25"/>
  </r>
  <r>
    <n v="205"/>
    <x v="7"/>
    <x v="175"/>
    <x v="8"/>
    <s v="Percent change"/>
    <s v="Units"/>
    <x v="0"/>
    <n v="-0.74399999999999999"/>
  </r>
  <r>
    <n v="205"/>
    <x v="7"/>
    <x v="175"/>
    <x v="8"/>
    <s v="Percent change"/>
    <s v="Units"/>
    <x v="1"/>
    <n v="-23.507999999999999"/>
  </r>
  <r>
    <n v="205"/>
    <x v="7"/>
    <x v="175"/>
    <x v="8"/>
    <s v="Percent change"/>
    <s v="Units"/>
    <x v="2"/>
    <n v="16.984999999999999"/>
  </r>
  <r>
    <n v="205"/>
    <x v="7"/>
    <x v="175"/>
    <x v="8"/>
    <s v="Percent change"/>
    <s v="Units"/>
    <x v="3"/>
    <n v="14.369"/>
  </r>
  <r>
    <n v="205"/>
    <x v="7"/>
    <x v="175"/>
    <x v="8"/>
    <s v="Percent change"/>
    <s v="Units"/>
    <x v="4"/>
    <n v="4.3040000000000003"/>
  </r>
  <r>
    <n v="205"/>
    <x v="7"/>
    <x v="175"/>
    <x v="8"/>
    <s v="Percent change"/>
    <s v="Units"/>
    <x v="5"/>
    <n v="2.2989999999999999"/>
  </r>
  <r>
    <n v="205"/>
    <x v="7"/>
    <x v="175"/>
    <x v="8"/>
    <s v="Percent change"/>
    <s v="Units"/>
    <x v="6"/>
    <n v="1.8"/>
  </r>
  <r>
    <n v="1"/>
    <x v="2"/>
    <x v="175"/>
    <x v="8"/>
    <s v="Percent change"/>
    <s v="Units"/>
    <x v="0"/>
    <n v="-0.74399999999999999"/>
  </r>
  <r>
    <n v="1"/>
    <x v="2"/>
    <x v="175"/>
    <x v="8"/>
    <s v="Percent change"/>
    <s v="Units"/>
    <x v="1"/>
    <n v="-23.507999999999999"/>
  </r>
  <r>
    <n v="1"/>
    <x v="2"/>
    <x v="175"/>
    <x v="8"/>
    <s v="Percent change"/>
    <s v="Units"/>
    <x v="2"/>
    <n v="16.984999999999999"/>
  </r>
  <r>
    <n v="1"/>
    <x v="2"/>
    <x v="175"/>
    <x v="8"/>
    <s v="Percent change"/>
    <s v="Units"/>
    <x v="3"/>
    <n v="14.369"/>
  </r>
  <r>
    <n v="1"/>
    <x v="2"/>
    <x v="175"/>
    <x v="8"/>
    <s v="Percent change"/>
    <s v="Units"/>
    <x v="4"/>
    <n v="4.3040000000000003"/>
  </r>
  <r>
    <n v="1"/>
    <x v="2"/>
    <x v="175"/>
    <x v="8"/>
    <s v="Percent change"/>
    <s v="Units"/>
    <x v="5"/>
    <n v="2.2989999999999999"/>
  </r>
  <r>
    <n v="1"/>
    <x v="2"/>
    <x v="175"/>
    <x v="8"/>
    <s v="Percent change"/>
    <s v="Units"/>
    <x v="6"/>
    <n v="1.8"/>
  </r>
  <r>
    <n v="200"/>
    <x v="3"/>
    <x v="175"/>
    <x v="8"/>
    <s v="Percent change"/>
    <s v="Units"/>
    <x v="0"/>
    <n v="-0.74399999999999999"/>
  </r>
  <r>
    <n v="200"/>
    <x v="3"/>
    <x v="175"/>
    <x v="8"/>
    <s v="Percent change"/>
    <s v="Units"/>
    <x v="1"/>
    <n v="-23.507999999999999"/>
  </r>
  <r>
    <n v="200"/>
    <x v="3"/>
    <x v="175"/>
    <x v="8"/>
    <s v="Percent change"/>
    <s v="Units"/>
    <x v="2"/>
    <n v="16.984999999999999"/>
  </r>
  <r>
    <n v="200"/>
    <x v="3"/>
    <x v="175"/>
    <x v="8"/>
    <s v="Percent change"/>
    <s v="Units"/>
    <x v="3"/>
    <n v="14.369"/>
  </r>
  <r>
    <n v="200"/>
    <x v="3"/>
    <x v="175"/>
    <x v="8"/>
    <s v="Percent change"/>
    <s v="Units"/>
    <x v="4"/>
    <n v="4.3040000000000003"/>
  </r>
  <r>
    <n v="200"/>
    <x v="3"/>
    <x v="175"/>
    <x v="8"/>
    <s v="Percent change"/>
    <s v="Units"/>
    <x v="5"/>
    <n v="2.2989999999999999"/>
  </r>
  <r>
    <n v="200"/>
    <x v="3"/>
    <x v="175"/>
    <x v="8"/>
    <s v="Percent change"/>
    <s v="Units"/>
    <x v="6"/>
    <n v="1.8"/>
  </r>
  <r>
    <n v="1"/>
    <x v="2"/>
    <x v="82"/>
    <x v="8"/>
    <s v="Percent change"/>
    <s v="Units"/>
    <x v="0"/>
    <n v="-3.6659999999999999"/>
  </r>
  <r>
    <n v="1"/>
    <x v="2"/>
    <x v="82"/>
    <x v="8"/>
    <s v="Percent change"/>
    <s v="Units"/>
    <x v="1"/>
    <n v="-2.1160000000000001"/>
  </r>
  <r>
    <n v="1"/>
    <x v="2"/>
    <x v="82"/>
    <x v="8"/>
    <s v="Percent change"/>
    <s v="Units"/>
    <x v="2"/>
    <n v="-0.33800000000000002"/>
  </r>
  <r>
    <n v="1"/>
    <x v="2"/>
    <x v="82"/>
    <x v="8"/>
    <s v="Percent change"/>
    <s v="Units"/>
    <x v="3"/>
    <n v="5.3150000000000004"/>
  </r>
  <r>
    <n v="1"/>
    <x v="2"/>
    <x v="82"/>
    <x v="8"/>
    <s v="Percent change"/>
    <s v="Units"/>
    <x v="4"/>
    <n v="1.954"/>
  </r>
  <r>
    <n v="1"/>
    <x v="2"/>
    <x v="82"/>
    <x v="8"/>
    <s v="Percent change"/>
    <s v="Units"/>
    <x v="5"/>
    <n v="2.2930000000000001"/>
  </r>
  <r>
    <n v="1"/>
    <x v="2"/>
    <x v="82"/>
    <x v="8"/>
    <s v="Percent change"/>
    <s v="Units"/>
    <x v="6"/>
    <n v="2.262"/>
  </r>
  <r>
    <n v="400"/>
    <x v="11"/>
    <x v="82"/>
    <x v="8"/>
    <s v="Percent change"/>
    <s v="Units"/>
    <x v="0"/>
    <n v="-3.6659999999999999"/>
  </r>
  <r>
    <n v="400"/>
    <x v="11"/>
    <x v="82"/>
    <x v="8"/>
    <s v="Percent change"/>
    <s v="Units"/>
    <x v="1"/>
    <n v="-2.1160000000000001"/>
  </r>
  <r>
    <n v="400"/>
    <x v="11"/>
    <x v="82"/>
    <x v="8"/>
    <s v="Percent change"/>
    <s v="Units"/>
    <x v="2"/>
    <n v="-0.33800000000000002"/>
  </r>
  <r>
    <n v="400"/>
    <x v="11"/>
    <x v="82"/>
    <x v="8"/>
    <s v="Percent change"/>
    <s v="Units"/>
    <x v="3"/>
    <n v="5.3150000000000004"/>
  </r>
  <r>
    <n v="400"/>
    <x v="11"/>
    <x v="82"/>
    <x v="8"/>
    <s v="Percent change"/>
    <s v="Units"/>
    <x v="4"/>
    <n v="1.954"/>
  </r>
  <r>
    <n v="400"/>
    <x v="11"/>
    <x v="82"/>
    <x v="8"/>
    <s v="Percent change"/>
    <s v="Units"/>
    <x v="5"/>
    <n v="2.2930000000000001"/>
  </r>
  <r>
    <n v="400"/>
    <x v="11"/>
    <x v="82"/>
    <x v="8"/>
    <s v="Percent change"/>
    <s v="Units"/>
    <x v="6"/>
    <n v="2.262"/>
  </r>
  <r>
    <n v="200"/>
    <x v="3"/>
    <x v="82"/>
    <x v="8"/>
    <s v="Percent change"/>
    <s v="Units"/>
    <x v="0"/>
    <n v="-3.6659999999999999"/>
  </r>
  <r>
    <n v="200"/>
    <x v="3"/>
    <x v="82"/>
    <x v="8"/>
    <s v="Percent change"/>
    <s v="Units"/>
    <x v="1"/>
    <n v="-2.1160000000000001"/>
  </r>
  <r>
    <n v="200"/>
    <x v="3"/>
    <x v="82"/>
    <x v="8"/>
    <s v="Percent change"/>
    <s v="Units"/>
    <x v="2"/>
    <n v="-0.33800000000000002"/>
  </r>
  <r>
    <n v="200"/>
    <x v="3"/>
    <x v="82"/>
    <x v="8"/>
    <s v="Percent change"/>
    <s v="Units"/>
    <x v="3"/>
    <n v="5.3150000000000004"/>
  </r>
  <r>
    <n v="200"/>
    <x v="3"/>
    <x v="82"/>
    <x v="8"/>
    <s v="Percent change"/>
    <s v="Units"/>
    <x v="4"/>
    <n v="1.954"/>
  </r>
  <r>
    <n v="200"/>
    <x v="3"/>
    <x v="82"/>
    <x v="8"/>
    <s v="Percent change"/>
    <s v="Units"/>
    <x v="5"/>
    <n v="2.2930000000000001"/>
  </r>
  <r>
    <n v="200"/>
    <x v="3"/>
    <x v="82"/>
    <x v="8"/>
    <s v="Percent change"/>
    <s v="Units"/>
    <x v="6"/>
    <n v="2.262"/>
  </r>
  <r>
    <n v="110"/>
    <x v="0"/>
    <x v="127"/>
    <x v="9"/>
    <s v="Percent of GDP"/>
    <s v="Units"/>
    <x v="0"/>
    <n v="2.306"/>
  </r>
  <r>
    <n v="110"/>
    <x v="0"/>
    <x v="127"/>
    <x v="9"/>
    <s v="Percent of GDP"/>
    <s v="Units"/>
    <x v="1"/>
    <n v="-1.0660000000000001"/>
  </r>
  <r>
    <n v="110"/>
    <x v="0"/>
    <x v="127"/>
    <x v="9"/>
    <s v="Percent of GDP"/>
    <s v="Units"/>
    <x v="2"/>
    <n v="-1.1659999999999999"/>
  </r>
  <r>
    <n v="110"/>
    <x v="0"/>
    <x v="127"/>
    <x v="9"/>
    <s v="Percent of GDP"/>
    <s v="Units"/>
    <x v="3"/>
    <n v="4.843"/>
  </r>
  <r>
    <n v="110"/>
    <x v="0"/>
    <x v="127"/>
    <x v="9"/>
    <s v="Percent of GDP"/>
    <s v="Units"/>
    <x v="4"/>
    <n v="2.2349999999999999"/>
  </r>
  <r>
    <n v="110"/>
    <x v="0"/>
    <x v="127"/>
    <x v="9"/>
    <s v="Percent of GDP"/>
    <s v="Units"/>
    <x v="5"/>
    <n v="2.282"/>
  </r>
  <r>
    <n v="110"/>
    <x v="0"/>
    <x v="127"/>
    <x v="9"/>
    <s v="Percent of GDP"/>
    <s v="Units"/>
    <x v="6"/>
    <n v="2.6440000000000001"/>
  </r>
  <r>
    <n v="123"/>
    <x v="9"/>
    <x v="127"/>
    <x v="9"/>
    <s v="Percent of GDP"/>
    <s v="Units"/>
    <x v="0"/>
    <n v="2.306"/>
  </r>
  <r>
    <n v="123"/>
    <x v="9"/>
    <x v="127"/>
    <x v="9"/>
    <s v="Percent of GDP"/>
    <s v="Units"/>
    <x v="1"/>
    <n v="-1.0660000000000001"/>
  </r>
  <r>
    <n v="123"/>
    <x v="9"/>
    <x v="127"/>
    <x v="9"/>
    <s v="Percent of GDP"/>
    <s v="Units"/>
    <x v="2"/>
    <n v="-1.1659999999999999"/>
  </r>
  <r>
    <n v="123"/>
    <x v="9"/>
    <x v="127"/>
    <x v="9"/>
    <s v="Percent of GDP"/>
    <s v="Units"/>
    <x v="3"/>
    <n v="4.843"/>
  </r>
  <r>
    <n v="123"/>
    <x v="9"/>
    <x v="127"/>
    <x v="9"/>
    <s v="Percent of GDP"/>
    <s v="Units"/>
    <x v="4"/>
    <n v="2.2349999999999999"/>
  </r>
  <r>
    <n v="123"/>
    <x v="9"/>
    <x v="127"/>
    <x v="9"/>
    <s v="Percent of GDP"/>
    <s v="Units"/>
    <x v="5"/>
    <n v="2.282"/>
  </r>
  <r>
    <n v="123"/>
    <x v="9"/>
    <x v="127"/>
    <x v="9"/>
    <s v="Percent of GDP"/>
    <s v="Units"/>
    <x v="6"/>
    <n v="2.6440000000000001"/>
  </r>
  <r>
    <n v="1"/>
    <x v="2"/>
    <x v="112"/>
    <x v="1"/>
    <s v="Percent change"/>
    <s v="Units"/>
    <x v="0"/>
    <n v="1.944"/>
  </r>
  <r>
    <n v="1"/>
    <x v="2"/>
    <x v="112"/>
    <x v="1"/>
    <s v="Percent change"/>
    <s v="Units"/>
    <x v="1"/>
    <n v="2.9380000000000002"/>
  </r>
  <r>
    <n v="1"/>
    <x v="2"/>
    <x v="112"/>
    <x v="1"/>
    <s v="Percent change"/>
    <s v="Units"/>
    <x v="2"/>
    <n v="2.9209999999999998"/>
  </r>
  <r>
    <n v="1"/>
    <x v="2"/>
    <x v="112"/>
    <x v="1"/>
    <s v="Percent change"/>
    <s v="Units"/>
    <x v="3"/>
    <n v="5.327"/>
  </r>
  <r>
    <n v="1"/>
    <x v="2"/>
    <x v="112"/>
    <x v="1"/>
    <s v="Percent change"/>
    <s v="Units"/>
    <x v="4"/>
    <n v="2.1429999999999998"/>
  </r>
  <r>
    <n v="1"/>
    <x v="2"/>
    <x v="112"/>
    <x v="1"/>
    <s v="Percent change"/>
    <s v="Units"/>
    <x v="5"/>
    <n v="2.2679999999999998"/>
  </r>
  <r>
    <n v="1"/>
    <x v="2"/>
    <x v="112"/>
    <x v="1"/>
    <s v="Percent change"/>
    <s v="Units"/>
    <x v="6"/>
    <n v="3.04"/>
  </r>
  <r>
    <n v="200"/>
    <x v="3"/>
    <x v="112"/>
    <x v="1"/>
    <s v="Percent change"/>
    <s v="Units"/>
    <x v="0"/>
    <n v="1.944"/>
  </r>
  <r>
    <n v="200"/>
    <x v="3"/>
    <x v="112"/>
    <x v="1"/>
    <s v="Percent change"/>
    <s v="Units"/>
    <x v="1"/>
    <n v="2.9380000000000002"/>
  </r>
  <r>
    <n v="200"/>
    <x v="3"/>
    <x v="112"/>
    <x v="1"/>
    <s v="Percent change"/>
    <s v="Units"/>
    <x v="2"/>
    <n v="2.9209999999999998"/>
  </r>
  <r>
    <n v="200"/>
    <x v="3"/>
    <x v="112"/>
    <x v="1"/>
    <s v="Percent change"/>
    <s v="Units"/>
    <x v="3"/>
    <n v="5.327"/>
  </r>
  <r>
    <n v="200"/>
    <x v="3"/>
    <x v="112"/>
    <x v="1"/>
    <s v="Percent change"/>
    <s v="Units"/>
    <x v="4"/>
    <n v="2.1429999999999998"/>
  </r>
  <r>
    <n v="200"/>
    <x v="3"/>
    <x v="112"/>
    <x v="1"/>
    <s v="Percent change"/>
    <s v="Units"/>
    <x v="5"/>
    <n v="2.2679999999999998"/>
  </r>
  <r>
    <n v="200"/>
    <x v="3"/>
    <x v="112"/>
    <x v="1"/>
    <s v="Percent change"/>
    <s v="Units"/>
    <x v="6"/>
    <n v="3.04"/>
  </r>
  <r>
    <n v="505"/>
    <x v="4"/>
    <x v="112"/>
    <x v="1"/>
    <s v="Percent change"/>
    <s v="Units"/>
    <x v="0"/>
    <n v="1.944"/>
  </r>
  <r>
    <n v="505"/>
    <x v="4"/>
    <x v="112"/>
    <x v="1"/>
    <s v="Percent change"/>
    <s v="Units"/>
    <x v="1"/>
    <n v="2.9380000000000002"/>
  </r>
  <r>
    <n v="505"/>
    <x v="4"/>
    <x v="112"/>
    <x v="1"/>
    <s v="Percent change"/>
    <s v="Units"/>
    <x v="2"/>
    <n v="2.9209999999999998"/>
  </r>
  <r>
    <n v="505"/>
    <x v="4"/>
    <x v="112"/>
    <x v="1"/>
    <s v="Percent change"/>
    <s v="Units"/>
    <x v="3"/>
    <n v="5.327"/>
  </r>
  <r>
    <n v="505"/>
    <x v="4"/>
    <x v="112"/>
    <x v="1"/>
    <s v="Percent change"/>
    <s v="Units"/>
    <x v="4"/>
    <n v="2.1429999999999998"/>
  </r>
  <r>
    <n v="505"/>
    <x v="4"/>
    <x v="112"/>
    <x v="1"/>
    <s v="Percent change"/>
    <s v="Units"/>
    <x v="5"/>
    <n v="2.2679999999999998"/>
  </r>
  <r>
    <n v="505"/>
    <x v="4"/>
    <x v="112"/>
    <x v="1"/>
    <s v="Percent change"/>
    <s v="Units"/>
    <x v="6"/>
    <n v="3.04"/>
  </r>
  <r>
    <n v="110"/>
    <x v="0"/>
    <x v="6"/>
    <x v="4"/>
    <s v="Percent change"/>
    <s v="Units"/>
    <x v="0"/>
    <n v="1.619"/>
  </r>
  <r>
    <n v="110"/>
    <x v="0"/>
    <x v="6"/>
    <x v="4"/>
    <s v="Percent change"/>
    <s v="Units"/>
    <x v="1"/>
    <n v="-16.904"/>
  </r>
  <r>
    <n v="110"/>
    <x v="0"/>
    <x v="6"/>
    <x v="4"/>
    <s v="Percent change"/>
    <s v="Units"/>
    <x v="2"/>
    <n v="10.657"/>
  </r>
  <r>
    <n v="110"/>
    <x v="0"/>
    <x v="6"/>
    <x v="4"/>
    <s v="Percent change"/>
    <s v="Units"/>
    <x v="3"/>
    <n v="7.3680000000000003"/>
  </r>
  <r>
    <n v="110"/>
    <x v="0"/>
    <x v="6"/>
    <x v="4"/>
    <s v="Percent change"/>
    <s v="Units"/>
    <x v="4"/>
    <n v="1.4810000000000001"/>
  </r>
  <r>
    <n v="110"/>
    <x v="0"/>
    <x v="6"/>
    <x v="4"/>
    <s v="Percent change"/>
    <s v="Units"/>
    <x v="5"/>
    <n v="2.2639999999999998"/>
  </r>
  <r>
    <n v="110"/>
    <x v="0"/>
    <x v="6"/>
    <x v="4"/>
    <s v="Percent change"/>
    <s v="Units"/>
    <x v="6"/>
    <n v="3.4870000000000001"/>
  </r>
  <r>
    <n v="119"/>
    <x v="1"/>
    <x v="6"/>
    <x v="4"/>
    <s v="Percent change"/>
    <s v="Units"/>
    <x v="0"/>
    <n v="1.619"/>
  </r>
  <r>
    <n v="119"/>
    <x v="1"/>
    <x v="6"/>
    <x v="4"/>
    <s v="Percent change"/>
    <s v="Units"/>
    <x v="1"/>
    <n v="-16.904"/>
  </r>
  <r>
    <n v="119"/>
    <x v="1"/>
    <x v="6"/>
    <x v="4"/>
    <s v="Percent change"/>
    <s v="Units"/>
    <x v="2"/>
    <n v="10.657"/>
  </r>
  <r>
    <n v="119"/>
    <x v="1"/>
    <x v="6"/>
    <x v="4"/>
    <s v="Percent change"/>
    <s v="Units"/>
    <x v="3"/>
    <n v="7.3680000000000003"/>
  </r>
  <r>
    <n v="119"/>
    <x v="1"/>
    <x v="6"/>
    <x v="4"/>
    <s v="Percent change"/>
    <s v="Units"/>
    <x v="4"/>
    <n v="1.4810000000000001"/>
  </r>
  <r>
    <n v="119"/>
    <x v="1"/>
    <x v="6"/>
    <x v="4"/>
    <s v="Percent change"/>
    <s v="Units"/>
    <x v="5"/>
    <n v="2.2639999999999998"/>
  </r>
  <r>
    <n v="119"/>
    <x v="1"/>
    <x v="6"/>
    <x v="4"/>
    <s v="Percent change"/>
    <s v="Units"/>
    <x v="6"/>
    <n v="3.4870000000000001"/>
  </r>
  <r>
    <n v="163"/>
    <x v="5"/>
    <x v="6"/>
    <x v="4"/>
    <s v="Percent change"/>
    <s v="Units"/>
    <x v="0"/>
    <n v="1.619"/>
  </r>
  <r>
    <n v="163"/>
    <x v="5"/>
    <x v="6"/>
    <x v="4"/>
    <s v="Percent change"/>
    <s v="Units"/>
    <x v="1"/>
    <n v="-16.904"/>
  </r>
  <r>
    <n v="163"/>
    <x v="5"/>
    <x v="6"/>
    <x v="4"/>
    <s v="Percent change"/>
    <s v="Units"/>
    <x v="2"/>
    <n v="10.657"/>
  </r>
  <r>
    <n v="163"/>
    <x v="5"/>
    <x v="6"/>
    <x v="4"/>
    <s v="Percent change"/>
    <s v="Units"/>
    <x v="3"/>
    <n v="7.3680000000000003"/>
  </r>
  <r>
    <n v="163"/>
    <x v="5"/>
    <x v="6"/>
    <x v="4"/>
    <s v="Percent change"/>
    <s v="Units"/>
    <x v="4"/>
    <n v="1.4810000000000001"/>
  </r>
  <r>
    <n v="163"/>
    <x v="5"/>
    <x v="6"/>
    <x v="4"/>
    <s v="Percent change"/>
    <s v="Units"/>
    <x v="5"/>
    <n v="2.2639999999999998"/>
  </r>
  <r>
    <n v="163"/>
    <x v="5"/>
    <x v="6"/>
    <x v="4"/>
    <s v="Percent change"/>
    <s v="Units"/>
    <x v="6"/>
    <n v="3.4870000000000001"/>
  </r>
  <r>
    <n v="1"/>
    <x v="2"/>
    <x v="6"/>
    <x v="4"/>
    <s v="Percent change"/>
    <s v="Units"/>
    <x v="0"/>
    <n v="1.619"/>
  </r>
  <r>
    <n v="1"/>
    <x v="2"/>
    <x v="6"/>
    <x v="4"/>
    <s v="Percent change"/>
    <s v="Units"/>
    <x v="1"/>
    <n v="-16.904"/>
  </r>
  <r>
    <n v="1"/>
    <x v="2"/>
    <x v="6"/>
    <x v="4"/>
    <s v="Percent change"/>
    <s v="Units"/>
    <x v="2"/>
    <n v="10.657"/>
  </r>
  <r>
    <n v="1"/>
    <x v="2"/>
    <x v="6"/>
    <x v="4"/>
    <s v="Percent change"/>
    <s v="Units"/>
    <x v="3"/>
    <n v="7.3680000000000003"/>
  </r>
  <r>
    <n v="1"/>
    <x v="2"/>
    <x v="6"/>
    <x v="4"/>
    <s v="Percent change"/>
    <s v="Units"/>
    <x v="4"/>
    <n v="1.4810000000000001"/>
  </r>
  <r>
    <n v="1"/>
    <x v="2"/>
    <x v="6"/>
    <x v="4"/>
    <s v="Percent change"/>
    <s v="Units"/>
    <x v="5"/>
    <n v="2.2639999999999998"/>
  </r>
  <r>
    <n v="1"/>
    <x v="2"/>
    <x v="6"/>
    <x v="4"/>
    <s v="Percent change"/>
    <s v="Units"/>
    <x v="6"/>
    <n v="3.4870000000000001"/>
  </r>
  <r>
    <n v="110"/>
    <x v="0"/>
    <x v="180"/>
    <x v="1"/>
    <s v="Percent change"/>
    <s v="Units"/>
    <x v="0"/>
    <n v="0.47299999999999998"/>
  </r>
  <r>
    <n v="110"/>
    <x v="0"/>
    <x v="180"/>
    <x v="1"/>
    <s v="Percent change"/>
    <s v="Units"/>
    <x v="1"/>
    <n v="-0.13300000000000001"/>
  </r>
  <r>
    <n v="110"/>
    <x v="0"/>
    <x v="180"/>
    <x v="1"/>
    <s v="Percent change"/>
    <s v="Units"/>
    <x v="2"/>
    <n v="2.0830000000000002"/>
  </r>
  <r>
    <n v="110"/>
    <x v="0"/>
    <x v="180"/>
    <x v="1"/>
    <s v="Percent change"/>
    <s v="Units"/>
    <x v="3"/>
    <n v="5.3040000000000003"/>
  </r>
  <r>
    <n v="110"/>
    <x v="0"/>
    <x v="180"/>
    <x v="1"/>
    <s v="Percent change"/>
    <s v="Units"/>
    <x v="4"/>
    <n v="6.0789999999999997"/>
  </r>
  <r>
    <n v="110"/>
    <x v="0"/>
    <x v="180"/>
    <x v="1"/>
    <s v="Percent change"/>
    <s v="Units"/>
    <x v="5"/>
    <n v="2.2639999999999998"/>
  </r>
  <r>
    <n v="110"/>
    <x v="0"/>
    <x v="180"/>
    <x v="1"/>
    <s v="Percent change"/>
    <s v="Units"/>
    <x v="6"/>
    <n v="2"/>
  </r>
  <r>
    <n v="1"/>
    <x v="2"/>
    <x v="180"/>
    <x v="1"/>
    <s v="Percent change"/>
    <s v="Units"/>
    <x v="0"/>
    <n v="0.47299999999999998"/>
  </r>
  <r>
    <n v="1"/>
    <x v="2"/>
    <x v="180"/>
    <x v="1"/>
    <s v="Percent change"/>
    <s v="Units"/>
    <x v="1"/>
    <n v="-0.13300000000000001"/>
  </r>
  <r>
    <n v="1"/>
    <x v="2"/>
    <x v="180"/>
    <x v="1"/>
    <s v="Percent change"/>
    <s v="Units"/>
    <x v="2"/>
    <n v="2.0830000000000002"/>
  </r>
  <r>
    <n v="1"/>
    <x v="2"/>
    <x v="180"/>
    <x v="1"/>
    <s v="Percent change"/>
    <s v="Units"/>
    <x v="3"/>
    <n v="5.3040000000000003"/>
  </r>
  <r>
    <n v="1"/>
    <x v="2"/>
    <x v="180"/>
    <x v="1"/>
    <s v="Percent change"/>
    <s v="Units"/>
    <x v="4"/>
    <n v="6.0789999999999997"/>
  </r>
  <r>
    <n v="1"/>
    <x v="2"/>
    <x v="180"/>
    <x v="1"/>
    <s v="Percent change"/>
    <s v="Units"/>
    <x v="5"/>
    <n v="2.2639999999999998"/>
  </r>
  <r>
    <n v="1"/>
    <x v="2"/>
    <x v="180"/>
    <x v="1"/>
    <s v="Percent change"/>
    <s v="Units"/>
    <x v="6"/>
    <n v="2"/>
  </r>
  <r>
    <n v="123"/>
    <x v="9"/>
    <x v="180"/>
    <x v="1"/>
    <s v="Percent change"/>
    <s v="Units"/>
    <x v="0"/>
    <n v="0.47299999999999998"/>
  </r>
  <r>
    <n v="123"/>
    <x v="9"/>
    <x v="180"/>
    <x v="1"/>
    <s v="Percent change"/>
    <s v="Units"/>
    <x v="1"/>
    <n v="-0.13300000000000001"/>
  </r>
  <r>
    <n v="123"/>
    <x v="9"/>
    <x v="180"/>
    <x v="1"/>
    <s v="Percent change"/>
    <s v="Units"/>
    <x v="2"/>
    <n v="2.0830000000000002"/>
  </r>
  <r>
    <n v="123"/>
    <x v="9"/>
    <x v="180"/>
    <x v="1"/>
    <s v="Percent change"/>
    <s v="Units"/>
    <x v="3"/>
    <n v="5.3040000000000003"/>
  </r>
  <r>
    <n v="123"/>
    <x v="9"/>
    <x v="180"/>
    <x v="1"/>
    <s v="Percent change"/>
    <s v="Units"/>
    <x v="4"/>
    <n v="6.0789999999999997"/>
  </r>
  <r>
    <n v="123"/>
    <x v="9"/>
    <x v="180"/>
    <x v="1"/>
    <s v="Percent change"/>
    <s v="Units"/>
    <x v="5"/>
    <n v="2.2639999999999998"/>
  </r>
  <r>
    <n v="123"/>
    <x v="9"/>
    <x v="180"/>
    <x v="1"/>
    <s v="Percent change"/>
    <s v="Units"/>
    <x v="6"/>
    <n v="2"/>
  </r>
  <r>
    <n v="400"/>
    <x v="11"/>
    <x v="17"/>
    <x v="1"/>
    <s v="Percent change"/>
    <s v="Units"/>
    <x v="0"/>
    <n v="-2.093"/>
  </r>
  <r>
    <n v="400"/>
    <x v="11"/>
    <x v="17"/>
    <x v="1"/>
    <s v="Percent change"/>
    <s v="Units"/>
    <x v="1"/>
    <n v="3.4449999999999998"/>
  </r>
  <r>
    <n v="400"/>
    <x v="11"/>
    <x v="17"/>
    <x v="1"/>
    <s v="Percent change"/>
    <s v="Units"/>
    <x v="2"/>
    <n v="3.0630000000000002"/>
  </r>
  <r>
    <n v="400"/>
    <x v="11"/>
    <x v="17"/>
    <x v="1"/>
    <s v="Percent change"/>
    <s v="Units"/>
    <x v="3"/>
    <n v="2.4740000000000002"/>
  </r>
  <r>
    <n v="400"/>
    <x v="11"/>
    <x v="17"/>
    <x v="1"/>
    <s v="Percent change"/>
    <s v="Units"/>
    <x v="4"/>
    <n v="2.327"/>
  </r>
  <r>
    <n v="400"/>
    <x v="11"/>
    <x v="17"/>
    <x v="1"/>
    <s v="Percent change"/>
    <s v="Units"/>
    <x v="5"/>
    <n v="2.2570000000000001"/>
  </r>
  <r>
    <n v="400"/>
    <x v="11"/>
    <x v="17"/>
    <x v="1"/>
    <s v="Percent change"/>
    <s v="Units"/>
    <x v="6"/>
    <n v="2.0329999999999999"/>
  </r>
  <r>
    <n v="1"/>
    <x v="2"/>
    <x v="17"/>
    <x v="1"/>
    <s v="Percent change"/>
    <s v="Units"/>
    <x v="0"/>
    <n v="-2.093"/>
  </r>
  <r>
    <n v="1"/>
    <x v="2"/>
    <x v="17"/>
    <x v="1"/>
    <s v="Percent change"/>
    <s v="Units"/>
    <x v="1"/>
    <n v="3.4449999999999998"/>
  </r>
  <r>
    <n v="1"/>
    <x v="2"/>
    <x v="17"/>
    <x v="1"/>
    <s v="Percent change"/>
    <s v="Units"/>
    <x v="2"/>
    <n v="3.0630000000000002"/>
  </r>
  <r>
    <n v="1"/>
    <x v="2"/>
    <x v="17"/>
    <x v="1"/>
    <s v="Percent change"/>
    <s v="Units"/>
    <x v="3"/>
    <n v="2.4740000000000002"/>
  </r>
  <r>
    <n v="1"/>
    <x v="2"/>
    <x v="17"/>
    <x v="1"/>
    <s v="Percent change"/>
    <s v="Units"/>
    <x v="4"/>
    <n v="2.327"/>
  </r>
  <r>
    <n v="1"/>
    <x v="2"/>
    <x v="17"/>
    <x v="1"/>
    <s v="Percent change"/>
    <s v="Units"/>
    <x v="5"/>
    <n v="2.2570000000000001"/>
  </r>
  <r>
    <n v="1"/>
    <x v="2"/>
    <x v="17"/>
    <x v="1"/>
    <s v="Percent change"/>
    <s v="Units"/>
    <x v="6"/>
    <n v="2.0329999999999999"/>
  </r>
  <r>
    <n v="200"/>
    <x v="3"/>
    <x v="17"/>
    <x v="1"/>
    <s v="Percent change"/>
    <s v="Units"/>
    <x v="0"/>
    <n v="-2.093"/>
  </r>
  <r>
    <n v="200"/>
    <x v="3"/>
    <x v="17"/>
    <x v="1"/>
    <s v="Percent change"/>
    <s v="Units"/>
    <x v="1"/>
    <n v="3.4449999999999998"/>
  </r>
  <r>
    <n v="200"/>
    <x v="3"/>
    <x v="17"/>
    <x v="1"/>
    <s v="Percent change"/>
    <s v="Units"/>
    <x v="2"/>
    <n v="3.0630000000000002"/>
  </r>
  <r>
    <n v="200"/>
    <x v="3"/>
    <x v="17"/>
    <x v="1"/>
    <s v="Percent change"/>
    <s v="Units"/>
    <x v="3"/>
    <n v="2.4740000000000002"/>
  </r>
  <r>
    <n v="200"/>
    <x v="3"/>
    <x v="17"/>
    <x v="1"/>
    <s v="Percent change"/>
    <s v="Units"/>
    <x v="4"/>
    <n v="2.327"/>
  </r>
  <r>
    <n v="200"/>
    <x v="3"/>
    <x v="17"/>
    <x v="1"/>
    <s v="Percent change"/>
    <s v="Units"/>
    <x v="5"/>
    <n v="2.2570000000000001"/>
  </r>
  <r>
    <n v="200"/>
    <x v="3"/>
    <x v="17"/>
    <x v="1"/>
    <s v="Percent change"/>
    <s v="Units"/>
    <x v="6"/>
    <n v="2.0329999999999999"/>
  </r>
  <r>
    <n v="123"/>
    <x v="9"/>
    <x v="18"/>
    <x v="11"/>
    <s v="Percent of total labor force"/>
    <s v="Units"/>
    <x v="0"/>
    <n v="2.306"/>
  </r>
  <r>
    <n v="123"/>
    <x v="9"/>
    <x v="18"/>
    <x v="11"/>
    <s v="Percent of total labor force"/>
    <s v="Units"/>
    <x v="1"/>
    <n v="3.17"/>
  </r>
  <r>
    <n v="123"/>
    <x v="9"/>
    <x v="18"/>
    <x v="11"/>
    <s v="Percent of total labor force"/>
    <s v="Units"/>
    <x v="2"/>
    <n v="2.9929999999999999"/>
  </r>
  <r>
    <n v="123"/>
    <x v="9"/>
    <x v="18"/>
    <x v="11"/>
    <s v="Percent of total labor force"/>
    <s v="Units"/>
    <x v="3"/>
    <n v="2.1659999999999999"/>
  </r>
  <r>
    <n v="123"/>
    <x v="9"/>
    <x v="18"/>
    <x v="11"/>
    <s v="Percent of total labor force"/>
    <s v="Units"/>
    <x v="4"/>
    <n v="2.0350000000000001"/>
  </r>
  <r>
    <n v="123"/>
    <x v="9"/>
    <x v="18"/>
    <x v="11"/>
    <s v="Percent of total labor force"/>
    <s v="Units"/>
    <x v="5"/>
    <n v="2.25"/>
  </r>
  <r>
    <n v="123"/>
    <x v="9"/>
    <x v="18"/>
    <x v="11"/>
    <s v="Percent of total labor force"/>
    <s v="Units"/>
    <x v="6"/>
    <n v="2.4"/>
  </r>
  <r>
    <n v="110"/>
    <x v="0"/>
    <x v="18"/>
    <x v="11"/>
    <s v="Percent of total labor force"/>
    <s v="Units"/>
    <x v="0"/>
    <n v="2.306"/>
  </r>
  <r>
    <n v="110"/>
    <x v="0"/>
    <x v="18"/>
    <x v="11"/>
    <s v="Percent of total labor force"/>
    <s v="Units"/>
    <x v="1"/>
    <n v="3.17"/>
  </r>
  <r>
    <n v="110"/>
    <x v="0"/>
    <x v="18"/>
    <x v="11"/>
    <s v="Percent of total labor force"/>
    <s v="Units"/>
    <x v="2"/>
    <n v="2.9929999999999999"/>
  </r>
  <r>
    <n v="110"/>
    <x v="0"/>
    <x v="18"/>
    <x v="11"/>
    <s v="Percent of total labor force"/>
    <s v="Units"/>
    <x v="3"/>
    <n v="2.1659999999999999"/>
  </r>
  <r>
    <n v="110"/>
    <x v="0"/>
    <x v="18"/>
    <x v="11"/>
    <s v="Percent of total labor force"/>
    <s v="Units"/>
    <x v="4"/>
    <n v="2.0350000000000001"/>
  </r>
  <r>
    <n v="110"/>
    <x v="0"/>
    <x v="18"/>
    <x v="11"/>
    <s v="Percent of total labor force"/>
    <s v="Units"/>
    <x v="5"/>
    <n v="2.25"/>
  </r>
  <r>
    <n v="110"/>
    <x v="0"/>
    <x v="18"/>
    <x v="11"/>
    <s v="Percent of total labor force"/>
    <s v="Units"/>
    <x v="6"/>
    <n v="2.4"/>
  </r>
  <r>
    <n v="110"/>
    <x v="0"/>
    <x v="46"/>
    <x v="1"/>
    <s v="Percent change"/>
    <s v="Units"/>
    <x v="0"/>
    <n v="0.3"/>
  </r>
  <r>
    <n v="110"/>
    <x v="0"/>
    <x v="46"/>
    <x v="1"/>
    <s v="Percent change"/>
    <s v="Units"/>
    <x v="1"/>
    <n v="-0.121"/>
  </r>
  <r>
    <n v="110"/>
    <x v="0"/>
    <x v="46"/>
    <x v="1"/>
    <s v="Percent change"/>
    <s v="Units"/>
    <x v="2"/>
    <n v="0.94099999999999995"/>
  </r>
  <r>
    <n v="110"/>
    <x v="0"/>
    <x v="46"/>
    <x v="1"/>
    <s v="Percent change"/>
    <s v="Units"/>
    <x v="3"/>
    <n v="8.1029999999999998"/>
  </r>
  <r>
    <n v="110"/>
    <x v="0"/>
    <x v="46"/>
    <x v="1"/>
    <s v="Percent change"/>
    <s v="Units"/>
    <x v="4"/>
    <n v="5.2640000000000002"/>
  </r>
  <r>
    <n v="110"/>
    <x v="0"/>
    <x v="46"/>
    <x v="1"/>
    <s v="Percent change"/>
    <s v="Units"/>
    <x v="5"/>
    <n v="2.2480000000000002"/>
  </r>
  <r>
    <n v="110"/>
    <x v="0"/>
    <x v="46"/>
    <x v="1"/>
    <s v="Percent change"/>
    <s v="Units"/>
    <x v="6"/>
    <n v="2.0049999999999999"/>
  </r>
  <r>
    <n v="163"/>
    <x v="5"/>
    <x v="46"/>
    <x v="1"/>
    <s v="Percent change"/>
    <s v="Units"/>
    <x v="0"/>
    <n v="0.3"/>
  </r>
  <r>
    <n v="163"/>
    <x v="5"/>
    <x v="46"/>
    <x v="1"/>
    <s v="Percent change"/>
    <s v="Units"/>
    <x v="1"/>
    <n v="-0.121"/>
  </r>
  <r>
    <n v="163"/>
    <x v="5"/>
    <x v="46"/>
    <x v="1"/>
    <s v="Percent change"/>
    <s v="Units"/>
    <x v="2"/>
    <n v="0.94099999999999995"/>
  </r>
  <r>
    <n v="163"/>
    <x v="5"/>
    <x v="46"/>
    <x v="1"/>
    <s v="Percent change"/>
    <s v="Units"/>
    <x v="3"/>
    <n v="8.1029999999999998"/>
  </r>
  <r>
    <n v="163"/>
    <x v="5"/>
    <x v="46"/>
    <x v="1"/>
    <s v="Percent change"/>
    <s v="Units"/>
    <x v="4"/>
    <n v="5.2640000000000002"/>
  </r>
  <r>
    <n v="163"/>
    <x v="5"/>
    <x v="46"/>
    <x v="1"/>
    <s v="Percent change"/>
    <s v="Units"/>
    <x v="5"/>
    <n v="2.2480000000000002"/>
  </r>
  <r>
    <n v="163"/>
    <x v="5"/>
    <x v="46"/>
    <x v="1"/>
    <s v="Percent change"/>
    <s v="Units"/>
    <x v="6"/>
    <n v="2.0049999999999999"/>
  </r>
  <r>
    <n v="998"/>
    <x v="6"/>
    <x v="46"/>
    <x v="1"/>
    <s v="Percent change"/>
    <s v="Units"/>
    <x v="0"/>
    <n v="0.3"/>
  </r>
  <r>
    <n v="998"/>
    <x v="6"/>
    <x v="46"/>
    <x v="1"/>
    <s v="Percent change"/>
    <s v="Units"/>
    <x v="1"/>
    <n v="-0.121"/>
  </r>
  <r>
    <n v="998"/>
    <x v="6"/>
    <x v="46"/>
    <x v="1"/>
    <s v="Percent change"/>
    <s v="Units"/>
    <x v="2"/>
    <n v="0.94099999999999995"/>
  </r>
  <r>
    <n v="998"/>
    <x v="6"/>
    <x v="46"/>
    <x v="1"/>
    <s v="Percent change"/>
    <s v="Units"/>
    <x v="3"/>
    <n v="8.1029999999999998"/>
  </r>
  <r>
    <n v="998"/>
    <x v="6"/>
    <x v="46"/>
    <x v="1"/>
    <s v="Percent change"/>
    <s v="Units"/>
    <x v="4"/>
    <n v="5.2640000000000002"/>
  </r>
  <r>
    <n v="998"/>
    <x v="6"/>
    <x v="46"/>
    <x v="1"/>
    <s v="Percent change"/>
    <s v="Units"/>
    <x v="5"/>
    <n v="2.2480000000000002"/>
  </r>
  <r>
    <n v="998"/>
    <x v="6"/>
    <x v="46"/>
    <x v="1"/>
    <s v="Percent change"/>
    <s v="Units"/>
    <x v="6"/>
    <n v="2.0049999999999999"/>
  </r>
  <r>
    <n v="1"/>
    <x v="2"/>
    <x v="46"/>
    <x v="1"/>
    <s v="Percent change"/>
    <s v="Units"/>
    <x v="0"/>
    <n v="0.3"/>
  </r>
  <r>
    <n v="1"/>
    <x v="2"/>
    <x v="46"/>
    <x v="1"/>
    <s v="Percent change"/>
    <s v="Units"/>
    <x v="1"/>
    <n v="-0.121"/>
  </r>
  <r>
    <n v="1"/>
    <x v="2"/>
    <x v="46"/>
    <x v="1"/>
    <s v="Percent change"/>
    <s v="Units"/>
    <x v="2"/>
    <n v="0.94099999999999995"/>
  </r>
  <r>
    <n v="1"/>
    <x v="2"/>
    <x v="46"/>
    <x v="1"/>
    <s v="Percent change"/>
    <s v="Units"/>
    <x v="3"/>
    <n v="8.1029999999999998"/>
  </r>
  <r>
    <n v="1"/>
    <x v="2"/>
    <x v="46"/>
    <x v="1"/>
    <s v="Percent change"/>
    <s v="Units"/>
    <x v="4"/>
    <n v="5.2640000000000002"/>
  </r>
  <r>
    <n v="1"/>
    <x v="2"/>
    <x v="46"/>
    <x v="1"/>
    <s v="Percent change"/>
    <s v="Units"/>
    <x v="5"/>
    <n v="2.2480000000000002"/>
  </r>
  <r>
    <n v="1"/>
    <x v="2"/>
    <x v="46"/>
    <x v="1"/>
    <s v="Percent change"/>
    <s v="Units"/>
    <x v="6"/>
    <n v="2.0049999999999999"/>
  </r>
  <r>
    <n v="110"/>
    <x v="0"/>
    <x v="3"/>
    <x v="1"/>
    <s v="Percent change"/>
    <s v="Units"/>
    <x v="0"/>
    <n v="0.46800000000000003"/>
  </r>
  <r>
    <n v="110"/>
    <x v="0"/>
    <x v="3"/>
    <x v="1"/>
    <s v="Percent change"/>
    <s v="Units"/>
    <x v="1"/>
    <n v="-2.7E-2"/>
  </r>
  <r>
    <n v="110"/>
    <x v="0"/>
    <x v="3"/>
    <x v="1"/>
    <s v="Percent change"/>
    <s v="Units"/>
    <x v="2"/>
    <n v="-0.23499999999999999"/>
  </r>
  <r>
    <n v="110"/>
    <x v="0"/>
    <x v="3"/>
    <x v="1"/>
    <s v="Percent change"/>
    <s v="Units"/>
    <x v="3"/>
    <n v="2.4969999999999999"/>
  </r>
  <r>
    <n v="110"/>
    <x v="0"/>
    <x v="3"/>
    <x v="1"/>
    <s v="Percent change"/>
    <s v="Units"/>
    <x v="4"/>
    <n v="3.2679999999999998"/>
  </r>
  <r>
    <n v="110"/>
    <x v="0"/>
    <x v="3"/>
    <x v="1"/>
    <s v="Percent change"/>
    <s v="Units"/>
    <x v="5"/>
    <n v="2.2370000000000001"/>
  </r>
  <r>
    <n v="110"/>
    <x v="0"/>
    <x v="3"/>
    <x v="1"/>
    <s v="Percent change"/>
    <s v="Units"/>
    <x v="6"/>
    <n v="2.097"/>
  </r>
  <r>
    <n v="119"/>
    <x v="1"/>
    <x v="3"/>
    <x v="1"/>
    <s v="Percent change"/>
    <s v="Units"/>
    <x v="0"/>
    <n v="0.46800000000000003"/>
  </r>
  <r>
    <n v="119"/>
    <x v="1"/>
    <x v="3"/>
    <x v="1"/>
    <s v="Percent change"/>
    <s v="Units"/>
    <x v="1"/>
    <n v="-2.7E-2"/>
  </r>
  <r>
    <n v="119"/>
    <x v="1"/>
    <x v="3"/>
    <x v="1"/>
    <s v="Percent change"/>
    <s v="Units"/>
    <x v="2"/>
    <n v="-0.23499999999999999"/>
  </r>
  <r>
    <n v="119"/>
    <x v="1"/>
    <x v="3"/>
    <x v="1"/>
    <s v="Percent change"/>
    <s v="Units"/>
    <x v="3"/>
    <n v="2.4969999999999999"/>
  </r>
  <r>
    <n v="119"/>
    <x v="1"/>
    <x v="3"/>
    <x v="1"/>
    <s v="Percent change"/>
    <s v="Units"/>
    <x v="4"/>
    <n v="3.2679999999999998"/>
  </r>
  <r>
    <n v="119"/>
    <x v="1"/>
    <x v="3"/>
    <x v="1"/>
    <s v="Percent change"/>
    <s v="Units"/>
    <x v="5"/>
    <n v="2.2370000000000001"/>
  </r>
  <r>
    <n v="119"/>
    <x v="1"/>
    <x v="3"/>
    <x v="1"/>
    <s v="Percent change"/>
    <s v="Units"/>
    <x v="6"/>
    <n v="2.097"/>
  </r>
  <r>
    <n v="1"/>
    <x v="2"/>
    <x v="3"/>
    <x v="1"/>
    <s v="Percent change"/>
    <s v="Units"/>
    <x v="0"/>
    <n v="0.46800000000000003"/>
  </r>
  <r>
    <n v="1"/>
    <x v="2"/>
    <x v="3"/>
    <x v="1"/>
    <s v="Percent change"/>
    <s v="Units"/>
    <x v="1"/>
    <n v="-2.7E-2"/>
  </r>
  <r>
    <n v="1"/>
    <x v="2"/>
    <x v="3"/>
    <x v="1"/>
    <s v="Percent change"/>
    <s v="Units"/>
    <x v="2"/>
    <n v="-0.23499999999999999"/>
  </r>
  <r>
    <n v="1"/>
    <x v="2"/>
    <x v="3"/>
    <x v="1"/>
    <s v="Percent change"/>
    <s v="Units"/>
    <x v="3"/>
    <n v="2.4969999999999999"/>
  </r>
  <r>
    <n v="1"/>
    <x v="2"/>
    <x v="3"/>
    <x v="1"/>
    <s v="Percent change"/>
    <s v="Units"/>
    <x v="4"/>
    <n v="3.2679999999999998"/>
  </r>
  <r>
    <n v="1"/>
    <x v="2"/>
    <x v="3"/>
    <x v="1"/>
    <s v="Percent change"/>
    <s v="Units"/>
    <x v="5"/>
    <n v="2.2370000000000001"/>
  </r>
  <r>
    <n v="1"/>
    <x v="2"/>
    <x v="3"/>
    <x v="1"/>
    <s v="Percent change"/>
    <s v="Units"/>
    <x v="6"/>
    <n v="2.097"/>
  </r>
  <r>
    <n v="200"/>
    <x v="3"/>
    <x v="170"/>
    <x v="4"/>
    <s v="Percent change"/>
    <s v="Units"/>
    <x v="0"/>
    <n v="7.6509999999999998"/>
  </r>
  <r>
    <n v="200"/>
    <x v="3"/>
    <x v="170"/>
    <x v="4"/>
    <s v="Percent change"/>
    <s v="Units"/>
    <x v="1"/>
    <n v="-21.882999999999999"/>
  </r>
  <r>
    <n v="200"/>
    <x v="3"/>
    <x v="170"/>
    <x v="4"/>
    <s v="Percent change"/>
    <s v="Units"/>
    <x v="2"/>
    <n v="5.3920000000000003"/>
  </r>
  <r>
    <n v="200"/>
    <x v="3"/>
    <x v="170"/>
    <x v="4"/>
    <s v="Percent change"/>
    <s v="Units"/>
    <x v="3"/>
    <n v="8.2170000000000005"/>
  </r>
  <r>
    <n v="200"/>
    <x v="3"/>
    <x v="170"/>
    <x v="4"/>
    <s v="Percent change"/>
    <s v="Units"/>
    <x v="4"/>
    <n v="2.395"/>
  </r>
  <r>
    <n v="200"/>
    <x v="3"/>
    <x v="170"/>
    <x v="4"/>
    <s v="Percent change"/>
    <s v="Units"/>
    <x v="5"/>
    <n v="2.2130000000000001"/>
  </r>
  <r>
    <n v="200"/>
    <x v="3"/>
    <x v="170"/>
    <x v="4"/>
    <s v="Percent change"/>
    <s v="Units"/>
    <x v="6"/>
    <n v="4.0519999999999996"/>
  </r>
  <r>
    <n v="1"/>
    <x v="2"/>
    <x v="170"/>
    <x v="4"/>
    <s v="Percent change"/>
    <s v="Units"/>
    <x v="0"/>
    <n v="7.6509999999999998"/>
  </r>
  <r>
    <n v="1"/>
    <x v="2"/>
    <x v="170"/>
    <x v="4"/>
    <s v="Percent change"/>
    <s v="Units"/>
    <x v="1"/>
    <n v="-21.882999999999999"/>
  </r>
  <r>
    <n v="1"/>
    <x v="2"/>
    <x v="170"/>
    <x v="4"/>
    <s v="Percent change"/>
    <s v="Units"/>
    <x v="2"/>
    <n v="5.3920000000000003"/>
  </r>
  <r>
    <n v="1"/>
    <x v="2"/>
    <x v="170"/>
    <x v="4"/>
    <s v="Percent change"/>
    <s v="Units"/>
    <x v="3"/>
    <n v="8.2170000000000005"/>
  </r>
  <r>
    <n v="1"/>
    <x v="2"/>
    <x v="170"/>
    <x v="4"/>
    <s v="Percent change"/>
    <s v="Units"/>
    <x v="4"/>
    <n v="2.395"/>
  </r>
  <r>
    <n v="1"/>
    <x v="2"/>
    <x v="170"/>
    <x v="4"/>
    <s v="Percent change"/>
    <s v="Units"/>
    <x v="5"/>
    <n v="2.2130000000000001"/>
  </r>
  <r>
    <n v="1"/>
    <x v="2"/>
    <x v="170"/>
    <x v="4"/>
    <s v="Percent change"/>
    <s v="Units"/>
    <x v="6"/>
    <n v="4.0519999999999996"/>
  </r>
  <r>
    <n v="603"/>
    <x v="12"/>
    <x v="170"/>
    <x v="4"/>
    <s v="Percent change"/>
    <s v="Units"/>
    <x v="0"/>
    <n v="7.6509999999999998"/>
  </r>
  <r>
    <n v="603"/>
    <x v="12"/>
    <x v="170"/>
    <x v="4"/>
    <s v="Percent change"/>
    <s v="Units"/>
    <x v="1"/>
    <n v="-21.882999999999999"/>
  </r>
  <r>
    <n v="603"/>
    <x v="12"/>
    <x v="170"/>
    <x v="4"/>
    <s v="Percent change"/>
    <s v="Units"/>
    <x v="2"/>
    <n v="5.3920000000000003"/>
  </r>
  <r>
    <n v="603"/>
    <x v="12"/>
    <x v="170"/>
    <x v="4"/>
    <s v="Percent change"/>
    <s v="Units"/>
    <x v="3"/>
    <n v="8.2170000000000005"/>
  </r>
  <r>
    <n v="603"/>
    <x v="12"/>
    <x v="170"/>
    <x v="4"/>
    <s v="Percent change"/>
    <s v="Units"/>
    <x v="4"/>
    <n v="2.395"/>
  </r>
  <r>
    <n v="603"/>
    <x v="12"/>
    <x v="170"/>
    <x v="4"/>
    <s v="Percent change"/>
    <s v="Units"/>
    <x v="5"/>
    <n v="2.2130000000000001"/>
  </r>
  <r>
    <n v="603"/>
    <x v="12"/>
    <x v="170"/>
    <x v="4"/>
    <s v="Percent change"/>
    <s v="Units"/>
    <x v="6"/>
    <n v="4.0519999999999996"/>
  </r>
  <r>
    <n v="998"/>
    <x v="6"/>
    <x v="84"/>
    <x v="8"/>
    <s v="Percent change"/>
    <s v="Units"/>
    <x v="0"/>
    <n v="4.6660000000000004"/>
  </r>
  <r>
    <n v="998"/>
    <x v="6"/>
    <x v="84"/>
    <x v="8"/>
    <s v="Percent change"/>
    <s v="Units"/>
    <x v="1"/>
    <n v="-2.5000000000000001E-2"/>
  </r>
  <r>
    <n v="998"/>
    <x v="6"/>
    <x v="84"/>
    <x v="8"/>
    <s v="Percent change"/>
    <s v="Units"/>
    <x v="2"/>
    <n v="6.2850000000000001"/>
  </r>
  <r>
    <n v="998"/>
    <x v="6"/>
    <x v="84"/>
    <x v="8"/>
    <s v="Percent change"/>
    <s v="Units"/>
    <x v="3"/>
    <n v="2.44"/>
  </r>
  <r>
    <n v="998"/>
    <x v="6"/>
    <x v="84"/>
    <x v="8"/>
    <s v="Percent change"/>
    <s v="Units"/>
    <x v="4"/>
    <n v="-0.34300000000000003"/>
  </r>
  <r>
    <n v="998"/>
    <x v="6"/>
    <x v="84"/>
    <x v="8"/>
    <s v="Percent change"/>
    <s v="Units"/>
    <x v="5"/>
    <n v="2.2090000000000001"/>
  </r>
  <r>
    <n v="998"/>
    <x v="6"/>
    <x v="84"/>
    <x v="8"/>
    <s v="Percent change"/>
    <s v="Units"/>
    <x v="6"/>
    <n v="2.4590000000000001"/>
  </r>
  <r>
    <n v="110"/>
    <x v="0"/>
    <x v="84"/>
    <x v="8"/>
    <s v="Percent change"/>
    <s v="Units"/>
    <x v="0"/>
    <n v="4.6660000000000004"/>
  </r>
  <r>
    <n v="110"/>
    <x v="0"/>
    <x v="84"/>
    <x v="8"/>
    <s v="Percent change"/>
    <s v="Units"/>
    <x v="1"/>
    <n v="-2.5000000000000001E-2"/>
  </r>
  <r>
    <n v="110"/>
    <x v="0"/>
    <x v="84"/>
    <x v="8"/>
    <s v="Percent change"/>
    <s v="Units"/>
    <x v="2"/>
    <n v="6.2850000000000001"/>
  </r>
  <r>
    <n v="110"/>
    <x v="0"/>
    <x v="84"/>
    <x v="8"/>
    <s v="Percent change"/>
    <s v="Units"/>
    <x v="3"/>
    <n v="2.44"/>
  </r>
  <r>
    <n v="110"/>
    <x v="0"/>
    <x v="84"/>
    <x v="8"/>
    <s v="Percent change"/>
    <s v="Units"/>
    <x v="4"/>
    <n v="-0.34300000000000003"/>
  </r>
  <r>
    <n v="110"/>
    <x v="0"/>
    <x v="84"/>
    <x v="8"/>
    <s v="Percent change"/>
    <s v="Units"/>
    <x v="5"/>
    <n v="2.2090000000000001"/>
  </r>
  <r>
    <n v="110"/>
    <x v="0"/>
    <x v="84"/>
    <x v="8"/>
    <s v="Percent change"/>
    <s v="Units"/>
    <x v="6"/>
    <n v="2.4590000000000001"/>
  </r>
  <r>
    <n v="163"/>
    <x v="5"/>
    <x v="84"/>
    <x v="8"/>
    <s v="Percent change"/>
    <s v="Units"/>
    <x v="0"/>
    <n v="4.6660000000000004"/>
  </r>
  <r>
    <n v="163"/>
    <x v="5"/>
    <x v="84"/>
    <x v="8"/>
    <s v="Percent change"/>
    <s v="Units"/>
    <x v="1"/>
    <n v="-2.5000000000000001E-2"/>
  </r>
  <r>
    <n v="163"/>
    <x v="5"/>
    <x v="84"/>
    <x v="8"/>
    <s v="Percent change"/>
    <s v="Units"/>
    <x v="2"/>
    <n v="6.2850000000000001"/>
  </r>
  <r>
    <n v="163"/>
    <x v="5"/>
    <x v="84"/>
    <x v="8"/>
    <s v="Percent change"/>
    <s v="Units"/>
    <x v="3"/>
    <n v="2.44"/>
  </r>
  <r>
    <n v="163"/>
    <x v="5"/>
    <x v="84"/>
    <x v="8"/>
    <s v="Percent change"/>
    <s v="Units"/>
    <x v="4"/>
    <n v="-0.34300000000000003"/>
  </r>
  <r>
    <n v="163"/>
    <x v="5"/>
    <x v="84"/>
    <x v="8"/>
    <s v="Percent change"/>
    <s v="Units"/>
    <x v="5"/>
    <n v="2.2090000000000001"/>
  </r>
  <r>
    <n v="163"/>
    <x v="5"/>
    <x v="84"/>
    <x v="8"/>
    <s v="Percent change"/>
    <s v="Units"/>
    <x v="6"/>
    <n v="2.4590000000000001"/>
  </r>
  <r>
    <n v="1"/>
    <x v="2"/>
    <x v="84"/>
    <x v="8"/>
    <s v="Percent change"/>
    <s v="Units"/>
    <x v="0"/>
    <n v="4.6660000000000004"/>
  </r>
  <r>
    <n v="1"/>
    <x v="2"/>
    <x v="84"/>
    <x v="8"/>
    <s v="Percent change"/>
    <s v="Units"/>
    <x v="1"/>
    <n v="-2.5000000000000001E-2"/>
  </r>
  <r>
    <n v="1"/>
    <x v="2"/>
    <x v="84"/>
    <x v="8"/>
    <s v="Percent change"/>
    <s v="Units"/>
    <x v="2"/>
    <n v="6.2850000000000001"/>
  </r>
  <r>
    <n v="1"/>
    <x v="2"/>
    <x v="84"/>
    <x v="8"/>
    <s v="Percent change"/>
    <s v="Units"/>
    <x v="3"/>
    <n v="2.44"/>
  </r>
  <r>
    <n v="1"/>
    <x v="2"/>
    <x v="84"/>
    <x v="8"/>
    <s v="Percent change"/>
    <s v="Units"/>
    <x v="4"/>
    <n v="-0.34300000000000003"/>
  </r>
  <r>
    <n v="1"/>
    <x v="2"/>
    <x v="84"/>
    <x v="8"/>
    <s v="Percent change"/>
    <s v="Units"/>
    <x v="5"/>
    <n v="2.2090000000000001"/>
  </r>
  <r>
    <n v="1"/>
    <x v="2"/>
    <x v="84"/>
    <x v="8"/>
    <s v="Percent change"/>
    <s v="Units"/>
    <x v="6"/>
    <n v="2.4590000000000001"/>
  </r>
  <r>
    <n v="603"/>
    <x v="12"/>
    <x v="141"/>
    <x v="0"/>
    <s v="U.S. dollars"/>
    <s v="Billions"/>
    <x v="0"/>
    <n v="1.867"/>
  </r>
  <r>
    <n v="603"/>
    <x v="12"/>
    <x v="141"/>
    <x v="0"/>
    <s v="U.S. dollars"/>
    <s v="Billions"/>
    <x v="1"/>
    <n v="1.3839999999999999"/>
  </r>
  <r>
    <n v="603"/>
    <x v="12"/>
    <x v="141"/>
    <x v="0"/>
    <s v="U.S. dollars"/>
    <s v="Billions"/>
    <x v="2"/>
    <n v="1.49"/>
  </r>
  <r>
    <n v="603"/>
    <x v="12"/>
    <x v="141"/>
    <x v="0"/>
    <s v="U.S. dollars"/>
    <s v="Billions"/>
    <x v="3"/>
    <n v="2.0579999999999998"/>
  </r>
  <r>
    <n v="603"/>
    <x v="12"/>
    <x v="141"/>
    <x v="0"/>
    <s v="U.S. dollars"/>
    <s v="Billions"/>
    <x v="4"/>
    <n v="2.153"/>
  </r>
  <r>
    <n v="603"/>
    <x v="12"/>
    <x v="141"/>
    <x v="0"/>
    <s v="U.S. dollars"/>
    <s v="Billions"/>
    <x v="5"/>
    <n v="2.2029999999999998"/>
  </r>
  <r>
    <n v="603"/>
    <x v="12"/>
    <x v="141"/>
    <x v="0"/>
    <s v="U.S. dollars"/>
    <s v="Billions"/>
    <x v="6"/>
    <n v="2.3340000000000001"/>
  </r>
  <r>
    <n v="1"/>
    <x v="2"/>
    <x v="141"/>
    <x v="0"/>
    <s v="U.S. dollars"/>
    <s v="Billions"/>
    <x v="0"/>
    <n v="1.867"/>
  </r>
  <r>
    <n v="1"/>
    <x v="2"/>
    <x v="141"/>
    <x v="0"/>
    <s v="U.S. dollars"/>
    <s v="Billions"/>
    <x v="1"/>
    <n v="1.3839999999999999"/>
  </r>
  <r>
    <n v="1"/>
    <x v="2"/>
    <x v="141"/>
    <x v="0"/>
    <s v="U.S. dollars"/>
    <s v="Billions"/>
    <x v="2"/>
    <n v="1.49"/>
  </r>
  <r>
    <n v="1"/>
    <x v="2"/>
    <x v="141"/>
    <x v="0"/>
    <s v="U.S. dollars"/>
    <s v="Billions"/>
    <x v="3"/>
    <n v="2.0579999999999998"/>
  </r>
  <r>
    <n v="1"/>
    <x v="2"/>
    <x v="141"/>
    <x v="0"/>
    <s v="U.S. dollars"/>
    <s v="Billions"/>
    <x v="4"/>
    <n v="2.153"/>
  </r>
  <r>
    <n v="1"/>
    <x v="2"/>
    <x v="141"/>
    <x v="0"/>
    <s v="U.S. dollars"/>
    <s v="Billions"/>
    <x v="5"/>
    <n v="2.2029999999999998"/>
  </r>
  <r>
    <n v="1"/>
    <x v="2"/>
    <x v="141"/>
    <x v="0"/>
    <s v="U.S. dollars"/>
    <s v="Billions"/>
    <x v="6"/>
    <n v="2.3340000000000001"/>
  </r>
  <r>
    <n v="200"/>
    <x v="3"/>
    <x v="55"/>
    <x v="8"/>
    <s v="Percent change"/>
    <s v="Units"/>
    <x v="0"/>
    <n v="4.8639999999999999"/>
  </r>
  <r>
    <n v="200"/>
    <x v="3"/>
    <x v="55"/>
    <x v="8"/>
    <s v="Percent change"/>
    <s v="Units"/>
    <x v="1"/>
    <n v="-4.5359999999999996"/>
  </r>
  <r>
    <n v="200"/>
    <x v="3"/>
    <x v="55"/>
    <x v="8"/>
    <s v="Percent change"/>
    <s v="Units"/>
    <x v="2"/>
    <n v="7.0860000000000003"/>
  </r>
  <r>
    <n v="200"/>
    <x v="3"/>
    <x v="55"/>
    <x v="8"/>
    <s v="Percent change"/>
    <s v="Units"/>
    <x v="3"/>
    <n v="4.5549999999999997"/>
  </r>
  <r>
    <n v="200"/>
    <x v="3"/>
    <x v="55"/>
    <x v="8"/>
    <s v="Percent change"/>
    <s v="Units"/>
    <x v="4"/>
    <n v="-0.90800000000000003"/>
  </r>
  <r>
    <n v="200"/>
    <x v="3"/>
    <x v="55"/>
    <x v="8"/>
    <s v="Percent change"/>
    <s v="Units"/>
    <x v="5"/>
    <n v="2.2029999999999998"/>
  </r>
  <r>
    <n v="200"/>
    <x v="3"/>
    <x v="55"/>
    <x v="8"/>
    <s v="Percent change"/>
    <s v="Units"/>
    <x v="6"/>
    <n v="3.3450000000000002"/>
  </r>
  <r>
    <n v="200"/>
    <x v="3"/>
    <x v="141"/>
    <x v="0"/>
    <s v="U.S. dollars"/>
    <s v="Billions"/>
    <x v="0"/>
    <n v="1.867"/>
  </r>
  <r>
    <n v="200"/>
    <x v="3"/>
    <x v="141"/>
    <x v="0"/>
    <s v="U.S. dollars"/>
    <s v="Billions"/>
    <x v="1"/>
    <n v="1.3839999999999999"/>
  </r>
  <r>
    <n v="200"/>
    <x v="3"/>
    <x v="141"/>
    <x v="0"/>
    <s v="U.S. dollars"/>
    <s v="Billions"/>
    <x v="2"/>
    <n v="1.49"/>
  </r>
  <r>
    <n v="200"/>
    <x v="3"/>
    <x v="141"/>
    <x v="0"/>
    <s v="U.S. dollars"/>
    <s v="Billions"/>
    <x v="3"/>
    <n v="2.0579999999999998"/>
  </r>
  <r>
    <n v="200"/>
    <x v="3"/>
    <x v="141"/>
    <x v="0"/>
    <s v="U.S. dollars"/>
    <s v="Billions"/>
    <x v="4"/>
    <n v="2.153"/>
  </r>
  <r>
    <n v="200"/>
    <x v="3"/>
    <x v="141"/>
    <x v="0"/>
    <s v="U.S. dollars"/>
    <s v="Billions"/>
    <x v="5"/>
    <n v="2.2029999999999998"/>
  </r>
  <r>
    <n v="200"/>
    <x v="3"/>
    <x v="141"/>
    <x v="0"/>
    <s v="U.S. dollars"/>
    <s v="Billions"/>
    <x v="6"/>
    <n v="2.3340000000000001"/>
  </r>
  <r>
    <n v="998"/>
    <x v="6"/>
    <x v="55"/>
    <x v="8"/>
    <s v="Percent change"/>
    <s v="Units"/>
    <x v="0"/>
    <n v="4.8639999999999999"/>
  </r>
  <r>
    <n v="998"/>
    <x v="6"/>
    <x v="55"/>
    <x v="8"/>
    <s v="Percent change"/>
    <s v="Units"/>
    <x v="1"/>
    <n v="-4.5359999999999996"/>
  </r>
  <r>
    <n v="998"/>
    <x v="6"/>
    <x v="55"/>
    <x v="8"/>
    <s v="Percent change"/>
    <s v="Units"/>
    <x v="2"/>
    <n v="7.0860000000000003"/>
  </r>
  <r>
    <n v="998"/>
    <x v="6"/>
    <x v="55"/>
    <x v="8"/>
    <s v="Percent change"/>
    <s v="Units"/>
    <x v="3"/>
    <n v="4.5549999999999997"/>
  </r>
  <r>
    <n v="998"/>
    <x v="6"/>
    <x v="55"/>
    <x v="8"/>
    <s v="Percent change"/>
    <s v="Units"/>
    <x v="4"/>
    <n v="-0.90800000000000003"/>
  </r>
  <r>
    <n v="998"/>
    <x v="6"/>
    <x v="55"/>
    <x v="8"/>
    <s v="Percent change"/>
    <s v="Units"/>
    <x v="5"/>
    <n v="2.2029999999999998"/>
  </r>
  <r>
    <n v="998"/>
    <x v="6"/>
    <x v="55"/>
    <x v="8"/>
    <s v="Percent change"/>
    <s v="Units"/>
    <x v="6"/>
    <n v="3.3450000000000002"/>
  </r>
  <r>
    <n v="903"/>
    <x v="8"/>
    <x v="55"/>
    <x v="8"/>
    <s v="Percent change"/>
    <s v="Units"/>
    <x v="0"/>
    <n v="4.8639999999999999"/>
  </r>
  <r>
    <n v="903"/>
    <x v="8"/>
    <x v="55"/>
    <x v="8"/>
    <s v="Percent change"/>
    <s v="Units"/>
    <x v="1"/>
    <n v="-4.5359999999999996"/>
  </r>
  <r>
    <n v="903"/>
    <x v="8"/>
    <x v="55"/>
    <x v="8"/>
    <s v="Percent change"/>
    <s v="Units"/>
    <x v="2"/>
    <n v="7.0860000000000003"/>
  </r>
  <r>
    <n v="903"/>
    <x v="8"/>
    <x v="55"/>
    <x v="8"/>
    <s v="Percent change"/>
    <s v="Units"/>
    <x v="3"/>
    <n v="4.5549999999999997"/>
  </r>
  <r>
    <n v="903"/>
    <x v="8"/>
    <x v="55"/>
    <x v="8"/>
    <s v="Percent change"/>
    <s v="Units"/>
    <x v="4"/>
    <n v="-0.90800000000000003"/>
  </r>
  <r>
    <n v="903"/>
    <x v="8"/>
    <x v="55"/>
    <x v="8"/>
    <s v="Percent change"/>
    <s v="Units"/>
    <x v="5"/>
    <n v="2.2029999999999998"/>
  </r>
  <r>
    <n v="903"/>
    <x v="8"/>
    <x v="55"/>
    <x v="8"/>
    <s v="Percent change"/>
    <s v="Units"/>
    <x v="6"/>
    <n v="3.3450000000000002"/>
  </r>
  <r>
    <n v="1"/>
    <x v="2"/>
    <x v="55"/>
    <x v="8"/>
    <s v="Percent change"/>
    <s v="Units"/>
    <x v="0"/>
    <n v="4.8639999999999999"/>
  </r>
  <r>
    <n v="1"/>
    <x v="2"/>
    <x v="55"/>
    <x v="8"/>
    <s v="Percent change"/>
    <s v="Units"/>
    <x v="1"/>
    <n v="-4.5359999999999996"/>
  </r>
  <r>
    <n v="1"/>
    <x v="2"/>
    <x v="55"/>
    <x v="8"/>
    <s v="Percent change"/>
    <s v="Units"/>
    <x v="2"/>
    <n v="7.0860000000000003"/>
  </r>
  <r>
    <n v="1"/>
    <x v="2"/>
    <x v="55"/>
    <x v="8"/>
    <s v="Percent change"/>
    <s v="Units"/>
    <x v="3"/>
    <n v="4.5549999999999997"/>
  </r>
  <r>
    <n v="1"/>
    <x v="2"/>
    <x v="55"/>
    <x v="8"/>
    <s v="Percent change"/>
    <s v="Units"/>
    <x v="4"/>
    <n v="-0.90800000000000003"/>
  </r>
  <r>
    <n v="1"/>
    <x v="2"/>
    <x v="55"/>
    <x v="8"/>
    <s v="Percent change"/>
    <s v="Units"/>
    <x v="5"/>
    <n v="2.2029999999999998"/>
  </r>
  <r>
    <n v="1"/>
    <x v="2"/>
    <x v="55"/>
    <x v="8"/>
    <s v="Percent change"/>
    <s v="Units"/>
    <x v="6"/>
    <n v="3.3450000000000002"/>
  </r>
  <r>
    <n v="400"/>
    <x v="11"/>
    <x v="49"/>
    <x v="4"/>
    <s v="Percent change"/>
    <s v="Units"/>
    <x v="0"/>
    <n v="-2.9540000000000002"/>
  </r>
  <r>
    <n v="400"/>
    <x v="11"/>
    <x v="49"/>
    <x v="4"/>
    <s v="Percent change"/>
    <s v="Units"/>
    <x v="1"/>
    <n v="-4.1539999999999999"/>
  </r>
  <r>
    <n v="400"/>
    <x v="11"/>
    <x v="49"/>
    <x v="4"/>
    <s v="Percent change"/>
    <s v="Units"/>
    <x v="2"/>
    <n v="15.855"/>
  </r>
  <r>
    <n v="400"/>
    <x v="11"/>
    <x v="49"/>
    <x v="4"/>
    <s v="Percent change"/>
    <s v="Units"/>
    <x v="3"/>
    <n v="28.716999999999999"/>
  </r>
  <r>
    <n v="400"/>
    <x v="11"/>
    <x v="49"/>
    <x v="4"/>
    <s v="Percent change"/>
    <s v="Units"/>
    <x v="4"/>
    <n v="9.2620000000000005"/>
  </r>
  <r>
    <n v="400"/>
    <x v="11"/>
    <x v="49"/>
    <x v="4"/>
    <s v="Percent change"/>
    <s v="Units"/>
    <x v="5"/>
    <n v="2.194"/>
  </r>
  <r>
    <n v="400"/>
    <x v="11"/>
    <x v="49"/>
    <x v="4"/>
    <s v="Percent change"/>
    <s v="Units"/>
    <x v="6"/>
    <n v="1.2"/>
  </r>
  <r>
    <n v="1"/>
    <x v="2"/>
    <x v="49"/>
    <x v="4"/>
    <s v="Percent change"/>
    <s v="Units"/>
    <x v="0"/>
    <n v="-2.9540000000000002"/>
  </r>
  <r>
    <n v="1"/>
    <x v="2"/>
    <x v="49"/>
    <x v="4"/>
    <s v="Percent change"/>
    <s v="Units"/>
    <x v="1"/>
    <n v="-4.1539999999999999"/>
  </r>
  <r>
    <n v="1"/>
    <x v="2"/>
    <x v="49"/>
    <x v="4"/>
    <s v="Percent change"/>
    <s v="Units"/>
    <x v="2"/>
    <n v="15.855"/>
  </r>
  <r>
    <n v="1"/>
    <x v="2"/>
    <x v="49"/>
    <x v="4"/>
    <s v="Percent change"/>
    <s v="Units"/>
    <x v="3"/>
    <n v="28.716999999999999"/>
  </r>
  <r>
    <n v="1"/>
    <x v="2"/>
    <x v="49"/>
    <x v="4"/>
    <s v="Percent change"/>
    <s v="Units"/>
    <x v="4"/>
    <n v="9.2620000000000005"/>
  </r>
  <r>
    <n v="1"/>
    <x v="2"/>
    <x v="49"/>
    <x v="4"/>
    <s v="Percent change"/>
    <s v="Units"/>
    <x v="5"/>
    <n v="2.194"/>
  </r>
  <r>
    <n v="1"/>
    <x v="2"/>
    <x v="49"/>
    <x v="4"/>
    <s v="Percent change"/>
    <s v="Units"/>
    <x v="6"/>
    <n v="1.2"/>
  </r>
  <r>
    <n v="200"/>
    <x v="3"/>
    <x v="49"/>
    <x v="4"/>
    <s v="Percent change"/>
    <s v="Units"/>
    <x v="0"/>
    <n v="-2.9540000000000002"/>
  </r>
  <r>
    <n v="200"/>
    <x v="3"/>
    <x v="49"/>
    <x v="4"/>
    <s v="Percent change"/>
    <s v="Units"/>
    <x v="1"/>
    <n v="-4.1539999999999999"/>
  </r>
  <r>
    <n v="200"/>
    <x v="3"/>
    <x v="49"/>
    <x v="4"/>
    <s v="Percent change"/>
    <s v="Units"/>
    <x v="2"/>
    <n v="15.855"/>
  </r>
  <r>
    <n v="200"/>
    <x v="3"/>
    <x v="49"/>
    <x v="4"/>
    <s v="Percent change"/>
    <s v="Units"/>
    <x v="3"/>
    <n v="28.716999999999999"/>
  </r>
  <r>
    <n v="200"/>
    <x v="3"/>
    <x v="49"/>
    <x v="4"/>
    <s v="Percent change"/>
    <s v="Units"/>
    <x v="4"/>
    <n v="9.2620000000000005"/>
  </r>
  <r>
    <n v="200"/>
    <x v="3"/>
    <x v="49"/>
    <x v="4"/>
    <s v="Percent change"/>
    <s v="Units"/>
    <x v="5"/>
    <n v="2.194"/>
  </r>
  <r>
    <n v="200"/>
    <x v="3"/>
    <x v="49"/>
    <x v="4"/>
    <s v="Percent change"/>
    <s v="Units"/>
    <x v="6"/>
    <n v="1.2"/>
  </r>
  <r>
    <n v="110"/>
    <x v="0"/>
    <x v="3"/>
    <x v="6"/>
    <s v="Percent change"/>
    <s v="Units"/>
    <x v="0"/>
    <n v="0.98799999999999999"/>
  </r>
  <r>
    <n v="110"/>
    <x v="0"/>
    <x v="3"/>
    <x v="6"/>
    <s v="Percent change"/>
    <s v="Units"/>
    <x v="1"/>
    <n v="-6.7510000000000003"/>
  </r>
  <r>
    <n v="110"/>
    <x v="0"/>
    <x v="3"/>
    <x v="6"/>
    <s v="Percent change"/>
    <s v="Units"/>
    <x v="2"/>
    <n v="5.1420000000000003"/>
  </r>
  <r>
    <n v="110"/>
    <x v="0"/>
    <x v="3"/>
    <x v="6"/>
    <s v="Percent change"/>
    <s v="Units"/>
    <x v="3"/>
    <n v="7.8710000000000004"/>
  </r>
  <r>
    <n v="110"/>
    <x v="0"/>
    <x v="3"/>
    <x v="6"/>
    <s v="Percent change"/>
    <s v="Units"/>
    <x v="4"/>
    <n v="-1.335"/>
  </r>
  <r>
    <n v="110"/>
    <x v="0"/>
    <x v="3"/>
    <x v="6"/>
    <s v="Percent change"/>
    <s v="Units"/>
    <x v="5"/>
    <n v="2.1880000000000002"/>
  </r>
  <r>
    <n v="110"/>
    <x v="0"/>
    <x v="3"/>
    <x v="6"/>
    <s v="Percent change"/>
    <s v="Units"/>
    <x v="6"/>
    <n v="2.0379999999999998"/>
  </r>
  <r>
    <n v="1"/>
    <x v="2"/>
    <x v="3"/>
    <x v="6"/>
    <s v="Percent change"/>
    <s v="Units"/>
    <x v="0"/>
    <n v="0.98799999999999999"/>
  </r>
  <r>
    <n v="1"/>
    <x v="2"/>
    <x v="3"/>
    <x v="6"/>
    <s v="Percent change"/>
    <s v="Units"/>
    <x v="1"/>
    <n v="-6.7510000000000003"/>
  </r>
  <r>
    <n v="1"/>
    <x v="2"/>
    <x v="3"/>
    <x v="6"/>
    <s v="Percent change"/>
    <s v="Units"/>
    <x v="2"/>
    <n v="5.1420000000000003"/>
  </r>
  <r>
    <n v="1"/>
    <x v="2"/>
    <x v="3"/>
    <x v="6"/>
    <s v="Percent change"/>
    <s v="Units"/>
    <x v="3"/>
    <n v="7.8710000000000004"/>
  </r>
  <r>
    <n v="1"/>
    <x v="2"/>
    <x v="3"/>
    <x v="6"/>
    <s v="Percent change"/>
    <s v="Units"/>
    <x v="4"/>
    <n v="-1.335"/>
  </r>
  <r>
    <n v="1"/>
    <x v="2"/>
    <x v="3"/>
    <x v="6"/>
    <s v="Percent change"/>
    <s v="Units"/>
    <x v="5"/>
    <n v="2.1880000000000002"/>
  </r>
  <r>
    <n v="1"/>
    <x v="2"/>
    <x v="3"/>
    <x v="6"/>
    <s v="Percent change"/>
    <s v="Units"/>
    <x v="6"/>
    <n v="2.0379999999999998"/>
  </r>
  <r>
    <n v="119"/>
    <x v="1"/>
    <x v="3"/>
    <x v="6"/>
    <s v="Percent change"/>
    <s v="Units"/>
    <x v="0"/>
    <n v="0.98799999999999999"/>
  </r>
  <r>
    <n v="119"/>
    <x v="1"/>
    <x v="3"/>
    <x v="6"/>
    <s v="Percent change"/>
    <s v="Units"/>
    <x v="1"/>
    <n v="-6.7510000000000003"/>
  </r>
  <r>
    <n v="119"/>
    <x v="1"/>
    <x v="3"/>
    <x v="6"/>
    <s v="Percent change"/>
    <s v="Units"/>
    <x v="2"/>
    <n v="5.1420000000000003"/>
  </r>
  <r>
    <n v="119"/>
    <x v="1"/>
    <x v="3"/>
    <x v="6"/>
    <s v="Percent change"/>
    <s v="Units"/>
    <x v="3"/>
    <n v="7.8710000000000004"/>
  </r>
  <r>
    <n v="119"/>
    <x v="1"/>
    <x v="3"/>
    <x v="6"/>
    <s v="Percent change"/>
    <s v="Units"/>
    <x v="4"/>
    <n v="-1.335"/>
  </r>
  <r>
    <n v="119"/>
    <x v="1"/>
    <x v="3"/>
    <x v="6"/>
    <s v="Percent change"/>
    <s v="Units"/>
    <x v="5"/>
    <n v="2.1880000000000002"/>
  </r>
  <r>
    <n v="119"/>
    <x v="1"/>
    <x v="3"/>
    <x v="6"/>
    <s v="Percent change"/>
    <s v="Units"/>
    <x v="6"/>
    <n v="2.0379999999999998"/>
  </r>
  <r>
    <n v="110"/>
    <x v="0"/>
    <x v="5"/>
    <x v="10"/>
    <s v="Percent"/>
    <s v="Units"/>
    <x v="0"/>
    <n v="2.41"/>
  </r>
  <r>
    <n v="110"/>
    <x v="0"/>
    <x v="5"/>
    <x v="10"/>
    <s v="Percent"/>
    <s v="Units"/>
    <x v="1"/>
    <n v="2.2240000000000002"/>
  </r>
  <r>
    <n v="110"/>
    <x v="0"/>
    <x v="5"/>
    <x v="10"/>
    <s v="Percent"/>
    <s v="Units"/>
    <x v="2"/>
    <n v="2.2719999999999998"/>
  </r>
  <r>
    <n v="110"/>
    <x v="0"/>
    <x v="5"/>
    <x v="10"/>
    <s v="Percent"/>
    <s v="Units"/>
    <x v="3"/>
    <n v="2.294"/>
  </r>
  <r>
    <n v="110"/>
    <x v="0"/>
    <x v="5"/>
    <x v="10"/>
    <s v="Percent"/>
    <s v="Units"/>
    <x v="4"/>
    <n v="2.2280000000000002"/>
  </r>
  <r>
    <n v="110"/>
    <x v="0"/>
    <x v="5"/>
    <x v="10"/>
    <s v="Percent"/>
    <s v="Units"/>
    <x v="5"/>
    <n v="2.17"/>
  </r>
  <r>
    <n v="110"/>
    <x v="0"/>
    <x v="5"/>
    <x v="10"/>
    <s v="Percent"/>
    <s v="Units"/>
    <x v="6"/>
    <n v="2.1349999999999998"/>
  </r>
  <r>
    <n v="119"/>
    <x v="1"/>
    <x v="5"/>
    <x v="10"/>
    <s v="Percent"/>
    <s v="Units"/>
    <x v="0"/>
    <n v="2.41"/>
  </r>
  <r>
    <n v="119"/>
    <x v="1"/>
    <x v="5"/>
    <x v="10"/>
    <s v="Percent"/>
    <s v="Units"/>
    <x v="1"/>
    <n v="2.2240000000000002"/>
  </r>
  <r>
    <n v="119"/>
    <x v="1"/>
    <x v="5"/>
    <x v="10"/>
    <s v="Percent"/>
    <s v="Units"/>
    <x v="2"/>
    <n v="2.2719999999999998"/>
  </r>
  <r>
    <n v="119"/>
    <x v="1"/>
    <x v="5"/>
    <x v="10"/>
    <s v="Percent"/>
    <s v="Units"/>
    <x v="3"/>
    <n v="2.294"/>
  </r>
  <r>
    <n v="119"/>
    <x v="1"/>
    <x v="5"/>
    <x v="10"/>
    <s v="Percent"/>
    <s v="Units"/>
    <x v="4"/>
    <n v="2.2280000000000002"/>
  </r>
  <r>
    <n v="119"/>
    <x v="1"/>
    <x v="5"/>
    <x v="10"/>
    <s v="Percent"/>
    <s v="Units"/>
    <x v="5"/>
    <n v="2.17"/>
  </r>
  <r>
    <n v="119"/>
    <x v="1"/>
    <x v="5"/>
    <x v="10"/>
    <s v="Percent"/>
    <s v="Units"/>
    <x v="6"/>
    <n v="2.1349999999999998"/>
  </r>
  <r>
    <n v="400"/>
    <x v="11"/>
    <x v="59"/>
    <x v="1"/>
    <s v="Percent change"/>
    <s v="Units"/>
    <x v="0"/>
    <n v="0.19700000000000001"/>
  </r>
  <r>
    <n v="400"/>
    <x v="11"/>
    <x v="59"/>
    <x v="1"/>
    <s v="Percent change"/>
    <s v="Units"/>
    <x v="1"/>
    <n v="0.68799999999999994"/>
  </r>
  <r>
    <n v="400"/>
    <x v="11"/>
    <x v="59"/>
    <x v="1"/>
    <s v="Percent change"/>
    <s v="Units"/>
    <x v="2"/>
    <n v="1.3660000000000001"/>
  </r>
  <r>
    <n v="400"/>
    <x v="11"/>
    <x v="59"/>
    <x v="1"/>
    <s v="Percent change"/>
    <s v="Units"/>
    <x v="3"/>
    <n v="6.641"/>
  </r>
  <r>
    <n v="400"/>
    <x v="11"/>
    <x v="59"/>
    <x v="1"/>
    <s v="Percent change"/>
    <s v="Units"/>
    <x v="4"/>
    <n v="6.1369999999999996"/>
  </r>
  <r>
    <n v="400"/>
    <x v="11"/>
    <x v="59"/>
    <x v="1"/>
    <s v="Percent change"/>
    <s v="Units"/>
    <x v="5"/>
    <n v="2.1579999999999999"/>
  </r>
  <r>
    <n v="400"/>
    <x v="11"/>
    <x v="59"/>
    <x v="1"/>
    <s v="Percent change"/>
    <s v="Units"/>
    <x v="6"/>
    <n v="2.5299999999999998"/>
  </r>
  <r>
    <n v="1"/>
    <x v="2"/>
    <x v="59"/>
    <x v="1"/>
    <s v="Percent change"/>
    <s v="Units"/>
    <x v="0"/>
    <n v="0.19700000000000001"/>
  </r>
  <r>
    <n v="1"/>
    <x v="2"/>
    <x v="59"/>
    <x v="1"/>
    <s v="Percent change"/>
    <s v="Units"/>
    <x v="1"/>
    <n v="0.68799999999999994"/>
  </r>
  <r>
    <n v="1"/>
    <x v="2"/>
    <x v="59"/>
    <x v="1"/>
    <s v="Percent change"/>
    <s v="Units"/>
    <x v="2"/>
    <n v="1.3660000000000001"/>
  </r>
  <r>
    <n v="1"/>
    <x v="2"/>
    <x v="59"/>
    <x v="1"/>
    <s v="Percent change"/>
    <s v="Units"/>
    <x v="3"/>
    <n v="6.641"/>
  </r>
  <r>
    <n v="1"/>
    <x v="2"/>
    <x v="59"/>
    <x v="1"/>
    <s v="Percent change"/>
    <s v="Units"/>
    <x v="4"/>
    <n v="6.1369999999999996"/>
  </r>
  <r>
    <n v="1"/>
    <x v="2"/>
    <x v="59"/>
    <x v="1"/>
    <s v="Percent change"/>
    <s v="Units"/>
    <x v="5"/>
    <n v="2.1579999999999999"/>
  </r>
  <r>
    <n v="1"/>
    <x v="2"/>
    <x v="59"/>
    <x v="1"/>
    <s v="Percent change"/>
    <s v="Units"/>
    <x v="6"/>
    <n v="2.5299999999999998"/>
  </r>
  <r>
    <n v="200"/>
    <x v="3"/>
    <x v="59"/>
    <x v="1"/>
    <s v="Percent change"/>
    <s v="Units"/>
    <x v="0"/>
    <n v="0.19700000000000001"/>
  </r>
  <r>
    <n v="200"/>
    <x v="3"/>
    <x v="59"/>
    <x v="1"/>
    <s v="Percent change"/>
    <s v="Units"/>
    <x v="1"/>
    <n v="0.68799999999999994"/>
  </r>
  <r>
    <n v="200"/>
    <x v="3"/>
    <x v="59"/>
    <x v="1"/>
    <s v="Percent change"/>
    <s v="Units"/>
    <x v="2"/>
    <n v="1.3660000000000001"/>
  </r>
  <r>
    <n v="200"/>
    <x v="3"/>
    <x v="59"/>
    <x v="1"/>
    <s v="Percent change"/>
    <s v="Units"/>
    <x v="3"/>
    <n v="6.641"/>
  </r>
  <r>
    <n v="200"/>
    <x v="3"/>
    <x v="59"/>
    <x v="1"/>
    <s v="Percent change"/>
    <s v="Units"/>
    <x v="4"/>
    <n v="6.1369999999999996"/>
  </r>
  <r>
    <n v="200"/>
    <x v="3"/>
    <x v="59"/>
    <x v="1"/>
    <s v="Percent change"/>
    <s v="Units"/>
    <x v="5"/>
    <n v="2.1579999999999999"/>
  </r>
  <r>
    <n v="200"/>
    <x v="3"/>
    <x v="59"/>
    <x v="1"/>
    <s v="Percent change"/>
    <s v="Units"/>
    <x v="6"/>
    <n v="2.5299999999999998"/>
  </r>
  <r>
    <n v="163"/>
    <x v="5"/>
    <x v="45"/>
    <x v="6"/>
    <s v="Percent change"/>
    <s v="Units"/>
    <x v="0"/>
    <n v="2.3639999999999999"/>
  </r>
  <r>
    <n v="163"/>
    <x v="5"/>
    <x v="45"/>
    <x v="6"/>
    <s v="Percent change"/>
    <s v="Units"/>
    <x v="1"/>
    <n v="-6.157"/>
  </r>
  <r>
    <n v="163"/>
    <x v="5"/>
    <x v="45"/>
    <x v="6"/>
    <s v="Percent change"/>
    <s v="Units"/>
    <x v="2"/>
    <n v="6.1319999999999997"/>
  </r>
  <r>
    <n v="163"/>
    <x v="5"/>
    <x v="45"/>
    <x v="6"/>
    <s v="Percent change"/>
    <s v="Units"/>
    <x v="3"/>
    <n v="8.3949999999999996"/>
  </r>
  <r>
    <n v="163"/>
    <x v="5"/>
    <x v="45"/>
    <x v="6"/>
    <s v="Percent change"/>
    <s v="Units"/>
    <x v="4"/>
    <n v="-7.3849999999999998"/>
  </r>
  <r>
    <n v="163"/>
    <x v="5"/>
    <x v="45"/>
    <x v="6"/>
    <s v="Percent change"/>
    <s v="Units"/>
    <x v="5"/>
    <n v="2.1539999999999999"/>
  </r>
  <r>
    <n v="163"/>
    <x v="5"/>
    <x v="45"/>
    <x v="6"/>
    <s v="Percent change"/>
    <s v="Units"/>
    <x v="6"/>
    <n v="3.2040000000000002"/>
  </r>
  <r>
    <n v="1"/>
    <x v="2"/>
    <x v="7"/>
    <x v="8"/>
    <s v="Percent change"/>
    <s v="Units"/>
    <x v="0"/>
    <n v="1.2210000000000001"/>
  </r>
  <r>
    <n v="1"/>
    <x v="2"/>
    <x v="7"/>
    <x v="8"/>
    <s v="Percent change"/>
    <s v="Units"/>
    <x v="1"/>
    <n v="-3.2770000000000001"/>
  </r>
  <r>
    <n v="1"/>
    <x v="2"/>
    <x v="7"/>
    <x v="8"/>
    <s v="Percent change"/>
    <s v="Units"/>
    <x v="2"/>
    <n v="4.7629999999999999"/>
  </r>
  <r>
    <n v="1"/>
    <x v="2"/>
    <x v="7"/>
    <x v="8"/>
    <s v="Percent change"/>
    <s v="Units"/>
    <x v="3"/>
    <n v="3.0169999999999999"/>
  </r>
  <r>
    <n v="1"/>
    <x v="2"/>
    <x v="7"/>
    <x v="8"/>
    <s v="Percent change"/>
    <s v="Units"/>
    <x v="4"/>
    <n v="2.9079999999999999"/>
  </r>
  <r>
    <n v="1"/>
    <x v="2"/>
    <x v="7"/>
    <x v="8"/>
    <s v="Percent change"/>
    <s v="Units"/>
    <x v="5"/>
    <n v="2.1539999999999999"/>
  </r>
  <r>
    <n v="1"/>
    <x v="2"/>
    <x v="7"/>
    <x v="8"/>
    <s v="Percent change"/>
    <s v="Units"/>
    <x v="6"/>
    <n v="2.1230000000000002"/>
  </r>
  <r>
    <n v="1"/>
    <x v="2"/>
    <x v="45"/>
    <x v="6"/>
    <s v="Percent change"/>
    <s v="Units"/>
    <x v="0"/>
    <n v="2.3639999999999999"/>
  </r>
  <r>
    <n v="1"/>
    <x v="2"/>
    <x v="45"/>
    <x v="6"/>
    <s v="Percent change"/>
    <s v="Units"/>
    <x v="1"/>
    <n v="-6.157"/>
  </r>
  <r>
    <n v="1"/>
    <x v="2"/>
    <x v="45"/>
    <x v="6"/>
    <s v="Percent change"/>
    <s v="Units"/>
    <x v="2"/>
    <n v="6.1319999999999997"/>
  </r>
  <r>
    <n v="1"/>
    <x v="2"/>
    <x v="45"/>
    <x v="6"/>
    <s v="Percent change"/>
    <s v="Units"/>
    <x v="3"/>
    <n v="8.3949999999999996"/>
  </r>
  <r>
    <n v="1"/>
    <x v="2"/>
    <x v="45"/>
    <x v="6"/>
    <s v="Percent change"/>
    <s v="Units"/>
    <x v="4"/>
    <n v="-7.3849999999999998"/>
  </r>
  <r>
    <n v="1"/>
    <x v="2"/>
    <x v="45"/>
    <x v="6"/>
    <s v="Percent change"/>
    <s v="Units"/>
    <x v="5"/>
    <n v="2.1539999999999999"/>
  </r>
  <r>
    <n v="1"/>
    <x v="2"/>
    <x v="45"/>
    <x v="6"/>
    <s v="Percent change"/>
    <s v="Units"/>
    <x v="6"/>
    <n v="3.2040000000000002"/>
  </r>
  <r>
    <n v="200"/>
    <x v="3"/>
    <x v="7"/>
    <x v="8"/>
    <s v="Percent change"/>
    <s v="Units"/>
    <x v="0"/>
    <n v="1.2210000000000001"/>
  </r>
  <r>
    <n v="200"/>
    <x v="3"/>
    <x v="7"/>
    <x v="8"/>
    <s v="Percent change"/>
    <s v="Units"/>
    <x v="1"/>
    <n v="-3.2770000000000001"/>
  </r>
  <r>
    <n v="200"/>
    <x v="3"/>
    <x v="7"/>
    <x v="8"/>
    <s v="Percent change"/>
    <s v="Units"/>
    <x v="2"/>
    <n v="4.7629999999999999"/>
  </r>
  <r>
    <n v="200"/>
    <x v="3"/>
    <x v="7"/>
    <x v="8"/>
    <s v="Percent change"/>
    <s v="Units"/>
    <x v="3"/>
    <n v="3.0169999999999999"/>
  </r>
  <r>
    <n v="200"/>
    <x v="3"/>
    <x v="7"/>
    <x v="8"/>
    <s v="Percent change"/>
    <s v="Units"/>
    <x v="4"/>
    <n v="2.9079999999999999"/>
  </r>
  <r>
    <n v="200"/>
    <x v="3"/>
    <x v="7"/>
    <x v="8"/>
    <s v="Percent change"/>
    <s v="Units"/>
    <x v="5"/>
    <n v="2.1539999999999999"/>
  </r>
  <r>
    <n v="200"/>
    <x v="3"/>
    <x v="7"/>
    <x v="8"/>
    <s v="Percent change"/>
    <s v="Units"/>
    <x v="6"/>
    <n v="2.1230000000000002"/>
  </r>
  <r>
    <n v="110"/>
    <x v="0"/>
    <x v="45"/>
    <x v="6"/>
    <s v="Percent change"/>
    <s v="Units"/>
    <x v="0"/>
    <n v="2.3639999999999999"/>
  </r>
  <r>
    <n v="110"/>
    <x v="0"/>
    <x v="45"/>
    <x v="6"/>
    <s v="Percent change"/>
    <s v="Units"/>
    <x v="1"/>
    <n v="-6.157"/>
  </r>
  <r>
    <n v="110"/>
    <x v="0"/>
    <x v="45"/>
    <x v="6"/>
    <s v="Percent change"/>
    <s v="Units"/>
    <x v="2"/>
    <n v="6.1319999999999997"/>
  </r>
  <r>
    <n v="110"/>
    <x v="0"/>
    <x v="45"/>
    <x v="6"/>
    <s v="Percent change"/>
    <s v="Units"/>
    <x v="3"/>
    <n v="8.3949999999999996"/>
  </r>
  <r>
    <n v="110"/>
    <x v="0"/>
    <x v="45"/>
    <x v="6"/>
    <s v="Percent change"/>
    <s v="Units"/>
    <x v="4"/>
    <n v="-7.3849999999999998"/>
  </r>
  <r>
    <n v="110"/>
    <x v="0"/>
    <x v="45"/>
    <x v="6"/>
    <s v="Percent change"/>
    <s v="Units"/>
    <x v="5"/>
    <n v="2.1539999999999999"/>
  </r>
  <r>
    <n v="110"/>
    <x v="0"/>
    <x v="45"/>
    <x v="6"/>
    <s v="Percent change"/>
    <s v="Units"/>
    <x v="6"/>
    <n v="3.2040000000000002"/>
  </r>
  <r>
    <n v="205"/>
    <x v="7"/>
    <x v="7"/>
    <x v="8"/>
    <s v="Percent change"/>
    <s v="Units"/>
    <x v="0"/>
    <n v="1.2210000000000001"/>
  </r>
  <r>
    <n v="205"/>
    <x v="7"/>
    <x v="7"/>
    <x v="8"/>
    <s v="Percent change"/>
    <s v="Units"/>
    <x v="1"/>
    <n v="-3.2770000000000001"/>
  </r>
  <r>
    <n v="205"/>
    <x v="7"/>
    <x v="7"/>
    <x v="8"/>
    <s v="Percent change"/>
    <s v="Units"/>
    <x v="2"/>
    <n v="4.7629999999999999"/>
  </r>
  <r>
    <n v="205"/>
    <x v="7"/>
    <x v="7"/>
    <x v="8"/>
    <s v="Percent change"/>
    <s v="Units"/>
    <x v="3"/>
    <n v="3.0169999999999999"/>
  </r>
  <r>
    <n v="205"/>
    <x v="7"/>
    <x v="7"/>
    <x v="8"/>
    <s v="Percent change"/>
    <s v="Units"/>
    <x v="4"/>
    <n v="2.9079999999999999"/>
  </r>
  <r>
    <n v="205"/>
    <x v="7"/>
    <x v="7"/>
    <x v="8"/>
    <s v="Percent change"/>
    <s v="Units"/>
    <x v="5"/>
    <n v="2.1539999999999999"/>
  </r>
  <r>
    <n v="205"/>
    <x v="7"/>
    <x v="7"/>
    <x v="8"/>
    <s v="Percent change"/>
    <s v="Units"/>
    <x v="6"/>
    <n v="2.1230000000000002"/>
  </r>
  <r>
    <n v="1"/>
    <x v="2"/>
    <x v="184"/>
    <x v="0"/>
    <s v="U.S. dollars"/>
    <s v="Billions"/>
    <x v="0"/>
    <n v="1.4870000000000001"/>
  </r>
  <r>
    <n v="1"/>
    <x v="2"/>
    <x v="184"/>
    <x v="0"/>
    <s v="U.S. dollars"/>
    <s v="Billions"/>
    <x v="1"/>
    <n v="1.5229999999999999"/>
  </r>
  <r>
    <n v="1"/>
    <x v="2"/>
    <x v="184"/>
    <x v="0"/>
    <s v="U.S. dollars"/>
    <s v="Billions"/>
    <x v="2"/>
    <n v="1.7250000000000001"/>
  </r>
  <r>
    <n v="1"/>
    <x v="2"/>
    <x v="184"/>
    <x v="0"/>
    <s v="U.S. dollars"/>
    <s v="Billions"/>
    <x v="3"/>
    <n v="1.718"/>
  </r>
  <r>
    <n v="1"/>
    <x v="2"/>
    <x v="184"/>
    <x v="0"/>
    <s v="U.S. dollars"/>
    <s v="Billions"/>
    <x v="4"/>
    <n v="1.9690000000000001"/>
  </r>
  <r>
    <n v="1"/>
    <x v="2"/>
    <x v="184"/>
    <x v="0"/>
    <s v="U.S. dollars"/>
    <s v="Billions"/>
    <x v="5"/>
    <n v="2.1509999999999998"/>
  </r>
  <r>
    <n v="1"/>
    <x v="2"/>
    <x v="184"/>
    <x v="0"/>
    <s v="U.S. dollars"/>
    <s v="Billions"/>
    <x v="6"/>
    <n v="2.3210000000000002"/>
  </r>
  <r>
    <n v="200"/>
    <x v="3"/>
    <x v="184"/>
    <x v="0"/>
    <s v="U.S. dollars"/>
    <s v="Billions"/>
    <x v="0"/>
    <n v="1.4870000000000001"/>
  </r>
  <r>
    <n v="200"/>
    <x v="3"/>
    <x v="184"/>
    <x v="0"/>
    <s v="U.S. dollars"/>
    <s v="Billions"/>
    <x v="1"/>
    <n v="1.5229999999999999"/>
  </r>
  <r>
    <n v="200"/>
    <x v="3"/>
    <x v="184"/>
    <x v="0"/>
    <s v="U.S. dollars"/>
    <s v="Billions"/>
    <x v="2"/>
    <n v="1.7250000000000001"/>
  </r>
  <r>
    <n v="200"/>
    <x v="3"/>
    <x v="184"/>
    <x v="0"/>
    <s v="U.S. dollars"/>
    <s v="Billions"/>
    <x v="3"/>
    <n v="1.718"/>
  </r>
  <r>
    <n v="200"/>
    <x v="3"/>
    <x v="184"/>
    <x v="0"/>
    <s v="U.S. dollars"/>
    <s v="Billions"/>
    <x v="4"/>
    <n v="1.9690000000000001"/>
  </r>
  <r>
    <n v="200"/>
    <x v="3"/>
    <x v="184"/>
    <x v="0"/>
    <s v="U.S. dollars"/>
    <s v="Billions"/>
    <x v="5"/>
    <n v="2.1509999999999998"/>
  </r>
  <r>
    <n v="200"/>
    <x v="3"/>
    <x v="184"/>
    <x v="0"/>
    <s v="U.S. dollars"/>
    <s v="Billions"/>
    <x v="6"/>
    <n v="2.3210000000000002"/>
  </r>
  <r>
    <n v="603"/>
    <x v="12"/>
    <x v="184"/>
    <x v="0"/>
    <s v="U.S. dollars"/>
    <s v="Billions"/>
    <x v="0"/>
    <n v="1.4870000000000001"/>
  </r>
  <r>
    <n v="603"/>
    <x v="12"/>
    <x v="184"/>
    <x v="0"/>
    <s v="U.S. dollars"/>
    <s v="Billions"/>
    <x v="1"/>
    <n v="1.5229999999999999"/>
  </r>
  <r>
    <n v="603"/>
    <x v="12"/>
    <x v="184"/>
    <x v="0"/>
    <s v="U.S. dollars"/>
    <s v="Billions"/>
    <x v="2"/>
    <n v="1.7250000000000001"/>
  </r>
  <r>
    <n v="603"/>
    <x v="12"/>
    <x v="184"/>
    <x v="0"/>
    <s v="U.S. dollars"/>
    <s v="Billions"/>
    <x v="3"/>
    <n v="1.718"/>
  </r>
  <r>
    <n v="603"/>
    <x v="12"/>
    <x v="184"/>
    <x v="0"/>
    <s v="U.S. dollars"/>
    <s v="Billions"/>
    <x v="4"/>
    <n v="1.9690000000000001"/>
  </r>
  <r>
    <n v="603"/>
    <x v="12"/>
    <x v="184"/>
    <x v="0"/>
    <s v="U.S. dollars"/>
    <s v="Billions"/>
    <x v="5"/>
    <n v="2.1509999999999998"/>
  </r>
  <r>
    <n v="603"/>
    <x v="12"/>
    <x v="184"/>
    <x v="0"/>
    <s v="U.S. dollars"/>
    <s v="Billions"/>
    <x v="6"/>
    <n v="2.3210000000000002"/>
  </r>
  <r>
    <n v="110"/>
    <x v="0"/>
    <x v="6"/>
    <x v="10"/>
    <s v="Percent"/>
    <s v="Units"/>
    <x v="0"/>
    <n v="2.3809999999999998"/>
  </r>
  <r>
    <n v="110"/>
    <x v="0"/>
    <x v="6"/>
    <x v="10"/>
    <s v="Percent"/>
    <s v="Units"/>
    <x v="1"/>
    <n v="2.2669999999999999"/>
  </r>
  <r>
    <n v="110"/>
    <x v="0"/>
    <x v="6"/>
    <x v="10"/>
    <s v="Percent"/>
    <s v="Units"/>
    <x v="2"/>
    <n v="2.266"/>
  </r>
  <r>
    <n v="110"/>
    <x v="0"/>
    <x v="6"/>
    <x v="10"/>
    <s v="Percent"/>
    <s v="Units"/>
    <x v="3"/>
    <n v="2.2469999999999999"/>
  </r>
  <r>
    <n v="110"/>
    <x v="0"/>
    <x v="6"/>
    <x v="10"/>
    <s v="Percent"/>
    <s v="Units"/>
    <x v="4"/>
    <n v="2.1989999999999998"/>
  </r>
  <r>
    <n v="110"/>
    <x v="0"/>
    <x v="6"/>
    <x v="10"/>
    <s v="Percent"/>
    <s v="Units"/>
    <x v="5"/>
    <n v="2.1480000000000001"/>
  </r>
  <r>
    <n v="110"/>
    <x v="0"/>
    <x v="6"/>
    <x v="10"/>
    <s v="Percent"/>
    <s v="Units"/>
    <x v="6"/>
    <n v="2.1110000000000002"/>
  </r>
  <r>
    <n v="998"/>
    <x v="6"/>
    <x v="6"/>
    <x v="10"/>
    <s v="Percent"/>
    <s v="Units"/>
    <x v="0"/>
    <n v="2.3809999999999998"/>
  </r>
  <r>
    <n v="998"/>
    <x v="6"/>
    <x v="6"/>
    <x v="10"/>
    <s v="Percent"/>
    <s v="Units"/>
    <x v="1"/>
    <n v="2.2669999999999999"/>
  </r>
  <r>
    <n v="998"/>
    <x v="6"/>
    <x v="6"/>
    <x v="10"/>
    <s v="Percent"/>
    <s v="Units"/>
    <x v="2"/>
    <n v="2.266"/>
  </r>
  <r>
    <n v="998"/>
    <x v="6"/>
    <x v="6"/>
    <x v="10"/>
    <s v="Percent"/>
    <s v="Units"/>
    <x v="3"/>
    <n v="2.2469999999999999"/>
  </r>
  <r>
    <n v="998"/>
    <x v="6"/>
    <x v="6"/>
    <x v="10"/>
    <s v="Percent"/>
    <s v="Units"/>
    <x v="4"/>
    <n v="2.1989999999999998"/>
  </r>
  <r>
    <n v="998"/>
    <x v="6"/>
    <x v="6"/>
    <x v="10"/>
    <s v="Percent"/>
    <s v="Units"/>
    <x v="5"/>
    <n v="2.1480000000000001"/>
  </r>
  <r>
    <n v="998"/>
    <x v="6"/>
    <x v="6"/>
    <x v="10"/>
    <s v="Percent"/>
    <s v="Units"/>
    <x v="6"/>
    <n v="2.1110000000000002"/>
  </r>
  <r>
    <n v="119"/>
    <x v="1"/>
    <x v="6"/>
    <x v="10"/>
    <s v="Percent"/>
    <s v="Units"/>
    <x v="0"/>
    <n v="2.3809999999999998"/>
  </r>
  <r>
    <n v="119"/>
    <x v="1"/>
    <x v="6"/>
    <x v="10"/>
    <s v="Percent"/>
    <s v="Units"/>
    <x v="1"/>
    <n v="2.2669999999999999"/>
  </r>
  <r>
    <n v="119"/>
    <x v="1"/>
    <x v="6"/>
    <x v="10"/>
    <s v="Percent"/>
    <s v="Units"/>
    <x v="2"/>
    <n v="2.266"/>
  </r>
  <r>
    <n v="119"/>
    <x v="1"/>
    <x v="6"/>
    <x v="10"/>
    <s v="Percent"/>
    <s v="Units"/>
    <x v="3"/>
    <n v="2.2469999999999999"/>
  </r>
  <r>
    <n v="119"/>
    <x v="1"/>
    <x v="6"/>
    <x v="10"/>
    <s v="Percent"/>
    <s v="Units"/>
    <x v="4"/>
    <n v="2.1989999999999998"/>
  </r>
  <r>
    <n v="119"/>
    <x v="1"/>
    <x v="6"/>
    <x v="10"/>
    <s v="Percent"/>
    <s v="Units"/>
    <x v="5"/>
    <n v="2.1480000000000001"/>
  </r>
  <r>
    <n v="119"/>
    <x v="1"/>
    <x v="6"/>
    <x v="10"/>
    <s v="Percent"/>
    <s v="Units"/>
    <x v="6"/>
    <n v="2.1110000000000002"/>
  </r>
  <r>
    <n v="998"/>
    <x v="6"/>
    <x v="44"/>
    <x v="1"/>
    <s v="Percent change"/>
    <s v="Units"/>
    <x v="0"/>
    <n v="2.8479999999999999"/>
  </r>
  <r>
    <n v="998"/>
    <x v="6"/>
    <x v="44"/>
    <x v="1"/>
    <s v="Percent change"/>
    <s v="Units"/>
    <x v="1"/>
    <n v="3.161"/>
  </r>
  <r>
    <n v="998"/>
    <x v="6"/>
    <x v="44"/>
    <x v="1"/>
    <s v="Percent change"/>
    <s v="Units"/>
    <x v="2"/>
    <n v="3.84"/>
  </r>
  <r>
    <n v="998"/>
    <x v="6"/>
    <x v="44"/>
    <x v="1"/>
    <s v="Percent change"/>
    <s v="Units"/>
    <x v="3"/>
    <n v="15.1"/>
  </r>
  <r>
    <n v="998"/>
    <x v="6"/>
    <x v="44"/>
    <x v="1"/>
    <s v="Percent change"/>
    <s v="Units"/>
    <x v="4"/>
    <n v="10.661"/>
  </r>
  <r>
    <n v="998"/>
    <x v="6"/>
    <x v="44"/>
    <x v="1"/>
    <s v="Percent change"/>
    <s v="Units"/>
    <x v="5"/>
    <n v="2.1379999999999999"/>
  </r>
  <r>
    <n v="998"/>
    <x v="6"/>
    <x v="44"/>
    <x v="1"/>
    <s v="Percent change"/>
    <s v="Units"/>
    <x v="6"/>
    <n v="2.0249999999999999"/>
  </r>
  <r>
    <n v="1"/>
    <x v="2"/>
    <x v="44"/>
    <x v="1"/>
    <s v="Percent change"/>
    <s v="Units"/>
    <x v="0"/>
    <n v="2.8479999999999999"/>
  </r>
  <r>
    <n v="1"/>
    <x v="2"/>
    <x v="44"/>
    <x v="1"/>
    <s v="Percent change"/>
    <s v="Units"/>
    <x v="1"/>
    <n v="3.161"/>
  </r>
  <r>
    <n v="1"/>
    <x v="2"/>
    <x v="44"/>
    <x v="1"/>
    <s v="Percent change"/>
    <s v="Units"/>
    <x v="2"/>
    <n v="3.84"/>
  </r>
  <r>
    <n v="1"/>
    <x v="2"/>
    <x v="44"/>
    <x v="1"/>
    <s v="Percent change"/>
    <s v="Units"/>
    <x v="3"/>
    <n v="15.1"/>
  </r>
  <r>
    <n v="1"/>
    <x v="2"/>
    <x v="44"/>
    <x v="1"/>
    <s v="Percent change"/>
    <s v="Units"/>
    <x v="4"/>
    <n v="10.661"/>
  </r>
  <r>
    <n v="1"/>
    <x v="2"/>
    <x v="44"/>
    <x v="1"/>
    <s v="Percent change"/>
    <s v="Units"/>
    <x v="5"/>
    <n v="2.1379999999999999"/>
  </r>
  <r>
    <n v="1"/>
    <x v="2"/>
    <x v="44"/>
    <x v="1"/>
    <s v="Percent change"/>
    <s v="Units"/>
    <x v="6"/>
    <n v="2.0249999999999999"/>
  </r>
  <r>
    <n v="110"/>
    <x v="0"/>
    <x v="44"/>
    <x v="1"/>
    <s v="Percent change"/>
    <s v="Units"/>
    <x v="0"/>
    <n v="2.8479999999999999"/>
  </r>
  <r>
    <n v="110"/>
    <x v="0"/>
    <x v="44"/>
    <x v="1"/>
    <s v="Percent change"/>
    <s v="Units"/>
    <x v="1"/>
    <n v="3.161"/>
  </r>
  <r>
    <n v="110"/>
    <x v="0"/>
    <x v="44"/>
    <x v="1"/>
    <s v="Percent change"/>
    <s v="Units"/>
    <x v="2"/>
    <n v="3.84"/>
  </r>
  <r>
    <n v="110"/>
    <x v="0"/>
    <x v="44"/>
    <x v="1"/>
    <s v="Percent change"/>
    <s v="Units"/>
    <x v="3"/>
    <n v="15.1"/>
  </r>
  <r>
    <n v="110"/>
    <x v="0"/>
    <x v="44"/>
    <x v="1"/>
    <s v="Percent change"/>
    <s v="Units"/>
    <x v="4"/>
    <n v="10.661"/>
  </r>
  <r>
    <n v="110"/>
    <x v="0"/>
    <x v="44"/>
    <x v="1"/>
    <s v="Percent change"/>
    <s v="Units"/>
    <x v="5"/>
    <n v="2.1379999999999999"/>
  </r>
  <r>
    <n v="110"/>
    <x v="0"/>
    <x v="44"/>
    <x v="1"/>
    <s v="Percent change"/>
    <s v="Units"/>
    <x v="6"/>
    <n v="2.0249999999999999"/>
  </r>
  <r>
    <n v="123"/>
    <x v="9"/>
    <x v="44"/>
    <x v="1"/>
    <s v="Percent change"/>
    <s v="Units"/>
    <x v="0"/>
    <n v="2.8479999999999999"/>
  </r>
  <r>
    <n v="123"/>
    <x v="9"/>
    <x v="44"/>
    <x v="1"/>
    <s v="Percent change"/>
    <s v="Units"/>
    <x v="1"/>
    <n v="3.161"/>
  </r>
  <r>
    <n v="123"/>
    <x v="9"/>
    <x v="44"/>
    <x v="1"/>
    <s v="Percent change"/>
    <s v="Units"/>
    <x v="2"/>
    <n v="3.84"/>
  </r>
  <r>
    <n v="123"/>
    <x v="9"/>
    <x v="44"/>
    <x v="1"/>
    <s v="Percent change"/>
    <s v="Units"/>
    <x v="3"/>
    <n v="15.1"/>
  </r>
  <r>
    <n v="123"/>
    <x v="9"/>
    <x v="44"/>
    <x v="1"/>
    <s v="Percent change"/>
    <s v="Units"/>
    <x v="4"/>
    <n v="10.661"/>
  </r>
  <r>
    <n v="123"/>
    <x v="9"/>
    <x v="44"/>
    <x v="1"/>
    <s v="Percent change"/>
    <s v="Units"/>
    <x v="5"/>
    <n v="2.1379999999999999"/>
  </r>
  <r>
    <n v="123"/>
    <x v="9"/>
    <x v="44"/>
    <x v="1"/>
    <s v="Percent change"/>
    <s v="Units"/>
    <x v="6"/>
    <n v="2.0249999999999999"/>
  </r>
  <r>
    <n v="123"/>
    <x v="9"/>
    <x v="37"/>
    <x v="8"/>
    <s v="Percent change"/>
    <s v="Units"/>
    <x v="0"/>
    <n v="1.4930000000000001"/>
  </r>
  <r>
    <n v="123"/>
    <x v="9"/>
    <x v="37"/>
    <x v="8"/>
    <s v="Percent change"/>
    <s v="Units"/>
    <x v="1"/>
    <n v="-2.423"/>
  </r>
  <r>
    <n v="123"/>
    <x v="9"/>
    <x v="37"/>
    <x v="8"/>
    <s v="Percent change"/>
    <s v="Units"/>
    <x v="2"/>
    <n v="6.8449999999999998"/>
  </r>
  <r>
    <n v="123"/>
    <x v="9"/>
    <x v="37"/>
    <x v="8"/>
    <s v="Percent change"/>
    <s v="Units"/>
    <x v="3"/>
    <n v="2.7309999999999999"/>
  </r>
  <r>
    <n v="123"/>
    <x v="9"/>
    <x v="37"/>
    <x v="8"/>
    <s v="Percent change"/>
    <s v="Units"/>
    <x v="4"/>
    <n v="1.8129999999999999"/>
  </r>
  <r>
    <n v="123"/>
    <x v="9"/>
    <x v="37"/>
    <x v="8"/>
    <s v="Percent change"/>
    <s v="Units"/>
    <x v="5"/>
    <n v="2.13"/>
  </r>
  <r>
    <n v="123"/>
    <x v="9"/>
    <x v="37"/>
    <x v="8"/>
    <s v="Percent change"/>
    <s v="Units"/>
    <x v="6"/>
    <n v="1.484"/>
  </r>
  <r>
    <n v="110"/>
    <x v="0"/>
    <x v="37"/>
    <x v="8"/>
    <s v="Percent change"/>
    <s v="Units"/>
    <x v="0"/>
    <n v="1.4930000000000001"/>
  </r>
  <r>
    <n v="110"/>
    <x v="0"/>
    <x v="37"/>
    <x v="8"/>
    <s v="Percent change"/>
    <s v="Units"/>
    <x v="1"/>
    <n v="-2.423"/>
  </r>
  <r>
    <n v="110"/>
    <x v="0"/>
    <x v="37"/>
    <x v="8"/>
    <s v="Percent change"/>
    <s v="Units"/>
    <x v="2"/>
    <n v="6.8449999999999998"/>
  </r>
  <r>
    <n v="110"/>
    <x v="0"/>
    <x v="37"/>
    <x v="8"/>
    <s v="Percent change"/>
    <s v="Units"/>
    <x v="3"/>
    <n v="2.7309999999999999"/>
  </r>
  <r>
    <n v="110"/>
    <x v="0"/>
    <x v="37"/>
    <x v="8"/>
    <s v="Percent change"/>
    <s v="Units"/>
    <x v="4"/>
    <n v="1.8129999999999999"/>
  </r>
  <r>
    <n v="110"/>
    <x v="0"/>
    <x v="37"/>
    <x v="8"/>
    <s v="Percent change"/>
    <s v="Units"/>
    <x v="5"/>
    <n v="2.13"/>
  </r>
  <r>
    <n v="110"/>
    <x v="0"/>
    <x v="37"/>
    <x v="8"/>
    <s v="Percent change"/>
    <s v="Units"/>
    <x v="6"/>
    <n v="1.484"/>
  </r>
  <r>
    <n v="998"/>
    <x v="6"/>
    <x v="37"/>
    <x v="8"/>
    <s v="Percent change"/>
    <s v="Units"/>
    <x v="0"/>
    <n v="1.4930000000000001"/>
  </r>
  <r>
    <n v="998"/>
    <x v="6"/>
    <x v="37"/>
    <x v="8"/>
    <s v="Percent change"/>
    <s v="Units"/>
    <x v="1"/>
    <n v="-2.423"/>
  </r>
  <r>
    <n v="998"/>
    <x v="6"/>
    <x v="37"/>
    <x v="8"/>
    <s v="Percent change"/>
    <s v="Units"/>
    <x v="2"/>
    <n v="6.8449999999999998"/>
  </r>
  <r>
    <n v="998"/>
    <x v="6"/>
    <x v="37"/>
    <x v="8"/>
    <s v="Percent change"/>
    <s v="Units"/>
    <x v="3"/>
    <n v="2.7309999999999999"/>
  </r>
  <r>
    <n v="998"/>
    <x v="6"/>
    <x v="37"/>
    <x v="8"/>
    <s v="Percent change"/>
    <s v="Units"/>
    <x v="4"/>
    <n v="1.8129999999999999"/>
  </r>
  <r>
    <n v="998"/>
    <x v="6"/>
    <x v="37"/>
    <x v="8"/>
    <s v="Percent change"/>
    <s v="Units"/>
    <x v="5"/>
    <n v="2.13"/>
  </r>
  <r>
    <n v="998"/>
    <x v="6"/>
    <x v="37"/>
    <x v="8"/>
    <s v="Percent change"/>
    <s v="Units"/>
    <x v="6"/>
    <n v="1.484"/>
  </r>
  <r>
    <n v="1"/>
    <x v="2"/>
    <x v="37"/>
    <x v="8"/>
    <s v="Percent change"/>
    <s v="Units"/>
    <x v="0"/>
    <n v="1.4930000000000001"/>
  </r>
  <r>
    <n v="1"/>
    <x v="2"/>
    <x v="37"/>
    <x v="8"/>
    <s v="Percent change"/>
    <s v="Units"/>
    <x v="1"/>
    <n v="-2.423"/>
  </r>
  <r>
    <n v="1"/>
    <x v="2"/>
    <x v="37"/>
    <x v="8"/>
    <s v="Percent change"/>
    <s v="Units"/>
    <x v="2"/>
    <n v="6.8449999999999998"/>
  </r>
  <r>
    <n v="1"/>
    <x v="2"/>
    <x v="37"/>
    <x v="8"/>
    <s v="Percent change"/>
    <s v="Units"/>
    <x v="3"/>
    <n v="2.7309999999999999"/>
  </r>
  <r>
    <n v="1"/>
    <x v="2"/>
    <x v="37"/>
    <x v="8"/>
    <s v="Percent change"/>
    <s v="Units"/>
    <x v="4"/>
    <n v="1.8129999999999999"/>
  </r>
  <r>
    <n v="1"/>
    <x v="2"/>
    <x v="37"/>
    <x v="8"/>
    <s v="Percent change"/>
    <s v="Units"/>
    <x v="5"/>
    <n v="2.13"/>
  </r>
  <r>
    <n v="1"/>
    <x v="2"/>
    <x v="37"/>
    <x v="8"/>
    <s v="Percent change"/>
    <s v="Units"/>
    <x v="6"/>
    <n v="1.484"/>
  </r>
  <r>
    <n v="200"/>
    <x v="3"/>
    <x v="132"/>
    <x v="0"/>
    <s v="U.S. dollars"/>
    <s v="Billions"/>
    <x v="0"/>
    <n v="1.675"/>
  </r>
  <r>
    <n v="200"/>
    <x v="3"/>
    <x v="132"/>
    <x v="0"/>
    <s v="U.S. dollars"/>
    <s v="Billions"/>
    <x v="1"/>
    <n v="1.4159999999999999"/>
  </r>
  <r>
    <n v="200"/>
    <x v="3"/>
    <x v="132"/>
    <x v="0"/>
    <s v="U.S. dollars"/>
    <s v="Billions"/>
    <x v="2"/>
    <n v="1.5609999999999999"/>
  </r>
  <r>
    <n v="200"/>
    <x v="3"/>
    <x v="132"/>
    <x v="0"/>
    <s v="U.S. dollars"/>
    <s v="Billions"/>
    <x v="3"/>
    <n v="1.758"/>
  </r>
  <r>
    <n v="200"/>
    <x v="3"/>
    <x v="132"/>
    <x v="0"/>
    <s v="U.S. dollars"/>
    <s v="Billions"/>
    <x v="4"/>
    <n v="1.954"/>
  </r>
  <r>
    <n v="200"/>
    <x v="3"/>
    <x v="132"/>
    <x v="0"/>
    <s v="U.S. dollars"/>
    <s v="Billions"/>
    <x v="5"/>
    <n v="2.1269999999999998"/>
  </r>
  <r>
    <n v="200"/>
    <x v="3"/>
    <x v="132"/>
    <x v="0"/>
    <s v="U.S. dollars"/>
    <s v="Billions"/>
    <x v="6"/>
    <n v="2.258"/>
  </r>
  <r>
    <n v="1"/>
    <x v="2"/>
    <x v="132"/>
    <x v="0"/>
    <s v="U.S. dollars"/>
    <s v="Billions"/>
    <x v="0"/>
    <n v="1.675"/>
  </r>
  <r>
    <n v="1"/>
    <x v="2"/>
    <x v="132"/>
    <x v="0"/>
    <s v="U.S. dollars"/>
    <s v="Billions"/>
    <x v="1"/>
    <n v="1.4159999999999999"/>
  </r>
  <r>
    <n v="1"/>
    <x v="2"/>
    <x v="132"/>
    <x v="0"/>
    <s v="U.S. dollars"/>
    <s v="Billions"/>
    <x v="2"/>
    <n v="1.5609999999999999"/>
  </r>
  <r>
    <n v="1"/>
    <x v="2"/>
    <x v="132"/>
    <x v="0"/>
    <s v="U.S. dollars"/>
    <s v="Billions"/>
    <x v="3"/>
    <n v="1.758"/>
  </r>
  <r>
    <n v="1"/>
    <x v="2"/>
    <x v="132"/>
    <x v="0"/>
    <s v="U.S. dollars"/>
    <s v="Billions"/>
    <x v="4"/>
    <n v="1.954"/>
  </r>
  <r>
    <n v="1"/>
    <x v="2"/>
    <x v="132"/>
    <x v="0"/>
    <s v="U.S. dollars"/>
    <s v="Billions"/>
    <x v="5"/>
    <n v="2.1269999999999998"/>
  </r>
  <r>
    <n v="1"/>
    <x v="2"/>
    <x v="132"/>
    <x v="0"/>
    <s v="U.S. dollars"/>
    <s v="Billions"/>
    <x v="6"/>
    <n v="2.258"/>
  </r>
  <r>
    <n v="205"/>
    <x v="7"/>
    <x v="132"/>
    <x v="0"/>
    <s v="U.S. dollars"/>
    <s v="Billions"/>
    <x v="0"/>
    <n v="1.675"/>
  </r>
  <r>
    <n v="205"/>
    <x v="7"/>
    <x v="132"/>
    <x v="0"/>
    <s v="U.S. dollars"/>
    <s v="Billions"/>
    <x v="1"/>
    <n v="1.4159999999999999"/>
  </r>
  <r>
    <n v="205"/>
    <x v="7"/>
    <x v="132"/>
    <x v="0"/>
    <s v="U.S. dollars"/>
    <s v="Billions"/>
    <x v="2"/>
    <n v="1.5609999999999999"/>
  </r>
  <r>
    <n v="205"/>
    <x v="7"/>
    <x v="132"/>
    <x v="0"/>
    <s v="U.S. dollars"/>
    <s v="Billions"/>
    <x v="3"/>
    <n v="1.758"/>
  </r>
  <r>
    <n v="205"/>
    <x v="7"/>
    <x v="132"/>
    <x v="0"/>
    <s v="U.S. dollars"/>
    <s v="Billions"/>
    <x v="4"/>
    <n v="1.954"/>
  </r>
  <r>
    <n v="205"/>
    <x v="7"/>
    <x v="132"/>
    <x v="0"/>
    <s v="U.S. dollars"/>
    <s v="Billions"/>
    <x v="5"/>
    <n v="2.1269999999999998"/>
  </r>
  <r>
    <n v="205"/>
    <x v="7"/>
    <x v="132"/>
    <x v="0"/>
    <s v="U.S. dollars"/>
    <s v="Billions"/>
    <x v="6"/>
    <n v="2.258"/>
  </r>
  <r>
    <n v="205"/>
    <x v="7"/>
    <x v="131"/>
    <x v="4"/>
    <s v="Percent change"/>
    <s v="Units"/>
    <x v="0"/>
    <n v="4.17"/>
  </r>
  <r>
    <n v="205"/>
    <x v="7"/>
    <x v="131"/>
    <x v="4"/>
    <s v="Percent change"/>
    <s v="Units"/>
    <x v="1"/>
    <n v="-14.577999999999999"/>
  </r>
  <r>
    <n v="205"/>
    <x v="7"/>
    <x v="131"/>
    <x v="4"/>
    <s v="Percent change"/>
    <s v="Units"/>
    <x v="2"/>
    <n v="22.463999999999999"/>
  </r>
  <r>
    <n v="205"/>
    <x v="7"/>
    <x v="131"/>
    <x v="4"/>
    <s v="Percent change"/>
    <s v="Units"/>
    <x v="3"/>
    <n v="0.2"/>
  </r>
  <r>
    <n v="205"/>
    <x v="7"/>
    <x v="131"/>
    <x v="4"/>
    <s v="Percent change"/>
    <s v="Units"/>
    <x v="4"/>
    <n v="-4.0640000000000001"/>
  </r>
  <r>
    <n v="205"/>
    <x v="7"/>
    <x v="131"/>
    <x v="4"/>
    <s v="Percent change"/>
    <s v="Units"/>
    <x v="5"/>
    <n v="2.1120000000000001"/>
  </r>
  <r>
    <n v="205"/>
    <x v="7"/>
    <x v="131"/>
    <x v="4"/>
    <s v="Percent change"/>
    <s v="Units"/>
    <x v="6"/>
    <n v="2.911"/>
  </r>
  <r>
    <n v="200"/>
    <x v="3"/>
    <x v="131"/>
    <x v="4"/>
    <s v="Percent change"/>
    <s v="Units"/>
    <x v="0"/>
    <n v="4.17"/>
  </r>
  <r>
    <n v="200"/>
    <x v="3"/>
    <x v="131"/>
    <x v="4"/>
    <s v="Percent change"/>
    <s v="Units"/>
    <x v="1"/>
    <n v="-14.577999999999999"/>
  </r>
  <r>
    <n v="200"/>
    <x v="3"/>
    <x v="131"/>
    <x v="4"/>
    <s v="Percent change"/>
    <s v="Units"/>
    <x v="2"/>
    <n v="22.463999999999999"/>
  </r>
  <r>
    <n v="200"/>
    <x v="3"/>
    <x v="131"/>
    <x v="4"/>
    <s v="Percent change"/>
    <s v="Units"/>
    <x v="3"/>
    <n v="0.2"/>
  </r>
  <r>
    <n v="200"/>
    <x v="3"/>
    <x v="131"/>
    <x v="4"/>
    <s v="Percent change"/>
    <s v="Units"/>
    <x v="4"/>
    <n v="-4.0640000000000001"/>
  </r>
  <r>
    <n v="200"/>
    <x v="3"/>
    <x v="131"/>
    <x v="4"/>
    <s v="Percent change"/>
    <s v="Units"/>
    <x v="5"/>
    <n v="2.1120000000000001"/>
  </r>
  <r>
    <n v="200"/>
    <x v="3"/>
    <x v="131"/>
    <x v="4"/>
    <s v="Percent change"/>
    <s v="Units"/>
    <x v="6"/>
    <n v="2.911"/>
  </r>
  <r>
    <n v="1"/>
    <x v="2"/>
    <x v="131"/>
    <x v="4"/>
    <s v="Percent change"/>
    <s v="Units"/>
    <x v="0"/>
    <n v="4.17"/>
  </r>
  <r>
    <n v="1"/>
    <x v="2"/>
    <x v="131"/>
    <x v="4"/>
    <s v="Percent change"/>
    <s v="Units"/>
    <x v="1"/>
    <n v="-14.577999999999999"/>
  </r>
  <r>
    <n v="1"/>
    <x v="2"/>
    <x v="131"/>
    <x v="4"/>
    <s v="Percent change"/>
    <s v="Units"/>
    <x v="2"/>
    <n v="22.463999999999999"/>
  </r>
  <r>
    <n v="1"/>
    <x v="2"/>
    <x v="131"/>
    <x v="4"/>
    <s v="Percent change"/>
    <s v="Units"/>
    <x v="3"/>
    <n v="0.2"/>
  </r>
  <r>
    <n v="1"/>
    <x v="2"/>
    <x v="131"/>
    <x v="4"/>
    <s v="Percent change"/>
    <s v="Units"/>
    <x v="4"/>
    <n v="-4.0640000000000001"/>
  </r>
  <r>
    <n v="1"/>
    <x v="2"/>
    <x v="131"/>
    <x v="4"/>
    <s v="Percent change"/>
    <s v="Units"/>
    <x v="5"/>
    <n v="2.1120000000000001"/>
  </r>
  <r>
    <n v="1"/>
    <x v="2"/>
    <x v="131"/>
    <x v="4"/>
    <s v="Percent change"/>
    <s v="Units"/>
    <x v="6"/>
    <n v="2.911"/>
  </r>
  <r>
    <n v="400"/>
    <x v="11"/>
    <x v="29"/>
    <x v="1"/>
    <s v="Percent change"/>
    <s v="Units"/>
    <x v="0"/>
    <n v="-1.9339999999999999"/>
  </r>
  <r>
    <n v="400"/>
    <x v="11"/>
    <x v="29"/>
    <x v="1"/>
    <s v="Percent change"/>
    <s v="Units"/>
    <x v="1"/>
    <n v="-2.0760000000000001"/>
  </r>
  <r>
    <n v="400"/>
    <x v="11"/>
    <x v="29"/>
    <x v="1"/>
    <s v="Percent change"/>
    <s v="Units"/>
    <x v="2"/>
    <n v="-0.113"/>
  </r>
  <r>
    <n v="400"/>
    <x v="11"/>
    <x v="29"/>
    <x v="1"/>
    <s v="Percent change"/>
    <s v="Units"/>
    <x v="3"/>
    <n v="4.827"/>
  </r>
  <r>
    <n v="400"/>
    <x v="11"/>
    <x v="29"/>
    <x v="1"/>
    <s v="Percent change"/>
    <s v="Units"/>
    <x v="4"/>
    <n v="1.623"/>
  </r>
  <r>
    <n v="400"/>
    <x v="11"/>
    <x v="29"/>
    <x v="1"/>
    <s v="Percent change"/>
    <s v="Units"/>
    <x v="5"/>
    <n v="2.1"/>
  </r>
  <r>
    <n v="400"/>
    <x v="11"/>
    <x v="29"/>
    <x v="1"/>
    <s v="Percent change"/>
    <s v="Units"/>
    <x v="6"/>
    <n v="2"/>
  </r>
  <r>
    <n v="510"/>
    <x v="10"/>
    <x v="31"/>
    <x v="8"/>
    <s v="Percent change"/>
    <s v="Units"/>
    <x v="0"/>
    <n v="1.345"/>
  </r>
  <r>
    <n v="510"/>
    <x v="10"/>
    <x v="31"/>
    <x v="8"/>
    <s v="Percent change"/>
    <s v="Units"/>
    <x v="1"/>
    <n v="-3.87"/>
  </r>
  <r>
    <n v="510"/>
    <x v="10"/>
    <x v="31"/>
    <x v="8"/>
    <s v="Percent change"/>
    <s v="Units"/>
    <x v="2"/>
    <n v="9.6910000000000007"/>
  </r>
  <r>
    <n v="510"/>
    <x v="10"/>
    <x v="31"/>
    <x v="8"/>
    <s v="Percent change"/>
    <s v="Units"/>
    <x v="3"/>
    <n v="3.8380000000000001"/>
  </r>
  <r>
    <n v="510"/>
    <x v="10"/>
    <x v="31"/>
    <x v="8"/>
    <s v="Percent change"/>
    <s v="Units"/>
    <x v="4"/>
    <n v="1.075"/>
  </r>
  <r>
    <n v="510"/>
    <x v="10"/>
    <x v="31"/>
    <x v="8"/>
    <s v="Percent change"/>
    <s v="Units"/>
    <x v="5"/>
    <n v="2.1"/>
  </r>
  <r>
    <n v="510"/>
    <x v="10"/>
    <x v="31"/>
    <x v="8"/>
    <s v="Percent change"/>
    <s v="Units"/>
    <x v="6"/>
    <n v="2.2999999999999998"/>
  </r>
  <r>
    <n v="110"/>
    <x v="0"/>
    <x v="31"/>
    <x v="8"/>
    <s v="Percent change"/>
    <s v="Units"/>
    <x v="0"/>
    <n v="1.345"/>
  </r>
  <r>
    <n v="110"/>
    <x v="0"/>
    <x v="31"/>
    <x v="8"/>
    <s v="Percent change"/>
    <s v="Units"/>
    <x v="1"/>
    <n v="-3.87"/>
  </r>
  <r>
    <n v="110"/>
    <x v="0"/>
    <x v="31"/>
    <x v="8"/>
    <s v="Percent change"/>
    <s v="Units"/>
    <x v="2"/>
    <n v="9.6910000000000007"/>
  </r>
  <r>
    <n v="110"/>
    <x v="0"/>
    <x v="31"/>
    <x v="8"/>
    <s v="Percent change"/>
    <s v="Units"/>
    <x v="3"/>
    <n v="3.8380000000000001"/>
  </r>
  <r>
    <n v="110"/>
    <x v="0"/>
    <x v="31"/>
    <x v="8"/>
    <s v="Percent change"/>
    <s v="Units"/>
    <x v="4"/>
    <n v="1.075"/>
  </r>
  <r>
    <n v="110"/>
    <x v="0"/>
    <x v="31"/>
    <x v="8"/>
    <s v="Percent change"/>
    <s v="Units"/>
    <x v="5"/>
    <n v="2.1"/>
  </r>
  <r>
    <n v="110"/>
    <x v="0"/>
    <x v="31"/>
    <x v="8"/>
    <s v="Percent change"/>
    <s v="Units"/>
    <x v="6"/>
    <n v="2.2999999999999998"/>
  </r>
  <r>
    <n v="1"/>
    <x v="2"/>
    <x v="164"/>
    <x v="1"/>
    <s v="Percent change"/>
    <s v="Units"/>
    <x v="0"/>
    <n v="-3.2330000000000001"/>
  </r>
  <r>
    <n v="1"/>
    <x v="2"/>
    <x v="164"/>
    <x v="1"/>
    <s v="Percent change"/>
    <s v="Units"/>
    <x v="1"/>
    <n v="1.885"/>
  </r>
  <r>
    <n v="1"/>
    <x v="2"/>
    <x v="164"/>
    <x v="1"/>
    <s v="Percent change"/>
    <s v="Units"/>
    <x v="2"/>
    <n v="3.9079999999999999"/>
  </r>
  <r>
    <n v="1"/>
    <x v="2"/>
    <x v="164"/>
    <x v="1"/>
    <s v="Percent change"/>
    <s v="Units"/>
    <x v="3"/>
    <n v="13.779"/>
  </r>
  <r>
    <n v="1"/>
    <x v="2"/>
    <x v="164"/>
    <x v="1"/>
    <s v="Percent change"/>
    <s v="Units"/>
    <x v="4"/>
    <n v="0.94199999999999995"/>
  </r>
  <r>
    <n v="1"/>
    <x v="2"/>
    <x v="164"/>
    <x v="1"/>
    <s v="Percent change"/>
    <s v="Units"/>
    <x v="5"/>
    <n v="2.1"/>
  </r>
  <r>
    <n v="1"/>
    <x v="2"/>
    <x v="164"/>
    <x v="1"/>
    <s v="Percent change"/>
    <s v="Units"/>
    <x v="6"/>
    <n v="2"/>
  </r>
  <r>
    <n v="200"/>
    <x v="3"/>
    <x v="29"/>
    <x v="1"/>
    <s v="Percent change"/>
    <s v="Units"/>
    <x v="0"/>
    <n v="-1.9339999999999999"/>
  </r>
  <r>
    <n v="200"/>
    <x v="3"/>
    <x v="29"/>
    <x v="1"/>
    <s v="Percent change"/>
    <s v="Units"/>
    <x v="1"/>
    <n v="-2.0760000000000001"/>
  </r>
  <r>
    <n v="200"/>
    <x v="3"/>
    <x v="29"/>
    <x v="1"/>
    <s v="Percent change"/>
    <s v="Units"/>
    <x v="2"/>
    <n v="-0.113"/>
  </r>
  <r>
    <n v="200"/>
    <x v="3"/>
    <x v="29"/>
    <x v="1"/>
    <s v="Percent change"/>
    <s v="Units"/>
    <x v="3"/>
    <n v="4.827"/>
  </r>
  <r>
    <n v="200"/>
    <x v="3"/>
    <x v="29"/>
    <x v="1"/>
    <s v="Percent change"/>
    <s v="Units"/>
    <x v="4"/>
    <n v="1.623"/>
  </r>
  <r>
    <n v="200"/>
    <x v="3"/>
    <x v="29"/>
    <x v="1"/>
    <s v="Percent change"/>
    <s v="Units"/>
    <x v="5"/>
    <n v="2.1"/>
  </r>
  <r>
    <n v="200"/>
    <x v="3"/>
    <x v="29"/>
    <x v="1"/>
    <s v="Percent change"/>
    <s v="Units"/>
    <x v="6"/>
    <n v="2"/>
  </r>
  <r>
    <n v="1"/>
    <x v="2"/>
    <x v="31"/>
    <x v="8"/>
    <s v="Percent change"/>
    <s v="Units"/>
    <x v="0"/>
    <n v="1.345"/>
  </r>
  <r>
    <n v="1"/>
    <x v="2"/>
    <x v="31"/>
    <x v="8"/>
    <s v="Percent change"/>
    <s v="Units"/>
    <x v="1"/>
    <n v="-3.87"/>
  </r>
  <r>
    <n v="1"/>
    <x v="2"/>
    <x v="31"/>
    <x v="8"/>
    <s v="Percent change"/>
    <s v="Units"/>
    <x v="2"/>
    <n v="9.6910000000000007"/>
  </r>
  <r>
    <n v="1"/>
    <x v="2"/>
    <x v="31"/>
    <x v="8"/>
    <s v="Percent change"/>
    <s v="Units"/>
    <x v="3"/>
    <n v="3.8380000000000001"/>
  </r>
  <r>
    <n v="1"/>
    <x v="2"/>
    <x v="31"/>
    <x v="8"/>
    <s v="Percent change"/>
    <s v="Units"/>
    <x v="4"/>
    <n v="1.075"/>
  </r>
  <r>
    <n v="1"/>
    <x v="2"/>
    <x v="31"/>
    <x v="8"/>
    <s v="Percent change"/>
    <s v="Units"/>
    <x v="5"/>
    <n v="2.1"/>
  </r>
  <r>
    <n v="1"/>
    <x v="2"/>
    <x v="31"/>
    <x v="8"/>
    <s v="Percent change"/>
    <s v="Units"/>
    <x v="6"/>
    <n v="2.2999999999999998"/>
  </r>
  <r>
    <n v="200"/>
    <x v="3"/>
    <x v="164"/>
    <x v="1"/>
    <s v="Percent change"/>
    <s v="Units"/>
    <x v="0"/>
    <n v="-3.2330000000000001"/>
  </r>
  <r>
    <n v="200"/>
    <x v="3"/>
    <x v="164"/>
    <x v="1"/>
    <s v="Percent change"/>
    <s v="Units"/>
    <x v="1"/>
    <n v="1.885"/>
  </r>
  <r>
    <n v="200"/>
    <x v="3"/>
    <x v="164"/>
    <x v="1"/>
    <s v="Percent change"/>
    <s v="Units"/>
    <x v="2"/>
    <n v="3.9079999999999999"/>
  </r>
  <r>
    <n v="200"/>
    <x v="3"/>
    <x v="164"/>
    <x v="1"/>
    <s v="Percent change"/>
    <s v="Units"/>
    <x v="3"/>
    <n v="13.779"/>
  </r>
  <r>
    <n v="200"/>
    <x v="3"/>
    <x v="164"/>
    <x v="1"/>
    <s v="Percent change"/>
    <s v="Units"/>
    <x v="4"/>
    <n v="0.94199999999999995"/>
  </r>
  <r>
    <n v="200"/>
    <x v="3"/>
    <x v="164"/>
    <x v="1"/>
    <s v="Percent change"/>
    <s v="Units"/>
    <x v="5"/>
    <n v="2.1"/>
  </r>
  <r>
    <n v="200"/>
    <x v="3"/>
    <x v="164"/>
    <x v="1"/>
    <s v="Percent change"/>
    <s v="Units"/>
    <x v="6"/>
    <n v="2"/>
  </r>
  <r>
    <n v="1"/>
    <x v="2"/>
    <x v="29"/>
    <x v="1"/>
    <s v="Percent change"/>
    <s v="Units"/>
    <x v="0"/>
    <n v="-1.9339999999999999"/>
  </r>
  <r>
    <n v="1"/>
    <x v="2"/>
    <x v="29"/>
    <x v="1"/>
    <s v="Percent change"/>
    <s v="Units"/>
    <x v="1"/>
    <n v="-2.0760000000000001"/>
  </r>
  <r>
    <n v="1"/>
    <x v="2"/>
    <x v="29"/>
    <x v="1"/>
    <s v="Percent change"/>
    <s v="Units"/>
    <x v="2"/>
    <n v="-0.113"/>
  </r>
  <r>
    <n v="1"/>
    <x v="2"/>
    <x v="29"/>
    <x v="1"/>
    <s v="Percent change"/>
    <s v="Units"/>
    <x v="3"/>
    <n v="4.827"/>
  </r>
  <r>
    <n v="1"/>
    <x v="2"/>
    <x v="29"/>
    <x v="1"/>
    <s v="Percent change"/>
    <s v="Units"/>
    <x v="4"/>
    <n v="1.623"/>
  </r>
  <r>
    <n v="1"/>
    <x v="2"/>
    <x v="29"/>
    <x v="1"/>
    <s v="Percent change"/>
    <s v="Units"/>
    <x v="5"/>
    <n v="2.1"/>
  </r>
  <r>
    <n v="1"/>
    <x v="2"/>
    <x v="29"/>
    <x v="1"/>
    <s v="Percent change"/>
    <s v="Units"/>
    <x v="6"/>
    <n v="2"/>
  </r>
  <r>
    <n v="123"/>
    <x v="9"/>
    <x v="31"/>
    <x v="8"/>
    <s v="Percent change"/>
    <s v="Units"/>
    <x v="0"/>
    <n v="1.345"/>
  </r>
  <r>
    <n v="123"/>
    <x v="9"/>
    <x v="31"/>
    <x v="8"/>
    <s v="Percent change"/>
    <s v="Units"/>
    <x v="1"/>
    <n v="-3.87"/>
  </r>
  <r>
    <n v="123"/>
    <x v="9"/>
    <x v="31"/>
    <x v="8"/>
    <s v="Percent change"/>
    <s v="Units"/>
    <x v="2"/>
    <n v="9.6910000000000007"/>
  </r>
  <r>
    <n v="123"/>
    <x v="9"/>
    <x v="31"/>
    <x v="8"/>
    <s v="Percent change"/>
    <s v="Units"/>
    <x v="3"/>
    <n v="3.8380000000000001"/>
  </r>
  <r>
    <n v="123"/>
    <x v="9"/>
    <x v="31"/>
    <x v="8"/>
    <s v="Percent change"/>
    <s v="Units"/>
    <x v="4"/>
    <n v="1.075"/>
  </r>
  <r>
    <n v="123"/>
    <x v="9"/>
    <x v="31"/>
    <x v="8"/>
    <s v="Percent change"/>
    <s v="Units"/>
    <x v="5"/>
    <n v="2.1"/>
  </r>
  <r>
    <n v="123"/>
    <x v="9"/>
    <x v="31"/>
    <x v="8"/>
    <s v="Percent change"/>
    <s v="Units"/>
    <x v="6"/>
    <n v="2.2999999999999998"/>
  </r>
  <r>
    <n v="603"/>
    <x v="12"/>
    <x v="164"/>
    <x v="1"/>
    <s v="Percent change"/>
    <s v="Units"/>
    <x v="0"/>
    <n v="-3.2330000000000001"/>
  </r>
  <r>
    <n v="603"/>
    <x v="12"/>
    <x v="164"/>
    <x v="1"/>
    <s v="Percent change"/>
    <s v="Units"/>
    <x v="1"/>
    <n v="1.885"/>
  </r>
  <r>
    <n v="603"/>
    <x v="12"/>
    <x v="164"/>
    <x v="1"/>
    <s v="Percent change"/>
    <s v="Units"/>
    <x v="2"/>
    <n v="3.9079999999999999"/>
  </r>
  <r>
    <n v="603"/>
    <x v="12"/>
    <x v="164"/>
    <x v="1"/>
    <s v="Percent change"/>
    <s v="Units"/>
    <x v="3"/>
    <n v="13.779"/>
  </r>
  <r>
    <n v="603"/>
    <x v="12"/>
    <x v="164"/>
    <x v="1"/>
    <s v="Percent change"/>
    <s v="Units"/>
    <x v="4"/>
    <n v="0.94199999999999995"/>
  </r>
  <r>
    <n v="603"/>
    <x v="12"/>
    <x v="164"/>
    <x v="1"/>
    <s v="Percent change"/>
    <s v="Units"/>
    <x v="5"/>
    <n v="2.1"/>
  </r>
  <r>
    <n v="603"/>
    <x v="12"/>
    <x v="164"/>
    <x v="1"/>
    <s v="Percent change"/>
    <s v="Units"/>
    <x v="6"/>
    <n v="2"/>
  </r>
  <r>
    <n v="603"/>
    <x v="12"/>
    <x v="138"/>
    <x v="1"/>
    <s v="Percent change"/>
    <s v="Units"/>
    <x v="0"/>
    <n v="2.0219999999999998"/>
  </r>
  <r>
    <n v="603"/>
    <x v="12"/>
    <x v="138"/>
    <x v="1"/>
    <s v="Percent change"/>
    <s v="Units"/>
    <x v="1"/>
    <n v="1.7030000000000001"/>
  </r>
  <r>
    <n v="603"/>
    <x v="12"/>
    <x v="138"/>
    <x v="1"/>
    <s v="Percent change"/>
    <s v="Units"/>
    <x v="2"/>
    <n v="1.077"/>
  </r>
  <r>
    <n v="603"/>
    <x v="12"/>
    <x v="138"/>
    <x v="1"/>
    <s v="Percent change"/>
    <s v="Units"/>
    <x v="3"/>
    <n v="4.25"/>
  </r>
  <r>
    <n v="603"/>
    <x v="12"/>
    <x v="138"/>
    <x v="1"/>
    <s v="Percent change"/>
    <s v="Units"/>
    <x v="4"/>
    <n v="3.6339999999999999"/>
  </r>
  <r>
    <n v="603"/>
    <x v="12"/>
    <x v="138"/>
    <x v="1"/>
    <s v="Percent change"/>
    <s v="Units"/>
    <x v="5"/>
    <n v="2.09"/>
  </r>
  <r>
    <n v="603"/>
    <x v="12"/>
    <x v="138"/>
    <x v="1"/>
    <s v="Percent change"/>
    <s v="Units"/>
    <x v="6"/>
    <n v="2.1640000000000001"/>
  </r>
  <r>
    <n v="1"/>
    <x v="2"/>
    <x v="138"/>
    <x v="1"/>
    <s v="Percent change"/>
    <s v="Units"/>
    <x v="0"/>
    <n v="2.0219999999999998"/>
  </r>
  <r>
    <n v="1"/>
    <x v="2"/>
    <x v="138"/>
    <x v="1"/>
    <s v="Percent change"/>
    <s v="Units"/>
    <x v="1"/>
    <n v="1.7030000000000001"/>
  </r>
  <r>
    <n v="1"/>
    <x v="2"/>
    <x v="138"/>
    <x v="1"/>
    <s v="Percent change"/>
    <s v="Units"/>
    <x v="2"/>
    <n v="1.077"/>
  </r>
  <r>
    <n v="1"/>
    <x v="2"/>
    <x v="138"/>
    <x v="1"/>
    <s v="Percent change"/>
    <s v="Units"/>
    <x v="3"/>
    <n v="4.25"/>
  </r>
  <r>
    <n v="1"/>
    <x v="2"/>
    <x v="138"/>
    <x v="1"/>
    <s v="Percent change"/>
    <s v="Units"/>
    <x v="4"/>
    <n v="3.6339999999999999"/>
  </r>
  <r>
    <n v="1"/>
    <x v="2"/>
    <x v="138"/>
    <x v="1"/>
    <s v="Percent change"/>
    <s v="Units"/>
    <x v="5"/>
    <n v="2.09"/>
  </r>
  <r>
    <n v="1"/>
    <x v="2"/>
    <x v="138"/>
    <x v="1"/>
    <s v="Percent change"/>
    <s v="Units"/>
    <x v="6"/>
    <n v="2.1640000000000001"/>
  </r>
  <r>
    <n v="200"/>
    <x v="3"/>
    <x v="138"/>
    <x v="1"/>
    <s v="Percent change"/>
    <s v="Units"/>
    <x v="0"/>
    <n v="2.0219999999999998"/>
  </r>
  <r>
    <n v="200"/>
    <x v="3"/>
    <x v="138"/>
    <x v="1"/>
    <s v="Percent change"/>
    <s v="Units"/>
    <x v="1"/>
    <n v="1.7030000000000001"/>
  </r>
  <r>
    <n v="200"/>
    <x v="3"/>
    <x v="138"/>
    <x v="1"/>
    <s v="Percent change"/>
    <s v="Units"/>
    <x v="2"/>
    <n v="1.077"/>
  </r>
  <r>
    <n v="200"/>
    <x v="3"/>
    <x v="138"/>
    <x v="1"/>
    <s v="Percent change"/>
    <s v="Units"/>
    <x v="3"/>
    <n v="4.25"/>
  </r>
  <r>
    <n v="200"/>
    <x v="3"/>
    <x v="138"/>
    <x v="1"/>
    <s v="Percent change"/>
    <s v="Units"/>
    <x v="4"/>
    <n v="3.6339999999999999"/>
  </r>
  <r>
    <n v="200"/>
    <x v="3"/>
    <x v="138"/>
    <x v="1"/>
    <s v="Percent change"/>
    <s v="Units"/>
    <x v="5"/>
    <n v="2.09"/>
  </r>
  <r>
    <n v="200"/>
    <x v="3"/>
    <x v="138"/>
    <x v="1"/>
    <s v="Percent change"/>
    <s v="Units"/>
    <x v="6"/>
    <n v="2.1640000000000001"/>
  </r>
  <r>
    <n v="1"/>
    <x v="2"/>
    <x v="61"/>
    <x v="8"/>
    <s v="Percent change"/>
    <s v="Units"/>
    <x v="0"/>
    <n v="2.5110000000000001"/>
  </r>
  <r>
    <n v="1"/>
    <x v="2"/>
    <x v="61"/>
    <x v="8"/>
    <s v="Percent change"/>
    <s v="Units"/>
    <x v="1"/>
    <n v="-3.335"/>
  </r>
  <r>
    <n v="1"/>
    <x v="2"/>
    <x v="61"/>
    <x v="8"/>
    <s v="Percent change"/>
    <s v="Units"/>
    <x v="2"/>
    <n v="4.7889999999999997"/>
  </r>
  <r>
    <n v="1"/>
    <x v="2"/>
    <x v="61"/>
    <x v="8"/>
    <s v="Percent change"/>
    <s v="Units"/>
    <x v="3"/>
    <n v="1.75"/>
  </r>
  <r>
    <n v="1"/>
    <x v="2"/>
    <x v="61"/>
    <x v="8"/>
    <s v="Percent change"/>
    <s v="Units"/>
    <x v="4"/>
    <n v="1.1499999999999999"/>
  </r>
  <r>
    <n v="1"/>
    <x v="2"/>
    <x v="61"/>
    <x v="8"/>
    <s v="Percent change"/>
    <s v="Units"/>
    <x v="5"/>
    <n v="2.077"/>
  </r>
  <r>
    <n v="1"/>
    <x v="2"/>
    <x v="61"/>
    <x v="8"/>
    <s v="Percent change"/>
    <s v="Units"/>
    <x v="6"/>
    <n v="2.6"/>
  </r>
  <r>
    <n v="163"/>
    <x v="5"/>
    <x v="61"/>
    <x v="8"/>
    <s v="Percent change"/>
    <s v="Units"/>
    <x v="0"/>
    <n v="2.5110000000000001"/>
  </r>
  <r>
    <n v="163"/>
    <x v="5"/>
    <x v="61"/>
    <x v="8"/>
    <s v="Percent change"/>
    <s v="Units"/>
    <x v="1"/>
    <n v="-3.335"/>
  </r>
  <r>
    <n v="163"/>
    <x v="5"/>
    <x v="61"/>
    <x v="8"/>
    <s v="Percent change"/>
    <s v="Units"/>
    <x v="2"/>
    <n v="4.7889999999999997"/>
  </r>
  <r>
    <n v="163"/>
    <x v="5"/>
    <x v="61"/>
    <x v="8"/>
    <s v="Percent change"/>
    <s v="Units"/>
    <x v="3"/>
    <n v="1.75"/>
  </r>
  <r>
    <n v="163"/>
    <x v="5"/>
    <x v="61"/>
    <x v="8"/>
    <s v="Percent change"/>
    <s v="Units"/>
    <x v="4"/>
    <n v="1.1499999999999999"/>
  </r>
  <r>
    <n v="163"/>
    <x v="5"/>
    <x v="61"/>
    <x v="8"/>
    <s v="Percent change"/>
    <s v="Units"/>
    <x v="5"/>
    <n v="2.077"/>
  </r>
  <r>
    <n v="163"/>
    <x v="5"/>
    <x v="61"/>
    <x v="8"/>
    <s v="Percent change"/>
    <s v="Units"/>
    <x v="6"/>
    <n v="2.6"/>
  </r>
  <r>
    <n v="998"/>
    <x v="6"/>
    <x v="61"/>
    <x v="8"/>
    <s v="Percent change"/>
    <s v="Units"/>
    <x v="0"/>
    <n v="2.5110000000000001"/>
  </r>
  <r>
    <n v="998"/>
    <x v="6"/>
    <x v="61"/>
    <x v="8"/>
    <s v="Percent change"/>
    <s v="Units"/>
    <x v="1"/>
    <n v="-3.335"/>
  </r>
  <r>
    <n v="998"/>
    <x v="6"/>
    <x v="61"/>
    <x v="8"/>
    <s v="Percent change"/>
    <s v="Units"/>
    <x v="2"/>
    <n v="4.7889999999999997"/>
  </r>
  <r>
    <n v="998"/>
    <x v="6"/>
    <x v="61"/>
    <x v="8"/>
    <s v="Percent change"/>
    <s v="Units"/>
    <x v="3"/>
    <n v="1.75"/>
  </r>
  <r>
    <n v="998"/>
    <x v="6"/>
    <x v="61"/>
    <x v="8"/>
    <s v="Percent change"/>
    <s v="Units"/>
    <x v="4"/>
    <n v="1.1499999999999999"/>
  </r>
  <r>
    <n v="998"/>
    <x v="6"/>
    <x v="61"/>
    <x v="8"/>
    <s v="Percent change"/>
    <s v="Units"/>
    <x v="5"/>
    <n v="2.077"/>
  </r>
  <r>
    <n v="998"/>
    <x v="6"/>
    <x v="61"/>
    <x v="8"/>
    <s v="Percent change"/>
    <s v="Units"/>
    <x v="6"/>
    <n v="2.6"/>
  </r>
  <r>
    <n v="110"/>
    <x v="0"/>
    <x v="61"/>
    <x v="8"/>
    <s v="Percent change"/>
    <s v="Units"/>
    <x v="0"/>
    <n v="2.5110000000000001"/>
  </r>
  <r>
    <n v="110"/>
    <x v="0"/>
    <x v="61"/>
    <x v="8"/>
    <s v="Percent change"/>
    <s v="Units"/>
    <x v="1"/>
    <n v="-3.335"/>
  </r>
  <r>
    <n v="110"/>
    <x v="0"/>
    <x v="61"/>
    <x v="8"/>
    <s v="Percent change"/>
    <s v="Units"/>
    <x v="2"/>
    <n v="4.7889999999999997"/>
  </r>
  <r>
    <n v="110"/>
    <x v="0"/>
    <x v="61"/>
    <x v="8"/>
    <s v="Percent change"/>
    <s v="Units"/>
    <x v="3"/>
    <n v="1.75"/>
  </r>
  <r>
    <n v="110"/>
    <x v="0"/>
    <x v="61"/>
    <x v="8"/>
    <s v="Percent change"/>
    <s v="Units"/>
    <x v="4"/>
    <n v="1.1499999999999999"/>
  </r>
  <r>
    <n v="110"/>
    <x v="0"/>
    <x v="61"/>
    <x v="8"/>
    <s v="Percent change"/>
    <s v="Units"/>
    <x v="5"/>
    <n v="2.077"/>
  </r>
  <r>
    <n v="110"/>
    <x v="0"/>
    <x v="61"/>
    <x v="8"/>
    <s v="Percent change"/>
    <s v="Units"/>
    <x v="6"/>
    <n v="2.6"/>
  </r>
  <r>
    <n v="903"/>
    <x v="8"/>
    <x v="16"/>
    <x v="10"/>
    <s v="Percent"/>
    <s v="Units"/>
    <x v="0"/>
    <n v="1.8149999999999999"/>
  </r>
  <r>
    <n v="903"/>
    <x v="8"/>
    <x v="16"/>
    <x v="10"/>
    <s v="Percent"/>
    <s v="Units"/>
    <x v="1"/>
    <n v="1.9039999999999999"/>
  </r>
  <r>
    <n v="903"/>
    <x v="8"/>
    <x v="16"/>
    <x v="10"/>
    <s v="Percent"/>
    <s v="Units"/>
    <x v="2"/>
    <n v="1.994"/>
  </r>
  <r>
    <n v="903"/>
    <x v="8"/>
    <x v="16"/>
    <x v="10"/>
    <s v="Percent"/>
    <s v="Units"/>
    <x v="3"/>
    <n v="2.036"/>
  </r>
  <r>
    <n v="903"/>
    <x v="8"/>
    <x v="16"/>
    <x v="10"/>
    <s v="Percent"/>
    <s v="Units"/>
    <x v="4"/>
    <n v="2.0640000000000001"/>
  </r>
  <r>
    <n v="903"/>
    <x v="8"/>
    <x v="16"/>
    <x v="10"/>
    <s v="Percent"/>
    <s v="Units"/>
    <x v="5"/>
    <n v="2.0640000000000001"/>
  </r>
  <r>
    <n v="903"/>
    <x v="8"/>
    <x v="16"/>
    <x v="10"/>
    <s v="Percent"/>
    <s v="Units"/>
    <x v="6"/>
    <n v="2.0630000000000002"/>
  </r>
  <r>
    <n v="200"/>
    <x v="3"/>
    <x v="16"/>
    <x v="10"/>
    <s v="Percent"/>
    <s v="Units"/>
    <x v="0"/>
    <n v="1.8149999999999999"/>
  </r>
  <r>
    <n v="200"/>
    <x v="3"/>
    <x v="16"/>
    <x v="10"/>
    <s v="Percent"/>
    <s v="Units"/>
    <x v="1"/>
    <n v="1.9039999999999999"/>
  </r>
  <r>
    <n v="200"/>
    <x v="3"/>
    <x v="16"/>
    <x v="10"/>
    <s v="Percent"/>
    <s v="Units"/>
    <x v="2"/>
    <n v="1.994"/>
  </r>
  <r>
    <n v="200"/>
    <x v="3"/>
    <x v="16"/>
    <x v="10"/>
    <s v="Percent"/>
    <s v="Units"/>
    <x v="3"/>
    <n v="2.036"/>
  </r>
  <r>
    <n v="200"/>
    <x v="3"/>
    <x v="16"/>
    <x v="10"/>
    <s v="Percent"/>
    <s v="Units"/>
    <x v="4"/>
    <n v="2.0640000000000001"/>
  </r>
  <r>
    <n v="200"/>
    <x v="3"/>
    <x v="16"/>
    <x v="10"/>
    <s v="Percent"/>
    <s v="Units"/>
    <x v="5"/>
    <n v="2.0640000000000001"/>
  </r>
  <r>
    <n v="200"/>
    <x v="3"/>
    <x v="16"/>
    <x v="10"/>
    <s v="Percent"/>
    <s v="Units"/>
    <x v="6"/>
    <n v="2.0630000000000002"/>
  </r>
  <r>
    <n v="1"/>
    <x v="2"/>
    <x v="82"/>
    <x v="6"/>
    <s v="Percent change"/>
    <s v="Units"/>
    <x v="0"/>
    <n v="11.571999999999999"/>
  </r>
  <r>
    <n v="1"/>
    <x v="2"/>
    <x v="82"/>
    <x v="6"/>
    <s v="Percent change"/>
    <s v="Units"/>
    <x v="1"/>
    <n v="7.3630000000000004"/>
  </r>
  <r>
    <n v="1"/>
    <x v="2"/>
    <x v="82"/>
    <x v="6"/>
    <s v="Percent change"/>
    <s v="Units"/>
    <x v="2"/>
    <n v="-6.3310000000000004"/>
  </r>
  <r>
    <n v="1"/>
    <x v="2"/>
    <x v="82"/>
    <x v="6"/>
    <s v="Percent change"/>
    <s v="Units"/>
    <x v="3"/>
    <n v="1.2969999999999999"/>
  </r>
  <r>
    <n v="1"/>
    <x v="2"/>
    <x v="82"/>
    <x v="6"/>
    <s v="Percent change"/>
    <s v="Units"/>
    <x v="4"/>
    <n v="10.137"/>
  </r>
  <r>
    <n v="1"/>
    <x v="2"/>
    <x v="82"/>
    <x v="6"/>
    <s v="Percent change"/>
    <s v="Units"/>
    <x v="5"/>
    <n v="2.052"/>
  </r>
  <r>
    <n v="1"/>
    <x v="2"/>
    <x v="82"/>
    <x v="6"/>
    <s v="Percent change"/>
    <s v="Units"/>
    <x v="6"/>
    <n v="4.218"/>
  </r>
  <r>
    <n v="200"/>
    <x v="3"/>
    <x v="82"/>
    <x v="6"/>
    <s v="Percent change"/>
    <s v="Units"/>
    <x v="0"/>
    <n v="11.571999999999999"/>
  </r>
  <r>
    <n v="200"/>
    <x v="3"/>
    <x v="82"/>
    <x v="6"/>
    <s v="Percent change"/>
    <s v="Units"/>
    <x v="1"/>
    <n v="7.3630000000000004"/>
  </r>
  <r>
    <n v="200"/>
    <x v="3"/>
    <x v="82"/>
    <x v="6"/>
    <s v="Percent change"/>
    <s v="Units"/>
    <x v="2"/>
    <n v="-6.3310000000000004"/>
  </r>
  <r>
    <n v="200"/>
    <x v="3"/>
    <x v="82"/>
    <x v="6"/>
    <s v="Percent change"/>
    <s v="Units"/>
    <x v="3"/>
    <n v="1.2969999999999999"/>
  </r>
  <r>
    <n v="200"/>
    <x v="3"/>
    <x v="82"/>
    <x v="6"/>
    <s v="Percent change"/>
    <s v="Units"/>
    <x v="4"/>
    <n v="10.137"/>
  </r>
  <r>
    <n v="200"/>
    <x v="3"/>
    <x v="82"/>
    <x v="6"/>
    <s v="Percent change"/>
    <s v="Units"/>
    <x v="5"/>
    <n v="2.052"/>
  </r>
  <r>
    <n v="200"/>
    <x v="3"/>
    <x v="82"/>
    <x v="6"/>
    <s v="Percent change"/>
    <s v="Units"/>
    <x v="6"/>
    <n v="4.218"/>
  </r>
  <r>
    <n v="400"/>
    <x v="11"/>
    <x v="82"/>
    <x v="6"/>
    <s v="Percent change"/>
    <s v="Units"/>
    <x v="0"/>
    <n v="11.571999999999999"/>
  </r>
  <r>
    <n v="400"/>
    <x v="11"/>
    <x v="82"/>
    <x v="6"/>
    <s v="Percent change"/>
    <s v="Units"/>
    <x v="1"/>
    <n v="7.3630000000000004"/>
  </r>
  <r>
    <n v="400"/>
    <x v="11"/>
    <x v="82"/>
    <x v="6"/>
    <s v="Percent change"/>
    <s v="Units"/>
    <x v="2"/>
    <n v="-6.3310000000000004"/>
  </r>
  <r>
    <n v="400"/>
    <x v="11"/>
    <x v="82"/>
    <x v="6"/>
    <s v="Percent change"/>
    <s v="Units"/>
    <x v="3"/>
    <n v="1.2969999999999999"/>
  </r>
  <r>
    <n v="400"/>
    <x v="11"/>
    <x v="82"/>
    <x v="6"/>
    <s v="Percent change"/>
    <s v="Units"/>
    <x v="4"/>
    <n v="10.137"/>
  </r>
  <r>
    <n v="400"/>
    <x v="11"/>
    <x v="82"/>
    <x v="6"/>
    <s v="Percent change"/>
    <s v="Units"/>
    <x v="5"/>
    <n v="2.052"/>
  </r>
  <r>
    <n v="400"/>
    <x v="11"/>
    <x v="82"/>
    <x v="6"/>
    <s v="Percent change"/>
    <s v="Units"/>
    <x v="6"/>
    <n v="4.218"/>
  </r>
  <r>
    <n v="200"/>
    <x v="3"/>
    <x v="175"/>
    <x v="1"/>
    <s v="Percent change"/>
    <s v="Units"/>
    <x v="0"/>
    <n v="2.4910000000000001"/>
  </r>
  <r>
    <n v="200"/>
    <x v="3"/>
    <x v="175"/>
    <x v="1"/>
    <s v="Percent change"/>
    <s v="Units"/>
    <x v="1"/>
    <n v="3.9E-2"/>
  </r>
  <r>
    <n v="200"/>
    <x v="3"/>
    <x v="175"/>
    <x v="1"/>
    <s v="Percent change"/>
    <s v="Units"/>
    <x v="2"/>
    <n v="2.9049999999999998"/>
  </r>
  <r>
    <n v="200"/>
    <x v="3"/>
    <x v="175"/>
    <x v="1"/>
    <s v="Percent change"/>
    <s v="Units"/>
    <x v="3"/>
    <n v="5.6050000000000004"/>
  </r>
  <r>
    <n v="200"/>
    <x v="3"/>
    <x v="175"/>
    <x v="1"/>
    <s v="Percent change"/>
    <s v="Units"/>
    <x v="4"/>
    <n v="3.0590000000000002"/>
  </r>
  <r>
    <n v="200"/>
    <x v="3"/>
    <x v="175"/>
    <x v="1"/>
    <s v="Percent change"/>
    <s v="Units"/>
    <x v="5"/>
    <n v="2.0419999999999998"/>
  </r>
  <r>
    <n v="200"/>
    <x v="3"/>
    <x v="175"/>
    <x v="1"/>
    <s v="Percent change"/>
    <s v="Units"/>
    <x v="6"/>
    <n v="2.2440000000000002"/>
  </r>
  <r>
    <n v="205"/>
    <x v="7"/>
    <x v="175"/>
    <x v="1"/>
    <s v="Percent change"/>
    <s v="Units"/>
    <x v="0"/>
    <n v="2.4910000000000001"/>
  </r>
  <r>
    <n v="205"/>
    <x v="7"/>
    <x v="175"/>
    <x v="1"/>
    <s v="Percent change"/>
    <s v="Units"/>
    <x v="1"/>
    <n v="3.9E-2"/>
  </r>
  <r>
    <n v="205"/>
    <x v="7"/>
    <x v="175"/>
    <x v="1"/>
    <s v="Percent change"/>
    <s v="Units"/>
    <x v="2"/>
    <n v="2.9049999999999998"/>
  </r>
  <r>
    <n v="205"/>
    <x v="7"/>
    <x v="175"/>
    <x v="1"/>
    <s v="Percent change"/>
    <s v="Units"/>
    <x v="3"/>
    <n v="5.6050000000000004"/>
  </r>
  <r>
    <n v="205"/>
    <x v="7"/>
    <x v="175"/>
    <x v="1"/>
    <s v="Percent change"/>
    <s v="Units"/>
    <x v="4"/>
    <n v="3.0590000000000002"/>
  </r>
  <r>
    <n v="205"/>
    <x v="7"/>
    <x v="175"/>
    <x v="1"/>
    <s v="Percent change"/>
    <s v="Units"/>
    <x v="5"/>
    <n v="2.0419999999999998"/>
  </r>
  <r>
    <n v="205"/>
    <x v="7"/>
    <x v="175"/>
    <x v="1"/>
    <s v="Percent change"/>
    <s v="Units"/>
    <x v="6"/>
    <n v="2.2440000000000002"/>
  </r>
  <r>
    <n v="1"/>
    <x v="2"/>
    <x v="175"/>
    <x v="1"/>
    <s v="Percent change"/>
    <s v="Units"/>
    <x v="0"/>
    <n v="2.4910000000000001"/>
  </r>
  <r>
    <n v="1"/>
    <x v="2"/>
    <x v="175"/>
    <x v="1"/>
    <s v="Percent change"/>
    <s v="Units"/>
    <x v="1"/>
    <n v="3.9E-2"/>
  </r>
  <r>
    <n v="1"/>
    <x v="2"/>
    <x v="175"/>
    <x v="1"/>
    <s v="Percent change"/>
    <s v="Units"/>
    <x v="2"/>
    <n v="2.9049999999999998"/>
  </r>
  <r>
    <n v="1"/>
    <x v="2"/>
    <x v="175"/>
    <x v="1"/>
    <s v="Percent change"/>
    <s v="Units"/>
    <x v="3"/>
    <n v="5.6050000000000004"/>
  </r>
  <r>
    <n v="1"/>
    <x v="2"/>
    <x v="175"/>
    <x v="1"/>
    <s v="Percent change"/>
    <s v="Units"/>
    <x v="4"/>
    <n v="3.0590000000000002"/>
  </r>
  <r>
    <n v="1"/>
    <x v="2"/>
    <x v="175"/>
    <x v="1"/>
    <s v="Percent change"/>
    <s v="Units"/>
    <x v="5"/>
    <n v="2.0419999999999998"/>
  </r>
  <r>
    <n v="1"/>
    <x v="2"/>
    <x v="175"/>
    <x v="1"/>
    <s v="Percent change"/>
    <s v="Units"/>
    <x v="6"/>
    <n v="2.2440000000000002"/>
  </r>
  <r>
    <n v="110"/>
    <x v="0"/>
    <x v="53"/>
    <x v="8"/>
    <s v="Percent change"/>
    <s v="Units"/>
    <x v="0"/>
    <n v="1.88"/>
  </r>
  <r>
    <n v="110"/>
    <x v="0"/>
    <x v="53"/>
    <x v="8"/>
    <s v="Percent change"/>
    <s v="Units"/>
    <x v="1"/>
    <n v="-9.3160000000000007"/>
  </r>
  <r>
    <n v="110"/>
    <x v="0"/>
    <x v="53"/>
    <x v="8"/>
    <s v="Percent change"/>
    <s v="Units"/>
    <x v="2"/>
    <n v="8.3800000000000008"/>
  </r>
  <r>
    <n v="110"/>
    <x v="0"/>
    <x v="53"/>
    <x v="8"/>
    <s v="Percent change"/>
    <s v="Units"/>
    <x v="3"/>
    <n v="5.5570000000000004"/>
  </r>
  <r>
    <n v="110"/>
    <x v="0"/>
    <x v="53"/>
    <x v="8"/>
    <s v="Percent change"/>
    <s v="Units"/>
    <x v="4"/>
    <n v="2.0110000000000001"/>
  </r>
  <r>
    <n v="110"/>
    <x v="0"/>
    <x v="53"/>
    <x v="8"/>
    <s v="Percent change"/>
    <s v="Units"/>
    <x v="5"/>
    <n v="2.0379999999999998"/>
  </r>
  <r>
    <n v="110"/>
    <x v="0"/>
    <x v="53"/>
    <x v="8"/>
    <s v="Percent change"/>
    <s v="Units"/>
    <x v="6"/>
    <n v="1.9319999999999999"/>
  </r>
  <r>
    <n v="163"/>
    <x v="5"/>
    <x v="53"/>
    <x v="8"/>
    <s v="Percent change"/>
    <s v="Units"/>
    <x v="0"/>
    <n v="1.88"/>
  </r>
  <r>
    <n v="163"/>
    <x v="5"/>
    <x v="53"/>
    <x v="8"/>
    <s v="Percent change"/>
    <s v="Units"/>
    <x v="1"/>
    <n v="-9.3160000000000007"/>
  </r>
  <r>
    <n v="163"/>
    <x v="5"/>
    <x v="53"/>
    <x v="8"/>
    <s v="Percent change"/>
    <s v="Units"/>
    <x v="2"/>
    <n v="8.3800000000000008"/>
  </r>
  <r>
    <n v="163"/>
    <x v="5"/>
    <x v="53"/>
    <x v="8"/>
    <s v="Percent change"/>
    <s v="Units"/>
    <x v="3"/>
    <n v="5.5570000000000004"/>
  </r>
  <r>
    <n v="163"/>
    <x v="5"/>
    <x v="53"/>
    <x v="8"/>
    <s v="Percent change"/>
    <s v="Units"/>
    <x v="4"/>
    <n v="2.0110000000000001"/>
  </r>
  <r>
    <n v="163"/>
    <x v="5"/>
    <x v="53"/>
    <x v="8"/>
    <s v="Percent change"/>
    <s v="Units"/>
    <x v="5"/>
    <n v="2.0379999999999998"/>
  </r>
  <r>
    <n v="163"/>
    <x v="5"/>
    <x v="53"/>
    <x v="8"/>
    <s v="Percent change"/>
    <s v="Units"/>
    <x v="6"/>
    <n v="1.9319999999999999"/>
  </r>
  <r>
    <n v="1"/>
    <x v="2"/>
    <x v="53"/>
    <x v="8"/>
    <s v="Percent change"/>
    <s v="Units"/>
    <x v="0"/>
    <n v="1.88"/>
  </r>
  <r>
    <n v="1"/>
    <x v="2"/>
    <x v="53"/>
    <x v="8"/>
    <s v="Percent change"/>
    <s v="Units"/>
    <x v="1"/>
    <n v="-9.3160000000000007"/>
  </r>
  <r>
    <n v="1"/>
    <x v="2"/>
    <x v="53"/>
    <x v="8"/>
    <s v="Percent change"/>
    <s v="Units"/>
    <x v="2"/>
    <n v="8.3800000000000008"/>
  </r>
  <r>
    <n v="1"/>
    <x v="2"/>
    <x v="53"/>
    <x v="8"/>
    <s v="Percent change"/>
    <s v="Units"/>
    <x v="3"/>
    <n v="5.5570000000000004"/>
  </r>
  <r>
    <n v="1"/>
    <x v="2"/>
    <x v="53"/>
    <x v="8"/>
    <s v="Percent change"/>
    <s v="Units"/>
    <x v="4"/>
    <n v="2.0110000000000001"/>
  </r>
  <r>
    <n v="1"/>
    <x v="2"/>
    <x v="53"/>
    <x v="8"/>
    <s v="Percent change"/>
    <s v="Units"/>
    <x v="5"/>
    <n v="2.0379999999999998"/>
  </r>
  <r>
    <n v="1"/>
    <x v="2"/>
    <x v="53"/>
    <x v="8"/>
    <s v="Percent change"/>
    <s v="Units"/>
    <x v="6"/>
    <n v="1.9319999999999999"/>
  </r>
  <r>
    <n v="998"/>
    <x v="6"/>
    <x v="53"/>
    <x v="8"/>
    <s v="Percent change"/>
    <s v="Units"/>
    <x v="0"/>
    <n v="1.88"/>
  </r>
  <r>
    <n v="998"/>
    <x v="6"/>
    <x v="53"/>
    <x v="8"/>
    <s v="Percent change"/>
    <s v="Units"/>
    <x v="1"/>
    <n v="-9.3160000000000007"/>
  </r>
  <r>
    <n v="998"/>
    <x v="6"/>
    <x v="53"/>
    <x v="8"/>
    <s v="Percent change"/>
    <s v="Units"/>
    <x v="2"/>
    <n v="8.3800000000000008"/>
  </r>
  <r>
    <n v="998"/>
    <x v="6"/>
    <x v="53"/>
    <x v="8"/>
    <s v="Percent change"/>
    <s v="Units"/>
    <x v="3"/>
    <n v="5.5570000000000004"/>
  </r>
  <r>
    <n v="998"/>
    <x v="6"/>
    <x v="53"/>
    <x v="8"/>
    <s v="Percent change"/>
    <s v="Units"/>
    <x v="4"/>
    <n v="2.0110000000000001"/>
  </r>
  <r>
    <n v="998"/>
    <x v="6"/>
    <x v="53"/>
    <x v="8"/>
    <s v="Percent change"/>
    <s v="Units"/>
    <x v="5"/>
    <n v="2.0379999999999998"/>
  </r>
  <r>
    <n v="998"/>
    <x v="6"/>
    <x v="53"/>
    <x v="8"/>
    <s v="Percent change"/>
    <s v="Units"/>
    <x v="6"/>
    <n v="1.9319999999999999"/>
  </r>
  <r>
    <n v="110"/>
    <x v="0"/>
    <x v="180"/>
    <x v="0"/>
    <s v="U.S. dollars"/>
    <s v="Billions"/>
    <x v="0"/>
    <n v="1.6160000000000001"/>
  </r>
  <r>
    <n v="110"/>
    <x v="0"/>
    <x v="180"/>
    <x v="0"/>
    <s v="U.S. dollars"/>
    <s v="Billions"/>
    <x v="1"/>
    <n v="1.5429999999999999"/>
  </r>
  <r>
    <n v="110"/>
    <x v="0"/>
    <x v="180"/>
    <x v="0"/>
    <s v="U.S. dollars"/>
    <s v="Billions"/>
    <x v="2"/>
    <n v="1.857"/>
  </r>
  <r>
    <n v="110"/>
    <x v="0"/>
    <x v="180"/>
    <x v="0"/>
    <s v="U.S. dollars"/>
    <s v="Billions"/>
    <x v="3"/>
    <n v="1.788"/>
  </r>
  <r>
    <n v="110"/>
    <x v="0"/>
    <x v="180"/>
    <x v="0"/>
    <s v="U.S. dollars"/>
    <s v="Billions"/>
    <x v="4"/>
    <n v="1.954"/>
  </r>
  <r>
    <n v="110"/>
    <x v="0"/>
    <x v="180"/>
    <x v="0"/>
    <s v="U.S. dollars"/>
    <s v="Billions"/>
    <x v="5"/>
    <n v="2.0339999999999998"/>
  </r>
  <r>
    <n v="110"/>
    <x v="0"/>
    <x v="180"/>
    <x v="0"/>
    <s v="U.S. dollars"/>
    <s v="Billions"/>
    <x v="6"/>
    <n v="2.0920000000000001"/>
  </r>
  <r>
    <n v="123"/>
    <x v="9"/>
    <x v="180"/>
    <x v="0"/>
    <s v="U.S. dollars"/>
    <s v="Billions"/>
    <x v="0"/>
    <n v="1.6160000000000001"/>
  </r>
  <r>
    <n v="123"/>
    <x v="9"/>
    <x v="180"/>
    <x v="0"/>
    <s v="U.S. dollars"/>
    <s v="Billions"/>
    <x v="1"/>
    <n v="1.5429999999999999"/>
  </r>
  <r>
    <n v="123"/>
    <x v="9"/>
    <x v="180"/>
    <x v="0"/>
    <s v="U.S. dollars"/>
    <s v="Billions"/>
    <x v="2"/>
    <n v="1.857"/>
  </r>
  <r>
    <n v="123"/>
    <x v="9"/>
    <x v="180"/>
    <x v="0"/>
    <s v="U.S. dollars"/>
    <s v="Billions"/>
    <x v="3"/>
    <n v="1.788"/>
  </r>
  <r>
    <n v="123"/>
    <x v="9"/>
    <x v="180"/>
    <x v="0"/>
    <s v="U.S. dollars"/>
    <s v="Billions"/>
    <x v="4"/>
    <n v="1.954"/>
  </r>
  <r>
    <n v="123"/>
    <x v="9"/>
    <x v="180"/>
    <x v="0"/>
    <s v="U.S. dollars"/>
    <s v="Billions"/>
    <x v="5"/>
    <n v="2.0339999999999998"/>
  </r>
  <r>
    <n v="123"/>
    <x v="9"/>
    <x v="180"/>
    <x v="0"/>
    <s v="U.S. dollars"/>
    <s v="Billions"/>
    <x v="6"/>
    <n v="2.0920000000000001"/>
  </r>
  <r>
    <n v="1"/>
    <x v="2"/>
    <x v="180"/>
    <x v="0"/>
    <s v="U.S. dollars"/>
    <s v="Billions"/>
    <x v="0"/>
    <n v="1.6160000000000001"/>
  </r>
  <r>
    <n v="1"/>
    <x v="2"/>
    <x v="180"/>
    <x v="0"/>
    <s v="U.S. dollars"/>
    <s v="Billions"/>
    <x v="1"/>
    <n v="1.5429999999999999"/>
  </r>
  <r>
    <n v="1"/>
    <x v="2"/>
    <x v="180"/>
    <x v="0"/>
    <s v="U.S. dollars"/>
    <s v="Billions"/>
    <x v="2"/>
    <n v="1.857"/>
  </r>
  <r>
    <n v="1"/>
    <x v="2"/>
    <x v="180"/>
    <x v="0"/>
    <s v="U.S. dollars"/>
    <s v="Billions"/>
    <x v="3"/>
    <n v="1.788"/>
  </r>
  <r>
    <n v="1"/>
    <x v="2"/>
    <x v="180"/>
    <x v="0"/>
    <s v="U.S. dollars"/>
    <s v="Billions"/>
    <x v="4"/>
    <n v="1.954"/>
  </r>
  <r>
    <n v="1"/>
    <x v="2"/>
    <x v="180"/>
    <x v="0"/>
    <s v="U.S. dollars"/>
    <s v="Billions"/>
    <x v="5"/>
    <n v="2.0339999999999998"/>
  </r>
  <r>
    <n v="1"/>
    <x v="2"/>
    <x v="180"/>
    <x v="0"/>
    <s v="U.S. dollars"/>
    <s v="Billions"/>
    <x v="6"/>
    <n v="2.0920000000000001"/>
  </r>
  <r>
    <n v="119"/>
    <x v="1"/>
    <x v="2"/>
    <x v="6"/>
    <s v="Percent change"/>
    <s v="Units"/>
    <x v="0"/>
    <n v="3.379"/>
  </r>
  <r>
    <n v="119"/>
    <x v="1"/>
    <x v="2"/>
    <x v="6"/>
    <s v="Percent change"/>
    <s v="Units"/>
    <x v="1"/>
    <n v="-8.9030000000000005"/>
  </r>
  <r>
    <n v="119"/>
    <x v="1"/>
    <x v="2"/>
    <x v="6"/>
    <s v="Percent change"/>
    <s v="Units"/>
    <x v="2"/>
    <n v="8.76"/>
  </r>
  <r>
    <n v="119"/>
    <x v="1"/>
    <x v="2"/>
    <x v="6"/>
    <s v="Percent change"/>
    <s v="Units"/>
    <x v="3"/>
    <n v="6.774"/>
  </r>
  <r>
    <n v="119"/>
    <x v="1"/>
    <x v="2"/>
    <x v="6"/>
    <s v="Percent change"/>
    <s v="Units"/>
    <x v="4"/>
    <n v="-3.0169999999999999"/>
  </r>
  <r>
    <n v="119"/>
    <x v="1"/>
    <x v="2"/>
    <x v="6"/>
    <s v="Percent change"/>
    <s v="Units"/>
    <x v="5"/>
    <n v="2.028"/>
  </r>
  <r>
    <n v="119"/>
    <x v="1"/>
    <x v="2"/>
    <x v="6"/>
    <s v="Percent change"/>
    <s v="Units"/>
    <x v="6"/>
    <n v="3.7559999999999998"/>
  </r>
  <r>
    <n v="163"/>
    <x v="5"/>
    <x v="2"/>
    <x v="6"/>
    <s v="Percent change"/>
    <s v="Units"/>
    <x v="0"/>
    <n v="3.379"/>
  </r>
  <r>
    <n v="163"/>
    <x v="5"/>
    <x v="2"/>
    <x v="6"/>
    <s v="Percent change"/>
    <s v="Units"/>
    <x v="1"/>
    <n v="-8.9030000000000005"/>
  </r>
  <r>
    <n v="163"/>
    <x v="5"/>
    <x v="2"/>
    <x v="6"/>
    <s v="Percent change"/>
    <s v="Units"/>
    <x v="2"/>
    <n v="8.76"/>
  </r>
  <r>
    <n v="163"/>
    <x v="5"/>
    <x v="2"/>
    <x v="6"/>
    <s v="Percent change"/>
    <s v="Units"/>
    <x v="3"/>
    <n v="6.774"/>
  </r>
  <r>
    <n v="163"/>
    <x v="5"/>
    <x v="2"/>
    <x v="6"/>
    <s v="Percent change"/>
    <s v="Units"/>
    <x v="4"/>
    <n v="-3.0169999999999999"/>
  </r>
  <r>
    <n v="163"/>
    <x v="5"/>
    <x v="2"/>
    <x v="6"/>
    <s v="Percent change"/>
    <s v="Units"/>
    <x v="5"/>
    <n v="2.028"/>
  </r>
  <r>
    <n v="163"/>
    <x v="5"/>
    <x v="2"/>
    <x v="6"/>
    <s v="Percent change"/>
    <s v="Units"/>
    <x v="6"/>
    <n v="3.7559999999999998"/>
  </r>
  <r>
    <n v="110"/>
    <x v="0"/>
    <x v="2"/>
    <x v="6"/>
    <s v="Percent change"/>
    <s v="Units"/>
    <x v="0"/>
    <n v="3.379"/>
  </r>
  <r>
    <n v="110"/>
    <x v="0"/>
    <x v="2"/>
    <x v="6"/>
    <s v="Percent change"/>
    <s v="Units"/>
    <x v="1"/>
    <n v="-8.9030000000000005"/>
  </r>
  <r>
    <n v="110"/>
    <x v="0"/>
    <x v="2"/>
    <x v="6"/>
    <s v="Percent change"/>
    <s v="Units"/>
    <x v="2"/>
    <n v="8.76"/>
  </r>
  <r>
    <n v="110"/>
    <x v="0"/>
    <x v="2"/>
    <x v="6"/>
    <s v="Percent change"/>
    <s v="Units"/>
    <x v="3"/>
    <n v="6.774"/>
  </r>
  <r>
    <n v="110"/>
    <x v="0"/>
    <x v="2"/>
    <x v="6"/>
    <s v="Percent change"/>
    <s v="Units"/>
    <x v="4"/>
    <n v="-3.0169999999999999"/>
  </r>
  <r>
    <n v="110"/>
    <x v="0"/>
    <x v="2"/>
    <x v="6"/>
    <s v="Percent change"/>
    <s v="Units"/>
    <x v="5"/>
    <n v="2.028"/>
  </r>
  <r>
    <n v="110"/>
    <x v="0"/>
    <x v="2"/>
    <x v="6"/>
    <s v="Percent change"/>
    <s v="Units"/>
    <x v="6"/>
    <n v="3.7559999999999998"/>
  </r>
  <r>
    <n v="1"/>
    <x v="2"/>
    <x v="2"/>
    <x v="6"/>
    <s v="Percent change"/>
    <s v="Units"/>
    <x v="0"/>
    <n v="3.379"/>
  </r>
  <r>
    <n v="1"/>
    <x v="2"/>
    <x v="2"/>
    <x v="6"/>
    <s v="Percent change"/>
    <s v="Units"/>
    <x v="1"/>
    <n v="-8.9030000000000005"/>
  </r>
  <r>
    <n v="1"/>
    <x v="2"/>
    <x v="2"/>
    <x v="6"/>
    <s v="Percent change"/>
    <s v="Units"/>
    <x v="2"/>
    <n v="8.76"/>
  </r>
  <r>
    <n v="1"/>
    <x v="2"/>
    <x v="2"/>
    <x v="6"/>
    <s v="Percent change"/>
    <s v="Units"/>
    <x v="3"/>
    <n v="6.774"/>
  </r>
  <r>
    <n v="1"/>
    <x v="2"/>
    <x v="2"/>
    <x v="6"/>
    <s v="Percent change"/>
    <s v="Units"/>
    <x v="4"/>
    <n v="-3.0169999999999999"/>
  </r>
  <r>
    <n v="1"/>
    <x v="2"/>
    <x v="2"/>
    <x v="6"/>
    <s v="Percent change"/>
    <s v="Units"/>
    <x v="5"/>
    <n v="2.028"/>
  </r>
  <r>
    <n v="1"/>
    <x v="2"/>
    <x v="2"/>
    <x v="6"/>
    <s v="Percent change"/>
    <s v="Units"/>
    <x v="6"/>
    <n v="3.7559999999999998"/>
  </r>
  <r>
    <n v="998"/>
    <x v="6"/>
    <x v="90"/>
    <x v="8"/>
    <s v="Percent change"/>
    <s v="Units"/>
    <x v="0"/>
    <n v="3.5230000000000001"/>
  </r>
  <r>
    <n v="998"/>
    <x v="6"/>
    <x v="90"/>
    <x v="8"/>
    <s v="Percent change"/>
    <s v="Units"/>
    <x v="1"/>
    <n v="-4.2409999999999997"/>
  </r>
  <r>
    <n v="998"/>
    <x v="6"/>
    <x v="90"/>
    <x v="8"/>
    <s v="Percent change"/>
    <s v="Units"/>
    <x v="2"/>
    <n v="8.2289999999999992"/>
  </r>
  <r>
    <n v="998"/>
    <x v="6"/>
    <x v="90"/>
    <x v="8"/>
    <s v="Percent change"/>
    <s v="Units"/>
    <x v="3"/>
    <n v="2.4609999999999999"/>
  </r>
  <r>
    <n v="998"/>
    <x v="6"/>
    <x v="90"/>
    <x v="8"/>
    <s v="Percent change"/>
    <s v="Units"/>
    <x v="4"/>
    <n v="1.587"/>
  </r>
  <r>
    <n v="998"/>
    <x v="6"/>
    <x v="90"/>
    <x v="8"/>
    <s v="Percent change"/>
    <s v="Units"/>
    <x v="5"/>
    <n v="2.0099999999999998"/>
  </r>
  <r>
    <n v="998"/>
    <x v="6"/>
    <x v="90"/>
    <x v="8"/>
    <s v="Percent change"/>
    <s v="Units"/>
    <x v="6"/>
    <n v="2.5"/>
  </r>
  <r>
    <n v="110"/>
    <x v="0"/>
    <x v="90"/>
    <x v="8"/>
    <s v="Percent change"/>
    <s v="Units"/>
    <x v="0"/>
    <n v="3.5230000000000001"/>
  </r>
  <r>
    <n v="110"/>
    <x v="0"/>
    <x v="90"/>
    <x v="8"/>
    <s v="Percent change"/>
    <s v="Units"/>
    <x v="1"/>
    <n v="-4.2409999999999997"/>
  </r>
  <r>
    <n v="110"/>
    <x v="0"/>
    <x v="90"/>
    <x v="8"/>
    <s v="Percent change"/>
    <s v="Units"/>
    <x v="2"/>
    <n v="8.2289999999999992"/>
  </r>
  <r>
    <n v="110"/>
    <x v="0"/>
    <x v="90"/>
    <x v="8"/>
    <s v="Percent change"/>
    <s v="Units"/>
    <x v="3"/>
    <n v="2.4609999999999999"/>
  </r>
  <r>
    <n v="110"/>
    <x v="0"/>
    <x v="90"/>
    <x v="8"/>
    <s v="Percent change"/>
    <s v="Units"/>
    <x v="4"/>
    <n v="1.587"/>
  </r>
  <r>
    <n v="110"/>
    <x v="0"/>
    <x v="90"/>
    <x v="8"/>
    <s v="Percent change"/>
    <s v="Units"/>
    <x v="5"/>
    <n v="2.0099999999999998"/>
  </r>
  <r>
    <n v="110"/>
    <x v="0"/>
    <x v="90"/>
    <x v="8"/>
    <s v="Percent change"/>
    <s v="Units"/>
    <x v="6"/>
    <n v="2.5"/>
  </r>
  <r>
    <n v="163"/>
    <x v="5"/>
    <x v="90"/>
    <x v="8"/>
    <s v="Percent change"/>
    <s v="Units"/>
    <x v="0"/>
    <n v="3.5230000000000001"/>
  </r>
  <r>
    <n v="163"/>
    <x v="5"/>
    <x v="90"/>
    <x v="8"/>
    <s v="Percent change"/>
    <s v="Units"/>
    <x v="1"/>
    <n v="-4.2409999999999997"/>
  </r>
  <r>
    <n v="163"/>
    <x v="5"/>
    <x v="90"/>
    <x v="8"/>
    <s v="Percent change"/>
    <s v="Units"/>
    <x v="2"/>
    <n v="8.2289999999999992"/>
  </r>
  <r>
    <n v="163"/>
    <x v="5"/>
    <x v="90"/>
    <x v="8"/>
    <s v="Percent change"/>
    <s v="Units"/>
    <x v="3"/>
    <n v="2.4609999999999999"/>
  </r>
  <r>
    <n v="163"/>
    <x v="5"/>
    <x v="90"/>
    <x v="8"/>
    <s v="Percent change"/>
    <s v="Units"/>
    <x v="4"/>
    <n v="1.587"/>
  </r>
  <r>
    <n v="163"/>
    <x v="5"/>
    <x v="90"/>
    <x v="8"/>
    <s v="Percent change"/>
    <s v="Units"/>
    <x v="5"/>
    <n v="2.0099999999999998"/>
  </r>
  <r>
    <n v="163"/>
    <x v="5"/>
    <x v="90"/>
    <x v="8"/>
    <s v="Percent change"/>
    <s v="Units"/>
    <x v="6"/>
    <n v="2.5"/>
  </r>
  <r>
    <n v="1"/>
    <x v="2"/>
    <x v="90"/>
    <x v="8"/>
    <s v="Percent change"/>
    <s v="Units"/>
    <x v="0"/>
    <n v="3.5230000000000001"/>
  </r>
  <r>
    <n v="1"/>
    <x v="2"/>
    <x v="90"/>
    <x v="8"/>
    <s v="Percent change"/>
    <s v="Units"/>
    <x v="1"/>
    <n v="-4.2409999999999997"/>
  </r>
  <r>
    <n v="1"/>
    <x v="2"/>
    <x v="90"/>
    <x v="8"/>
    <s v="Percent change"/>
    <s v="Units"/>
    <x v="2"/>
    <n v="8.2289999999999992"/>
  </r>
  <r>
    <n v="1"/>
    <x v="2"/>
    <x v="90"/>
    <x v="8"/>
    <s v="Percent change"/>
    <s v="Units"/>
    <x v="3"/>
    <n v="2.4609999999999999"/>
  </r>
  <r>
    <n v="1"/>
    <x v="2"/>
    <x v="90"/>
    <x v="8"/>
    <s v="Percent change"/>
    <s v="Units"/>
    <x v="4"/>
    <n v="1.587"/>
  </r>
  <r>
    <n v="1"/>
    <x v="2"/>
    <x v="90"/>
    <x v="8"/>
    <s v="Percent change"/>
    <s v="Units"/>
    <x v="5"/>
    <n v="2.0099999999999998"/>
  </r>
  <r>
    <n v="1"/>
    <x v="2"/>
    <x v="90"/>
    <x v="8"/>
    <s v="Percent change"/>
    <s v="Units"/>
    <x v="6"/>
    <n v="2.5"/>
  </r>
  <r>
    <n v="200"/>
    <x v="3"/>
    <x v="174"/>
    <x v="8"/>
    <s v="Percent change"/>
    <s v="Units"/>
    <x v="0"/>
    <n v="3.12"/>
  </r>
  <r>
    <n v="200"/>
    <x v="3"/>
    <x v="174"/>
    <x v="8"/>
    <s v="Percent change"/>
    <s v="Units"/>
    <x v="1"/>
    <n v="-0.94299999999999995"/>
  </r>
  <r>
    <n v="200"/>
    <x v="3"/>
    <x v="174"/>
    <x v="8"/>
    <s v="Percent change"/>
    <s v="Units"/>
    <x v="2"/>
    <n v="5.77"/>
  </r>
  <r>
    <n v="200"/>
    <x v="3"/>
    <x v="174"/>
    <x v="8"/>
    <s v="Percent change"/>
    <s v="Units"/>
    <x v="3"/>
    <n v="6.1689999999999996"/>
  </r>
  <r>
    <n v="200"/>
    <x v="3"/>
    <x v="174"/>
    <x v="8"/>
    <s v="Percent change"/>
    <s v="Units"/>
    <x v="4"/>
    <n v="-0.16600000000000001"/>
  </r>
  <r>
    <n v="200"/>
    <x v="3"/>
    <x v="174"/>
    <x v="8"/>
    <s v="Percent change"/>
    <s v="Units"/>
    <x v="5"/>
    <n v="2"/>
  </r>
  <r>
    <n v="200"/>
    <x v="3"/>
    <x v="174"/>
    <x v="8"/>
    <s v="Percent change"/>
    <s v="Units"/>
    <x v="6"/>
    <n v="3.5"/>
  </r>
  <r>
    <n v="603"/>
    <x v="12"/>
    <x v="152"/>
    <x v="1"/>
    <s v="Percent change"/>
    <s v="Units"/>
    <x v="0"/>
    <n v="1.1060000000000001"/>
  </r>
  <r>
    <n v="603"/>
    <x v="12"/>
    <x v="152"/>
    <x v="1"/>
    <s v="Percent change"/>
    <s v="Units"/>
    <x v="1"/>
    <n v="0.60499999999999998"/>
  </r>
  <r>
    <n v="603"/>
    <x v="12"/>
    <x v="152"/>
    <x v="1"/>
    <s v="Percent change"/>
    <s v="Units"/>
    <x v="2"/>
    <n v="1.863"/>
  </r>
  <r>
    <n v="603"/>
    <x v="12"/>
    <x v="152"/>
    <x v="1"/>
    <s v="Percent change"/>
    <s v="Units"/>
    <x v="3"/>
    <n v="7.93"/>
  </r>
  <r>
    <n v="603"/>
    <x v="12"/>
    <x v="152"/>
    <x v="1"/>
    <s v="Percent change"/>
    <s v="Units"/>
    <x v="4"/>
    <n v="3.1480000000000001"/>
  </r>
  <r>
    <n v="603"/>
    <x v="12"/>
    <x v="152"/>
    <x v="1"/>
    <s v="Percent change"/>
    <s v="Units"/>
    <x v="5"/>
    <n v="2"/>
  </r>
  <r>
    <n v="603"/>
    <x v="12"/>
    <x v="152"/>
    <x v="1"/>
    <s v="Percent change"/>
    <s v="Units"/>
    <x v="6"/>
    <n v="2"/>
  </r>
  <r>
    <n v="200"/>
    <x v="3"/>
    <x v="152"/>
    <x v="1"/>
    <s v="Percent change"/>
    <s v="Units"/>
    <x v="0"/>
    <n v="1.1060000000000001"/>
  </r>
  <r>
    <n v="200"/>
    <x v="3"/>
    <x v="152"/>
    <x v="1"/>
    <s v="Percent change"/>
    <s v="Units"/>
    <x v="1"/>
    <n v="0.60499999999999998"/>
  </r>
  <r>
    <n v="200"/>
    <x v="3"/>
    <x v="152"/>
    <x v="1"/>
    <s v="Percent change"/>
    <s v="Units"/>
    <x v="2"/>
    <n v="1.863"/>
  </r>
  <r>
    <n v="200"/>
    <x v="3"/>
    <x v="152"/>
    <x v="1"/>
    <s v="Percent change"/>
    <s v="Units"/>
    <x v="3"/>
    <n v="7.93"/>
  </r>
  <r>
    <n v="200"/>
    <x v="3"/>
    <x v="152"/>
    <x v="1"/>
    <s v="Percent change"/>
    <s v="Units"/>
    <x v="4"/>
    <n v="3.1480000000000001"/>
  </r>
  <r>
    <n v="200"/>
    <x v="3"/>
    <x v="152"/>
    <x v="1"/>
    <s v="Percent change"/>
    <s v="Units"/>
    <x v="5"/>
    <n v="2"/>
  </r>
  <r>
    <n v="200"/>
    <x v="3"/>
    <x v="152"/>
    <x v="1"/>
    <s v="Percent change"/>
    <s v="Units"/>
    <x v="6"/>
    <n v="2"/>
  </r>
  <r>
    <n v="1"/>
    <x v="2"/>
    <x v="174"/>
    <x v="8"/>
    <s v="Percent change"/>
    <s v="Units"/>
    <x v="0"/>
    <n v="3.12"/>
  </r>
  <r>
    <n v="1"/>
    <x v="2"/>
    <x v="174"/>
    <x v="8"/>
    <s v="Percent change"/>
    <s v="Units"/>
    <x v="1"/>
    <n v="-0.94299999999999995"/>
  </r>
  <r>
    <n v="1"/>
    <x v="2"/>
    <x v="174"/>
    <x v="8"/>
    <s v="Percent change"/>
    <s v="Units"/>
    <x v="2"/>
    <n v="5.77"/>
  </r>
  <r>
    <n v="1"/>
    <x v="2"/>
    <x v="174"/>
    <x v="8"/>
    <s v="Percent change"/>
    <s v="Units"/>
    <x v="3"/>
    <n v="6.1689999999999996"/>
  </r>
  <r>
    <n v="1"/>
    <x v="2"/>
    <x v="174"/>
    <x v="8"/>
    <s v="Percent change"/>
    <s v="Units"/>
    <x v="4"/>
    <n v="-0.16600000000000001"/>
  </r>
  <r>
    <n v="1"/>
    <x v="2"/>
    <x v="174"/>
    <x v="8"/>
    <s v="Percent change"/>
    <s v="Units"/>
    <x v="5"/>
    <n v="2"/>
  </r>
  <r>
    <n v="1"/>
    <x v="2"/>
    <x v="174"/>
    <x v="8"/>
    <s v="Percent change"/>
    <s v="Units"/>
    <x v="6"/>
    <n v="3.5"/>
  </r>
  <r>
    <n v="110"/>
    <x v="0"/>
    <x v="100"/>
    <x v="11"/>
    <s v="Percent of total labor force"/>
    <s v="Units"/>
    <x v="0"/>
    <n v="1.7250000000000001"/>
  </r>
  <r>
    <n v="110"/>
    <x v="0"/>
    <x v="100"/>
    <x v="11"/>
    <s v="Percent of total labor force"/>
    <s v="Units"/>
    <x v="1"/>
    <n v="2.5499999999999998"/>
  </r>
  <r>
    <n v="110"/>
    <x v="0"/>
    <x v="100"/>
    <x v="11"/>
    <s v="Percent of total labor force"/>
    <s v="Units"/>
    <x v="2"/>
    <n v="2.95"/>
  </r>
  <r>
    <n v="110"/>
    <x v="0"/>
    <x v="100"/>
    <x v="11"/>
    <s v="Percent of total labor force"/>
    <s v="Units"/>
    <x v="3"/>
    <n v="3.6749999999999998"/>
  </r>
  <r>
    <n v="110"/>
    <x v="0"/>
    <x v="100"/>
    <x v="11"/>
    <s v="Percent of total labor force"/>
    <s v="Units"/>
    <x v="4"/>
    <n v="2.65"/>
  </r>
  <r>
    <n v="110"/>
    <x v="0"/>
    <x v="100"/>
    <x v="11"/>
    <s v="Percent of total labor force"/>
    <s v="Units"/>
    <x v="5"/>
    <n v="2"/>
  </r>
  <r>
    <n v="110"/>
    <x v="0"/>
    <x v="100"/>
    <x v="11"/>
    <s v="Percent of total labor force"/>
    <s v="Units"/>
    <x v="6"/>
    <n v="1.9"/>
  </r>
  <r>
    <n v="400"/>
    <x v="11"/>
    <x v="174"/>
    <x v="8"/>
    <s v="Percent change"/>
    <s v="Units"/>
    <x v="0"/>
    <n v="3.12"/>
  </r>
  <r>
    <n v="400"/>
    <x v="11"/>
    <x v="174"/>
    <x v="8"/>
    <s v="Percent change"/>
    <s v="Units"/>
    <x v="1"/>
    <n v="-0.94299999999999995"/>
  </r>
  <r>
    <n v="400"/>
    <x v="11"/>
    <x v="174"/>
    <x v="8"/>
    <s v="Percent change"/>
    <s v="Units"/>
    <x v="2"/>
    <n v="5.77"/>
  </r>
  <r>
    <n v="400"/>
    <x v="11"/>
    <x v="174"/>
    <x v="8"/>
    <s v="Percent change"/>
    <s v="Units"/>
    <x v="3"/>
    <n v="6.1689999999999996"/>
  </r>
  <r>
    <n v="400"/>
    <x v="11"/>
    <x v="174"/>
    <x v="8"/>
    <s v="Percent change"/>
    <s v="Units"/>
    <x v="4"/>
    <n v="-0.16600000000000001"/>
  </r>
  <r>
    <n v="400"/>
    <x v="11"/>
    <x v="174"/>
    <x v="8"/>
    <s v="Percent change"/>
    <s v="Units"/>
    <x v="5"/>
    <n v="2"/>
  </r>
  <r>
    <n v="400"/>
    <x v="11"/>
    <x v="174"/>
    <x v="8"/>
    <s v="Percent change"/>
    <s v="Units"/>
    <x v="6"/>
    <n v="3.5"/>
  </r>
  <r>
    <n v="123"/>
    <x v="9"/>
    <x v="100"/>
    <x v="11"/>
    <s v="Percent of total labor force"/>
    <s v="Units"/>
    <x v="0"/>
    <n v="1.7250000000000001"/>
  </r>
  <r>
    <n v="123"/>
    <x v="9"/>
    <x v="100"/>
    <x v="11"/>
    <s v="Percent of total labor force"/>
    <s v="Units"/>
    <x v="1"/>
    <n v="2.5499999999999998"/>
  </r>
  <r>
    <n v="123"/>
    <x v="9"/>
    <x v="100"/>
    <x v="11"/>
    <s v="Percent of total labor force"/>
    <s v="Units"/>
    <x v="2"/>
    <n v="2.95"/>
  </r>
  <r>
    <n v="123"/>
    <x v="9"/>
    <x v="100"/>
    <x v="11"/>
    <s v="Percent of total labor force"/>
    <s v="Units"/>
    <x v="3"/>
    <n v="3.6749999999999998"/>
  </r>
  <r>
    <n v="123"/>
    <x v="9"/>
    <x v="100"/>
    <x v="11"/>
    <s v="Percent of total labor force"/>
    <s v="Units"/>
    <x v="4"/>
    <n v="2.65"/>
  </r>
  <r>
    <n v="123"/>
    <x v="9"/>
    <x v="100"/>
    <x v="11"/>
    <s v="Percent of total labor force"/>
    <s v="Units"/>
    <x v="5"/>
    <n v="2"/>
  </r>
  <r>
    <n v="123"/>
    <x v="9"/>
    <x v="100"/>
    <x v="11"/>
    <s v="Percent of total labor force"/>
    <s v="Units"/>
    <x v="6"/>
    <n v="1.9"/>
  </r>
  <r>
    <n v="1"/>
    <x v="2"/>
    <x v="152"/>
    <x v="1"/>
    <s v="Percent change"/>
    <s v="Units"/>
    <x v="0"/>
    <n v="1.1060000000000001"/>
  </r>
  <r>
    <n v="1"/>
    <x v="2"/>
    <x v="152"/>
    <x v="1"/>
    <s v="Percent change"/>
    <s v="Units"/>
    <x v="1"/>
    <n v="0.60499999999999998"/>
  </r>
  <r>
    <n v="1"/>
    <x v="2"/>
    <x v="152"/>
    <x v="1"/>
    <s v="Percent change"/>
    <s v="Units"/>
    <x v="2"/>
    <n v="1.863"/>
  </r>
  <r>
    <n v="1"/>
    <x v="2"/>
    <x v="152"/>
    <x v="1"/>
    <s v="Percent change"/>
    <s v="Units"/>
    <x v="3"/>
    <n v="7.93"/>
  </r>
  <r>
    <n v="1"/>
    <x v="2"/>
    <x v="152"/>
    <x v="1"/>
    <s v="Percent change"/>
    <s v="Units"/>
    <x v="4"/>
    <n v="3.1480000000000001"/>
  </r>
  <r>
    <n v="1"/>
    <x v="2"/>
    <x v="152"/>
    <x v="1"/>
    <s v="Percent change"/>
    <s v="Units"/>
    <x v="5"/>
    <n v="2"/>
  </r>
  <r>
    <n v="1"/>
    <x v="2"/>
    <x v="152"/>
    <x v="1"/>
    <s v="Percent change"/>
    <s v="Units"/>
    <x v="6"/>
    <n v="2"/>
  </r>
  <r>
    <n v="1"/>
    <x v="2"/>
    <x v="54"/>
    <x v="8"/>
    <s v="Percent change"/>
    <s v="Units"/>
    <x v="0"/>
    <n v="0.68799999999999994"/>
  </r>
  <r>
    <n v="1"/>
    <x v="2"/>
    <x v="54"/>
    <x v="8"/>
    <s v="Percent change"/>
    <s v="Units"/>
    <x v="1"/>
    <n v="-3.5579999999999998"/>
  </r>
  <r>
    <n v="1"/>
    <x v="2"/>
    <x v="54"/>
    <x v="8"/>
    <s v="Percent change"/>
    <s v="Units"/>
    <x v="2"/>
    <n v="1.627"/>
  </r>
  <r>
    <n v="1"/>
    <x v="2"/>
    <x v="54"/>
    <x v="8"/>
    <s v="Percent change"/>
    <s v="Units"/>
    <x v="3"/>
    <n v="4.2"/>
  </r>
  <r>
    <n v="1"/>
    <x v="2"/>
    <x v="54"/>
    <x v="8"/>
    <s v="Percent change"/>
    <s v="Units"/>
    <x v="4"/>
    <n v="1.5580000000000001"/>
  </r>
  <r>
    <n v="1"/>
    <x v="2"/>
    <x v="54"/>
    <x v="8"/>
    <s v="Percent change"/>
    <s v="Units"/>
    <x v="5"/>
    <n v="1.994"/>
  </r>
  <r>
    <n v="1"/>
    <x v="2"/>
    <x v="54"/>
    <x v="8"/>
    <s v="Percent change"/>
    <s v="Units"/>
    <x v="6"/>
    <n v="1.9910000000000001"/>
  </r>
  <r>
    <n v="200"/>
    <x v="3"/>
    <x v="54"/>
    <x v="6"/>
    <s v="Percent change"/>
    <s v="Units"/>
    <x v="0"/>
    <n v="1.87"/>
  </r>
  <r>
    <n v="200"/>
    <x v="3"/>
    <x v="54"/>
    <x v="6"/>
    <s v="Percent change"/>
    <s v="Units"/>
    <x v="1"/>
    <n v="-8.8710000000000004"/>
  </r>
  <r>
    <n v="200"/>
    <x v="3"/>
    <x v="54"/>
    <x v="6"/>
    <s v="Percent change"/>
    <s v="Units"/>
    <x v="2"/>
    <n v="1.627"/>
  </r>
  <r>
    <n v="200"/>
    <x v="3"/>
    <x v="54"/>
    <x v="6"/>
    <s v="Percent change"/>
    <s v="Units"/>
    <x v="3"/>
    <n v="4.2"/>
  </r>
  <r>
    <n v="200"/>
    <x v="3"/>
    <x v="54"/>
    <x v="6"/>
    <s v="Percent change"/>
    <s v="Units"/>
    <x v="4"/>
    <n v="1.5580000000000001"/>
  </r>
  <r>
    <n v="200"/>
    <x v="3"/>
    <x v="54"/>
    <x v="6"/>
    <s v="Percent change"/>
    <s v="Units"/>
    <x v="5"/>
    <n v="1.994"/>
  </r>
  <r>
    <n v="200"/>
    <x v="3"/>
    <x v="54"/>
    <x v="6"/>
    <s v="Percent change"/>
    <s v="Units"/>
    <x v="6"/>
    <n v="1.9910000000000001"/>
  </r>
  <r>
    <n v="200"/>
    <x v="3"/>
    <x v="54"/>
    <x v="8"/>
    <s v="Percent change"/>
    <s v="Units"/>
    <x v="0"/>
    <n v="0.68799999999999994"/>
  </r>
  <r>
    <n v="200"/>
    <x v="3"/>
    <x v="54"/>
    <x v="8"/>
    <s v="Percent change"/>
    <s v="Units"/>
    <x v="1"/>
    <n v="-3.5579999999999998"/>
  </r>
  <r>
    <n v="200"/>
    <x v="3"/>
    <x v="54"/>
    <x v="8"/>
    <s v="Percent change"/>
    <s v="Units"/>
    <x v="2"/>
    <n v="1.627"/>
  </r>
  <r>
    <n v="200"/>
    <x v="3"/>
    <x v="54"/>
    <x v="8"/>
    <s v="Percent change"/>
    <s v="Units"/>
    <x v="3"/>
    <n v="4.2"/>
  </r>
  <r>
    <n v="200"/>
    <x v="3"/>
    <x v="54"/>
    <x v="8"/>
    <s v="Percent change"/>
    <s v="Units"/>
    <x v="4"/>
    <n v="1.5580000000000001"/>
  </r>
  <r>
    <n v="200"/>
    <x v="3"/>
    <x v="54"/>
    <x v="8"/>
    <s v="Percent change"/>
    <s v="Units"/>
    <x v="5"/>
    <n v="1.994"/>
  </r>
  <r>
    <n v="200"/>
    <x v="3"/>
    <x v="54"/>
    <x v="8"/>
    <s v="Percent change"/>
    <s v="Units"/>
    <x v="6"/>
    <n v="1.9910000000000001"/>
  </r>
  <r>
    <n v="1"/>
    <x v="2"/>
    <x v="54"/>
    <x v="6"/>
    <s v="Percent change"/>
    <s v="Units"/>
    <x v="0"/>
    <n v="1.87"/>
  </r>
  <r>
    <n v="1"/>
    <x v="2"/>
    <x v="54"/>
    <x v="6"/>
    <s v="Percent change"/>
    <s v="Units"/>
    <x v="1"/>
    <n v="-8.8710000000000004"/>
  </r>
  <r>
    <n v="1"/>
    <x v="2"/>
    <x v="54"/>
    <x v="6"/>
    <s v="Percent change"/>
    <s v="Units"/>
    <x v="2"/>
    <n v="1.627"/>
  </r>
  <r>
    <n v="1"/>
    <x v="2"/>
    <x v="54"/>
    <x v="6"/>
    <s v="Percent change"/>
    <s v="Units"/>
    <x v="3"/>
    <n v="4.2"/>
  </r>
  <r>
    <n v="1"/>
    <x v="2"/>
    <x v="54"/>
    <x v="6"/>
    <s v="Percent change"/>
    <s v="Units"/>
    <x v="4"/>
    <n v="1.5580000000000001"/>
  </r>
  <r>
    <n v="1"/>
    <x v="2"/>
    <x v="54"/>
    <x v="6"/>
    <s v="Percent change"/>
    <s v="Units"/>
    <x v="5"/>
    <n v="1.994"/>
  </r>
  <r>
    <n v="1"/>
    <x v="2"/>
    <x v="54"/>
    <x v="6"/>
    <s v="Percent change"/>
    <s v="Units"/>
    <x v="6"/>
    <n v="1.9910000000000001"/>
  </r>
  <r>
    <n v="400"/>
    <x v="11"/>
    <x v="54"/>
    <x v="6"/>
    <s v="Percent change"/>
    <s v="Units"/>
    <x v="0"/>
    <n v="1.87"/>
  </r>
  <r>
    <n v="400"/>
    <x v="11"/>
    <x v="54"/>
    <x v="6"/>
    <s v="Percent change"/>
    <s v="Units"/>
    <x v="1"/>
    <n v="-8.8710000000000004"/>
  </r>
  <r>
    <n v="400"/>
    <x v="11"/>
    <x v="54"/>
    <x v="6"/>
    <s v="Percent change"/>
    <s v="Units"/>
    <x v="2"/>
    <n v="1.627"/>
  </r>
  <r>
    <n v="400"/>
    <x v="11"/>
    <x v="54"/>
    <x v="6"/>
    <s v="Percent change"/>
    <s v="Units"/>
    <x v="3"/>
    <n v="4.2"/>
  </r>
  <r>
    <n v="400"/>
    <x v="11"/>
    <x v="54"/>
    <x v="6"/>
    <s v="Percent change"/>
    <s v="Units"/>
    <x v="4"/>
    <n v="1.5580000000000001"/>
  </r>
  <r>
    <n v="400"/>
    <x v="11"/>
    <x v="54"/>
    <x v="6"/>
    <s v="Percent change"/>
    <s v="Units"/>
    <x v="5"/>
    <n v="1.994"/>
  </r>
  <r>
    <n v="400"/>
    <x v="11"/>
    <x v="54"/>
    <x v="6"/>
    <s v="Percent change"/>
    <s v="Units"/>
    <x v="6"/>
    <n v="1.9910000000000001"/>
  </r>
  <r>
    <n v="400"/>
    <x v="11"/>
    <x v="54"/>
    <x v="8"/>
    <s v="Percent change"/>
    <s v="Units"/>
    <x v="0"/>
    <n v="0.68799999999999994"/>
  </r>
  <r>
    <n v="400"/>
    <x v="11"/>
    <x v="54"/>
    <x v="8"/>
    <s v="Percent change"/>
    <s v="Units"/>
    <x v="1"/>
    <n v="-3.5579999999999998"/>
  </r>
  <r>
    <n v="400"/>
    <x v="11"/>
    <x v="54"/>
    <x v="8"/>
    <s v="Percent change"/>
    <s v="Units"/>
    <x v="2"/>
    <n v="1.627"/>
  </r>
  <r>
    <n v="400"/>
    <x v="11"/>
    <x v="54"/>
    <x v="8"/>
    <s v="Percent change"/>
    <s v="Units"/>
    <x v="3"/>
    <n v="4.2"/>
  </r>
  <r>
    <n v="400"/>
    <x v="11"/>
    <x v="54"/>
    <x v="8"/>
    <s v="Percent change"/>
    <s v="Units"/>
    <x v="4"/>
    <n v="1.5580000000000001"/>
  </r>
  <r>
    <n v="400"/>
    <x v="11"/>
    <x v="54"/>
    <x v="8"/>
    <s v="Percent change"/>
    <s v="Units"/>
    <x v="5"/>
    <n v="1.994"/>
  </r>
  <r>
    <n v="400"/>
    <x v="11"/>
    <x v="54"/>
    <x v="8"/>
    <s v="Percent change"/>
    <s v="Units"/>
    <x v="6"/>
    <n v="1.9910000000000001"/>
  </r>
  <r>
    <n v="505"/>
    <x v="4"/>
    <x v="77"/>
    <x v="0"/>
    <s v="U.S. dollars"/>
    <s v="Billions"/>
    <x v="0"/>
    <n v="2.048"/>
  </r>
  <r>
    <n v="505"/>
    <x v="4"/>
    <x v="77"/>
    <x v="0"/>
    <s v="U.S. dollars"/>
    <s v="Billions"/>
    <x v="1"/>
    <n v="2.1629999999999998"/>
  </r>
  <r>
    <n v="505"/>
    <x v="4"/>
    <x v="77"/>
    <x v="0"/>
    <s v="U.S. dollars"/>
    <s v="Billions"/>
    <x v="2"/>
    <n v="3.6219999999999999"/>
  </r>
  <r>
    <n v="505"/>
    <x v="4"/>
    <x v="77"/>
    <x v="0"/>
    <s v="U.S. dollars"/>
    <s v="Billions"/>
    <x v="3"/>
    <n v="3.2050000000000001"/>
  </r>
  <r>
    <n v="505"/>
    <x v="4"/>
    <x v="77"/>
    <x v="0"/>
    <s v="U.S. dollars"/>
    <s v="Billions"/>
    <x v="4"/>
    <n v="2.3380000000000001"/>
  </r>
  <r>
    <n v="505"/>
    <x v="4"/>
    <x v="77"/>
    <x v="0"/>
    <s v="U.S. dollars"/>
    <s v="Billions"/>
    <x v="5"/>
    <n v="1.992"/>
  </r>
  <r>
    <n v="505"/>
    <x v="4"/>
    <x v="77"/>
    <x v="0"/>
    <s v="U.S. dollars"/>
    <s v="Billions"/>
    <x v="6"/>
    <n v="2.14"/>
  </r>
  <r>
    <n v="200"/>
    <x v="3"/>
    <x v="77"/>
    <x v="0"/>
    <s v="U.S. dollars"/>
    <s v="Billions"/>
    <x v="0"/>
    <n v="2.048"/>
  </r>
  <r>
    <n v="200"/>
    <x v="3"/>
    <x v="77"/>
    <x v="0"/>
    <s v="U.S. dollars"/>
    <s v="Billions"/>
    <x v="1"/>
    <n v="2.1629999999999998"/>
  </r>
  <r>
    <n v="200"/>
    <x v="3"/>
    <x v="77"/>
    <x v="0"/>
    <s v="U.S. dollars"/>
    <s v="Billions"/>
    <x v="2"/>
    <n v="3.6219999999999999"/>
  </r>
  <r>
    <n v="200"/>
    <x v="3"/>
    <x v="77"/>
    <x v="0"/>
    <s v="U.S. dollars"/>
    <s v="Billions"/>
    <x v="3"/>
    <n v="3.2050000000000001"/>
  </r>
  <r>
    <n v="200"/>
    <x v="3"/>
    <x v="77"/>
    <x v="0"/>
    <s v="U.S. dollars"/>
    <s v="Billions"/>
    <x v="4"/>
    <n v="2.3380000000000001"/>
  </r>
  <r>
    <n v="200"/>
    <x v="3"/>
    <x v="77"/>
    <x v="0"/>
    <s v="U.S. dollars"/>
    <s v="Billions"/>
    <x v="5"/>
    <n v="1.992"/>
  </r>
  <r>
    <n v="200"/>
    <x v="3"/>
    <x v="77"/>
    <x v="0"/>
    <s v="U.S. dollars"/>
    <s v="Billions"/>
    <x v="6"/>
    <n v="2.14"/>
  </r>
  <r>
    <n v="1"/>
    <x v="2"/>
    <x v="77"/>
    <x v="0"/>
    <s v="U.S. dollars"/>
    <s v="Billions"/>
    <x v="0"/>
    <n v="2.048"/>
  </r>
  <r>
    <n v="1"/>
    <x v="2"/>
    <x v="77"/>
    <x v="0"/>
    <s v="U.S. dollars"/>
    <s v="Billions"/>
    <x v="1"/>
    <n v="2.1629999999999998"/>
  </r>
  <r>
    <n v="1"/>
    <x v="2"/>
    <x v="77"/>
    <x v="0"/>
    <s v="U.S. dollars"/>
    <s v="Billions"/>
    <x v="2"/>
    <n v="3.6219999999999999"/>
  </r>
  <r>
    <n v="1"/>
    <x v="2"/>
    <x v="77"/>
    <x v="0"/>
    <s v="U.S. dollars"/>
    <s v="Billions"/>
    <x v="3"/>
    <n v="3.2050000000000001"/>
  </r>
  <r>
    <n v="1"/>
    <x v="2"/>
    <x v="77"/>
    <x v="0"/>
    <s v="U.S. dollars"/>
    <s v="Billions"/>
    <x v="4"/>
    <n v="2.3380000000000001"/>
  </r>
  <r>
    <n v="1"/>
    <x v="2"/>
    <x v="77"/>
    <x v="0"/>
    <s v="U.S. dollars"/>
    <s v="Billions"/>
    <x v="5"/>
    <n v="1.992"/>
  </r>
  <r>
    <n v="1"/>
    <x v="2"/>
    <x v="77"/>
    <x v="0"/>
    <s v="U.S. dollars"/>
    <s v="Billions"/>
    <x v="6"/>
    <n v="2.14"/>
  </r>
  <r>
    <n v="205"/>
    <x v="7"/>
    <x v="43"/>
    <x v="8"/>
    <s v="Percent change"/>
    <s v="Units"/>
    <x v="0"/>
    <n v="0.63400000000000001"/>
  </r>
  <r>
    <n v="205"/>
    <x v="7"/>
    <x v="43"/>
    <x v="8"/>
    <s v="Percent change"/>
    <s v="Units"/>
    <x v="1"/>
    <n v="-6.1429999999999998"/>
  </r>
  <r>
    <n v="205"/>
    <x v="7"/>
    <x v="43"/>
    <x v="8"/>
    <s v="Percent change"/>
    <s v="Units"/>
    <x v="2"/>
    <n v="11.334"/>
  </r>
  <r>
    <n v="205"/>
    <x v="7"/>
    <x v="43"/>
    <x v="8"/>
    <s v="Percent change"/>
    <s v="Units"/>
    <x v="3"/>
    <n v="2.0590000000000002"/>
  </r>
  <r>
    <n v="205"/>
    <x v="7"/>
    <x v="43"/>
    <x v="8"/>
    <s v="Percent change"/>
    <s v="Units"/>
    <x v="4"/>
    <n v="0.219"/>
  </r>
  <r>
    <n v="205"/>
    <x v="7"/>
    <x v="43"/>
    <x v="8"/>
    <s v="Percent change"/>
    <s v="Units"/>
    <x v="5"/>
    <n v="1.9830000000000001"/>
  </r>
  <r>
    <n v="205"/>
    <x v="7"/>
    <x v="43"/>
    <x v="8"/>
    <s v="Percent change"/>
    <s v="Units"/>
    <x v="6"/>
    <n v="2.5339999999999998"/>
  </r>
  <r>
    <n v="1"/>
    <x v="2"/>
    <x v="43"/>
    <x v="8"/>
    <s v="Percent change"/>
    <s v="Units"/>
    <x v="0"/>
    <n v="0.63400000000000001"/>
  </r>
  <r>
    <n v="1"/>
    <x v="2"/>
    <x v="43"/>
    <x v="8"/>
    <s v="Percent change"/>
    <s v="Units"/>
    <x v="1"/>
    <n v="-6.1429999999999998"/>
  </r>
  <r>
    <n v="1"/>
    <x v="2"/>
    <x v="43"/>
    <x v="8"/>
    <s v="Percent change"/>
    <s v="Units"/>
    <x v="2"/>
    <n v="11.334"/>
  </r>
  <r>
    <n v="1"/>
    <x v="2"/>
    <x v="43"/>
    <x v="8"/>
    <s v="Percent change"/>
    <s v="Units"/>
    <x v="3"/>
    <n v="2.0590000000000002"/>
  </r>
  <r>
    <n v="1"/>
    <x v="2"/>
    <x v="43"/>
    <x v="8"/>
    <s v="Percent change"/>
    <s v="Units"/>
    <x v="4"/>
    <n v="0.219"/>
  </r>
  <r>
    <n v="1"/>
    <x v="2"/>
    <x v="43"/>
    <x v="8"/>
    <s v="Percent change"/>
    <s v="Units"/>
    <x v="5"/>
    <n v="1.9830000000000001"/>
  </r>
  <r>
    <n v="1"/>
    <x v="2"/>
    <x v="43"/>
    <x v="8"/>
    <s v="Percent change"/>
    <s v="Units"/>
    <x v="6"/>
    <n v="2.5339999999999998"/>
  </r>
  <r>
    <n v="200"/>
    <x v="3"/>
    <x v="43"/>
    <x v="8"/>
    <s v="Percent change"/>
    <s v="Units"/>
    <x v="0"/>
    <n v="0.63400000000000001"/>
  </r>
  <r>
    <n v="200"/>
    <x v="3"/>
    <x v="43"/>
    <x v="8"/>
    <s v="Percent change"/>
    <s v="Units"/>
    <x v="1"/>
    <n v="-6.1429999999999998"/>
  </r>
  <r>
    <n v="200"/>
    <x v="3"/>
    <x v="43"/>
    <x v="8"/>
    <s v="Percent change"/>
    <s v="Units"/>
    <x v="2"/>
    <n v="11.334"/>
  </r>
  <r>
    <n v="200"/>
    <x v="3"/>
    <x v="43"/>
    <x v="8"/>
    <s v="Percent change"/>
    <s v="Units"/>
    <x v="3"/>
    <n v="2.0590000000000002"/>
  </r>
  <r>
    <n v="200"/>
    <x v="3"/>
    <x v="43"/>
    <x v="8"/>
    <s v="Percent change"/>
    <s v="Units"/>
    <x v="4"/>
    <n v="0.219"/>
  </r>
  <r>
    <n v="200"/>
    <x v="3"/>
    <x v="43"/>
    <x v="8"/>
    <s v="Percent change"/>
    <s v="Units"/>
    <x v="5"/>
    <n v="1.9830000000000001"/>
  </r>
  <r>
    <n v="200"/>
    <x v="3"/>
    <x v="43"/>
    <x v="8"/>
    <s v="Percent change"/>
    <s v="Units"/>
    <x v="6"/>
    <n v="2.5339999999999998"/>
  </r>
  <r>
    <n v="200"/>
    <x v="3"/>
    <x v="182"/>
    <x v="1"/>
    <s v="Percent change"/>
    <s v="Units"/>
    <x v="0"/>
    <n v="3.7010000000000001"/>
  </r>
  <r>
    <n v="200"/>
    <x v="3"/>
    <x v="182"/>
    <x v="1"/>
    <s v="Percent change"/>
    <s v="Units"/>
    <x v="1"/>
    <n v="0.8"/>
  </r>
  <r>
    <n v="200"/>
    <x v="3"/>
    <x v="182"/>
    <x v="1"/>
    <s v="Percent change"/>
    <s v="Units"/>
    <x v="2"/>
    <n v="-1.4999999999999999E-2"/>
  </r>
  <r>
    <n v="200"/>
    <x v="3"/>
    <x v="182"/>
    <x v="1"/>
    <s v="Percent change"/>
    <s v="Units"/>
    <x v="3"/>
    <n v="12.444000000000001"/>
  </r>
  <r>
    <n v="200"/>
    <x v="3"/>
    <x v="182"/>
    <x v="1"/>
    <s v="Percent change"/>
    <s v="Units"/>
    <x v="4"/>
    <n v="8.4819999999999993"/>
  </r>
  <r>
    <n v="200"/>
    <x v="3"/>
    <x v="182"/>
    <x v="1"/>
    <s v="Percent change"/>
    <s v="Units"/>
    <x v="5"/>
    <n v="1.9570000000000001"/>
  </r>
  <r>
    <n v="200"/>
    <x v="3"/>
    <x v="182"/>
    <x v="1"/>
    <s v="Percent change"/>
    <s v="Units"/>
    <x v="6"/>
    <n v="2.2320000000000002"/>
  </r>
  <r>
    <n v="603"/>
    <x v="12"/>
    <x v="182"/>
    <x v="1"/>
    <s v="Percent change"/>
    <s v="Units"/>
    <x v="0"/>
    <n v="3.7010000000000001"/>
  </r>
  <r>
    <n v="603"/>
    <x v="12"/>
    <x v="182"/>
    <x v="1"/>
    <s v="Percent change"/>
    <s v="Units"/>
    <x v="1"/>
    <n v="0.8"/>
  </r>
  <r>
    <n v="603"/>
    <x v="12"/>
    <x v="182"/>
    <x v="1"/>
    <s v="Percent change"/>
    <s v="Units"/>
    <x v="2"/>
    <n v="-1.4999999999999999E-2"/>
  </r>
  <r>
    <n v="603"/>
    <x v="12"/>
    <x v="182"/>
    <x v="1"/>
    <s v="Percent change"/>
    <s v="Units"/>
    <x v="3"/>
    <n v="12.444000000000001"/>
  </r>
  <r>
    <n v="603"/>
    <x v="12"/>
    <x v="182"/>
    <x v="1"/>
    <s v="Percent change"/>
    <s v="Units"/>
    <x v="4"/>
    <n v="8.4819999999999993"/>
  </r>
  <r>
    <n v="603"/>
    <x v="12"/>
    <x v="182"/>
    <x v="1"/>
    <s v="Percent change"/>
    <s v="Units"/>
    <x v="5"/>
    <n v="1.9570000000000001"/>
  </r>
  <r>
    <n v="603"/>
    <x v="12"/>
    <x v="182"/>
    <x v="1"/>
    <s v="Percent change"/>
    <s v="Units"/>
    <x v="6"/>
    <n v="2.2320000000000002"/>
  </r>
  <r>
    <n v="1"/>
    <x v="2"/>
    <x v="182"/>
    <x v="1"/>
    <s v="Percent change"/>
    <s v="Units"/>
    <x v="0"/>
    <n v="3.7010000000000001"/>
  </r>
  <r>
    <n v="1"/>
    <x v="2"/>
    <x v="182"/>
    <x v="1"/>
    <s v="Percent change"/>
    <s v="Units"/>
    <x v="1"/>
    <n v="0.8"/>
  </r>
  <r>
    <n v="1"/>
    <x v="2"/>
    <x v="182"/>
    <x v="1"/>
    <s v="Percent change"/>
    <s v="Units"/>
    <x v="2"/>
    <n v="-1.4999999999999999E-2"/>
  </r>
  <r>
    <n v="1"/>
    <x v="2"/>
    <x v="182"/>
    <x v="1"/>
    <s v="Percent change"/>
    <s v="Units"/>
    <x v="3"/>
    <n v="12.444000000000001"/>
  </r>
  <r>
    <n v="1"/>
    <x v="2"/>
    <x v="182"/>
    <x v="1"/>
    <s v="Percent change"/>
    <s v="Units"/>
    <x v="4"/>
    <n v="8.4819999999999993"/>
  </r>
  <r>
    <n v="1"/>
    <x v="2"/>
    <x v="182"/>
    <x v="1"/>
    <s v="Percent change"/>
    <s v="Units"/>
    <x v="5"/>
    <n v="1.9570000000000001"/>
  </r>
  <r>
    <n v="1"/>
    <x v="2"/>
    <x v="182"/>
    <x v="1"/>
    <s v="Percent change"/>
    <s v="Units"/>
    <x v="6"/>
    <n v="2.2320000000000002"/>
  </r>
  <r>
    <n v="123"/>
    <x v="9"/>
    <x v="100"/>
    <x v="9"/>
    <s v="Percent of GDP"/>
    <s v="Units"/>
    <x v="0"/>
    <n v="14.44"/>
  </r>
  <r>
    <n v="123"/>
    <x v="9"/>
    <x v="100"/>
    <x v="9"/>
    <s v="Percent of GDP"/>
    <s v="Units"/>
    <x v="1"/>
    <n v="-21.41"/>
  </r>
  <r>
    <n v="123"/>
    <x v="9"/>
    <x v="100"/>
    <x v="9"/>
    <s v="Percent of GDP"/>
    <s v="Units"/>
    <x v="2"/>
    <n v="-12.891"/>
  </r>
  <r>
    <n v="123"/>
    <x v="9"/>
    <x v="100"/>
    <x v="9"/>
    <s v="Percent of GDP"/>
    <s v="Units"/>
    <x v="3"/>
    <n v="-37.725999999999999"/>
  </r>
  <r>
    <n v="123"/>
    <x v="9"/>
    <x v="100"/>
    <x v="9"/>
    <s v="Percent of GDP"/>
    <s v="Units"/>
    <x v="4"/>
    <n v="-8.8829999999999991"/>
  </r>
  <r>
    <n v="123"/>
    <x v="9"/>
    <x v="100"/>
    <x v="9"/>
    <s v="Percent of GDP"/>
    <s v="Units"/>
    <x v="5"/>
    <n v="1.9550000000000001"/>
  </r>
  <r>
    <n v="123"/>
    <x v="9"/>
    <x v="100"/>
    <x v="9"/>
    <s v="Percent of GDP"/>
    <s v="Units"/>
    <x v="6"/>
    <n v="12.038"/>
  </r>
  <r>
    <n v="110"/>
    <x v="0"/>
    <x v="100"/>
    <x v="9"/>
    <s v="Percent of GDP"/>
    <s v="Units"/>
    <x v="0"/>
    <n v="14.44"/>
  </r>
  <r>
    <n v="110"/>
    <x v="0"/>
    <x v="100"/>
    <x v="9"/>
    <s v="Percent of GDP"/>
    <s v="Units"/>
    <x v="1"/>
    <n v="-21.41"/>
  </r>
  <r>
    <n v="110"/>
    <x v="0"/>
    <x v="100"/>
    <x v="9"/>
    <s v="Percent of GDP"/>
    <s v="Units"/>
    <x v="2"/>
    <n v="-12.891"/>
  </r>
  <r>
    <n v="110"/>
    <x v="0"/>
    <x v="100"/>
    <x v="9"/>
    <s v="Percent of GDP"/>
    <s v="Units"/>
    <x v="3"/>
    <n v="-37.725999999999999"/>
  </r>
  <r>
    <n v="110"/>
    <x v="0"/>
    <x v="100"/>
    <x v="9"/>
    <s v="Percent of GDP"/>
    <s v="Units"/>
    <x v="4"/>
    <n v="-8.8829999999999991"/>
  </r>
  <r>
    <n v="110"/>
    <x v="0"/>
    <x v="100"/>
    <x v="9"/>
    <s v="Percent of GDP"/>
    <s v="Units"/>
    <x v="5"/>
    <n v="1.9550000000000001"/>
  </r>
  <r>
    <n v="110"/>
    <x v="0"/>
    <x v="100"/>
    <x v="9"/>
    <s v="Percent of GDP"/>
    <s v="Units"/>
    <x v="6"/>
    <n v="12.038"/>
  </r>
  <r>
    <n v="110"/>
    <x v="0"/>
    <x v="110"/>
    <x v="1"/>
    <s v="Percent change"/>
    <s v="Units"/>
    <x v="0"/>
    <n v="2.7469999999999999"/>
  </r>
  <r>
    <n v="110"/>
    <x v="0"/>
    <x v="110"/>
    <x v="1"/>
    <s v="Percent change"/>
    <s v="Units"/>
    <x v="1"/>
    <n v="8.1000000000000003E-2"/>
  </r>
  <r>
    <n v="110"/>
    <x v="0"/>
    <x v="110"/>
    <x v="1"/>
    <s v="Percent change"/>
    <s v="Units"/>
    <x v="2"/>
    <n v="3.2389999999999999"/>
  </r>
  <r>
    <n v="110"/>
    <x v="0"/>
    <x v="110"/>
    <x v="1"/>
    <s v="Percent change"/>
    <s v="Units"/>
    <x v="3"/>
    <n v="17.245000000000001"/>
  </r>
  <r>
    <n v="110"/>
    <x v="0"/>
    <x v="110"/>
    <x v="1"/>
    <s v="Percent change"/>
    <s v="Units"/>
    <x v="4"/>
    <n v="9.0579999999999998"/>
  </r>
  <r>
    <n v="110"/>
    <x v="0"/>
    <x v="110"/>
    <x v="1"/>
    <s v="Percent change"/>
    <s v="Units"/>
    <x v="5"/>
    <n v="1.954"/>
  </r>
  <r>
    <n v="110"/>
    <x v="0"/>
    <x v="110"/>
    <x v="1"/>
    <s v="Percent change"/>
    <s v="Units"/>
    <x v="6"/>
    <n v="3.6110000000000002"/>
  </r>
  <r>
    <n v="1"/>
    <x v="2"/>
    <x v="110"/>
    <x v="1"/>
    <s v="Percent change"/>
    <s v="Units"/>
    <x v="0"/>
    <n v="2.7469999999999999"/>
  </r>
  <r>
    <n v="1"/>
    <x v="2"/>
    <x v="110"/>
    <x v="1"/>
    <s v="Percent change"/>
    <s v="Units"/>
    <x v="1"/>
    <n v="8.1000000000000003E-2"/>
  </r>
  <r>
    <n v="1"/>
    <x v="2"/>
    <x v="110"/>
    <x v="1"/>
    <s v="Percent change"/>
    <s v="Units"/>
    <x v="2"/>
    <n v="3.2389999999999999"/>
  </r>
  <r>
    <n v="1"/>
    <x v="2"/>
    <x v="110"/>
    <x v="1"/>
    <s v="Percent change"/>
    <s v="Units"/>
    <x v="3"/>
    <n v="17.245000000000001"/>
  </r>
  <r>
    <n v="1"/>
    <x v="2"/>
    <x v="110"/>
    <x v="1"/>
    <s v="Percent change"/>
    <s v="Units"/>
    <x v="4"/>
    <n v="9.0579999999999998"/>
  </r>
  <r>
    <n v="1"/>
    <x v="2"/>
    <x v="110"/>
    <x v="1"/>
    <s v="Percent change"/>
    <s v="Units"/>
    <x v="5"/>
    <n v="1.954"/>
  </r>
  <r>
    <n v="1"/>
    <x v="2"/>
    <x v="110"/>
    <x v="1"/>
    <s v="Percent change"/>
    <s v="Units"/>
    <x v="6"/>
    <n v="3.6110000000000002"/>
  </r>
  <r>
    <n v="163"/>
    <x v="5"/>
    <x v="110"/>
    <x v="1"/>
    <s v="Percent change"/>
    <s v="Units"/>
    <x v="0"/>
    <n v="2.7469999999999999"/>
  </r>
  <r>
    <n v="163"/>
    <x v="5"/>
    <x v="110"/>
    <x v="1"/>
    <s v="Percent change"/>
    <s v="Units"/>
    <x v="1"/>
    <n v="8.1000000000000003E-2"/>
  </r>
  <r>
    <n v="163"/>
    <x v="5"/>
    <x v="110"/>
    <x v="1"/>
    <s v="Percent change"/>
    <s v="Units"/>
    <x v="2"/>
    <n v="3.2389999999999999"/>
  </r>
  <r>
    <n v="163"/>
    <x v="5"/>
    <x v="110"/>
    <x v="1"/>
    <s v="Percent change"/>
    <s v="Units"/>
    <x v="3"/>
    <n v="17.245000000000001"/>
  </r>
  <r>
    <n v="163"/>
    <x v="5"/>
    <x v="110"/>
    <x v="1"/>
    <s v="Percent change"/>
    <s v="Units"/>
    <x v="4"/>
    <n v="9.0579999999999998"/>
  </r>
  <r>
    <n v="163"/>
    <x v="5"/>
    <x v="110"/>
    <x v="1"/>
    <s v="Percent change"/>
    <s v="Units"/>
    <x v="5"/>
    <n v="1.954"/>
  </r>
  <r>
    <n v="163"/>
    <x v="5"/>
    <x v="110"/>
    <x v="1"/>
    <s v="Percent change"/>
    <s v="Units"/>
    <x v="6"/>
    <n v="3.6110000000000002"/>
  </r>
  <r>
    <n v="998"/>
    <x v="6"/>
    <x v="110"/>
    <x v="1"/>
    <s v="Percent change"/>
    <s v="Units"/>
    <x v="0"/>
    <n v="2.7469999999999999"/>
  </r>
  <r>
    <n v="998"/>
    <x v="6"/>
    <x v="110"/>
    <x v="1"/>
    <s v="Percent change"/>
    <s v="Units"/>
    <x v="1"/>
    <n v="8.1000000000000003E-2"/>
  </r>
  <r>
    <n v="998"/>
    <x v="6"/>
    <x v="110"/>
    <x v="1"/>
    <s v="Percent change"/>
    <s v="Units"/>
    <x v="2"/>
    <n v="3.2389999999999999"/>
  </r>
  <r>
    <n v="998"/>
    <x v="6"/>
    <x v="110"/>
    <x v="1"/>
    <s v="Percent change"/>
    <s v="Units"/>
    <x v="3"/>
    <n v="17.245000000000001"/>
  </r>
  <r>
    <n v="998"/>
    <x v="6"/>
    <x v="110"/>
    <x v="1"/>
    <s v="Percent change"/>
    <s v="Units"/>
    <x v="4"/>
    <n v="9.0579999999999998"/>
  </r>
  <r>
    <n v="998"/>
    <x v="6"/>
    <x v="110"/>
    <x v="1"/>
    <s v="Percent change"/>
    <s v="Units"/>
    <x v="5"/>
    <n v="1.954"/>
  </r>
  <r>
    <n v="998"/>
    <x v="6"/>
    <x v="110"/>
    <x v="1"/>
    <s v="Percent change"/>
    <s v="Units"/>
    <x v="6"/>
    <n v="3.6110000000000002"/>
  </r>
  <r>
    <n v="1"/>
    <x v="2"/>
    <x v="165"/>
    <x v="6"/>
    <s v="Percent change"/>
    <s v="Units"/>
    <x v="0"/>
    <n v="3.8719999999999999"/>
  </r>
  <r>
    <n v="1"/>
    <x v="2"/>
    <x v="165"/>
    <x v="6"/>
    <s v="Percent change"/>
    <s v="Units"/>
    <x v="1"/>
    <n v="-6.83"/>
  </r>
  <r>
    <n v="1"/>
    <x v="2"/>
    <x v="165"/>
    <x v="6"/>
    <s v="Percent change"/>
    <s v="Units"/>
    <x v="2"/>
    <n v="10.282"/>
  </r>
  <r>
    <n v="1"/>
    <x v="2"/>
    <x v="165"/>
    <x v="6"/>
    <s v="Percent change"/>
    <s v="Units"/>
    <x v="3"/>
    <n v="6.2939999999999996"/>
  </r>
  <r>
    <n v="1"/>
    <x v="2"/>
    <x v="165"/>
    <x v="6"/>
    <s v="Percent change"/>
    <s v="Units"/>
    <x v="4"/>
    <n v="-0.20799999999999999"/>
  </r>
  <r>
    <n v="1"/>
    <x v="2"/>
    <x v="165"/>
    <x v="6"/>
    <s v="Percent change"/>
    <s v="Units"/>
    <x v="5"/>
    <n v="1.952"/>
  </r>
  <r>
    <n v="1"/>
    <x v="2"/>
    <x v="165"/>
    <x v="6"/>
    <s v="Percent change"/>
    <s v="Units"/>
    <x v="6"/>
    <n v="3.7010000000000001"/>
  </r>
  <r>
    <n v="200"/>
    <x v="3"/>
    <x v="165"/>
    <x v="6"/>
    <s v="Percent change"/>
    <s v="Units"/>
    <x v="0"/>
    <n v="3.8719999999999999"/>
  </r>
  <r>
    <n v="200"/>
    <x v="3"/>
    <x v="165"/>
    <x v="6"/>
    <s v="Percent change"/>
    <s v="Units"/>
    <x v="1"/>
    <n v="-6.83"/>
  </r>
  <r>
    <n v="200"/>
    <x v="3"/>
    <x v="165"/>
    <x v="6"/>
    <s v="Percent change"/>
    <s v="Units"/>
    <x v="2"/>
    <n v="10.282"/>
  </r>
  <r>
    <n v="200"/>
    <x v="3"/>
    <x v="165"/>
    <x v="6"/>
    <s v="Percent change"/>
    <s v="Units"/>
    <x v="3"/>
    <n v="6.2939999999999996"/>
  </r>
  <r>
    <n v="200"/>
    <x v="3"/>
    <x v="165"/>
    <x v="6"/>
    <s v="Percent change"/>
    <s v="Units"/>
    <x v="4"/>
    <n v="-0.20799999999999999"/>
  </r>
  <r>
    <n v="200"/>
    <x v="3"/>
    <x v="165"/>
    <x v="6"/>
    <s v="Percent change"/>
    <s v="Units"/>
    <x v="5"/>
    <n v="1.952"/>
  </r>
  <r>
    <n v="200"/>
    <x v="3"/>
    <x v="165"/>
    <x v="6"/>
    <s v="Percent change"/>
    <s v="Units"/>
    <x v="6"/>
    <n v="3.7010000000000001"/>
  </r>
  <r>
    <n v="603"/>
    <x v="12"/>
    <x v="165"/>
    <x v="6"/>
    <s v="Percent change"/>
    <s v="Units"/>
    <x v="0"/>
    <n v="3.8719999999999999"/>
  </r>
  <r>
    <n v="603"/>
    <x v="12"/>
    <x v="165"/>
    <x v="6"/>
    <s v="Percent change"/>
    <s v="Units"/>
    <x v="1"/>
    <n v="-6.83"/>
  </r>
  <r>
    <n v="603"/>
    <x v="12"/>
    <x v="165"/>
    <x v="6"/>
    <s v="Percent change"/>
    <s v="Units"/>
    <x v="2"/>
    <n v="10.282"/>
  </r>
  <r>
    <n v="603"/>
    <x v="12"/>
    <x v="165"/>
    <x v="6"/>
    <s v="Percent change"/>
    <s v="Units"/>
    <x v="3"/>
    <n v="6.2939999999999996"/>
  </r>
  <r>
    <n v="603"/>
    <x v="12"/>
    <x v="165"/>
    <x v="6"/>
    <s v="Percent change"/>
    <s v="Units"/>
    <x v="4"/>
    <n v="-0.20799999999999999"/>
  </r>
  <r>
    <n v="603"/>
    <x v="12"/>
    <x v="165"/>
    <x v="6"/>
    <s v="Percent change"/>
    <s v="Units"/>
    <x v="5"/>
    <n v="1.952"/>
  </r>
  <r>
    <n v="603"/>
    <x v="12"/>
    <x v="165"/>
    <x v="6"/>
    <s v="Percent change"/>
    <s v="Units"/>
    <x v="6"/>
    <n v="3.7010000000000001"/>
  </r>
  <r>
    <n v="110"/>
    <x v="0"/>
    <x v="24"/>
    <x v="12"/>
    <s v="Percent of potential GDP"/>
    <s v="Units"/>
    <x v="0"/>
    <n v="0.32100000000000001"/>
  </r>
  <r>
    <n v="110"/>
    <x v="0"/>
    <x v="24"/>
    <x v="12"/>
    <s v="Percent of potential GDP"/>
    <s v="Units"/>
    <x v="1"/>
    <n v="-1.204"/>
  </r>
  <r>
    <n v="110"/>
    <x v="0"/>
    <x v="24"/>
    <x v="12"/>
    <s v="Percent of potential GDP"/>
    <s v="Units"/>
    <x v="2"/>
    <n v="0.19400000000000001"/>
  </r>
  <r>
    <n v="110"/>
    <x v="0"/>
    <x v="24"/>
    <x v="12"/>
    <s v="Percent of potential GDP"/>
    <s v="Units"/>
    <x v="3"/>
    <n v="3.3079999999999998"/>
  </r>
  <r>
    <n v="110"/>
    <x v="0"/>
    <x v="24"/>
    <x v="12"/>
    <s v="Percent of potential GDP"/>
    <s v="Units"/>
    <x v="4"/>
    <n v="2.153"/>
  </r>
  <r>
    <n v="110"/>
    <x v="0"/>
    <x v="24"/>
    <x v="12"/>
    <s v="Percent of potential GDP"/>
    <s v="Units"/>
    <x v="5"/>
    <n v="1.9359999999999999"/>
  </r>
  <r>
    <n v="110"/>
    <x v="0"/>
    <x v="24"/>
    <x v="12"/>
    <s v="Percent of potential GDP"/>
    <s v="Units"/>
    <x v="6"/>
    <n v="1.3049999999999999"/>
  </r>
  <r>
    <n v="163"/>
    <x v="5"/>
    <x v="24"/>
    <x v="12"/>
    <s v="Percent of potential GDP"/>
    <s v="Units"/>
    <x v="0"/>
    <n v="0.32100000000000001"/>
  </r>
  <r>
    <n v="163"/>
    <x v="5"/>
    <x v="24"/>
    <x v="12"/>
    <s v="Percent of potential GDP"/>
    <s v="Units"/>
    <x v="1"/>
    <n v="-1.204"/>
  </r>
  <r>
    <n v="163"/>
    <x v="5"/>
    <x v="24"/>
    <x v="12"/>
    <s v="Percent of potential GDP"/>
    <s v="Units"/>
    <x v="2"/>
    <n v="0.19400000000000001"/>
  </r>
  <r>
    <n v="163"/>
    <x v="5"/>
    <x v="24"/>
    <x v="12"/>
    <s v="Percent of potential GDP"/>
    <s v="Units"/>
    <x v="3"/>
    <n v="3.3079999999999998"/>
  </r>
  <r>
    <n v="163"/>
    <x v="5"/>
    <x v="24"/>
    <x v="12"/>
    <s v="Percent of potential GDP"/>
    <s v="Units"/>
    <x v="4"/>
    <n v="2.153"/>
  </r>
  <r>
    <n v="163"/>
    <x v="5"/>
    <x v="24"/>
    <x v="12"/>
    <s v="Percent of potential GDP"/>
    <s v="Units"/>
    <x v="5"/>
    <n v="1.9359999999999999"/>
  </r>
  <r>
    <n v="163"/>
    <x v="5"/>
    <x v="24"/>
    <x v="12"/>
    <s v="Percent of potential GDP"/>
    <s v="Units"/>
    <x v="6"/>
    <n v="1.3049999999999999"/>
  </r>
  <r>
    <n v="200"/>
    <x v="3"/>
    <x v="88"/>
    <x v="9"/>
    <s v="Percent of GDP"/>
    <s v="Units"/>
    <x v="0"/>
    <n v="-0.36"/>
  </r>
  <r>
    <n v="200"/>
    <x v="3"/>
    <x v="88"/>
    <x v="9"/>
    <s v="Percent of GDP"/>
    <s v="Units"/>
    <x v="1"/>
    <n v="-13.093"/>
  </r>
  <r>
    <n v="200"/>
    <x v="3"/>
    <x v="88"/>
    <x v="9"/>
    <s v="Percent of GDP"/>
    <s v="Units"/>
    <x v="2"/>
    <n v="-7.6310000000000002"/>
  </r>
  <r>
    <n v="200"/>
    <x v="3"/>
    <x v="88"/>
    <x v="9"/>
    <s v="Percent of GDP"/>
    <s v="Units"/>
    <x v="3"/>
    <n v="-3.2349999999999999"/>
  </r>
  <r>
    <n v="200"/>
    <x v="3"/>
    <x v="88"/>
    <x v="9"/>
    <s v="Percent of GDP"/>
    <s v="Units"/>
    <x v="4"/>
    <n v="0.35099999999999998"/>
  </r>
  <r>
    <n v="200"/>
    <x v="3"/>
    <x v="88"/>
    <x v="9"/>
    <s v="Percent of GDP"/>
    <s v="Units"/>
    <x v="5"/>
    <n v="1.9219999999999999"/>
  </r>
  <r>
    <n v="200"/>
    <x v="3"/>
    <x v="88"/>
    <x v="9"/>
    <s v="Percent of GDP"/>
    <s v="Units"/>
    <x v="6"/>
    <n v="0.378"/>
  </r>
  <r>
    <n v="505"/>
    <x v="4"/>
    <x v="88"/>
    <x v="9"/>
    <s v="Percent of GDP"/>
    <s v="Units"/>
    <x v="0"/>
    <n v="-0.36"/>
  </r>
  <r>
    <n v="505"/>
    <x v="4"/>
    <x v="88"/>
    <x v="9"/>
    <s v="Percent of GDP"/>
    <s v="Units"/>
    <x v="1"/>
    <n v="-13.093"/>
  </r>
  <r>
    <n v="505"/>
    <x v="4"/>
    <x v="88"/>
    <x v="9"/>
    <s v="Percent of GDP"/>
    <s v="Units"/>
    <x v="2"/>
    <n v="-7.6310000000000002"/>
  </r>
  <r>
    <n v="505"/>
    <x v="4"/>
    <x v="88"/>
    <x v="9"/>
    <s v="Percent of GDP"/>
    <s v="Units"/>
    <x v="3"/>
    <n v="-3.2349999999999999"/>
  </r>
  <r>
    <n v="505"/>
    <x v="4"/>
    <x v="88"/>
    <x v="9"/>
    <s v="Percent of GDP"/>
    <s v="Units"/>
    <x v="4"/>
    <n v="0.35099999999999998"/>
  </r>
  <r>
    <n v="505"/>
    <x v="4"/>
    <x v="88"/>
    <x v="9"/>
    <s v="Percent of GDP"/>
    <s v="Units"/>
    <x v="5"/>
    <n v="1.9219999999999999"/>
  </r>
  <r>
    <n v="505"/>
    <x v="4"/>
    <x v="88"/>
    <x v="9"/>
    <s v="Percent of GDP"/>
    <s v="Units"/>
    <x v="6"/>
    <n v="0.378"/>
  </r>
  <r>
    <n v="1"/>
    <x v="2"/>
    <x v="92"/>
    <x v="4"/>
    <s v="Percent change"/>
    <s v="Units"/>
    <x v="0"/>
    <n v="0.98199999999999998"/>
  </r>
  <r>
    <n v="1"/>
    <x v="2"/>
    <x v="92"/>
    <x v="4"/>
    <s v="Percent change"/>
    <s v="Units"/>
    <x v="1"/>
    <n v="5.0430000000000001"/>
  </r>
  <r>
    <n v="1"/>
    <x v="2"/>
    <x v="92"/>
    <x v="4"/>
    <s v="Percent change"/>
    <s v="Units"/>
    <x v="2"/>
    <n v="19.167999999999999"/>
  </r>
  <r>
    <n v="1"/>
    <x v="2"/>
    <x v="92"/>
    <x v="4"/>
    <s v="Percent change"/>
    <s v="Units"/>
    <x v="3"/>
    <n v="-11.1"/>
  </r>
  <r>
    <n v="1"/>
    <x v="2"/>
    <x v="92"/>
    <x v="4"/>
    <s v="Percent change"/>
    <s v="Units"/>
    <x v="4"/>
    <n v="23.869"/>
  </r>
  <r>
    <n v="1"/>
    <x v="2"/>
    <x v="92"/>
    <x v="4"/>
    <s v="Percent change"/>
    <s v="Units"/>
    <x v="5"/>
    <n v="1.921"/>
  </r>
  <r>
    <n v="1"/>
    <x v="2"/>
    <x v="92"/>
    <x v="4"/>
    <s v="Percent change"/>
    <s v="Units"/>
    <x v="6"/>
    <n v="3.5350000000000001"/>
  </r>
  <r>
    <n v="200"/>
    <x v="3"/>
    <x v="92"/>
    <x v="4"/>
    <s v="Percent change"/>
    <s v="Units"/>
    <x v="0"/>
    <n v="0.98199999999999998"/>
  </r>
  <r>
    <n v="200"/>
    <x v="3"/>
    <x v="92"/>
    <x v="4"/>
    <s v="Percent change"/>
    <s v="Units"/>
    <x v="1"/>
    <n v="5.0430000000000001"/>
  </r>
  <r>
    <n v="200"/>
    <x v="3"/>
    <x v="92"/>
    <x v="4"/>
    <s v="Percent change"/>
    <s v="Units"/>
    <x v="2"/>
    <n v="19.167999999999999"/>
  </r>
  <r>
    <n v="200"/>
    <x v="3"/>
    <x v="92"/>
    <x v="4"/>
    <s v="Percent change"/>
    <s v="Units"/>
    <x v="3"/>
    <n v="-11.1"/>
  </r>
  <r>
    <n v="200"/>
    <x v="3"/>
    <x v="92"/>
    <x v="4"/>
    <s v="Percent change"/>
    <s v="Units"/>
    <x v="4"/>
    <n v="23.869"/>
  </r>
  <r>
    <n v="200"/>
    <x v="3"/>
    <x v="92"/>
    <x v="4"/>
    <s v="Percent change"/>
    <s v="Units"/>
    <x v="5"/>
    <n v="1.921"/>
  </r>
  <r>
    <n v="200"/>
    <x v="3"/>
    <x v="92"/>
    <x v="4"/>
    <s v="Percent change"/>
    <s v="Units"/>
    <x v="6"/>
    <n v="3.5350000000000001"/>
  </r>
  <r>
    <n v="505"/>
    <x v="4"/>
    <x v="92"/>
    <x v="4"/>
    <s v="Percent change"/>
    <s v="Units"/>
    <x v="0"/>
    <n v="0.98199999999999998"/>
  </r>
  <r>
    <n v="505"/>
    <x v="4"/>
    <x v="92"/>
    <x v="4"/>
    <s v="Percent change"/>
    <s v="Units"/>
    <x v="1"/>
    <n v="5.0430000000000001"/>
  </r>
  <r>
    <n v="505"/>
    <x v="4"/>
    <x v="92"/>
    <x v="4"/>
    <s v="Percent change"/>
    <s v="Units"/>
    <x v="2"/>
    <n v="19.167999999999999"/>
  </r>
  <r>
    <n v="505"/>
    <x v="4"/>
    <x v="92"/>
    <x v="4"/>
    <s v="Percent change"/>
    <s v="Units"/>
    <x v="3"/>
    <n v="-11.1"/>
  </r>
  <r>
    <n v="505"/>
    <x v="4"/>
    <x v="92"/>
    <x v="4"/>
    <s v="Percent change"/>
    <s v="Units"/>
    <x v="4"/>
    <n v="23.869"/>
  </r>
  <r>
    <n v="505"/>
    <x v="4"/>
    <x v="92"/>
    <x v="4"/>
    <s v="Percent change"/>
    <s v="Units"/>
    <x v="5"/>
    <n v="1.921"/>
  </r>
  <r>
    <n v="505"/>
    <x v="4"/>
    <x v="92"/>
    <x v="4"/>
    <s v="Percent change"/>
    <s v="Units"/>
    <x v="6"/>
    <n v="3.5350000000000001"/>
  </r>
  <r>
    <n v="163"/>
    <x v="5"/>
    <x v="78"/>
    <x v="6"/>
    <s v="Percent change"/>
    <s v="Units"/>
    <x v="0"/>
    <n v="6.6820000000000004"/>
  </r>
  <r>
    <n v="163"/>
    <x v="5"/>
    <x v="78"/>
    <x v="6"/>
    <s v="Percent change"/>
    <s v="Units"/>
    <x v="1"/>
    <n v="-12.316000000000001"/>
  </r>
  <r>
    <n v="163"/>
    <x v="5"/>
    <x v="78"/>
    <x v="6"/>
    <s v="Percent change"/>
    <s v="Units"/>
    <x v="2"/>
    <n v="17.265000000000001"/>
  </r>
  <r>
    <n v="163"/>
    <x v="5"/>
    <x v="78"/>
    <x v="6"/>
    <s v="Percent change"/>
    <s v="Units"/>
    <x v="3"/>
    <n v="26.495999999999999"/>
  </r>
  <r>
    <n v="163"/>
    <x v="5"/>
    <x v="78"/>
    <x v="6"/>
    <s v="Percent change"/>
    <s v="Units"/>
    <x v="4"/>
    <n v="-5.2990000000000004"/>
  </r>
  <r>
    <n v="163"/>
    <x v="5"/>
    <x v="78"/>
    <x v="6"/>
    <s v="Percent change"/>
    <s v="Units"/>
    <x v="5"/>
    <n v="1.905"/>
  </r>
  <r>
    <n v="163"/>
    <x v="5"/>
    <x v="78"/>
    <x v="6"/>
    <s v="Percent change"/>
    <s v="Units"/>
    <x v="6"/>
    <n v="2.5830000000000002"/>
  </r>
  <r>
    <n v="1"/>
    <x v="2"/>
    <x v="78"/>
    <x v="6"/>
    <s v="Percent change"/>
    <s v="Units"/>
    <x v="0"/>
    <n v="6.6820000000000004"/>
  </r>
  <r>
    <n v="1"/>
    <x v="2"/>
    <x v="78"/>
    <x v="6"/>
    <s v="Percent change"/>
    <s v="Units"/>
    <x v="1"/>
    <n v="-12.316000000000001"/>
  </r>
  <r>
    <n v="1"/>
    <x v="2"/>
    <x v="78"/>
    <x v="6"/>
    <s v="Percent change"/>
    <s v="Units"/>
    <x v="2"/>
    <n v="17.265000000000001"/>
  </r>
  <r>
    <n v="1"/>
    <x v="2"/>
    <x v="78"/>
    <x v="6"/>
    <s v="Percent change"/>
    <s v="Units"/>
    <x v="3"/>
    <n v="26.495999999999999"/>
  </r>
  <r>
    <n v="1"/>
    <x v="2"/>
    <x v="78"/>
    <x v="6"/>
    <s v="Percent change"/>
    <s v="Units"/>
    <x v="4"/>
    <n v="-5.2990000000000004"/>
  </r>
  <r>
    <n v="1"/>
    <x v="2"/>
    <x v="78"/>
    <x v="6"/>
    <s v="Percent change"/>
    <s v="Units"/>
    <x v="5"/>
    <n v="1.905"/>
  </r>
  <r>
    <n v="1"/>
    <x v="2"/>
    <x v="78"/>
    <x v="6"/>
    <s v="Percent change"/>
    <s v="Units"/>
    <x v="6"/>
    <n v="2.5830000000000002"/>
  </r>
  <r>
    <n v="110"/>
    <x v="0"/>
    <x v="78"/>
    <x v="6"/>
    <s v="Percent change"/>
    <s v="Units"/>
    <x v="0"/>
    <n v="6.6820000000000004"/>
  </r>
  <r>
    <n v="110"/>
    <x v="0"/>
    <x v="78"/>
    <x v="6"/>
    <s v="Percent change"/>
    <s v="Units"/>
    <x v="1"/>
    <n v="-12.316000000000001"/>
  </r>
  <r>
    <n v="110"/>
    <x v="0"/>
    <x v="78"/>
    <x v="6"/>
    <s v="Percent change"/>
    <s v="Units"/>
    <x v="2"/>
    <n v="17.265000000000001"/>
  </r>
  <r>
    <n v="110"/>
    <x v="0"/>
    <x v="78"/>
    <x v="6"/>
    <s v="Percent change"/>
    <s v="Units"/>
    <x v="3"/>
    <n v="26.495999999999999"/>
  </r>
  <r>
    <n v="110"/>
    <x v="0"/>
    <x v="78"/>
    <x v="6"/>
    <s v="Percent change"/>
    <s v="Units"/>
    <x v="4"/>
    <n v="-5.2990000000000004"/>
  </r>
  <r>
    <n v="110"/>
    <x v="0"/>
    <x v="78"/>
    <x v="6"/>
    <s v="Percent change"/>
    <s v="Units"/>
    <x v="5"/>
    <n v="1.905"/>
  </r>
  <r>
    <n v="110"/>
    <x v="0"/>
    <x v="78"/>
    <x v="6"/>
    <s v="Percent change"/>
    <s v="Units"/>
    <x v="6"/>
    <n v="2.5830000000000002"/>
  </r>
  <r>
    <n v="110"/>
    <x v="0"/>
    <x v="31"/>
    <x v="11"/>
    <s v="Percent of total labor force"/>
    <s v="Units"/>
    <x v="0"/>
    <n v="2.25"/>
  </r>
  <r>
    <n v="110"/>
    <x v="0"/>
    <x v="31"/>
    <x v="11"/>
    <s v="Percent of total labor force"/>
    <s v="Units"/>
    <x v="1"/>
    <n v="3"/>
  </r>
  <r>
    <n v="110"/>
    <x v="0"/>
    <x v="31"/>
    <x v="11"/>
    <s v="Percent of total labor force"/>
    <s v="Units"/>
    <x v="2"/>
    <n v="2.65"/>
  </r>
  <r>
    <n v="110"/>
    <x v="0"/>
    <x v="31"/>
    <x v="11"/>
    <s v="Percent of total labor force"/>
    <s v="Units"/>
    <x v="3"/>
    <n v="2.1"/>
  </r>
  <r>
    <n v="110"/>
    <x v="0"/>
    <x v="31"/>
    <x v="11"/>
    <s v="Percent of total labor force"/>
    <s v="Units"/>
    <x v="4"/>
    <n v="1.925"/>
  </r>
  <r>
    <n v="110"/>
    <x v="0"/>
    <x v="31"/>
    <x v="11"/>
    <s v="Percent of total labor force"/>
    <s v="Units"/>
    <x v="5"/>
    <n v="1.9"/>
  </r>
  <r>
    <n v="110"/>
    <x v="0"/>
    <x v="31"/>
    <x v="11"/>
    <s v="Percent of total labor force"/>
    <s v="Units"/>
    <x v="6"/>
    <n v="1.9"/>
  </r>
  <r>
    <n v="123"/>
    <x v="9"/>
    <x v="67"/>
    <x v="1"/>
    <s v="Percent change"/>
    <s v="Units"/>
    <x v="0"/>
    <n v="8.4000000000000005E-2"/>
  </r>
  <r>
    <n v="123"/>
    <x v="9"/>
    <x v="67"/>
    <x v="1"/>
    <s v="Percent change"/>
    <s v="Units"/>
    <x v="1"/>
    <n v="-0.497"/>
  </r>
  <r>
    <n v="123"/>
    <x v="9"/>
    <x v="67"/>
    <x v="1"/>
    <s v="Percent change"/>
    <s v="Units"/>
    <x v="2"/>
    <n v="2.41"/>
  </r>
  <r>
    <n v="123"/>
    <x v="9"/>
    <x v="67"/>
    <x v="1"/>
    <s v="Percent change"/>
    <s v="Units"/>
    <x v="3"/>
    <n v="6.0179999999999998"/>
  </r>
  <r>
    <n v="123"/>
    <x v="9"/>
    <x v="67"/>
    <x v="1"/>
    <s v="Percent change"/>
    <s v="Units"/>
    <x v="4"/>
    <n v="2.8039999999999998"/>
  </r>
  <r>
    <n v="123"/>
    <x v="9"/>
    <x v="67"/>
    <x v="1"/>
    <s v="Percent change"/>
    <s v="Units"/>
    <x v="5"/>
    <n v="1.9"/>
  </r>
  <r>
    <n v="123"/>
    <x v="9"/>
    <x v="67"/>
    <x v="1"/>
    <s v="Percent change"/>
    <s v="Units"/>
    <x v="6"/>
    <n v="2.2610000000000001"/>
  </r>
  <r>
    <n v="123"/>
    <x v="9"/>
    <x v="31"/>
    <x v="11"/>
    <s v="Percent of total labor force"/>
    <s v="Units"/>
    <x v="0"/>
    <n v="2.25"/>
  </r>
  <r>
    <n v="123"/>
    <x v="9"/>
    <x v="31"/>
    <x v="11"/>
    <s v="Percent of total labor force"/>
    <s v="Units"/>
    <x v="1"/>
    <n v="3"/>
  </r>
  <r>
    <n v="123"/>
    <x v="9"/>
    <x v="31"/>
    <x v="11"/>
    <s v="Percent of total labor force"/>
    <s v="Units"/>
    <x v="2"/>
    <n v="2.65"/>
  </r>
  <r>
    <n v="123"/>
    <x v="9"/>
    <x v="31"/>
    <x v="11"/>
    <s v="Percent of total labor force"/>
    <s v="Units"/>
    <x v="3"/>
    <n v="2.1"/>
  </r>
  <r>
    <n v="123"/>
    <x v="9"/>
    <x v="31"/>
    <x v="11"/>
    <s v="Percent of total labor force"/>
    <s v="Units"/>
    <x v="4"/>
    <n v="1.925"/>
  </r>
  <r>
    <n v="123"/>
    <x v="9"/>
    <x v="31"/>
    <x v="11"/>
    <s v="Percent of total labor force"/>
    <s v="Units"/>
    <x v="5"/>
    <n v="1.9"/>
  </r>
  <r>
    <n v="123"/>
    <x v="9"/>
    <x v="31"/>
    <x v="11"/>
    <s v="Percent of total labor force"/>
    <s v="Units"/>
    <x v="6"/>
    <n v="1.9"/>
  </r>
  <r>
    <n v="110"/>
    <x v="0"/>
    <x v="67"/>
    <x v="1"/>
    <s v="Percent change"/>
    <s v="Units"/>
    <x v="0"/>
    <n v="8.4000000000000005E-2"/>
  </r>
  <r>
    <n v="110"/>
    <x v="0"/>
    <x v="67"/>
    <x v="1"/>
    <s v="Percent change"/>
    <s v="Units"/>
    <x v="1"/>
    <n v="-0.497"/>
  </r>
  <r>
    <n v="110"/>
    <x v="0"/>
    <x v="67"/>
    <x v="1"/>
    <s v="Percent change"/>
    <s v="Units"/>
    <x v="2"/>
    <n v="2.41"/>
  </r>
  <r>
    <n v="110"/>
    <x v="0"/>
    <x v="67"/>
    <x v="1"/>
    <s v="Percent change"/>
    <s v="Units"/>
    <x v="3"/>
    <n v="6.0179999999999998"/>
  </r>
  <r>
    <n v="110"/>
    <x v="0"/>
    <x v="67"/>
    <x v="1"/>
    <s v="Percent change"/>
    <s v="Units"/>
    <x v="4"/>
    <n v="2.8039999999999998"/>
  </r>
  <r>
    <n v="110"/>
    <x v="0"/>
    <x v="67"/>
    <x v="1"/>
    <s v="Percent change"/>
    <s v="Units"/>
    <x v="5"/>
    <n v="1.9"/>
  </r>
  <r>
    <n v="110"/>
    <x v="0"/>
    <x v="67"/>
    <x v="1"/>
    <s v="Percent change"/>
    <s v="Units"/>
    <x v="6"/>
    <n v="2.2610000000000001"/>
  </r>
  <r>
    <n v="1"/>
    <x v="2"/>
    <x v="67"/>
    <x v="1"/>
    <s v="Percent change"/>
    <s v="Units"/>
    <x v="0"/>
    <n v="8.4000000000000005E-2"/>
  </r>
  <r>
    <n v="1"/>
    <x v="2"/>
    <x v="67"/>
    <x v="1"/>
    <s v="Percent change"/>
    <s v="Units"/>
    <x v="1"/>
    <n v="-0.497"/>
  </r>
  <r>
    <n v="1"/>
    <x v="2"/>
    <x v="67"/>
    <x v="1"/>
    <s v="Percent change"/>
    <s v="Units"/>
    <x v="2"/>
    <n v="2.41"/>
  </r>
  <r>
    <n v="1"/>
    <x v="2"/>
    <x v="67"/>
    <x v="1"/>
    <s v="Percent change"/>
    <s v="Units"/>
    <x v="3"/>
    <n v="6.0179999999999998"/>
  </r>
  <r>
    <n v="1"/>
    <x v="2"/>
    <x v="67"/>
    <x v="1"/>
    <s v="Percent change"/>
    <s v="Units"/>
    <x v="4"/>
    <n v="2.8039999999999998"/>
  </r>
  <r>
    <n v="1"/>
    <x v="2"/>
    <x v="67"/>
    <x v="1"/>
    <s v="Percent change"/>
    <s v="Units"/>
    <x v="5"/>
    <n v="1.9"/>
  </r>
  <r>
    <n v="1"/>
    <x v="2"/>
    <x v="67"/>
    <x v="1"/>
    <s v="Percent change"/>
    <s v="Units"/>
    <x v="6"/>
    <n v="2.2610000000000001"/>
  </r>
  <r>
    <n v="200"/>
    <x v="3"/>
    <x v="65"/>
    <x v="9"/>
    <s v="Percent of GDP"/>
    <s v="Units"/>
    <x v="0"/>
    <n v="-1.0649999999999999"/>
  </r>
  <r>
    <n v="200"/>
    <x v="3"/>
    <x v="65"/>
    <x v="9"/>
    <s v="Percent of GDP"/>
    <s v="Units"/>
    <x v="1"/>
    <n v="13.881"/>
  </r>
  <r>
    <n v="200"/>
    <x v="3"/>
    <x v="65"/>
    <x v="9"/>
    <s v="Percent of GDP"/>
    <s v="Units"/>
    <x v="2"/>
    <n v="-13.847"/>
  </r>
  <r>
    <n v="200"/>
    <x v="3"/>
    <x v="65"/>
    <x v="9"/>
    <s v="Percent of GDP"/>
    <s v="Units"/>
    <x v="3"/>
    <n v="8.7460000000000004"/>
  </r>
  <r>
    <n v="200"/>
    <x v="3"/>
    <x v="65"/>
    <x v="9"/>
    <s v="Percent of GDP"/>
    <s v="Units"/>
    <x v="4"/>
    <n v="1.984"/>
  </r>
  <r>
    <n v="200"/>
    <x v="3"/>
    <x v="65"/>
    <x v="9"/>
    <s v="Percent of GDP"/>
    <s v="Units"/>
    <x v="5"/>
    <n v="1.8979999999999999"/>
  </r>
  <r>
    <n v="200"/>
    <x v="3"/>
    <x v="65"/>
    <x v="9"/>
    <s v="Percent of GDP"/>
    <s v="Units"/>
    <x v="6"/>
    <n v="-2.726"/>
  </r>
  <r>
    <n v="505"/>
    <x v="4"/>
    <x v="65"/>
    <x v="9"/>
    <s v="Percent of GDP"/>
    <s v="Units"/>
    <x v="0"/>
    <n v="-1.0649999999999999"/>
  </r>
  <r>
    <n v="505"/>
    <x v="4"/>
    <x v="65"/>
    <x v="9"/>
    <s v="Percent of GDP"/>
    <s v="Units"/>
    <x v="1"/>
    <n v="13.881"/>
  </r>
  <r>
    <n v="505"/>
    <x v="4"/>
    <x v="65"/>
    <x v="9"/>
    <s v="Percent of GDP"/>
    <s v="Units"/>
    <x v="2"/>
    <n v="-13.847"/>
  </r>
  <r>
    <n v="505"/>
    <x v="4"/>
    <x v="65"/>
    <x v="9"/>
    <s v="Percent of GDP"/>
    <s v="Units"/>
    <x v="3"/>
    <n v="8.7460000000000004"/>
  </r>
  <r>
    <n v="505"/>
    <x v="4"/>
    <x v="65"/>
    <x v="9"/>
    <s v="Percent of GDP"/>
    <s v="Units"/>
    <x v="4"/>
    <n v="1.984"/>
  </r>
  <r>
    <n v="505"/>
    <x v="4"/>
    <x v="65"/>
    <x v="9"/>
    <s v="Percent of GDP"/>
    <s v="Units"/>
    <x v="5"/>
    <n v="1.8979999999999999"/>
  </r>
  <r>
    <n v="505"/>
    <x v="4"/>
    <x v="65"/>
    <x v="9"/>
    <s v="Percent of GDP"/>
    <s v="Units"/>
    <x v="6"/>
    <n v="-2.726"/>
  </r>
  <r>
    <n v="1"/>
    <x v="2"/>
    <x v="14"/>
    <x v="8"/>
    <s v="Percent change"/>
    <s v="Units"/>
    <x v="0"/>
    <n v="1.9830000000000001"/>
  </r>
  <r>
    <n v="1"/>
    <x v="2"/>
    <x v="14"/>
    <x v="8"/>
    <s v="Percent change"/>
    <s v="Units"/>
    <x v="1"/>
    <n v="-11.164999999999999"/>
  </r>
  <r>
    <n v="1"/>
    <x v="2"/>
    <x v="14"/>
    <x v="8"/>
    <s v="Percent change"/>
    <s v="Units"/>
    <x v="2"/>
    <n v="6.4"/>
  </r>
  <r>
    <n v="1"/>
    <x v="2"/>
    <x v="14"/>
    <x v="8"/>
    <s v="Percent change"/>
    <s v="Units"/>
    <x v="3"/>
    <n v="5.7709999999999999"/>
  </r>
  <r>
    <n v="1"/>
    <x v="2"/>
    <x v="14"/>
    <x v="8"/>
    <s v="Percent change"/>
    <s v="Units"/>
    <x v="4"/>
    <n v="2.5009999999999999"/>
  </r>
  <r>
    <n v="1"/>
    <x v="2"/>
    <x v="14"/>
    <x v="8"/>
    <s v="Percent change"/>
    <s v="Units"/>
    <x v="5"/>
    <n v="1.897"/>
  </r>
  <r>
    <n v="1"/>
    <x v="2"/>
    <x v="14"/>
    <x v="8"/>
    <s v="Percent change"/>
    <s v="Units"/>
    <x v="6"/>
    <n v="2.0819999999999999"/>
  </r>
  <r>
    <n v="163"/>
    <x v="5"/>
    <x v="14"/>
    <x v="8"/>
    <s v="Percent change"/>
    <s v="Units"/>
    <x v="0"/>
    <n v="1.9830000000000001"/>
  </r>
  <r>
    <n v="163"/>
    <x v="5"/>
    <x v="14"/>
    <x v="8"/>
    <s v="Percent change"/>
    <s v="Units"/>
    <x v="1"/>
    <n v="-11.164999999999999"/>
  </r>
  <r>
    <n v="163"/>
    <x v="5"/>
    <x v="14"/>
    <x v="8"/>
    <s v="Percent change"/>
    <s v="Units"/>
    <x v="2"/>
    <n v="6.4"/>
  </r>
  <r>
    <n v="163"/>
    <x v="5"/>
    <x v="14"/>
    <x v="8"/>
    <s v="Percent change"/>
    <s v="Units"/>
    <x v="3"/>
    <n v="5.7709999999999999"/>
  </r>
  <r>
    <n v="163"/>
    <x v="5"/>
    <x v="14"/>
    <x v="8"/>
    <s v="Percent change"/>
    <s v="Units"/>
    <x v="4"/>
    <n v="2.5009999999999999"/>
  </r>
  <r>
    <n v="163"/>
    <x v="5"/>
    <x v="14"/>
    <x v="8"/>
    <s v="Percent change"/>
    <s v="Units"/>
    <x v="5"/>
    <n v="1.897"/>
  </r>
  <r>
    <n v="163"/>
    <x v="5"/>
    <x v="14"/>
    <x v="8"/>
    <s v="Percent change"/>
    <s v="Units"/>
    <x v="6"/>
    <n v="2.0819999999999999"/>
  </r>
  <r>
    <n v="998"/>
    <x v="6"/>
    <x v="14"/>
    <x v="8"/>
    <s v="Percent change"/>
    <s v="Units"/>
    <x v="0"/>
    <n v="1.9830000000000001"/>
  </r>
  <r>
    <n v="998"/>
    <x v="6"/>
    <x v="14"/>
    <x v="8"/>
    <s v="Percent change"/>
    <s v="Units"/>
    <x v="1"/>
    <n v="-11.164999999999999"/>
  </r>
  <r>
    <n v="998"/>
    <x v="6"/>
    <x v="14"/>
    <x v="8"/>
    <s v="Percent change"/>
    <s v="Units"/>
    <x v="2"/>
    <n v="6.4"/>
  </r>
  <r>
    <n v="998"/>
    <x v="6"/>
    <x v="14"/>
    <x v="8"/>
    <s v="Percent change"/>
    <s v="Units"/>
    <x v="3"/>
    <n v="5.7709999999999999"/>
  </r>
  <r>
    <n v="998"/>
    <x v="6"/>
    <x v="14"/>
    <x v="8"/>
    <s v="Percent change"/>
    <s v="Units"/>
    <x v="4"/>
    <n v="2.5009999999999999"/>
  </r>
  <r>
    <n v="998"/>
    <x v="6"/>
    <x v="14"/>
    <x v="8"/>
    <s v="Percent change"/>
    <s v="Units"/>
    <x v="5"/>
    <n v="1.897"/>
  </r>
  <r>
    <n v="998"/>
    <x v="6"/>
    <x v="14"/>
    <x v="8"/>
    <s v="Percent change"/>
    <s v="Units"/>
    <x v="6"/>
    <n v="2.0819999999999999"/>
  </r>
  <r>
    <n v="110"/>
    <x v="0"/>
    <x v="14"/>
    <x v="8"/>
    <s v="Percent change"/>
    <s v="Units"/>
    <x v="0"/>
    <n v="1.9830000000000001"/>
  </r>
  <r>
    <n v="110"/>
    <x v="0"/>
    <x v="14"/>
    <x v="8"/>
    <s v="Percent change"/>
    <s v="Units"/>
    <x v="1"/>
    <n v="-11.164999999999999"/>
  </r>
  <r>
    <n v="110"/>
    <x v="0"/>
    <x v="14"/>
    <x v="8"/>
    <s v="Percent change"/>
    <s v="Units"/>
    <x v="2"/>
    <n v="6.4"/>
  </r>
  <r>
    <n v="110"/>
    <x v="0"/>
    <x v="14"/>
    <x v="8"/>
    <s v="Percent change"/>
    <s v="Units"/>
    <x v="3"/>
    <n v="5.7709999999999999"/>
  </r>
  <r>
    <n v="110"/>
    <x v="0"/>
    <x v="14"/>
    <x v="8"/>
    <s v="Percent change"/>
    <s v="Units"/>
    <x v="4"/>
    <n v="2.5009999999999999"/>
  </r>
  <r>
    <n v="110"/>
    <x v="0"/>
    <x v="14"/>
    <x v="8"/>
    <s v="Percent change"/>
    <s v="Units"/>
    <x v="5"/>
    <n v="1.897"/>
  </r>
  <r>
    <n v="110"/>
    <x v="0"/>
    <x v="14"/>
    <x v="8"/>
    <s v="Percent change"/>
    <s v="Units"/>
    <x v="6"/>
    <n v="2.0819999999999999"/>
  </r>
  <r>
    <n v="1"/>
    <x v="2"/>
    <x v="20"/>
    <x v="1"/>
    <s v="Percent change"/>
    <s v="Units"/>
    <x v="0"/>
    <n v="0.55900000000000005"/>
  </r>
  <r>
    <n v="1"/>
    <x v="2"/>
    <x v="20"/>
    <x v="1"/>
    <s v="Percent change"/>
    <s v="Units"/>
    <x v="1"/>
    <n v="-0.23799999999999999"/>
  </r>
  <r>
    <n v="1"/>
    <x v="2"/>
    <x v="20"/>
    <x v="1"/>
    <s v="Percent change"/>
    <s v="Units"/>
    <x v="2"/>
    <n v="1.9710000000000001"/>
  </r>
  <r>
    <n v="1"/>
    <x v="2"/>
    <x v="20"/>
    <x v="1"/>
    <s v="Percent change"/>
    <s v="Units"/>
    <x v="3"/>
    <n v="2.9470000000000001"/>
  </r>
  <r>
    <n v="1"/>
    <x v="2"/>
    <x v="20"/>
    <x v="1"/>
    <s v="Percent change"/>
    <s v="Units"/>
    <x v="4"/>
    <n v="2.492"/>
  </r>
  <r>
    <n v="1"/>
    <x v="2"/>
    <x v="20"/>
    <x v="1"/>
    <s v="Percent change"/>
    <s v="Units"/>
    <x v="5"/>
    <n v="1.881"/>
  </r>
  <r>
    <n v="1"/>
    <x v="2"/>
    <x v="20"/>
    <x v="1"/>
    <s v="Percent change"/>
    <s v="Units"/>
    <x v="6"/>
    <n v="1.5549999999999999"/>
  </r>
  <r>
    <n v="110"/>
    <x v="0"/>
    <x v="20"/>
    <x v="1"/>
    <s v="Percent change"/>
    <s v="Units"/>
    <x v="0"/>
    <n v="0.55900000000000005"/>
  </r>
  <r>
    <n v="110"/>
    <x v="0"/>
    <x v="20"/>
    <x v="1"/>
    <s v="Percent change"/>
    <s v="Units"/>
    <x v="1"/>
    <n v="-0.23799999999999999"/>
  </r>
  <r>
    <n v="110"/>
    <x v="0"/>
    <x v="20"/>
    <x v="1"/>
    <s v="Percent change"/>
    <s v="Units"/>
    <x v="2"/>
    <n v="1.9710000000000001"/>
  </r>
  <r>
    <n v="110"/>
    <x v="0"/>
    <x v="20"/>
    <x v="1"/>
    <s v="Percent change"/>
    <s v="Units"/>
    <x v="3"/>
    <n v="2.9470000000000001"/>
  </r>
  <r>
    <n v="110"/>
    <x v="0"/>
    <x v="20"/>
    <x v="1"/>
    <s v="Percent change"/>
    <s v="Units"/>
    <x v="4"/>
    <n v="2.492"/>
  </r>
  <r>
    <n v="110"/>
    <x v="0"/>
    <x v="20"/>
    <x v="1"/>
    <s v="Percent change"/>
    <s v="Units"/>
    <x v="5"/>
    <n v="1.881"/>
  </r>
  <r>
    <n v="110"/>
    <x v="0"/>
    <x v="20"/>
    <x v="1"/>
    <s v="Percent change"/>
    <s v="Units"/>
    <x v="6"/>
    <n v="1.5549999999999999"/>
  </r>
  <r>
    <n v="123"/>
    <x v="9"/>
    <x v="20"/>
    <x v="1"/>
    <s v="Percent change"/>
    <s v="Units"/>
    <x v="0"/>
    <n v="0.55900000000000005"/>
  </r>
  <r>
    <n v="123"/>
    <x v="9"/>
    <x v="20"/>
    <x v="1"/>
    <s v="Percent change"/>
    <s v="Units"/>
    <x v="1"/>
    <n v="-0.23799999999999999"/>
  </r>
  <r>
    <n v="123"/>
    <x v="9"/>
    <x v="20"/>
    <x v="1"/>
    <s v="Percent change"/>
    <s v="Units"/>
    <x v="2"/>
    <n v="1.9710000000000001"/>
  </r>
  <r>
    <n v="123"/>
    <x v="9"/>
    <x v="20"/>
    <x v="1"/>
    <s v="Percent change"/>
    <s v="Units"/>
    <x v="3"/>
    <n v="2.9470000000000001"/>
  </r>
  <r>
    <n v="123"/>
    <x v="9"/>
    <x v="20"/>
    <x v="1"/>
    <s v="Percent change"/>
    <s v="Units"/>
    <x v="4"/>
    <n v="2.492"/>
  </r>
  <r>
    <n v="123"/>
    <x v="9"/>
    <x v="20"/>
    <x v="1"/>
    <s v="Percent change"/>
    <s v="Units"/>
    <x v="5"/>
    <n v="1.881"/>
  </r>
  <r>
    <n v="123"/>
    <x v="9"/>
    <x v="20"/>
    <x v="1"/>
    <s v="Percent change"/>
    <s v="Units"/>
    <x v="6"/>
    <n v="1.5549999999999999"/>
  </r>
  <r>
    <n v="200"/>
    <x v="3"/>
    <x v="99"/>
    <x v="8"/>
    <s v="Percent change"/>
    <s v="Units"/>
    <x v="0"/>
    <n v="1.5880000000000001"/>
  </r>
  <r>
    <n v="200"/>
    <x v="3"/>
    <x v="99"/>
    <x v="8"/>
    <s v="Percent change"/>
    <s v="Units"/>
    <x v="1"/>
    <n v="-8.5920000000000005"/>
  </r>
  <r>
    <n v="200"/>
    <x v="3"/>
    <x v="99"/>
    <x v="8"/>
    <s v="Percent change"/>
    <s v="Units"/>
    <x v="2"/>
    <n v="4.6050000000000004"/>
  </r>
  <r>
    <n v="200"/>
    <x v="3"/>
    <x v="99"/>
    <x v="8"/>
    <s v="Percent change"/>
    <s v="Units"/>
    <x v="3"/>
    <n v="2.6030000000000002"/>
  </r>
  <r>
    <n v="200"/>
    <x v="3"/>
    <x v="99"/>
    <x v="8"/>
    <s v="Percent change"/>
    <s v="Units"/>
    <x v="4"/>
    <n v="0.42499999999999999"/>
  </r>
  <r>
    <n v="200"/>
    <x v="3"/>
    <x v="99"/>
    <x v="8"/>
    <s v="Percent change"/>
    <s v="Units"/>
    <x v="5"/>
    <n v="1.8779999999999999"/>
  </r>
  <r>
    <n v="200"/>
    <x v="3"/>
    <x v="99"/>
    <x v="8"/>
    <s v="Percent change"/>
    <s v="Units"/>
    <x v="6"/>
    <n v="1.8120000000000001"/>
  </r>
  <r>
    <n v="1"/>
    <x v="2"/>
    <x v="99"/>
    <x v="8"/>
    <s v="Percent change"/>
    <s v="Units"/>
    <x v="0"/>
    <n v="1.5880000000000001"/>
  </r>
  <r>
    <n v="1"/>
    <x v="2"/>
    <x v="99"/>
    <x v="8"/>
    <s v="Percent change"/>
    <s v="Units"/>
    <x v="1"/>
    <n v="-8.5920000000000005"/>
  </r>
  <r>
    <n v="1"/>
    <x v="2"/>
    <x v="99"/>
    <x v="8"/>
    <s v="Percent change"/>
    <s v="Units"/>
    <x v="2"/>
    <n v="4.6050000000000004"/>
  </r>
  <r>
    <n v="1"/>
    <x v="2"/>
    <x v="99"/>
    <x v="8"/>
    <s v="Percent change"/>
    <s v="Units"/>
    <x v="3"/>
    <n v="2.6030000000000002"/>
  </r>
  <r>
    <n v="1"/>
    <x v="2"/>
    <x v="99"/>
    <x v="8"/>
    <s v="Percent change"/>
    <s v="Units"/>
    <x v="4"/>
    <n v="0.42499999999999999"/>
  </r>
  <r>
    <n v="1"/>
    <x v="2"/>
    <x v="99"/>
    <x v="8"/>
    <s v="Percent change"/>
    <s v="Units"/>
    <x v="5"/>
    <n v="1.8779999999999999"/>
  </r>
  <r>
    <n v="1"/>
    <x v="2"/>
    <x v="99"/>
    <x v="8"/>
    <s v="Percent change"/>
    <s v="Units"/>
    <x v="6"/>
    <n v="1.8120000000000001"/>
  </r>
  <r>
    <n v="400"/>
    <x v="11"/>
    <x v="99"/>
    <x v="8"/>
    <s v="Percent change"/>
    <s v="Units"/>
    <x v="0"/>
    <n v="1.5880000000000001"/>
  </r>
  <r>
    <n v="400"/>
    <x v="11"/>
    <x v="99"/>
    <x v="8"/>
    <s v="Percent change"/>
    <s v="Units"/>
    <x v="1"/>
    <n v="-8.5920000000000005"/>
  </r>
  <r>
    <n v="400"/>
    <x v="11"/>
    <x v="99"/>
    <x v="8"/>
    <s v="Percent change"/>
    <s v="Units"/>
    <x v="2"/>
    <n v="4.6050000000000004"/>
  </r>
  <r>
    <n v="400"/>
    <x v="11"/>
    <x v="99"/>
    <x v="8"/>
    <s v="Percent change"/>
    <s v="Units"/>
    <x v="3"/>
    <n v="2.6030000000000002"/>
  </r>
  <r>
    <n v="400"/>
    <x v="11"/>
    <x v="99"/>
    <x v="8"/>
    <s v="Percent change"/>
    <s v="Units"/>
    <x v="4"/>
    <n v="0.42499999999999999"/>
  </r>
  <r>
    <n v="400"/>
    <x v="11"/>
    <x v="99"/>
    <x v="8"/>
    <s v="Percent change"/>
    <s v="Units"/>
    <x v="5"/>
    <n v="1.8779999999999999"/>
  </r>
  <r>
    <n v="400"/>
    <x v="11"/>
    <x v="99"/>
    <x v="8"/>
    <s v="Percent change"/>
    <s v="Units"/>
    <x v="6"/>
    <n v="1.8120000000000001"/>
  </r>
  <r>
    <n v="200"/>
    <x v="3"/>
    <x v="11"/>
    <x v="10"/>
    <s v="Percent"/>
    <s v="Units"/>
    <x v="0"/>
    <n v="1.9790000000000001"/>
  </r>
  <r>
    <n v="200"/>
    <x v="3"/>
    <x v="11"/>
    <x v="10"/>
    <s v="Percent"/>
    <s v="Units"/>
    <x v="1"/>
    <n v="1.8620000000000001"/>
  </r>
  <r>
    <n v="200"/>
    <x v="3"/>
    <x v="11"/>
    <x v="10"/>
    <s v="Percent"/>
    <s v="Units"/>
    <x v="2"/>
    <n v="1.851"/>
  </r>
  <r>
    <n v="200"/>
    <x v="3"/>
    <x v="11"/>
    <x v="10"/>
    <s v="Percent"/>
    <s v="Units"/>
    <x v="3"/>
    <n v="1.861"/>
  </r>
  <r>
    <n v="200"/>
    <x v="3"/>
    <x v="11"/>
    <x v="10"/>
    <s v="Percent"/>
    <s v="Units"/>
    <x v="4"/>
    <n v="1.8640000000000001"/>
  </r>
  <r>
    <n v="200"/>
    <x v="3"/>
    <x v="11"/>
    <x v="10"/>
    <s v="Percent"/>
    <s v="Units"/>
    <x v="5"/>
    <n v="1.85"/>
  </r>
  <r>
    <n v="200"/>
    <x v="3"/>
    <x v="11"/>
    <x v="10"/>
    <s v="Percent"/>
    <s v="Units"/>
    <x v="6"/>
    <n v="1.8180000000000001"/>
  </r>
  <r>
    <n v="205"/>
    <x v="7"/>
    <x v="11"/>
    <x v="10"/>
    <s v="Percent"/>
    <s v="Units"/>
    <x v="0"/>
    <n v="1.9790000000000001"/>
  </r>
  <r>
    <n v="205"/>
    <x v="7"/>
    <x v="11"/>
    <x v="10"/>
    <s v="Percent"/>
    <s v="Units"/>
    <x v="1"/>
    <n v="1.8620000000000001"/>
  </r>
  <r>
    <n v="205"/>
    <x v="7"/>
    <x v="11"/>
    <x v="10"/>
    <s v="Percent"/>
    <s v="Units"/>
    <x v="2"/>
    <n v="1.851"/>
  </r>
  <r>
    <n v="205"/>
    <x v="7"/>
    <x v="11"/>
    <x v="10"/>
    <s v="Percent"/>
    <s v="Units"/>
    <x v="3"/>
    <n v="1.861"/>
  </r>
  <r>
    <n v="205"/>
    <x v="7"/>
    <x v="11"/>
    <x v="10"/>
    <s v="Percent"/>
    <s v="Units"/>
    <x v="4"/>
    <n v="1.8640000000000001"/>
  </r>
  <r>
    <n v="205"/>
    <x v="7"/>
    <x v="11"/>
    <x v="10"/>
    <s v="Percent"/>
    <s v="Units"/>
    <x v="5"/>
    <n v="1.85"/>
  </r>
  <r>
    <n v="205"/>
    <x v="7"/>
    <x v="11"/>
    <x v="10"/>
    <s v="Percent"/>
    <s v="Units"/>
    <x v="6"/>
    <n v="1.8180000000000001"/>
  </r>
  <r>
    <n v="110"/>
    <x v="0"/>
    <x v="53"/>
    <x v="4"/>
    <s v="Percent change"/>
    <s v="Units"/>
    <x v="0"/>
    <n v="3.395"/>
  </r>
  <r>
    <n v="110"/>
    <x v="0"/>
    <x v="53"/>
    <x v="4"/>
    <s v="Percent change"/>
    <s v="Units"/>
    <x v="1"/>
    <n v="-22.673999999999999"/>
  </r>
  <r>
    <n v="110"/>
    <x v="0"/>
    <x v="53"/>
    <x v="4"/>
    <s v="Percent change"/>
    <s v="Units"/>
    <x v="2"/>
    <n v="21.463000000000001"/>
  </r>
  <r>
    <n v="110"/>
    <x v="0"/>
    <x v="53"/>
    <x v="4"/>
    <s v="Percent change"/>
    <s v="Units"/>
    <x v="3"/>
    <n v="9.1240000000000006"/>
  </r>
  <r>
    <n v="110"/>
    <x v="0"/>
    <x v="53"/>
    <x v="4"/>
    <s v="Percent change"/>
    <s v="Units"/>
    <x v="4"/>
    <n v="2.84"/>
  </r>
  <r>
    <n v="110"/>
    <x v="0"/>
    <x v="53"/>
    <x v="4"/>
    <s v="Percent change"/>
    <s v="Units"/>
    <x v="5"/>
    <n v="1.847"/>
  </r>
  <r>
    <n v="110"/>
    <x v="0"/>
    <x v="53"/>
    <x v="4"/>
    <s v="Percent change"/>
    <s v="Units"/>
    <x v="6"/>
    <n v="3.0089999999999999"/>
  </r>
  <r>
    <n v="163"/>
    <x v="5"/>
    <x v="53"/>
    <x v="4"/>
    <s v="Percent change"/>
    <s v="Units"/>
    <x v="0"/>
    <n v="3.395"/>
  </r>
  <r>
    <n v="163"/>
    <x v="5"/>
    <x v="53"/>
    <x v="4"/>
    <s v="Percent change"/>
    <s v="Units"/>
    <x v="1"/>
    <n v="-22.673999999999999"/>
  </r>
  <r>
    <n v="163"/>
    <x v="5"/>
    <x v="53"/>
    <x v="4"/>
    <s v="Percent change"/>
    <s v="Units"/>
    <x v="2"/>
    <n v="21.463000000000001"/>
  </r>
  <r>
    <n v="163"/>
    <x v="5"/>
    <x v="53"/>
    <x v="4"/>
    <s v="Percent change"/>
    <s v="Units"/>
    <x v="3"/>
    <n v="9.1240000000000006"/>
  </r>
  <r>
    <n v="163"/>
    <x v="5"/>
    <x v="53"/>
    <x v="4"/>
    <s v="Percent change"/>
    <s v="Units"/>
    <x v="4"/>
    <n v="2.84"/>
  </r>
  <r>
    <n v="163"/>
    <x v="5"/>
    <x v="53"/>
    <x v="4"/>
    <s v="Percent change"/>
    <s v="Units"/>
    <x v="5"/>
    <n v="1.847"/>
  </r>
  <r>
    <n v="163"/>
    <x v="5"/>
    <x v="53"/>
    <x v="4"/>
    <s v="Percent change"/>
    <s v="Units"/>
    <x v="6"/>
    <n v="3.0089999999999999"/>
  </r>
  <r>
    <n v="1"/>
    <x v="2"/>
    <x v="53"/>
    <x v="4"/>
    <s v="Percent change"/>
    <s v="Units"/>
    <x v="0"/>
    <n v="3.395"/>
  </r>
  <r>
    <n v="1"/>
    <x v="2"/>
    <x v="53"/>
    <x v="4"/>
    <s v="Percent change"/>
    <s v="Units"/>
    <x v="1"/>
    <n v="-22.673999999999999"/>
  </r>
  <r>
    <n v="1"/>
    <x v="2"/>
    <x v="53"/>
    <x v="4"/>
    <s v="Percent change"/>
    <s v="Units"/>
    <x v="2"/>
    <n v="21.463000000000001"/>
  </r>
  <r>
    <n v="1"/>
    <x v="2"/>
    <x v="53"/>
    <x v="4"/>
    <s v="Percent change"/>
    <s v="Units"/>
    <x v="3"/>
    <n v="9.1240000000000006"/>
  </r>
  <r>
    <n v="1"/>
    <x v="2"/>
    <x v="53"/>
    <x v="4"/>
    <s v="Percent change"/>
    <s v="Units"/>
    <x v="4"/>
    <n v="2.84"/>
  </r>
  <r>
    <n v="1"/>
    <x v="2"/>
    <x v="53"/>
    <x v="4"/>
    <s v="Percent change"/>
    <s v="Units"/>
    <x v="5"/>
    <n v="1.847"/>
  </r>
  <r>
    <n v="1"/>
    <x v="2"/>
    <x v="53"/>
    <x v="4"/>
    <s v="Percent change"/>
    <s v="Units"/>
    <x v="6"/>
    <n v="3.0089999999999999"/>
  </r>
  <r>
    <n v="163"/>
    <x v="5"/>
    <x v="27"/>
    <x v="6"/>
    <s v="Percent change"/>
    <s v="Units"/>
    <x v="0"/>
    <n v="2.2480000000000002"/>
  </r>
  <r>
    <n v="163"/>
    <x v="5"/>
    <x v="27"/>
    <x v="6"/>
    <s v="Percent change"/>
    <s v="Units"/>
    <x v="1"/>
    <n v="-10.02"/>
  </r>
  <r>
    <n v="163"/>
    <x v="5"/>
    <x v="27"/>
    <x v="6"/>
    <s v="Percent change"/>
    <s v="Units"/>
    <x v="2"/>
    <n v="14.327999999999999"/>
  </r>
  <r>
    <n v="163"/>
    <x v="5"/>
    <x v="27"/>
    <x v="6"/>
    <s v="Percent change"/>
    <s v="Units"/>
    <x v="3"/>
    <n v="7.8789999999999996"/>
  </r>
  <r>
    <n v="163"/>
    <x v="5"/>
    <x v="27"/>
    <x v="6"/>
    <s v="Percent change"/>
    <s v="Units"/>
    <x v="4"/>
    <n v="-1.681"/>
  </r>
  <r>
    <n v="163"/>
    <x v="5"/>
    <x v="27"/>
    <x v="6"/>
    <s v="Percent change"/>
    <s v="Units"/>
    <x v="5"/>
    <n v="1.831"/>
  </r>
  <r>
    <n v="163"/>
    <x v="5"/>
    <x v="27"/>
    <x v="6"/>
    <s v="Percent change"/>
    <s v="Units"/>
    <x v="6"/>
    <n v="3.4729999999999999"/>
  </r>
  <r>
    <n v="1"/>
    <x v="2"/>
    <x v="27"/>
    <x v="6"/>
    <s v="Percent change"/>
    <s v="Units"/>
    <x v="0"/>
    <n v="2.2480000000000002"/>
  </r>
  <r>
    <n v="1"/>
    <x v="2"/>
    <x v="27"/>
    <x v="6"/>
    <s v="Percent change"/>
    <s v="Units"/>
    <x v="1"/>
    <n v="-10.02"/>
  </r>
  <r>
    <n v="1"/>
    <x v="2"/>
    <x v="27"/>
    <x v="6"/>
    <s v="Percent change"/>
    <s v="Units"/>
    <x v="2"/>
    <n v="14.327999999999999"/>
  </r>
  <r>
    <n v="1"/>
    <x v="2"/>
    <x v="27"/>
    <x v="6"/>
    <s v="Percent change"/>
    <s v="Units"/>
    <x v="3"/>
    <n v="7.8789999999999996"/>
  </r>
  <r>
    <n v="1"/>
    <x v="2"/>
    <x v="27"/>
    <x v="6"/>
    <s v="Percent change"/>
    <s v="Units"/>
    <x v="4"/>
    <n v="-1.681"/>
  </r>
  <r>
    <n v="1"/>
    <x v="2"/>
    <x v="27"/>
    <x v="6"/>
    <s v="Percent change"/>
    <s v="Units"/>
    <x v="5"/>
    <n v="1.831"/>
  </r>
  <r>
    <n v="1"/>
    <x v="2"/>
    <x v="27"/>
    <x v="6"/>
    <s v="Percent change"/>
    <s v="Units"/>
    <x v="6"/>
    <n v="3.4729999999999999"/>
  </r>
  <r>
    <n v="110"/>
    <x v="0"/>
    <x v="27"/>
    <x v="6"/>
    <s v="Percent change"/>
    <s v="Units"/>
    <x v="0"/>
    <n v="2.2480000000000002"/>
  </r>
  <r>
    <n v="110"/>
    <x v="0"/>
    <x v="27"/>
    <x v="6"/>
    <s v="Percent change"/>
    <s v="Units"/>
    <x v="1"/>
    <n v="-10.02"/>
  </r>
  <r>
    <n v="110"/>
    <x v="0"/>
    <x v="27"/>
    <x v="6"/>
    <s v="Percent change"/>
    <s v="Units"/>
    <x v="2"/>
    <n v="14.327999999999999"/>
  </r>
  <r>
    <n v="110"/>
    <x v="0"/>
    <x v="27"/>
    <x v="6"/>
    <s v="Percent change"/>
    <s v="Units"/>
    <x v="3"/>
    <n v="7.8789999999999996"/>
  </r>
  <r>
    <n v="110"/>
    <x v="0"/>
    <x v="27"/>
    <x v="6"/>
    <s v="Percent change"/>
    <s v="Units"/>
    <x v="4"/>
    <n v="-1.681"/>
  </r>
  <r>
    <n v="110"/>
    <x v="0"/>
    <x v="27"/>
    <x v="6"/>
    <s v="Percent change"/>
    <s v="Units"/>
    <x v="5"/>
    <n v="1.831"/>
  </r>
  <r>
    <n v="110"/>
    <x v="0"/>
    <x v="27"/>
    <x v="6"/>
    <s v="Percent change"/>
    <s v="Units"/>
    <x v="6"/>
    <n v="3.4729999999999999"/>
  </r>
  <r>
    <n v="400"/>
    <x v="11"/>
    <x v="183"/>
    <x v="1"/>
    <s v="Percent change"/>
    <s v="Units"/>
    <x v="0"/>
    <n v="3.3180000000000001"/>
  </r>
  <r>
    <n v="400"/>
    <x v="11"/>
    <x v="183"/>
    <x v="1"/>
    <s v="Percent change"/>
    <s v="Units"/>
    <x v="1"/>
    <n v="1.7789999999999999"/>
  </r>
  <r>
    <n v="400"/>
    <x v="11"/>
    <x v="183"/>
    <x v="1"/>
    <s v="Percent change"/>
    <s v="Units"/>
    <x v="2"/>
    <n v="1.181"/>
  </r>
  <r>
    <n v="400"/>
    <x v="11"/>
    <x v="183"/>
    <x v="1"/>
    <s v="Percent change"/>
    <s v="Units"/>
    <x v="3"/>
    <n v="5.1719999999999997"/>
  </r>
  <r>
    <n v="400"/>
    <x v="11"/>
    <x v="183"/>
    <x v="1"/>
    <s v="Percent change"/>
    <s v="Units"/>
    <x v="4"/>
    <n v="1.8"/>
  </r>
  <r>
    <n v="400"/>
    <x v="11"/>
    <x v="183"/>
    <x v="1"/>
    <s v="Percent change"/>
    <s v="Units"/>
    <x v="5"/>
    <n v="1.8109999999999999"/>
  </r>
  <r>
    <n v="400"/>
    <x v="11"/>
    <x v="183"/>
    <x v="1"/>
    <s v="Percent change"/>
    <s v="Units"/>
    <x v="6"/>
    <n v="1.903"/>
  </r>
  <r>
    <n v="1"/>
    <x v="2"/>
    <x v="183"/>
    <x v="1"/>
    <s v="Percent change"/>
    <s v="Units"/>
    <x v="0"/>
    <n v="3.3180000000000001"/>
  </r>
  <r>
    <n v="1"/>
    <x v="2"/>
    <x v="183"/>
    <x v="1"/>
    <s v="Percent change"/>
    <s v="Units"/>
    <x v="1"/>
    <n v="1.7789999999999999"/>
  </r>
  <r>
    <n v="1"/>
    <x v="2"/>
    <x v="183"/>
    <x v="1"/>
    <s v="Percent change"/>
    <s v="Units"/>
    <x v="2"/>
    <n v="1.181"/>
  </r>
  <r>
    <n v="1"/>
    <x v="2"/>
    <x v="183"/>
    <x v="1"/>
    <s v="Percent change"/>
    <s v="Units"/>
    <x v="3"/>
    <n v="5.1719999999999997"/>
  </r>
  <r>
    <n v="1"/>
    <x v="2"/>
    <x v="183"/>
    <x v="1"/>
    <s v="Percent change"/>
    <s v="Units"/>
    <x v="4"/>
    <n v="1.8"/>
  </r>
  <r>
    <n v="1"/>
    <x v="2"/>
    <x v="183"/>
    <x v="1"/>
    <s v="Percent change"/>
    <s v="Units"/>
    <x v="5"/>
    <n v="1.8109999999999999"/>
  </r>
  <r>
    <n v="1"/>
    <x v="2"/>
    <x v="183"/>
    <x v="1"/>
    <s v="Percent change"/>
    <s v="Units"/>
    <x v="6"/>
    <n v="1.903"/>
  </r>
  <r>
    <n v="200"/>
    <x v="3"/>
    <x v="183"/>
    <x v="1"/>
    <s v="Percent change"/>
    <s v="Units"/>
    <x v="0"/>
    <n v="3.3180000000000001"/>
  </r>
  <r>
    <n v="200"/>
    <x v="3"/>
    <x v="183"/>
    <x v="1"/>
    <s v="Percent change"/>
    <s v="Units"/>
    <x v="1"/>
    <n v="1.7789999999999999"/>
  </r>
  <r>
    <n v="200"/>
    <x v="3"/>
    <x v="183"/>
    <x v="1"/>
    <s v="Percent change"/>
    <s v="Units"/>
    <x v="2"/>
    <n v="1.181"/>
  </r>
  <r>
    <n v="200"/>
    <x v="3"/>
    <x v="183"/>
    <x v="1"/>
    <s v="Percent change"/>
    <s v="Units"/>
    <x v="3"/>
    <n v="5.1719999999999997"/>
  </r>
  <r>
    <n v="200"/>
    <x v="3"/>
    <x v="183"/>
    <x v="1"/>
    <s v="Percent change"/>
    <s v="Units"/>
    <x v="4"/>
    <n v="1.8"/>
  </r>
  <r>
    <n v="200"/>
    <x v="3"/>
    <x v="183"/>
    <x v="1"/>
    <s v="Percent change"/>
    <s v="Units"/>
    <x v="5"/>
    <n v="1.8109999999999999"/>
  </r>
  <r>
    <n v="200"/>
    <x v="3"/>
    <x v="183"/>
    <x v="1"/>
    <s v="Percent change"/>
    <s v="Units"/>
    <x v="6"/>
    <n v="1.903"/>
  </r>
  <r>
    <n v="110"/>
    <x v="0"/>
    <x v="27"/>
    <x v="4"/>
    <s v="Percent change"/>
    <s v="Units"/>
    <x v="0"/>
    <n v="4.0599999999999996"/>
  </r>
  <r>
    <n v="110"/>
    <x v="0"/>
    <x v="27"/>
    <x v="4"/>
    <s v="Percent change"/>
    <s v="Units"/>
    <x v="1"/>
    <n v="-10.57"/>
  </r>
  <r>
    <n v="110"/>
    <x v="0"/>
    <x v="27"/>
    <x v="4"/>
    <s v="Percent change"/>
    <s v="Units"/>
    <x v="2"/>
    <n v="9.1270000000000007"/>
  </r>
  <r>
    <n v="110"/>
    <x v="0"/>
    <x v="27"/>
    <x v="4"/>
    <s v="Percent change"/>
    <s v="Units"/>
    <x v="3"/>
    <n v="11.186999999999999"/>
  </r>
  <r>
    <n v="110"/>
    <x v="0"/>
    <x v="27"/>
    <x v="4"/>
    <s v="Percent change"/>
    <s v="Units"/>
    <x v="4"/>
    <n v="1.7749999999999999"/>
  </r>
  <r>
    <n v="110"/>
    <x v="0"/>
    <x v="27"/>
    <x v="4"/>
    <s v="Percent change"/>
    <s v="Units"/>
    <x v="5"/>
    <n v="1.804"/>
  </r>
  <r>
    <n v="110"/>
    <x v="0"/>
    <x v="27"/>
    <x v="4"/>
    <s v="Percent change"/>
    <s v="Units"/>
    <x v="6"/>
    <n v="2.9860000000000002"/>
  </r>
  <r>
    <n v="1"/>
    <x v="2"/>
    <x v="27"/>
    <x v="4"/>
    <s v="Percent change"/>
    <s v="Units"/>
    <x v="0"/>
    <n v="4.0599999999999996"/>
  </r>
  <r>
    <n v="1"/>
    <x v="2"/>
    <x v="27"/>
    <x v="4"/>
    <s v="Percent change"/>
    <s v="Units"/>
    <x v="1"/>
    <n v="-10.57"/>
  </r>
  <r>
    <n v="1"/>
    <x v="2"/>
    <x v="27"/>
    <x v="4"/>
    <s v="Percent change"/>
    <s v="Units"/>
    <x v="2"/>
    <n v="9.1270000000000007"/>
  </r>
  <r>
    <n v="1"/>
    <x v="2"/>
    <x v="27"/>
    <x v="4"/>
    <s v="Percent change"/>
    <s v="Units"/>
    <x v="3"/>
    <n v="11.186999999999999"/>
  </r>
  <r>
    <n v="1"/>
    <x v="2"/>
    <x v="27"/>
    <x v="4"/>
    <s v="Percent change"/>
    <s v="Units"/>
    <x v="4"/>
    <n v="1.7749999999999999"/>
  </r>
  <r>
    <n v="1"/>
    <x v="2"/>
    <x v="27"/>
    <x v="4"/>
    <s v="Percent change"/>
    <s v="Units"/>
    <x v="5"/>
    <n v="1.804"/>
  </r>
  <r>
    <n v="1"/>
    <x v="2"/>
    <x v="27"/>
    <x v="4"/>
    <s v="Percent change"/>
    <s v="Units"/>
    <x v="6"/>
    <n v="2.9860000000000002"/>
  </r>
  <r>
    <n v="163"/>
    <x v="5"/>
    <x v="27"/>
    <x v="4"/>
    <s v="Percent change"/>
    <s v="Units"/>
    <x v="0"/>
    <n v="4.0599999999999996"/>
  </r>
  <r>
    <n v="163"/>
    <x v="5"/>
    <x v="27"/>
    <x v="4"/>
    <s v="Percent change"/>
    <s v="Units"/>
    <x v="1"/>
    <n v="-10.57"/>
  </r>
  <r>
    <n v="163"/>
    <x v="5"/>
    <x v="27"/>
    <x v="4"/>
    <s v="Percent change"/>
    <s v="Units"/>
    <x v="2"/>
    <n v="9.1270000000000007"/>
  </r>
  <r>
    <n v="163"/>
    <x v="5"/>
    <x v="27"/>
    <x v="4"/>
    <s v="Percent change"/>
    <s v="Units"/>
    <x v="3"/>
    <n v="11.186999999999999"/>
  </r>
  <r>
    <n v="163"/>
    <x v="5"/>
    <x v="27"/>
    <x v="4"/>
    <s v="Percent change"/>
    <s v="Units"/>
    <x v="4"/>
    <n v="1.7749999999999999"/>
  </r>
  <r>
    <n v="163"/>
    <x v="5"/>
    <x v="27"/>
    <x v="4"/>
    <s v="Percent change"/>
    <s v="Units"/>
    <x v="5"/>
    <n v="1.804"/>
  </r>
  <r>
    <n v="163"/>
    <x v="5"/>
    <x v="27"/>
    <x v="4"/>
    <s v="Percent change"/>
    <s v="Units"/>
    <x v="6"/>
    <n v="2.9860000000000002"/>
  </r>
  <r>
    <n v="998"/>
    <x v="6"/>
    <x v="8"/>
    <x v="10"/>
    <s v="Percent"/>
    <s v="Units"/>
    <x v="0"/>
    <n v="1.964"/>
  </r>
  <r>
    <n v="998"/>
    <x v="6"/>
    <x v="8"/>
    <x v="10"/>
    <s v="Percent"/>
    <s v="Units"/>
    <x v="1"/>
    <n v="1.841"/>
  </r>
  <r>
    <n v="998"/>
    <x v="6"/>
    <x v="8"/>
    <x v="10"/>
    <s v="Percent"/>
    <s v="Units"/>
    <x v="2"/>
    <n v="1.875"/>
  </r>
  <r>
    <n v="998"/>
    <x v="6"/>
    <x v="8"/>
    <x v="10"/>
    <s v="Percent"/>
    <s v="Units"/>
    <x v="3"/>
    <n v="1.8859999999999999"/>
  </r>
  <r>
    <n v="998"/>
    <x v="6"/>
    <x v="8"/>
    <x v="10"/>
    <s v="Percent"/>
    <s v="Units"/>
    <x v="4"/>
    <n v="1.8460000000000001"/>
  </r>
  <r>
    <n v="998"/>
    <x v="6"/>
    <x v="8"/>
    <x v="10"/>
    <s v="Percent"/>
    <s v="Units"/>
    <x v="5"/>
    <n v="1.8029999999999999"/>
  </r>
  <r>
    <n v="998"/>
    <x v="6"/>
    <x v="8"/>
    <x v="10"/>
    <s v="Percent"/>
    <s v="Units"/>
    <x v="6"/>
    <n v="1.7589999999999999"/>
  </r>
  <r>
    <n v="119"/>
    <x v="1"/>
    <x v="8"/>
    <x v="10"/>
    <s v="Percent"/>
    <s v="Units"/>
    <x v="0"/>
    <n v="1.964"/>
  </r>
  <r>
    <n v="119"/>
    <x v="1"/>
    <x v="8"/>
    <x v="10"/>
    <s v="Percent"/>
    <s v="Units"/>
    <x v="1"/>
    <n v="1.841"/>
  </r>
  <r>
    <n v="119"/>
    <x v="1"/>
    <x v="8"/>
    <x v="10"/>
    <s v="Percent"/>
    <s v="Units"/>
    <x v="2"/>
    <n v="1.875"/>
  </r>
  <r>
    <n v="119"/>
    <x v="1"/>
    <x v="8"/>
    <x v="10"/>
    <s v="Percent"/>
    <s v="Units"/>
    <x v="3"/>
    <n v="1.8859999999999999"/>
  </r>
  <r>
    <n v="119"/>
    <x v="1"/>
    <x v="8"/>
    <x v="10"/>
    <s v="Percent"/>
    <s v="Units"/>
    <x v="4"/>
    <n v="1.8460000000000001"/>
  </r>
  <r>
    <n v="119"/>
    <x v="1"/>
    <x v="8"/>
    <x v="10"/>
    <s v="Percent"/>
    <s v="Units"/>
    <x v="5"/>
    <n v="1.8029999999999999"/>
  </r>
  <r>
    <n v="119"/>
    <x v="1"/>
    <x v="8"/>
    <x v="10"/>
    <s v="Percent"/>
    <s v="Units"/>
    <x v="6"/>
    <n v="1.7589999999999999"/>
  </r>
  <r>
    <n v="110"/>
    <x v="0"/>
    <x v="8"/>
    <x v="10"/>
    <s v="Percent"/>
    <s v="Units"/>
    <x v="0"/>
    <n v="1.964"/>
  </r>
  <r>
    <n v="110"/>
    <x v="0"/>
    <x v="8"/>
    <x v="10"/>
    <s v="Percent"/>
    <s v="Units"/>
    <x v="1"/>
    <n v="1.841"/>
  </r>
  <r>
    <n v="110"/>
    <x v="0"/>
    <x v="8"/>
    <x v="10"/>
    <s v="Percent"/>
    <s v="Units"/>
    <x v="2"/>
    <n v="1.875"/>
  </r>
  <r>
    <n v="110"/>
    <x v="0"/>
    <x v="8"/>
    <x v="10"/>
    <s v="Percent"/>
    <s v="Units"/>
    <x v="3"/>
    <n v="1.8859999999999999"/>
  </r>
  <r>
    <n v="110"/>
    <x v="0"/>
    <x v="8"/>
    <x v="10"/>
    <s v="Percent"/>
    <s v="Units"/>
    <x v="4"/>
    <n v="1.8460000000000001"/>
  </r>
  <r>
    <n v="110"/>
    <x v="0"/>
    <x v="8"/>
    <x v="10"/>
    <s v="Percent"/>
    <s v="Units"/>
    <x v="5"/>
    <n v="1.8029999999999999"/>
  </r>
  <r>
    <n v="110"/>
    <x v="0"/>
    <x v="8"/>
    <x v="10"/>
    <s v="Percent"/>
    <s v="Units"/>
    <x v="6"/>
    <n v="1.7589999999999999"/>
  </r>
  <r>
    <n v="200"/>
    <x v="3"/>
    <x v="101"/>
    <x v="6"/>
    <s v="Percent change"/>
    <s v="Units"/>
    <x v="0"/>
    <n v="2.1"/>
  </r>
  <r>
    <n v="200"/>
    <x v="3"/>
    <x v="101"/>
    <x v="6"/>
    <s v="Percent change"/>
    <s v="Units"/>
    <x v="1"/>
    <n v="-16.751999999999999"/>
  </r>
  <r>
    <n v="200"/>
    <x v="3"/>
    <x v="101"/>
    <x v="6"/>
    <s v="Percent change"/>
    <s v="Units"/>
    <x v="2"/>
    <n v="19.302"/>
  </r>
  <r>
    <n v="200"/>
    <x v="3"/>
    <x v="101"/>
    <x v="6"/>
    <s v="Percent change"/>
    <s v="Units"/>
    <x v="3"/>
    <n v="7.26"/>
  </r>
  <r>
    <n v="200"/>
    <x v="3"/>
    <x v="101"/>
    <x v="6"/>
    <s v="Percent change"/>
    <s v="Units"/>
    <x v="4"/>
    <n v="3.4489999999999998"/>
  </r>
  <r>
    <n v="200"/>
    <x v="3"/>
    <x v="101"/>
    <x v="6"/>
    <s v="Percent change"/>
    <s v="Units"/>
    <x v="5"/>
    <n v="1.802"/>
  </r>
  <r>
    <n v="200"/>
    <x v="3"/>
    <x v="101"/>
    <x v="6"/>
    <s v="Percent change"/>
    <s v="Units"/>
    <x v="6"/>
    <n v="2.7069999999999999"/>
  </r>
  <r>
    <n v="1"/>
    <x v="2"/>
    <x v="101"/>
    <x v="6"/>
    <s v="Percent change"/>
    <s v="Units"/>
    <x v="0"/>
    <n v="2.1"/>
  </r>
  <r>
    <n v="1"/>
    <x v="2"/>
    <x v="101"/>
    <x v="6"/>
    <s v="Percent change"/>
    <s v="Units"/>
    <x v="1"/>
    <n v="-16.751999999999999"/>
  </r>
  <r>
    <n v="1"/>
    <x v="2"/>
    <x v="101"/>
    <x v="6"/>
    <s v="Percent change"/>
    <s v="Units"/>
    <x v="2"/>
    <n v="19.302"/>
  </r>
  <r>
    <n v="1"/>
    <x v="2"/>
    <x v="101"/>
    <x v="6"/>
    <s v="Percent change"/>
    <s v="Units"/>
    <x v="3"/>
    <n v="7.26"/>
  </r>
  <r>
    <n v="1"/>
    <x v="2"/>
    <x v="101"/>
    <x v="6"/>
    <s v="Percent change"/>
    <s v="Units"/>
    <x v="4"/>
    <n v="3.4489999999999998"/>
  </r>
  <r>
    <n v="1"/>
    <x v="2"/>
    <x v="101"/>
    <x v="6"/>
    <s v="Percent change"/>
    <s v="Units"/>
    <x v="5"/>
    <n v="1.802"/>
  </r>
  <r>
    <n v="1"/>
    <x v="2"/>
    <x v="101"/>
    <x v="6"/>
    <s v="Percent change"/>
    <s v="Units"/>
    <x v="6"/>
    <n v="2.7069999999999999"/>
  </r>
  <r>
    <n v="400"/>
    <x v="11"/>
    <x v="101"/>
    <x v="6"/>
    <s v="Percent change"/>
    <s v="Units"/>
    <x v="0"/>
    <n v="2.1"/>
  </r>
  <r>
    <n v="400"/>
    <x v="11"/>
    <x v="101"/>
    <x v="6"/>
    <s v="Percent change"/>
    <s v="Units"/>
    <x v="1"/>
    <n v="-16.751999999999999"/>
  </r>
  <r>
    <n v="400"/>
    <x v="11"/>
    <x v="101"/>
    <x v="6"/>
    <s v="Percent change"/>
    <s v="Units"/>
    <x v="2"/>
    <n v="19.302"/>
  </r>
  <r>
    <n v="400"/>
    <x v="11"/>
    <x v="101"/>
    <x v="6"/>
    <s v="Percent change"/>
    <s v="Units"/>
    <x v="3"/>
    <n v="7.26"/>
  </r>
  <r>
    <n v="400"/>
    <x v="11"/>
    <x v="101"/>
    <x v="6"/>
    <s v="Percent change"/>
    <s v="Units"/>
    <x v="4"/>
    <n v="3.4489999999999998"/>
  </r>
  <r>
    <n v="400"/>
    <x v="11"/>
    <x v="101"/>
    <x v="6"/>
    <s v="Percent change"/>
    <s v="Units"/>
    <x v="5"/>
    <n v="1.802"/>
  </r>
  <r>
    <n v="400"/>
    <x v="11"/>
    <x v="101"/>
    <x v="6"/>
    <s v="Percent change"/>
    <s v="Units"/>
    <x v="6"/>
    <n v="2.7069999999999999"/>
  </r>
  <r>
    <n v="1"/>
    <x v="2"/>
    <x v="127"/>
    <x v="8"/>
    <s v="Percent change"/>
    <s v="Units"/>
    <x v="0"/>
    <n v="2.016"/>
  </r>
  <r>
    <n v="1"/>
    <x v="2"/>
    <x v="127"/>
    <x v="8"/>
    <s v="Percent change"/>
    <s v="Units"/>
    <x v="1"/>
    <n v="-11.183999999999999"/>
  </r>
  <r>
    <n v="1"/>
    <x v="2"/>
    <x v="127"/>
    <x v="8"/>
    <s v="Percent change"/>
    <s v="Units"/>
    <x v="2"/>
    <n v="8.2870000000000008"/>
  </r>
  <r>
    <n v="1"/>
    <x v="2"/>
    <x v="127"/>
    <x v="8"/>
    <s v="Percent change"/>
    <s v="Units"/>
    <x v="3"/>
    <n v="9.5649999999999995"/>
  </r>
  <r>
    <n v="1"/>
    <x v="2"/>
    <x v="127"/>
    <x v="8"/>
    <s v="Percent change"/>
    <s v="Units"/>
    <x v="4"/>
    <n v="2.2749999999999999"/>
  </r>
  <r>
    <n v="1"/>
    <x v="2"/>
    <x v="127"/>
    <x v="8"/>
    <s v="Percent change"/>
    <s v="Units"/>
    <x v="5"/>
    <n v="1.8"/>
  </r>
  <r>
    <n v="1"/>
    <x v="2"/>
    <x v="127"/>
    <x v="8"/>
    <s v="Percent change"/>
    <s v="Units"/>
    <x v="6"/>
    <n v="1.5"/>
  </r>
  <r>
    <n v="205"/>
    <x v="7"/>
    <x v="151"/>
    <x v="8"/>
    <s v="Percent change"/>
    <s v="Units"/>
    <x v="0"/>
    <n v="0.97"/>
  </r>
  <r>
    <n v="205"/>
    <x v="7"/>
    <x v="151"/>
    <x v="8"/>
    <s v="Percent change"/>
    <s v="Units"/>
    <x v="1"/>
    <n v="-9.92"/>
  </r>
  <r>
    <n v="205"/>
    <x v="7"/>
    <x v="151"/>
    <x v="8"/>
    <s v="Percent change"/>
    <s v="Units"/>
    <x v="2"/>
    <n v="4.601"/>
  </r>
  <r>
    <n v="205"/>
    <x v="7"/>
    <x v="151"/>
    <x v="8"/>
    <s v="Percent change"/>
    <s v="Units"/>
    <x v="3"/>
    <n v="5.2220000000000004"/>
  </r>
  <r>
    <n v="205"/>
    <x v="7"/>
    <x v="151"/>
    <x v="8"/>
    <s v="Percent change"/>
    <s v="Units"/>
    <x v="4"/>
    <n v="2.2000000000000002"/>
  </r>
  <r>
    <n v="205"/>
    <x v="7"/>
    <x v="151"/>
    <x v="8"/>
    <s v="Percent change"/>
    <s v="Units"/>
    <x v="5"/>
    <n v="1.8"/>
  </r>
  <r>
    <n v="205"/>
    <x v="7"/>
    <x v="151"/>
    <x v="8"/>
    <s v="Percent change"/>
    <s v="Units"/>
    <x v="6"/>
    <n v="1.7"/>
  </r>
  <r>
    <n v="123"/>
    <x v="9"/>
    <x v="127"/>
    <x v="8"/>
    <s v="Percent change"/>
    <s v="Units"/>
    <x v="0"/>
    <n v="2.016"/>
  </r>
  <r>
    <n v="123"/>
    <x v="9"/>
    <x v="127"/>
    <x v="8"/>
    <s v="Percent change"/>
    <s v="Units"/>
    <x v="1"/>
    <n v="-11.183999999999999"/>
  </r>
  <r>
    <n v="123"/>
    <x v="9"/>
    <x v="127"/>
    <x v="8"/>
    <s v="Percent change"/>
    <s v="Units"/>
    <x v="2"/>
    <n v="8.2870000000000008"/>
  </r>
  <r>
    <n v="123"/>
    <x v="9"/>
    <x v="127"/>
    <x v="8"/>
    <s v="Percent change"/>
    <s v="Units"/>
    <x v="3"/>
    <n v="9.5649999999999995"/>
  </r>
  <r>
    <n v="123"/>
    <x v="9"/>
    <x v="127"/>
    <x v="8"/>
    <s v="Percent change"/>
    <s v="Units"/>
    <x v="4"/>
    <n v="2.2749999999999999"/>
  </r>
  <r>
    <n v="123"/>
    <x v="9"/>
    <x v="127"/>
    <x v="8"/>
    <s v="Percent change"/>
    <s v="Units"/>
    <x v="5"/>
    <n v="1.8"/>
  </r>
  <r>
    <n v="123"/>
    <x v="9"/>
    <x v="127"/>
    <x v="8"/>
    <s v="Percent change"/>
    <s v="Units"/>
    <x v="6"/>
    <n v="1.5"/>
  </r>
  <r>
    <n v="200"/>
    <x v="3"/>
    <x v="151"/>
    <x v="8"/>
    <s v="Percent change"/>
    <s v="Units"/>
    <x v="0"/>
    <n v="0.97"/>
  </r>
  <r>
    <n v="200"/>
    <x v="3"/>
    <x v="151"/>
    <x v="8"/>
    <s v="Percent change"/>
    <s v="Units"/>
    <x v="1"/>
    <n v="-9.92"/>
  </r>
  <r>
    <n v="200"/>
    <x v="3"/>
    <x v="151"/>
    <x v="8"/>
    <s v="Percent change"/>
    <s v="Units"/>
    <x v="2"/>
    <n v="4.601"/>
  </r>
  <r>
    <n v="200"/>
    <x v="3"/>
    <x v="151"/>
    <x v="8"/>
    <s v="Percent change"/>
    <s v="Units"/>
    <x v="3"/>
    <n v="5.2220000000000004"/>
  </r>
  <r>
    <n v="200"/>
    <x v="3"/>
    <x v="151"/>
    <x v="8"/>
    <s v="Percent change"/>
    <s v="Units"/>
    <x v="4"/>
    <n v="2.2000000000000002"/>
  </r>
  <r>
    <n v="200"/>
    <x v="3"/>
    <x v="151"/>
    <x v="8"/>
    <s v="Percent change"/>
    <s v="Units"/>
    <x v="5"/>
    <n v="1.8"/>
  </r>
  <r>
    <n v="200"/>
    <x v="3"/>
    <x v="151"/>
    <x v="8"/>
    <s v="Percent change"/>
    <s v="Units"/>
    <x v="6"/>
    <n v="1.7"/>
  </r>
  <r>
    <n v="1"/>
    <x v="2"/>
    <x v="151"/>
    <x v="8"/>
    <s v="Percent change"/>
    <s v="Units"/>
    <x v="0"/>
    <n v="0.97"/>
  </r>
  <r>
    <n v="1"/>
    <x v="2"/>
    <x v="151"/>
    <x v="8"/>
    <s v="Percent change"/>
    <s v="Units"/>
    <x v="1"/>
    <n v="-9.92"/>
  </r>
  <r>
    <n v="1"/>
    <x v="2"/>
    <x v="151"/>
    <x v="8"/>
    <s v="Percent change"/>
    <s v="Units"/>
    <x v="2"/>
    <n v="4.601"/>
  </r>
  <r>
    <n v="1"/>
    <x v="2"/>
    <x v="151"/>
    <x v="8"/>
    <s v="Percent change"/>
    <s v="Units"/>
    <x v="3"/>
    <n v="5.2220000000000004"/>
  </r>
  <r>
    <n v="1"/>
    <x v="2"/>
    <x v="151"/>
    <x v="8"/>
    <s v="Percent change"/>
    <s v="Units"/>
    <x v="4"/>
    <n v="2.2000000000000002"/>
  </r>
  <r>
    <n v="1"/>
    <x v="2"/>
    <x v="151"/>
    <x v="8"/>
    <s v="Percent change"/>
    <s v="Units"/>
    <x v="5"/>
    <n v="1.8"/>
  </r>
  <r>
    <n v="1"/>
    <x v="2"/>
    <x v="151"/>
    <x v="8"/>
    <s v="Percent change"/>
    <s v="Units"/>
    <x v="6"/>
    <n v="1.7"/>
  </r>
  <r>
    <n v="110"/>
    <x v="0"/>
    <x v="127"/>
    <x v="8"/>
    <s v="Percent change"/>
    <s v="Units"/>
    <x v="0"/>
    <n v="2.016"/>
  </r>
  <r>
    <n v="110"/>
    <x v="0"/>
    <x v="127"/>
    <x v="8"/>
    <s v="Percent change"/>
    <s v="Units"/>
    <x v="1"/>
    <n v="-11.183999999999999"/>
  </r>
  <r>
    <n v="110"/>
    <x v="0"/>
    <x v="127"/>
    <x v="8"/>
    <s v="Percent change"/>
    <s v="Units"/>
    <x v="2"/>
    <n v="8.2870000000000008"/>
  </r>
  <r>
    <n v="110"/>
    <x v="0"/>
    <x v="127"/>
    <x v="8"/>
    <s v="Percent change"/>
    <s v="Units"/>
    <x v="3"/>
    <n v="9.5649999999999995"/>
  </r>
  <r>
    <n v="110"/>
    <x v="0"/>
    <x v="127"/>
    <x v="8"/>
    <s v="Percent change"/>
    <s v="Units"/>
    <x v="4"/>
    <n v="2.2749999999999999"/>
  </r>
  <r>
    <n v="110"/>
    <x v="0"/>
    <x v="127"/>
    <x v="8"/>
    <s v="Percent change"/>
    <s v="Units"/>
    <x v="5"/>
    <n v="1.8"/>
  </r>
  <r>
    <n v="110"/>
    <x v="0"/>
    <x v="127"/>
    <x v="8"/>
    <s v="Percent change"/>
    <s v="Units"/>
    <x v="6"/>
    <n v="1.5"/>
  </r>
  <r>
    <n v="1"/>
    <x v="2"/>
    <x v="111"/>
    <x v="4"/>
    <s v="Percent change"/>
    <s v="Units"/>
    <x v="0"/>
    <n v="0.75600000000000001"/>
  </r>
  <r>
    <n v="1"/>
    <x v="2"/>
    <x v="111"/>
    <x v="4"/>
    <s v="Percent change"/>
    <s v="Units"/>
    <x v="1"/>
    <n v="-63.231999999999999"/>
  </r>
  <r>
    <n v="1"/>
    <x v="2"/>
    <x v="111"/>
    <x v="4"/>
    <s v="Percent change"/>
    <s v="Units"/>
    <x v="2"/>
    <n v="-26.817"/>
  </r>
  <r>
    <n v="1"/>
    <x v="2"/>
    <x v="111"/>
    <x v="4"/>
    <s v="Percent change"/>
    <s v="Units"/>
    <x v="3"/>
    <n v="198.2"/>
  </r>
  <r>
    <n v="1"/>
    <x v="2"/>
    <x v="111"/>
    <x v="4"/>
    <s v="Percent change"/>
    <s v="Units"/>
    <x v="4"/>
    <n v="35.935000000000002"/>
  </r>
  <r>
    <n v="1"/>
    <x v="2"/>
    <x v="111"/>
    <x v="4"/>
    <s v="Percent change"/>
    <s v="Units"/>
    <x v="5"/>
    <n v="1.7989999999999999"/>
  </r>
  <r>
    <n v="1"/>
    <x v="2"/>
    <x v="111"/>
    <x v="4"/>
    <s v="Percent change"/>
    <s v="Units"/>
    <x v="6"/>
    <n v="6.7450000000000001"/>
  </r>
  <r>
    <n v="200"/>
    <x v="3"/>
    <x v="111"/>
    <x v="4"/>
    <s v="Percent change"/>
    <s v="Units"/>
    <x v="0"/>
    <n v="0.75600000000000001"/>
  </r>
  <r>
    <n v="200"/>
    <x v="3"/>
    <x v="111"/>
    <x v="4"/>
    <s v="Percent change"/>
    <s v="Units"/>
    <x v="1"/>
    <n v="-63.231999999999999"/>
  </r>
  <r>
    <n v="200"/>
    <x v="3"/>
    <x v="111"/>
    <x v="4"/>
    <s v="Percent change"/>
    <s v="Units"/>
    <x v="2"/>
    <n v="-26.817"/>
  </r>
  <r>
    <n v="200"/>
    <x v="3"/>
    <x v="111"/>
    <x v="4"/>
    <s v="Percent change"/>
    <s v="Units"/>
    <x v="3"/>
    <n v="198.2"/>
  </r>
  <r>
    <n v="200"/>
    <x v="3"/>
    <x v="111"/>
    <x v="4"/>
    <s v="Percent change"/>
    <s v="Units"/>
    <x v="4"/>
    <n v="35.935000000000002"/>
  </r>
  <r>
    <n v="200"/>
    <x v="3"/>
    <x v="111"/>
    <x v="4"/>
    <s v="Percent change"/>
    <s v="Units"/>
    <x v="5"/>
    <n v="1.7989999999999999"/>
  </r>
  <r>
    <n v="200"/>
    <x v="3"/>
    <x v="111"/>
    <x v="4"/>
    <s v="Percent change"/>
    <s v="Units"/>
    <x v="6"/>
    <n v="6.7450000000000001"/>
  </r>
  <r>
    <n v="205"/>
    <x v="7"/>
    <x v="111"/>
    <x v="4"/>
    <s v="Percent change"/>
    <s v="Units"/>
    <x v="0"/>
    <n v="0.75600000000000001"/>
  </r>
  <r>
    <n v="205"/>
    <x v="7"/>
    <x v="111"/>
    <x v="4"/>
    <s v="Percent change"/>
    <s v="Units"/>
    <x v="1"/>
    <n v="-63.231999999999999"/>
  </r>
  <r>
    <n v="205"/>
    <x v="7"/>
    <x v="111"/>
    <x v="4"/>
    <s v="Percent change"/>
    <s v="Units"/>
    <x v="2"/>
    <n v="-26.817"/>
  </r>
  <r>
    <n v="205"/>
    <x v="7"/>
    <x v="111"/>
    <x v="4"/>
    <s v="Percent change"/>
    <s v="Units"/>
    <x v="3"/>
    <n v="198.2"/>
  </r>
  <r>
    <n v="205"/>
    <x v="7"/>
    <x v="111"/>
    <x v="4"/>
    <s v="Percent change"/>
    <s v="Units"/>
    <x v="4"/>
    <n v="35.935000000000002"/>
  </r>
  <r>
    <n v="205"/>
    <x v="7"/>
    <x v="111"/>
    <x v="4"/>
    <s v="Percent change"/>
    <s v="Units"/>
    <x v="5"/>
    <n v="1.7989999999999999"/>
  </r>
  <r>
    <n v="205"/>
    <x v="7"/>
    <x v="111"/>
    <x v="4"/>
    <s v="Percent change"/>
    <s v="Units"/>
    <x v="6"/>
    <n v="6.7450000000000001"/>
  </r>
  <r>
    <n v="205"/>
    <x v="7"/>
    <x v="178"/>
    <x v="1"/>
    <s v="Percent change"/>
    <s v="Units"/>
    <x v="0"/>
    <n v="0.53900000000000003"/>
  </r>
  <r>
    <n v="205"/>
    <x v="7"/>
    <x v="178"/>
    <x v="1"/>
    <s v="Percent change"/>
    <s v="Units"/>
    <x v="1"/>
    <n v="-1.7549999999999999"/>
  </r>
  <r>
    <n v="205"/>
    <x v="7"/>
    <x v="178"/>
    <x v="1"/>
    <s v="Percent change"/>
    <s v="Units"/>
    <x v="2"/>
    <n v="2.41"/>
  </r>
  <r>
    <n v="205"/>
    <x v="7"/>
    <x v="178"/>
    <x v="1"/>
    <s v="Percent change"/>
    <s v="Units"/>
    <x v="3"/>
    <n v="6.3730000000000002"/>
  </r>
  <r>
    <n v="205"/>
    <x v="7"/>
    <x v="178"/>
    <x v="1"/>
    <s v="Percent change"/>
    <s v="Units"/>
    <x v="4"/>
    <n v="3.6509999999999998"/>
  </r>
  <r>
    <n v="205"/>
    <x v="7"/>
    <x v="178"/>
    <x v="1"/>
    <s v="Percent change"/>
    <s v="Units"/>
    <x v="5"/>
    <n v="1.7589999999999999"/>
  </r>
  <r>
    <n v="205"/>
    <x v="7"/>
    <x v="178"/>
    <x v="1"/>
    <s v="Percent change"/>
    <s v="Units"/>
    <x v="6"/>
    <n v="1.956"/>
  </r>
  <r>
    <n v="200"/>
    <x v="3"/>
    <x v="178"/>
    <x v="1"/>
    <s v="Percent change"/>
    <s v="Units"/>
    <x v="0"/>
    <n v="0.53900000000000003"/>
  </r>
  <r>
    <n v="200"/>
    <x v="3"/>
    <x v="178"/>
    <x v="1"/>
    <s v="Percent change"/>
    <s v="Units"/>
    <x v="1"/>
    <n v="-1.7549999999999999"/>
  </r>
  <r>
    <n v="200"/>
    <x v="3"/>
    <x v="178"/>
    <x v="1"/>
    <s v="Percent change"/>
    <s v="Units"/>
    <x v="2"/>
    <n v="2.41"/>
  </r>
  <r>
    <n v="200"/>
    <x v="3"/>
    <x v="178"/>
    <x v="1"/>
    <s v="Percent change"/>
    <s v="Units"/>
    <x v="3"/>
    <n v="6.3730000000000002"/>
  </r>
  <r>
    <n v="200"/>
    <x v="3"/>
    <x v="178"/>
    <x v="1"/>
    <s v="Percent change"/>
    <s v="Units"/>
    <x v="4"/>
    <n v="3.6509999999999998"/>
  </r>
  <r>
    <n v="200"/>
    <x v="3"/>
    <x v="178"/>
    <x v="1"/>
    <s v="Percent change"/>
    <s v="Units"/>
    <x v="5"/>
    <n v="1.7589999999999999"/>
  </r>
  <r>
    <n v="200"/>
    <x v="3"/>
    <x v="178"/>
    <x v="1"/>
    <s v="Percent change"/>
    <s v="Units"/>
    <x v="6"/>
    <n v="1.956"/>
  </r>
  <r>
    <n v="1"/>
    <x v="2"/>
    <x v="178"/>
    <x v="1"/>
    <s v="Percent change"/>
    <s v="Units"/>
    <x v="0"/>
    <n v="0.53900000000000003"/>
  </r>
  <r>
    <n v="1"/>
    <x v="2"/>
    <x v="178"/>
    <x v="1"/>
    <s v="Percent change"/>
    <s v="Units"/>
    <x v="1"/>
    <n v="-1.7549999999999999"/>
  </r>
  <r>
    <n v="1"/>
    <x v="2"/>
    <x v="178"/>
    <x v="1"/>
    <s v="Percent change"/>
    <s v="Units"/>
    <x v="2"/>
    <n v="2.41"/>
  </r>
  <r>
    <n v="1"/>
    <x v="2"/>
    <x v="178"/>
    <x v="1"/>
    <s v="Percent change"/>
    <s v="Units"/>
    <x v="3"/>
    <n v="6.3730000000000002"/>
  </r>
  <r>
    <n v="1"/>
    <x v="2"/>
    <x v="178"/>
    <x v="1"/>
    <s v="Percent change"/>
    <s v="Units"/>
    <x v="4"/>
    <n v="3.6509999999999998"/>
  </r>
  <r>
    <n v="1"/>
    <x v="2"/>
    <x v="178"/>
    <x v="1"/>
    <s v="Percent change"/>
    <s v="Units"/>
    <x v="5"/>
    <n v="1.7589999999999999"/>
  </r>
  <r>
    <n v="1"/>
    <x v="2"/>
    <x v="178"/>
    <x v="1"/>
    <s v="Percent change"/>
    <s v="Units"/>
    <x v="6"/>
    <n v="1.956"/>
  </r>
  <r>
    <n v="110"/>
    <x v="0"/>
    <x v="113"/>
    <x v="8"/>
    <s v="Percent change"/>
    <s v="Units"/>
    <x v="0"/>
    <n v="1.861"/>
  </r>
  <r>
    <n v="110"/>
    <x v="0"/>
    <x v="113"/>
    <x v="8"/>
    <s v="Percent change"/>
    <s v="Units"/>
    <x v="1"/>
    <n v="-6.94"/>
  </r>
  <r>
    <n v="110"/>
    <x v="0"/>
    <x v="113"/>
    <x v="8"/>
    <s v="Percent change"/>
    <s v="Units"/>
    <x v="2"/>
    <n v="5.149"/>
  </r>
  <r>
    <n v="110"/>
    <x v="0"/>
    <x v="113"/>
    <x v="8"/>
    <s v="Percent change"/>
    <s v="Units"/>
    <x v="3"/>
    <n v="8.8810000000000002"/>
  </r>
  <r>
    <n v="110"/>
    <x v="0"/>
    <x v="113"/>
    <x v="8"/>
    <s v="Percent change"/>
    <s v="Units"/>
    <x v="4"/>
    <n v="4.0640000000000001"/>
  </r>
  <r>
    <n v="110"/>
    <x v="0"/>
    <x v="113"/>
    <x v="8"/>
    <s v="Percent change"/>
    <s v="Units"/>
    <x v="5"/>
    <n v="1.7410000000000001"/>
  </r>
  <r>
    <n v="110"/>
    <x v="0"/>
    <x v="113"/>
    <x v="8"/>
    <s v="Percent change"/>
    <s v="Units"/>
    <x v="6"/>
    <n v="1.996"/>
  </r>
  <r>
    <n v="123"/>
    <x v="9"/>
    <x v="113"/>
    <x v="8"/>
    <s v="Percent change"/>
    <s v="Units"/>
    <x v="0"/>
    <n v="1.861"/>
  </r>
  <r>
    <n v="123"/>
    <x v="9"/>
    <x v="113"/>
    <x v="8"/>
    <s v="Percent change"/>
    <s v="Units"/>
    <x v="1"/>
    <n v="-6.94"/>
  </r>
  <r>
    <n v="123"/>
    <x v="9"/>
    <x v="113"/>
    <x v="8"/>
    <s v="Percent change"/>
    <s v="Units"/>
    <x v="2"/>
    <n v="5.149"/>
  </r>
  <r>
    <n v="123"/>
    <x v="9"/>
    <x v="113"/>
    <x v="8"/>
    <s v="Percent change"/>
    <s v="Units"/>
    <x v="3"/>
    <n v="8.8810000000000002"/>
  </r>
  <r>
    <n v="123"/>
    <x v="9"/>
    <x v="113"/>
    <x v="8"/>
    <s v="Percent change"/>
    <s v="Units"/>
    <x v="4"/>
    <n v="4.0640000000000001"/>
  </r>
  <r>
    <n v="123"/>
    <x v="9"/>
    <x v="113"/>
    <x v="8"/>
    <s v="Percent change"/>
    <s v="Units"/>
    <x v="5"/>
    <n v="1.7410000000000001"/>
  </r>
  <r>
    <n v="123"/>
    <x v="9"/>
    <x v="113"/>
    <x v="8"/>
    <s v="Percent change"/>
    <s v="Units"/>
    <x v="6"/>
    <n v="1.996"/>
  </r>
  <r>
    <n v="1"/>
    <x v="2"/>
    <x v="113"/>
    <x v="8"/>
    <s v="Percent change"/>
    <s v="Units"/>
    <x v="0"/>
    <n v="1.861"/>
  </r>
  <r>
    <n v="1"/>
    <x v="2"/>
    <x v="113"/>
    <x v="8"/>
    <s v="Percent change"/>
    <s v="Units"/>
    <x v="1"/>
    <n v="-6.94"/>
  </r>
  <r>
    <n v="1"/>
    <x v="2"/>
    <x v="113"/>
    <x v="8"/>
    <s v="Percent change"/>
    <s v="Units"/>
    <x v="2"/>
    <n v="5.149"/>
  </r>
  <r>
    <n v="1"/>
    <x v="2"/>
    <x v="113"/>
    <x v="8"/>
    <s v="Percent change"/>
    <s v="Units"/>
    <x v="3"/>
    <n v="8.8810000000000002"/>
  </r>
  <r>
    <n v="1"/>
    <x v="2"/>
    <x v="113"/>
    <x v="8"/>
    <s v="Percent change"/>
    <s v="Units"/>
    <x v="4"/>
    <n v="4.0640000000000001"/>
  </r>
  <r>
    <n v="1"/>
    <x v="2"/>
    <x v="113"/>
    <x v="8"/>
    <s v="Percent change"/>
    <s v="Units"/>
    <x v="5"/>
    <n v="1.7410000000000001"/>
  </r>
  <r>
    <n v="1"/>
    <x v="2"/>
    <x v="113"/>
    <x v="8"/>
    <s v="Percent change"/>
    <s v="Units"/>
    <x v="6"/>
    <n v="1.996"/>
  </r>
  <r>
    <n v="205"/>
    <x v="7"/>
    <x v="79"/>
    <x v="1"/>
    <s v="Percent change"/>
    <s v="Units"/>
    <x v="0"/>
    <n v="-0.35499999999999998"/>
  </r>
  <r>
    <n v="205"/>
    <x v="7"/>
    <x v="79"/>
    <x v="1"/>
    <s v="Percent change"/>
    <s v="Units"/>
    <x v="1"/>
    <n v="-1.55"/>
  </r>
  <r>
    <n v="205"/>
    <x v="7"/>
    <x v="79"/>
    <x v="1"/>
    <s v="Percent change"/>
    <s v="Units"/>
    <x v="2"/>
    <n v="1.631"/>
  </r>
  <r>
    <n v="205"/>
    <x v="7"/>
    <x v="79"/>
    <x v="1"/>
    <s v="Percent change"/>
    <s v="Units"/>
    <x v="3"/>
    <n v="2.86"/>
  </r>
  <r>
    <n v="205"/>
    <x v="7"/>
    <x v="79"/>
    <x v="1"/>
    <s v="Percent change"/>
    <s v="Units"/>
    <x v="4"/>
    <n v="1.486"/>
  </r>
  <r>
    <n v="205"/>
    <x v="7"/>
    <x v="79"/>
    <x v="1"/>
    <s v="Percent change"/>
    <s v="Units"/>
    <x v="5"/>
    <n v="1.7350000000000001"/>
  </r>
  <r>
    <n v="205"/>
    <x v="7"/>
    <x v="79"/>
    <x v="1"/>
    <s v="Percent change"/>
    <s v="Units"/>
    <x v="6"/>
    <n v="1.96"/>
  </r>
  <r>
    <n v="200"/>
    <x v="3"/>
    <x v="79"/>
    <x v="1"/>
    <s v="Percent change"/>
    <s v="Units"/>
    <x v="0"/>
    <n v="-0.35499999999999998"/>
  </r>
  <r>
    <n v="200"/>
    <x v="3"/>
    <x v="79"/>
    <x v="1"/>
    <s v="Percent change"/>
    <s v="Units"/>
    <x v="1"/>
    <n v="-1.55"/>
  </r>
  <r>
    <n v="200"/>
    <x v="3"/>
    <x v="79"/>
    <x v="1"/>
    <s v="Percent change"/>
    <s v="Units"/>
    <x v="2"/>
    <n v="1.631"/>
  </r>
  <r>
    <n v="200"/>
    <x v="3"/>
    <x v="79"/>
    <x v="1"/>
    <s v="Percent change"/>
    <s v="Units"/>
    <x v="3"/>
    <n v="2.86"/>
  </r>
  <r>
    <n v="200"/>
    <x v="3"/>
    <x v="79"/>
    <x v="1"/>
    <s v="Percent change"/>
    <s v="Units"/>
    <x v="4"/>
    <n v="1.486"/>
  </r>
  <r>
    <n v="200"/>
    <x v="3"/>
    <x v="79"/>
    <x v="1"/>
    <s v="Percent change"/>
    <s v="Units"/>
    <x v="5"/>
    <n v="1.7350000000000001"/>
  </r>
  <r>
    <n v="200"/>
    <x v="3"/>
    <x v="79"/>
    <x v="1"/>
    <s v="Percent change"/>
    <s v="Units"/>
    <x v="6"/>
    <n v="1.96"/>
  </r>
  <r>
    <n v="1"/>
    <x v="2"/>
    <x v="79"/>
    <x v="1"/>
    <s v="Percent change"/>
    <s v="Units"/>
    <x v="0"/>
    <n v="-0.35499999999999998"/>
  </r>
  <r>
    <n v="1"/>
    <x v="2"/>
    <x v="79"/>
    <x v="1"/>
    <s v="Percent change"/>
    <s v="Units"/>
    <x v="1"/>
    <n v="-1.55"/>
  </r>
  <r>
    <n v="1"/>
    <x v="2"/>
    <x v="79"/>
    <x v="1"/>
    <s v="Percent change"/>
    <s v="Units"/>
    <x v="2"/>
    <n v="1.631"/>
  </r>
  <r>
    <n v="1"/>
    <x v="2"/>
    <x v="79"/>
    <x v="1"/>
    <s v="Percent change"/>
    <s v="Units"/>
    <x v="3"/>
    <n v="2.86"/>
  </r>
  <r>
    <n v="1"/>
    <x v="2"/>
    <x v="79"/>
    <x v="1"/>
    <s v="Percent change"/>
    <s v="Units"/>
    <x v="4"/>
    <n v="1.486"/>
  </r>
  <r>
    <n v="1"/>
    <x v="2"/>
    <x v="79"/>
    <x v="1"/>
    <s v="Percent change"/>
    <s v="Units"/>
    <x v="5"/>
    <n v="1.7350000000000001"/>
  </r>
  <r>
    <n v="1"/>
    <x v="2"/>
    <x v="79"/>
    <x v="1"/>
    <s v="Percent change"/>
    <s v="Units"/>
    <x v="6"/>
    <n v="1.96"/>
  </r>
  <r>
    <n v="110"/>
    <x v="0"/>
    <x v="118"/>
    <x v="12"/>
    <s v="Percent of potential GDP"/>
    <s v="Units"/>
    <x v="0"/>
    <n v="0.999"/>
  </r>
  <r>
    <n v="110"/>
    <x v="0"/>
    <x v="118"/>
    <x v="12"/>
    <s v="Percent of potential GDP"/>
    <s v="Units"/>
    <x v="1"/>
    <n v="-3.5419999999999998"/>
  </r>
  <r>
    <n v="110"/>
    <x v="0"/>
    <x v="118"/>
    <x v="12"/>
    <s v="Percent of potential GDP"/>
    <s v="Units"/>
    <x v="2"/>
    <n v="-1.958"/>
  </r>
  <r>
    <n v="110"/>
    <x v="0"/>
    <x v="118"/>
    <x v="12"/>
    <s v="Percent of potential GDP"/>
    <s v="Units"/>
    <x v="3"/>
    <n v="1.349"/>
  </r>
  <r>
    <n v="110"/>
    <x v="0"/>
    <x v="118"/>
    <x v="12"/>
    <s v="Percent of potential GDP"/>
    <s v="Units"/>
    <x v="4"/>
    <n v="1.7889999999999999"/>
  </r>
  <r>
    <n v="110"/>
    <x v="0"/>
    <x v="118"/>
    <x v="12"/>
    <s v="Percent of potential GDP"/>
    <s v="Units"/>
    <x v="5"/>
    <n v="1.7330000000000001"/>
  </r>
  <r>
    <n v="110"/>
    <x v="0"/>
    <x v="118"/>
    <x v="12"/>
    <s v="Percent of potential GDP"/>
    <s v="Units"/>
    <x v="6"/>
    <n v="1.7450000000000001"/>
  </r>
  <r>
    <n v="163"/>
    <x v="5"/>
    <x v="118"/>
    <x v="12"/>
    <s v="Percent of potential GDP"/>
    <s v="Units"/>
    <x v="0"/>
    <n v="0.999"/>
  </r>
  <r>
    <n v="163"/>
    <x v="5"/>
    <x v="118"/>
    <x v="12"/>
    <s v="Percent of potential GDP"/>
    <s v="Units"/>
    <x v="1"/>
    <n v="-3.5419999999999998"/>
  </r>
  <r>
    <n v="163"/>
    <x v="5"/>
    <x v="118"/>
    <x v="12"/>
    <s v="Percent of potential GDP"/>
    <s v="Units"/>
    <x v="2"/>
    <n v="-1.958"/>
  </r>
  <r>
    <n v="163"/>
    <x v="5"/>
    <x v="118"/>
    <x v="12"/>
    <s v="Percent of potential GDP"/>
    <s v="Units"/>
    <x v="3"/>
    <n v="1.349"/>
  </r>
  <r>
    <n v="163"/>
    <x v="5"/>
    <x v="118"/>
    <x v="12"/>
    <s v="Percent of potential GDP"/>
    <s v="Units"/>
    <x v="4"/>
    <n v="1.7889999999999999"/>
  </r>
  <r>
    <n v="163"/>
    <x v="5"/>
    <x v="118"/>
    <x v="12"/>
    <s v="Percent of potential GDP"/>
    <s v="Units"/>
    <x v="5"/>
    <n v="1.7330000000000001"/>
  </r>
  <r>
    <n v="163"/>
    <x v="5"/>
    <x v="118"/>
    <x v="12"/>
    <s v="Percent of potential GDP"/>
    <s v="Units"/>
    <x v="6"/>
    <n v="1.7450000000000001"/>
  </r>
  <r>
    <n v="110"/>
    <x v="0"/>
    <x v="46"/>
    <x v="8"/>
    <s v="Percent change"/>
    <s v="Units"/>
    <x v="0"/>
    <n v="2.6829999999999998"/>
  </r>
  <r>
    <n v="110"/>
    <x v="0"/>
    <x v="46"/>
    <x v="8"/>
    <s v="Percent change"/>
    <s v="Units"/>
    <x v="1"/>
    <n v="-8.3010000000000002"/>
  </r>
  <r>
    <n v="110"/>
    <x v="0"/>
    <x v="46"/>
    <x v="8"/>
    <s v="Percent change"/>
    <s v="Units"/>
    <x v="2"/>
    <n v="5.7370000000000001"/>
  </r>
  <r>
    <n v="110"/>
    <x v="0"/>
    <x v="46"/>
    <x v="8"/>
    <s v="Percent change"/>
    <s v="Units"/>
    <x v="3"/>
    <n v="6.8280000000000003"/>
  </r>
  <r>
    <n v="110"/>
    <x v="0"/>
    <x v="46"/>
    <x v="8"/>
    <s v="Percent change"/>
    <s v="Units"/>
    <x v="4"/>
    <n v="2.2799999999999998"/>
  </r>
  <r>
    <n v="110"/>
    <x v="0"/>
    <x v="46"/>
    <x v="8"/>
    <s v="Percent change"/>
    <s v="Units"/>
    <x v="5"/>
    <n v="1.732"/>
  </r>
  <r>
    <n v="110"/>
    <x v="0"/>
    <x v="46"/>
    <x v="8"/>
    <s v="Percent change"/>
    <s v="Units"/>
    <x v="6"/>
    <n v="2.0659999999999998"/>
  </r>
  <r>
    <n v="998"/>
    <x v="6"/>
    <x v="46"/>
    <x v="8"/>
    <s v="Percent change"/>
    <s v="Units"/>
    <x v="0"/>
    <n v="2.6829999999999998"/>
  </r>
  <r>
    <n v="998"/>
    <x v="6"/>
    <x v="46"/>
    <x v="8"/>
    <s v="Percent change"/>
    <s v="Units"/>
    <x v="1"/>
    <n v="-8.3010000000000002"/>
  </r>
  <r>
    <n v="998"/>
    <x v="6"/>
    <x v="46"/>
    <x v="8"/>
    <s v="Percent change"/>
    <s v="Units"/>
    <x v="2"/>
    <n v="5.7370000000000001"/>
  </r>
  <r>
    <n v="998"/>
    <x v="6"/>
    <x v="46"/>
    <x v="8"/>
    <s v="Percent change"/>
    <s v="Units"/>
    <x v="3"/>
    <n v="6.8280000000000003"/>
  </r>
  <r>
    <n v="998"/>
    <x v="6"/>
    <x v="46"/>
    <x v="8"/>
    <s v="Percent change"/>
    <s v="Units"/>
    <x v="4"/>
    <n v="2.2799999999999998"/>
  </r>
  <r>
    <n v="998"/>
    <x v="6"/>
    <x v="46"/>
    <x v="8"/>
    <s v="Percent change"/>
    <s v="Units"/>
    <x v="5"/>
    <n v="1.732"/>
  </r>
  <r>
    <n v="998"/>
    <x v="6"/>
    <x v="46"/>
    <x v="8"/>
    <s v="Percent change"/>
    <s v="Units"/>
    <x v="6"/>
    <n v="2.0659999999999998"/>
  </r>
  <r>
    <n v="1"/>
    <x v="2"/>
    <x v="46"/>
    <x v="8"/>
    <s v="Percent change"/>
    <s v="Units"/>
    <x v="0"/>
    <n v="2.6829999999999998"/>
  </r>
  <r>
    <n v="1"/>
    <x v="2"/>
    <x v="46"/>
    <x v="8"/>
    <s v="Percent change"/>
    <s v="Units"/>
    <x v="1"/>
    <n v="-8.3010000000000002"/>
  </r>
  <r>
    <n v="1"/>
    <x v="2"/>
    <x v="46"/>
    <x v="8"/>
    <s v="Percent change"/>
    <s v="Units"/>
    <x v="2"/>
    <n v="5.7370000000000001"/>
  </r>
  <r>
    <n v="1"/>
    <x v="2"/>
    <x v="46"/>
    <x v="8"/>
    <s v="Percent change"/>
    <s v="Units"/>
    <x v="3"/>
    <n v="6.8280000000000003"/>
  </r>
  <r>
    <n v="1"/>
    <x v="2"/>
    <x v="46"/>
    <x v="8"/>
    <s v="Percent change"/>
    <s v="Units"/>
    <x v="4"/>
    <n v="2.2799999999999998"/>
  </r>
  <r>
    <n v="1"/>
    <x v="2"/>
    <x v="46"/>
    <x v="8"/>
    <s v="Percent change"/>
    <s v="Units"/>
    <x v="5"/>
    <n v="1.732"/>
  </r>
  <r>
    <n v="1"/>
    <x v="2"/>
    <x v="46"/>
    <x v="8"/>
    <s v="Percent change"/>
    <s v="Units"/>
    <x v="6"/>
    <n v="2.0659999999999998"/>
  </r>
  <r>
    <n v="163"/>
    <x v="5"/>
    <x v="46"/>
    <x v="8"/>
    <s v="Percent change"/>
    <s v="Units"/>
    <x v="0"/>
    <n v="2.6829999999999998"/>
  </r>
  <r>
    <n v="163"/>
    <x v="5"/>
    <x v="46"/>
    <x v="8"/>
    <s v="Percent change"/>
    <s v="Units"/>
    <x v="1"/>
    <n v="-8.3010000000000002"/>
  </r>
  <r>
    <n v="163"/>
    <x v="5"/>
    <x v="46"/>
    <x v="8"/>
    <s v="Percent change"/>
    <s v="Units"/>
    <x v="2"/>
    <n v="5.7370000000000001"/>
  </r>
  <r>
    <n v="163"/>
    <x v="5"/>
    <x v="46"/>
    <x v="8"/>
    <s v="Percent change"/>
    <s v="Units"/>
    <x v="3"/>
    <n v="6.8280000000000003"/>
  </r>
  <r>
    <n v="163"/>
    <x v="5"/>
    <x v="46"/>
    <x v="8"/>
    <s v="Percent change"/>
    <s v="Units"/>
    <x v="4"/>
    <n v="2.2799999999999998"/>
  </r>
  <r>
    <n v="163"/>
    <x v="5"/>
    <x v="46"/>
    <x v="8"/>
    <s v="Percent change"/>
    <s v="Units"/>
    <x v="5"/>
    <n v="1.732"/>
  </r>
  <r>
    <n v="163"/>
    <x v="5"/>
    <x v="46"/>
    <x v="8"/>
    <s v="Percent change"/>
    <s v="Units"/>
    <x v="6"/>
    <n v="2.0659999999999998"/>
  </r>
  <r>
    <n v="205"/>
    <x v="7"/>
    <x v="111"/>
    <x v="1"/>
    <s v="Percent change"/>
    <s v="Units"/>
    <x v="0"/>
    <n v="0.59899999999999998"/>
  </r>
  <r>
    <n v="205"/>
    <x v="7"/>
    <x v="111"/>
    <x v="1"/>
    <s v="Percent change"/>
    <s v="Units"/>
    <x v="1"/>
    <n v="-0.74199999999999999"/>
  </r>
  <r>
    <n v="205"/>
    <x v="7"/>
    <x v="111"/>
    <x v="1"/>
    <s v="Percent change"/>
    <s v="Units"/>
    <x v="2"/>
    <n v="1.22"/>
  </r>
  <r>
    <n v="205"/>
    <x v="7"/>
    <x v="111"/>
    <x v="1"/>
    <s v="Percent change"/>
    <s v="Units"/>
    <x v="3"/>
    <n v="2.5819999999999999"/>
  </r>
  <r>
    <n v="205"/>
    <x v="7"/>
    <x v="111"/>
    <x v="1"/>
    <s v="Percent change"/>
    <s v="Units"/>
    <x v="4"/>
    <n v="3.0369999999999999"/>
  </r>
  <r>
    <n v="205"/>
    <x v="7"/>
    <x v="111"/>
    <x v="1"/>
    <s v="Percent change"/>
    <s v="Units"/>
    <x v="5"/>
    <n v="1.7090000000000001"/>
  </r>
  <r>
    <n v="205"/>
    <x v="7"/>
    <x v="111"/>
    <x v="1"/>
    <s v="Percent change"/>
    <s v="Units"/>
    <x v="6"/>
    <n v="2.0179999999999998"/>
  </r>
  <r>
    <n v="200"/>
    <x v="3"/>
    <x v="111"/>
    <x v="1"/>
    <s v="Percent change"/>
    <s v="Units"/>
    <x v="0"/>
    <n v="0.59899999999999998"/>
  </r>
  <r>
    <n v="200"/>
    <x v="3"/>
    <x v="111"/>
    <x v="1"/>
    <s v="Percent change"/>
    <s v="Units"/>
    <x v="1"/>
    <n v="-0.74199999999999999"/>
  </r>
  <r>
    <n v="200"/>
    <x v="3"/>
    <x v="111"/>
    <x v="1"/>
    <s v="Percent change"/>
    <s v="Units"/>
    <x v="2"/>
    <n v="1.22"/>
  </r>
  <r>
    <n v="200"/>
    <x v="3"/>
    <x v="111"/>
    <x v="1"/>
    <s v="Percent change"/>
    <s v="Units"/>
    <x v="3"/>
    <n v="2.5819999999999999"/>
  </r>
  <r>
    <n v="200"/>
    <x v="3"/>
    <x v="111"/>
    <x v="1"/>
    <s v="Percent change"/>
    <s v="Units"/>
    <x v="4"/>
    <n v="3.0369999999999999"/>
  </r>
  <r>
    <n v="200"/>
    <x v="3"/>
    <x v="111"/>
    <x v="1"/>
    <s v="Percent change"/>
    <s v="Units"/>
    <x v="5"/>
    <n v="1.7090000000000001"/>
  </r>
  <r>
    <n v="200"/>
    <x v="3"/>
    <x v="111"/>
    <x v="1"/>
    <s v="Percent change"/>
    <s v="Units"/>
    <x v="6"/>
    <n v="2.0179999999999998"/>
  </r>
  <r>
    <n v="1"/>
    <x v="2"/>
    <x v="111"/>
    <x v="1"/>
    <s v="Percent change"/>
    <s v="Units"/>
    <x v="0"/>
    <n v="0.59899999999999998"/>
  </r>
  <r>
    <n v="1"/>
    <x v="2"/>
    <x v="111"/>
    <x v="1"/>
    <s v="Percent change"/>
    <s v="Units"/>
    <x v="1"/>
    <n v="-0.74199999999999999"/>
  </r>
  <r>
    <n v="1"/>
    <x v="2"/>
    <x v="111"/>
    <x v="1"/>
    <s v="Percent change"/>
    <s v="Units"/>
    <x v="2"/>
    <n v="1.22"/>
  </r>
  <r>
    <n v="1"/>
    <x v="2"/>
    <x v="111"/>
    <x v="1"/>
    <s v="Percent change"/>
    <s v="Units"/>
    <x v="3"/>
    <n v="2.5819999999999999"/>
  </r>
  <r>
    <n v="1"/>
    <x v="2"/>
    <x v="111"/>
    <x v="1"/>
    <s v="Percent change"/>
    <s v="Units"/>
    <x v="4"/>
    <n v="3.0369999999999999"/>
  </r>
  <r>
    <n v="1"/>
    <x v="2"/>
    <x v="111"/>
    <x v="1"/>
    <s v="Percent change"/>
    <s v="Units"/>
    <x v="5"/>
    <n v="1.7090000000000001"/>
  </r>
  <r>
    <n v="1"/>
    <x v="2"/>
    <x v="111"/>
    <x v="1"/>
    <s v="Percent change"/>
    <s v="Units"/>
    <x v="6"/>
    <n v="2.0179999999999998"/>
  </r>
  <r>
    <n v="200"/>
    <x v="3"/>
    <x v="156"/>
    <x v="0"/>
    <s v="U.S. dollars"/>
    <s v="Billions"/>
    <x v="0"/>
    <n v="1.619"/>
  </r>
  <r>
    <n v="200"/>
    <x v="3"/>
    <x v="156"/>
    <x v="0"/>
    <s v="U.S. dollars"/>
    <s v="Billions"/>
    <x v="1"/>
    <n v="1.536"/>
  </r>
  <r>
    <n v="200"/>
    <x v="3"/>
    <x v="156"/>
    <x v="0"/>
    <s v="U.S. dollars"/>
    <s v="Billions"/>
    <x v="2"/>
    <n v="1.4890000000000001"/>
  </r>
  <r>
    <n v="200"/>
    <x v="3"/>
    <x v="156"/>
    <x v="0"/>
    <s v="U.S. dollars"/>
    <s v="Billions"/>
    <x v="3"/>
    <n v="1.56"/>
  </r>
  <r>
    <n v="200"/>
    <x v="3"/>
    <x v="156"/>
    <x v="0"/>
    <s v="U.S. dollars"/>
    <s v="Billions"/>
    <x v="4"/>
    <n v="1.631"/>
  </r>
  <r>
    <n v="200"/>
    <x v="3"/>
    <x v="156"/>
    <x v="0"/>
    <s v="U.S. dollars"/>
    <s v="Billions"/>
    <x v="5"/>
    <n v="1.7070000000000001"/>
  </r>
  <r>
    <n v="200"/>
    <x v="3"/>
    <x v="156"/>
    <x v="0"/>
    <s v="U.S. dollars"/>
    <s v="Billions"/>
    <x v="6"/>
    <n v="1.82"/>
  </r>
  <r>
    <n v="505"/>
    <x v="4"/>
    <x v="156"/>
    <x v="0"/>
    <s v="U.S. dollars"/>
    <s v="Billions"/>
    <x v="0"/>
    <n v="1.619"/>
  </r>
  <r>
    <n v="505"/>
    <x v="4"/>
    <x v="156"/>
    <x v="0"/>
    <s v="U.S. dollars"/>
    <s v="Billions"/>
    <x v="1"/>
    <n v="1.536"/>
  </r>
  <r>
    <n v="505"/>
    <x v="4"/>
    <x v="156"/>
    <x v="0"/>
    <s v="U.S. dollars"/>
    <s v="Billions"/>
    <x v="2"/>
    <n v="1.4890000000000001"/>
  </r>
  <r>
    <n v="505"/>
    <x v="4"/>
    <x v="156"/>
    <x v="0"/>
    <s v="U.S. dollars"/>
    <s v="Billions"/>
    <x v="3"/>
    <n v="1.56"/>
  </r>
  <r>
    <n v="505"/>
    <x v="4"/>
    <x v="156"/>
    <x v="0"/>
    <s v="U.S. dollars"/>
    <s v="Billions"/>
    <x v="4"/>
    <n v="1.631"/>
  </r>
  <r>
    <n v="505"/>
    <x v="4"/>
    <x v="156"/>
    <x v="0"/>
    <s v="U.S. dollars"/>
    <s v="Billions"/>
    <x v="5"/>
    <n v="1.7070000000000001"/>
  </r>
  <r>
    <n v="505"/>
    <x v="4"/>
    <x v="156"/>
    <x v="0"/>
    <s v="U.S. dollars"/>
    <s v="Billions"/>
    <x v="6"/>
    <n v="1.82"/>
  </r>
  <r>
    <n v="1"/>
    <x v="2"/>
    <x v="156"/>
    <x v="0"/>
    <s v="U.S. dollars"/>
    <s v="Billions"/>
    <x v="0"/>
    <n v="1.619"/>
  </r>
  <r>
    <n v="1"/>
    <x v="2"/>
    <x v="156"/>
    <x v="0"/>
    <s v="U.S. dollars"/>
    <s v="Billions"/>
    <x v="1"/>
    <n v="1.536"/>
  </r>
  <r>
    <n v="1"/>
    <x v="2"/>
    <x v="156"/>
    <x v="0"/>
    <s v="U.S. dollars"/>
    <s v="Billions"/>
    <x v="2"/>
    <n v="1.4890000000000001"/>
  </r>
  <r>
    <n v="1"/>
    <x v="2"/>
    <x v="156"/>
    <x v="0"/>
    <s v="U.S. dollars"/>
    <s v="Billions"/>
    <x v="3"/>
    <n v="1.56"/>
  </r>
  <r>
    <n v="1"/>
    <x v="2"/>
    <x v="156"/>
    <x v="0"/>
    <s v="U.S. dollars"/>
    <s v="Billions"/>
    <x v="4"/>
    <n v="1.631"/>
  </r>
  <r>
    <n v="1"/>
    <x v="2"/>
    <x v="156"/>
    <x v="0"/>
    <s v="U.S. dollars"/>
    <s v="Billions"/>
    <x v="5"/>
    <n v="1.7070000000000001"/>
  </r>
  <r>
    <n v="1"/>
    <x v="2"/>
    <x v="156"/>
    <x v="0"/>
    <s v="U.S. dollars"/>
    <s v="Billions"/>
    <x v="6"/>
    <n v="1.82"/>
  </r>
  <r>
    <n v="1"/>
    <x v="2"/>
    <x v="100"/>
    <x v="1"/>
    <s v="Percent change"/>
    <s v="Units"/>
    <x v="0"/>
    <n v="2.7519999999999998"/>
  </r>
  <r>
    <n v="1"/>
    <x v="2"/>
    <x v="100"/>
    <x v="1"/>
    <s v="Percent change"/>
    <s v="Units"/>
    <x v="1"/>
    <n v="0.81100000000000005"/>
  </r>
  <r>
    <n v="1"/>
    <x v="2"/>
    <x v="100"/>
    <x v="1"/>
    <s v="Percent change"/>
    <s v="Units"/>
    <x v="2"/>
    <n v="2.7E-2"/>
  </r>
  <r>
    <n v="1"/>
    <x v="2"/>
    <x v="100"/>
    <x v="1"/>
    <s v="Percent change"/>
    <s v="Units"/>
    <x v="3"/>
    <n v="1.0449999999999999"/>
  </r>
  <r>
    <n v="1"/>
    <x v="2"/>
    <x v="100"/>
    <x v="1"/>
    <s v="Percent change"/>
    <s v="Units"/>
    <x v="4"/>
    <n v="0.93600000000000005"/>
  </r>
  <r>
    <n v="1"/>
    <x v="2"/>
    <x v="100"/>
    <x v="1"/>
    <s v="Percent change"/>
    <s v="Units"/>
    <x v="5"/>
    <n v="1.7"/>
  </r>
  <r>
    <n v="1"/>
    <x v="2"/>
    <x v="100"/>
    <x v="1"/>
    <s v="Percent change"/>
    <s v="Units"/>
    <x v="6"/>
    <n v="2.25"/>
  </r>
  <r>
    <n v="110"/>
    <x v="0"/>
    <x v="100"/>
    <x v="1"/>
    <s v="Percent change"/>
    <s v="Units"/>
    <x v="0"/>
    <n v="2.7519999999999998"/>
  </r>
  <r>
    <n v="110"/>
    <x v="0"/>
    <x v="100"/>
    <x v="1"/>
    <s v="Percent change"/>
    <s v="Units"/>
    <x v="1"/>
    <n v="0.81100000000000005"/>
  </r>
  <r>
    <n v="110"/>
    <x v="0"/>
    <x v="100"/>
    <x v="1"/>
    <s v="Percent change"/>
    <s v="Units"/>
    <x v="2"/>
    <n v="2.7E-2"/>
  </r>
  <r>
    <n v="110"/>
    <x v="0"/>
    <x v="100"/>
    <x v="1"/>
    <s v="Percent change"/>
    <s v="Units"/>
    <x v="3"/>
    <n v="1.0449999999999999"/>
  </r>
  <r>
    <n v="110"/>
    <x v="0"/>
    <x v="100"/>
    <x v="1"/>
    <s v="Percent change"/>
    <s v="Units"/>
    <x v="4"/>
    <n v="0.93600000000000005"/>
  </r>
  <r>
    <n v="110"/>
    <x v="0"/>
    <x v="100"/>
    <x v="1"/>
    <s v="Percent change"/>
    <s v="Units"/>
    <x v="5"/>
    <n v="1.7"/>
  </r>
  <r>
    <n v="110"/>
    <x v="0"/>
    <x v="100"/>
    <x v="1"/>
    <s v="Percent change"/>
    <s v="Units"/>
    <x v="6"/>
    <n v="2.25"/>
  </r>
  <r>
    <n v="123"/>
    <x v="9"/>
    <x v="100"/>
    <x v="1"/>
    <s v="Percent change"/>
    <s v="Units"/>
    <x v="0"/>
    <n v="2.7519999999999998"/>
  </r>
  <r>
    <n v="123"/>
    <x v="9"/>
    <x v="100"/>
    <x v="1"/>
    <s v="Percent change"/>
    <s v="Units"/>
    <x v="1"/>
    <n v="0.81100000000000005"/>
  </r>
  <r>
    <n v="123"/>
    <x v="9"/>
    <x v="100"/>
    <x v="1"/>
    <s v="Percent change"/>
    <s v="Units"/>
    <x v="2"/>
    <n v="2.7E-2"/>
  </r>
  <r>
    <n v="123"/>
    <x v="9"/>
    <x v="100"/>
    <x v="1"/>
    <s v="Percent change"/>
    <s v="Units"/>
    <x v="3"/>
    <n v="1.0449999999999999"/>
  </r>
  <r>
    <n v="123"/>
    <x v="9"/>
    <x v="100"/>
    <x v="1"/>
    <s v="Percent change"/>
    <s v="Units"/>
    <x v="4"/>
    <n v="0.93600000000000005"/>
  </r>
  <r>
    <n v="123"/>
    <x v="9"/>
    <x v="100"/>
    <x v="1"/>
    <s v="Percent change"/>
    <s v="Units"/>
    <x v="5"/>
    <n v="1.7"/>
  </r>
  <r>
    <n v="123"/>
    <x v="9"/>
    <x v="100"/>
    <x v="1"/>
    <s v="Percent change"/>
    <s v="Units"/>
    <x v="6"/>
    <n v="2.25"/>
  </r>
  <r>
    <n v="1"/>
    <x v="2"/>
    <x v="82"/>
    <x v="4"/>
    <s v="Percent change"/>
    <s v="Units"/>
    <x v="0"/>
    <n v="-12.221"/>
  </r>
  <r>
    <n v="1"/>
    <x v="2"/>
    <x v="82"/>
    <x v="4"/>
    <s v="Percent change"/>
    <s v="Units"/>
    <x v="1"/>
    <n v="-10.247999999999999"/>
  </r>
  <r>
    <n v="1"/>
    <x v="2"/>
    <x v="82"/>
    <x v="4"/>
    <s v="Percent change"/>
    <s v="Units"/>
    <x v="2"/>
    <n v="20.193000000000001"/>
  </r>
  <r>
    <n v="1"/>
    <x v="2"/>
    <x v="82"/>
    <x v="4"/>
    <s v="Percent change"/>
    <s v="Units"/>
    <x v="3"/>
    <n v="-8.6180000000000003"/>
  </r>
  <r>
    <n v="1"/>
    <x v="2"/>
    <x v="82"/>
    <x v="4"/>
    <s v="Percent change"/>
    <s v="Units"/>
    <x v="4"/>
    <n v="8.2000000000000003E-2"/>
  </r>
  <r>
    <n v="1"/>
    <x v="2"/>
    <x v="82"/>
    <x v="4"/>
    <s v="Percent change"/>
    <s v="Units"/>
    <x v="5"/>
    <n v="1.696"/>
  </r>
  <r>
    <n v="1"/>
    <x v="2"/>
    <x v="82"/>
    <x v="4"/>
    <s v="Percent change"/>
    <s v="Units"/>
    <x v="6"/>
    <n v="1.3420000000000001"/>
  </r>
  <r>
    <n v="200"/>
    <x v="3"/>
    <x v="82"/>
    <x v="4"/>
    <s v="Percent change"/>
    <s v="Units"/>
    <x v="0"/>
    <n v="-12.221"/>
  </r>
  <r>
    <n v="200"/>
    <x v="3"/>
    <x v="82"/>
    <x v="4"/>
    <s v="Percent change"/>
    <s v="Units"/>
    <x v="1"/>
    <n v="-10.247999999999999"/>
  </r>
  <r>
    <n v="200"/>
    <x v="3"/>
    <x v="82"/>
    <x v="4"/>
    <s v="Percent change"/>
    <s v="Units"/>
    <x v="2"/>
    <n v="20.193000000000001"/>
  </r>
  <r>
    <n v="200"/>
    <x v="3"/>
    <x v="82"/>
    <x v="4"/>
    <s v="Percent change"/>
    <s v="Units"/>
    <x v="3"/>
    <n v="-8.6180000000000003"/>
  </r>
  <r>
    <n v="200"/>
    <x v="3"/>
    <x v="82"/>
    <x v="4"/>
    <s v="Percent change"/>
    <s v="Units"/>
    <x v="4"/>
    <n v="8.2000000000000003E-2"/>
  </r>
  <r>
    <n v="200"/>
    <x v="3"/>
    <x v="82"/>
    <x v="4"/>
    <s v="Percent change"/>
    <s v="Units"/>
    <x v="5"/>
    <n v="1.696"/>
  </r>
  <r>
    <n v="200"/>
    <x v="3"/>
    <x v="82"/>
    <x v="4"/>
    <s v="Percent change"/>
    <s v="Units"/>
    <x v="6"/>
    <n v="1.3420000000000001"/>
  </r>
  <r>
    <n v="400"/>
    <x v="11"/>
    <x v="82"/>
    <x v="4"/>
    <s v="Percent change"/>
    <s v="Units"/>
    <x v="0"/>
    <n v="-12.221"/>
  </r>
  <r>
    <n v="400"/>
    <x v="11"/>
    <x v="82"/>
    <x v="4"/>
    <s v="Percent change"/>
    <s v="Units"/>
    <x v="1"/>
    <n v="-10.247999999999999"/>
  </r>
  <r>
    <n v="400"/>
    <x v="11"/>
    <x v="82"/>
    <x v="4"/>
    <s v="Percent change"/>
    <s v="Units"/>
    <x v="2"/>
    <n v="20.193000000000001"/>
  </r>
  <r>
    <n v="400"/>
    <x v="11"/>
    <x v="82"/>
    <x v="4"/>
    <s v="Percent change"/>
    <s v="Units"/>
    <x v="3"/>
    <n v="-8.6180000000000003"/>
  </r>
  <r>
    <n v="400"/>
    <x v="11"/>
    <x v="82"/>
    <x v="4"/>
    <s v="Percent change"/>
    <s v="Units"/>
    <x v="4"/>
    <n v="8.2000000000000003E-2"/>
  </r>
  <r>
    <n v="400"/>
    <x v="11"/>
    <x v="82"/>
    <x v="4"/>
    <s v="Percent change"/>
    <s v="Units"/>
    <x v="5"/>
    <n v="1.696"/>
  </r>
  <r>
    <n v="400"/>
    <x v="11"/>
    <x v="82"/>
    <x v="4"/>
    <s v="Percent change"/>
    <s v="Units"/>
    <x v="6"/>
    <n v="1.3420000000000001"/>
  </r>
  <r>
    <n v="903"/>
    <x v="8"/>
    <x v="135"/>
    <x v="6"/>
    <s v="Percent change"/>
    <s v="Units"/>
    <x v="0"/>
    <n v="10.083"/>
  </r>
  <r>
    <n v="903"/>
    <x v="8"/>
    <x v="135"/>
    <x v="6"/>
    <s v="Percent change"/>
    <s v="Units"/>
    <x v="1"/>
    <n v="-10.861000000000001"/>
  </r>
  <r>
    <n v="903"/>
    <x v="8"/>
    <x v="135"/>
    <x v="6"/>
    <s v="Percent change"/>
    <s v="Units"/>
    <x v="2"/>
    <n v="14.795999999999999"/>
  </r>
  <r>
    <n v="903"/>
    <x v="8"/>
    <x v="135"/>
    <x v="6"/>
    <s v="Percent change"/>
    <s v="Units"/>
    <x v="3"/>
    <n v="12.4"/>
  </r>
  <r>
    <n v="903"/>
    <x v="8"/>
    <x v="135"/>
    <x v="6"/>
    <s v="Percent change"/>
    <s v="Units"/>
    <x v="4"/>
    <n v="-5.8380000000000001"/>
  </r>
  <r>
    <n v="903"/>
    <x v="8"/>
    <x v="135"/>
    <x v="6"/>
    <s v="Percent change"/>
    <s v="Units"/>
    <x v="5"/>
    <n v="1.694"/>
  </r>
  <r>
    <n v="903"/>
    <x v="8"/>
    <x v="135"/>
    <x v="6"/>
    <s v="Percent change"/>
    <s v="Units"/>
    <x v="6"/>
    <n v="5.9059999999999997"/>
  </r>
  <r>
    <n v="1"/>
    <x v="2"/>
    <x v="135"/>
    <x v="6"/>
    <s v="Percent change"/>
    <s v="Units"/>
    <x v="0"/>
    <n v="10.083"/>
  </r>
  <r>
    <n v="1"/>
    <x v="2"/>
    <x v="135"/>
    <x v="6"/>
    <s v="Percent change"/>
    <s v="Units"/>
    <x v="1"/>
    <n v="-10.861000000000001"/>
  </r>
  <r>
    <n v="1"/>
    <x v="2"/>
    <x v="135"/>
    <x v="6"/>
    <s v="Percent change"/>
    <s v="Units"/>
    <x v="2"/>
    <n v="14.795999999999999"/>
  </r>
  <r>
    <n v="1"/>
    <x v="2"/>
    <x v="135"/>
    <x v="6"/>
    <s v="Percent change"/>
    <s v="Units"/>
    <x v="3"/>
    <n v="12.4"/>
  </r>
  <r>
    <n v="1"/>
    <x v="2"/>
    <x v="135"/>
    <x v="6"/>
    <s v="Percent change"/>
    <s v="Units"/>
    <x v="4"/>
    <n v="-5.8380000000000001"/>
  </r>
  <r>
    <n v="1"/>
    <x v="2"/>
    <x v="135"/>
    <x v="6"/>
    <s v="Percent change"/>
    <s v="Units"/>
    <x v="5"/>
    <n v="1.694"/>
  </r>
  <r>
    <n v="1"/>
    <x v="2"/>
    <x v="135"/>
    <x v="6"/>
    <s v="Percent change"/>
    <s v="Units"/>
    <x v="6"/>
    <n v="5.9059999999999997"/>
  </r>
  <r>
    <n v="200"/>
    <x v="3"/>
    <x v="135"/>
    <x v="6"/>
    <s v="Percent change"/>
    <s v="Units"/>
    <x v="0"/>
    <n v="10.083"/>
  </r>
  <r>
    <n v="200"/>
    <x v="3"/>
    <x v="135"/>
    <x v="6"/>
    <s v="Percent change"/>
    <s v="Units"/>
    <x v="1"/>
    <n v="-10.861000000000001"/>
  </r>
  <r>
    <n v="200"/>
    <x v="3"/>
    <x v="135"/>
    <x v="6"/>
    <s v="Percent change"/>
    <s v="Units"/>
    <x v="2"/>
    <n v="14.795999999999999"/>
  </r>
  <r>
    <n v="200"/>
    <x v="3"/>
    <x v="135"/>
    <x v="6"/>
    <s v="Percent change"/>
    <s v="Units"/>
    <x v="3"/>
    <n v="12.4"/>
  </r>
  <r>
    <n v="200"/>
    <x v="3"/>
    <x v="135"/>
    <x v="6"/>
    <s v="Percent change"/>
    <s v="Units"/>
    <x v="4"/>
    <n v="-5.8380000000000001"/>
  </r>
  <r>
    <n v="200"/>
    <x v="3"/>
    <x v="135"/>
    <x v="6"/>
    <s v="Percent change"/>
    <s v="Units"/>
    <x v="5"/>
    <n v="1.694"/>
  </r>
  <r>
    <n v="200"/>
    <x v="3"/>
    <x v="135"/>
    <x v="6"/>
    <s v="Percent change"/>
    <s v="Units"/>
    <x v="6"/>
    <n v="5.9059999999999997"/>
  </r>
  <r>
    <n v="200"/>
    <x v="3"/>
    <x v="11"/>
    <x v="6"/>
    <s v="Percent change"/>
    <s v="Units"/>
    <x v="0"/>
    <n v="-1.081"/>
  </r>
  <r>
    <n v="200"/>
    <x v="3"/>
    <x v="11"/>
    <x v="6"/>
    <s v="Percent change"/>
    <s v="Units"/>
    <x v="1"/>
    <n v="-11.991"/>
  </r>
  <r>
    <n v="200"/>
    <x v="3"/>
    <x v="11"/>
    <x v="6"/>
    <s v="Percent change"/>
    <s v="Units"/>
    <x v="2"/>
    <n v="15.05"/>
  </r>
  <r>
    <n v="200"/>
    <x v="3"/>
    <x v="11"/>
    <x v="6"/>
    <s v="Percent change"/>
    <s v="Units"/>
    <x v="3"/>
    <n v="8.3049999999999997"/>
  </r>
  <r>
    <n v="200"/>
    <x v="3"/>
    <x v="11"/>
    <x v="6"/>
    <s v="Percent change"/>
    <s v="Units"/>
    <x v="4"/>
    <n v="5.7149999999999999"/>
  </r>
  <r>
    <n v="200"/>
    <x v="3"/>
    <x v="11"/>
    <x v="6"/>
    <s v="Percent change"/>
    <s v="Units"/>
    <x v="5"/>
    <n v="1.679"/>
  </r>
  <r>
    <n v="200"/>
    <x v="3"/>
    <x v="11"/>
    <x v="6"/>
    <s v="Percent change"/>
    <s v="Units"/>
    <x v="6"/>
    <n v="2.71"/>
  </r>
  <r>
    <n v="1"/>
    <x v="2"/>
    <x v="11"/>
    <x v="6"/>
    <s v="Percent change"/>
    <s v="Units"/>
    <x v="0"/>
    <n v="-1.081"/>
  </r>
  <r>
    <n v="1"/>
    <x v="2"/>
    <x v="11"/>
    <x v="6"/>
    <s v="Percent change"/>
    <s v="Units"/>
    <x v="1"/>
    <n v="-11.991"/>
  </r>
  <r>
    <n v="1"/>
    <x v="2"/>
    <x v="11"/>
    <x v="6"/>
    <s v="Percent change"/>
    <s v="Units"/>
    <x v="2"/>
    <n v="15.05"/>
  </r>
  <r>
    <n v="1"/>
    <x v="2"/>
    <x v="11"/>
    <x v="6"/>
    <s v="Percent change"/>
    <s v="Units"/>
    <x v="3"/>
    <n v="8.3049999999999997"/>
  </r>
  <r>
    <n v="1"/>
    <x v="2"/>
    <x v="11"/>
    <x v="6"/>
    <s v="Percent change"/>
    <s v="Units"/>
    <x v="4"/>
    <n v="5.7149999999999999"/>
  </r>
  <r>
    <n v="1"/>
    <x v="2"/>
    <x v="11"/>
    <x v="6"/>
    <s v="Percent change"/>
    <s v="Units"/>
    <x v="5"/>
    <n v="1.679"/>
  </r>
  <r>
    <n v="1"/>
    <x v="2"/>
    <x v="11"/>
    <x v="6"/>
    <s v="Percent change"/>
    <s v="Units"/>
    <x v="6"/>
    <n v="2.71"/>
  </r>
  <r>
    <n v="205"/>
    <x v="7"/>
    <x v="11"/>
    <x v="6"/>
    <s v="Percent change"/>
    <s v="Units"/>
    <x v="0"/>
    <n v="-1.081"/>
  </r>
  <r>
    <n v="205"/>
    <x v="7"/>
    <x v="11"/>
    <x v="6"/>
    <s v="Percent change"/>
    <s v="Units"/>
    <x v="1"/>
    <n v="-11.991"/>
  </r>
  <r>
    <n v="205"/>
    <x v="7"/>
    <x v="11"/>
    <x v="6"/>
    <s v="Percent change"/>
    <s v="Units"/>
    <x v="2"/>
    <n v="15.05"/>
  </r>
  <r>
    <n v="205"/>
    <x v="7"/>
    <x v="11"/>
    <x v="6"/>
    <s v="Percent change"/>
    <s v="Units"/>
    <x v="3"/>
    <n v="8.3049999999999997"/>
  </r>
  <r>
    <n v="205"/>
    <x v="7"/>
    <x v="11"/>
    <x v="6"/>
    <s v="Percent change"/>
    <s v="Units"/>
    <x v="4"/>
    <n v="5.7149999999999999"/>
  </r>
  <r>
    <n v="205"/>
    <x v="7"/>
    <x v="11"/>
    <x v="6"/>
    <s v="Percent change"/>
    <s v="Units"/>
    <x v="5"/>
    <n v="1.679"/>
  </r>
  <r>
    <n v="205"/>
    <x v="7"/>
    <x v="11"/>
    <x v="6"/>
    <s v="Percent change"/>
    <s v="Units"/>
    <x v="6"/>
    <n v="2.71"/>
  </r>
  <r>
    <n v="163"/>
    <x v="5"/>
    <x v="8"/>
    <x v="1"/>
    <s v="Percent change"/>
    <s v="Units"/>
    <x v="0"/>
    <n v="0.63400000000000001"/>
  </r>
  <r>
    <n v="163"/>
    <x v="5"/>
    <x v="8"/>
    <x v="1"/>
    <s v="Percent change"/>
    <s v="Units"/>
    <x v="1"/>
    <n v="-0.14499999999999999"/>
  </r>
  <r>
    <n v="163"/>
    <x v="5"/>
    <x v="8"/>
    <x v="1"/>
    <s v="Percent change"/>
    <s v="Units"/>
    <x v="2"/>
    <n v="1.9410000000000001"/>
  </r>
  <r>
    <n v="163"/>
    <x v="5"/>
    <x v="8"/>
    <x v="1"/>
    <s v="Percent change"/>
    <s v="Units"/>
    <x v="3"/>
    <n v="8.7360000000000007"/>
  </r>
  <r>
    <n v="163"/>
    <x v="5"/>
    <x v="8"/>
    <x v="1"/>
    <s v="Percent change"/>
    <s v="Units"/>
    <x v="4"/>
    <n v="5.9029999999999996"/>
  </r>
  <r>
    <n v="163"/>
    <x v="5"/>
    <x v="8"/>
    <x v="1"/>
    <s v="Percent change"/>
    <s v="Units"/>
    <x v="5"/>
    <n v="1.673"/>
  </r>
  <r>
    <n v="163"/>
    <x v="5"/>
    <x v="8"/>
    <x v="1"/>
    <s v="Percent change"/>
    <s v="Units"/>
    <x v="6"/>
    <n v="2"/>
  </r>
  <r>
    <n v="110"/>
    <x v="0"/>
    <x v="8"/>
    <x v="1"/>
    <s v="Percent change"/>
    <s v="Units"/>
    <x v="0"/>
    <n v="0.63400000000000001"/>
  </r>
  <r>
    <n v="110"/>
    <x v="0"/>
    <x v="8"/>
    <x v="1"/>
    <s v="Percent change"/>
    <s v="Units"/>
    <x v="1"/>
    <n v="-0.14499999999999999"/>
  </r>
  <r>
    <n v="110"/>
    <x v="0"/>
    <x v="8"/>
    <x v="1"/>
    <s v="Percent change"/>
    <s v="Units"/>
    <x v="2"/>
    <n v="1.9410000000000001"/>
  </r>
  <r>
    <n v="110"/>
    <x v="0"/>
    <x v="8"/>
    <x v="1"/>
    <s v="Percent change"/>
    <s v="Units"/>
    <x v="3"/>
    <n v="8.7360000000000007"/>
  </r>
  <r>
    <n v="110"/>
    <x v="0"/>
    <x v="8"/>
    <x v="1"/>
    <s v="Percent change"/>
    <s v="Units"/>
    <x v="4"/>
    <n v="5.9029999999999996"/>
  </r>
  <r>
    <n v="110"/>
    <x v="0"/>
    <x v="8"/>
    <x v="1"/>
    <s v="Percent change"/>
    <s v="Units"/>
    <x v="5"/>
    <n v="1.673"/>
  </r>
  <r>
    <n v="110"/>
    <x v="0"/>
    <x v="8"/>
    <x v="1"/>
    <s v="Percent change"/>
    <s v="Units"/>
    <x v="6"/>
    <n v="2"/>
  </r>
  <r>
    <n v="998"/>
    <x v="6"/>
    <x v="8"/>
    <x v="1"/>
    <s v="Percent change"/>
    <s v="Units"/>
    <x v="0"/>
    <n v="0.63400000000000001"/>
  </r>
  <r>
    <n v="998"/>
    <x v="6"/>
    <x v="8"/>
    <x v="1"/>
    <s v="Percent change"/>
    <s v="Units"/>
    <x v="1"/>
    <n v="-0.14499999999999999"/>
  </r>
  <r>
    <n v="998"/>
    <x v="6"/>
    <x v="8"/>
    <x v="1"/>
    <s v="Percent change"/>
    <s v="Units"/>
    <x v="2"/>
    <n v="1.9410000000000001"/>
  </r>
  <r>
    <n v="998"/>
    <x v="6"/>
    <x v="8"/>
    <x v="1"/>
    <s v="Percent change"/>
    <s v="Units"/>
    <x v="3"/>
    <n v="8.7360000000000007"/>
  </r>
  <r>
    <n v="998"/>
    <x v="6"/>
    <x v="8"/>
    <x v="1"/>
    <s v="Percent change"/>
    <s v="Units"/>
    <x v="4"/>
    <n v="5.9029999999999996"/>
  </r>
  <r>
    <n v="998"/>
    <x v="6"/>
    <x v="8"/>
    <x v="1"/>
    <s v="Percent change"/>
    <s v="Units"/>
    <x v="5"/>
    <n v="1.673"/>
  </r>
  <r>
    <n v="998"/>
    <x v="6"/>
    <x v="8"/>
    <x v="1"/>
    <s v="Percent change"/>
    <s v="Units"/>
    <x v="6"/>
    <n v="2"/>
  </r>
  <r>
    <n v="1"/>
    <x v="2"/>
    <x v="8"/>
    <x v="1"/>
    <s v="Percent change"/>
    <s v="Units"/>
    <x v="0"/>
    <n v="0.63400000000000001"/>
  </r>
  <r>
    <n v="1"/>
    <x v="2"/>
    <x v="8"/>
    <x v="1"/>
    <s v="Percent change"/>
    <s v="Units"/>
    <x v="1"/>
    <n v="-0.14499999999999999"/>
  </r>
  <r>
    <n v="1"/>
    <x v="2"/>
    <x v="8"/>
    <x v="1"/>
    <s v="Percent change"/>
    <s v="Units"/>
    <x v="2"/>
    <n v="1.9410000000000001"/>
  </r>
  <r>
    <n v="1"/>
    <x v="2"/>
    <x v="8"/>
    <x v="1"/>
    <s v="Percent change"/>
    <s v="Units"/>
    <x v="3"/>
    <n v="8.7360000000000007"/>
  </r>
  <r>
    <n v="1"/>
    <x v="2"/>
    <x v="8"/>
    <x v="1"/>
    <s v="Percent change"/>
    <s v="Units"/>
    <x v="4"/>
    <n v="5.9029999999999996"/>
  </r>
  <r>
    <n v="1"/>
    <x v="2"/>
    <x v="8"/>
    <x v="1"/>
    <s v="Percent change"/>
    <s v="Units"/>
    <x v="5"/>
    <n v="1.673"/>
  </r>
  <r>
    <n v="1"/>
    <x v="2"/>
    <x v="8"/>
    <x v="1"/>
    <s v="Percent change"/>
    <s v="Units"/>
    <x v="6"/>
    <n v="2"/>
  </r>
  <r>
    <n v="119"/>
    <x v="1"/>
    <x v="8"/>
    <x v="1"/>
    <s v="Percent change"/>
    <s v="Units"/>
    <x v="0"/>
    <n v="0.63400000000000001"/>
  </r>
  <r>
    <n v="119"/>
    <x v="1"/>
    <x v="8"/>
    <x v="1"/>
    <s v="Percent change"/>
    <s v="Units"/>
    <x v="1"/>
    <n v="-0.14499999999999999"/>
  </r>
  <r>
    <n v="119"/>
    <x v="1"/>
    <x v="8"/>
    <x v="1"/>
    <s v="Percent change"/>
    <s v="Units"/>
    <x v="2"/>
    <n v="1.9410000000000001"/>
  </r>
  <r>
    <n v="119"/>
    <x v="1"/>
    <x v="8"/>
    <x v="1"/>
    <s v="Percent change"/>
    <s v="Units"/>
    <x v="3"/>
    <n v="8.7360000000000007"/>
  </r>
  <r>
    <n v="119"/>
    <x v="1"/>
    <x v="8"/>
    <x v="1"/>
    <s v="Percent change"/>
    <s v="Units"/>
    <x v="4"/>
    <n v="5.9029999999999996"/>
  </r>
  <r>
    <n v="119"/>
    <x v="1"/>
    <x v="8"/>
    <x v="1"/>
    <s v="Percent change"/>
    <s v="Units"/>
    <x v="5"/>
    <n v="1.673"/>
  </r>
  <r>
    <n v="119"/>
    <x v="1"/>
    <x v="8"/>
    <x v="1"/>
    <s v="Percent change"/>
    <s v="Units"/>
    <x v="6"/>
    <n v="2"/>
  </r>
  <r>
    <n v="1"/>
    <x v="2"/>
    <x v="110"/>
    <x v="8"/>
    <s v="Percent change"/>
    <s v="Units"/>
    <x v="0"/>
    <n v="0.58799999999999997"/>
  </r>
  <r>
    <n v="1"/>
    <x v="2"/>
    <x v="110"/>
    <x v="8"/>
    <s v="Percent change"/>
    <s v="Units"/>
    <x v="1"/>
    <n v="-3.5139999999999998"/>
  </r>
  <r>
    <n v="1"/>
    <x v="2"/>
    <x v="110"/>
    <x v="8"/>
    <s v="Percent change"/>
    <s v="Units"/>
    <x v="2"/>
    <n v="6.7320000000000002"/>
  </r>
  <r>
    <n v="1"/>
    <x v="2"/>
    <x v="110"/>
    <x v="8"/>
    <s v="Percent change"/>
    <s v="Units"/>
    <x v="3"/>
    <n v="2.9550000000000001"/>
  </r>
  <r>
    <n v="1"/>
    <x v="2"/>
    <x v="110"/>
    <x v="8"/>
    <s v="Percent change"/>
    <s v="Units"/>
    <x v="4"/>
    <n v="-0.30599999999999999"/>
  </r>
  <r>
    <n v="1"/>
    <x v="2"/>
    <x v="110"/>
    <x v="8"/>
    <s v="Percent change"/>
    <s v="Units"/>
    <x v="5"/>
    <n v="1.659"/>
  </r>
  <r>
    <n v="1"/>
    <x v="2"/>
    <x v="110"/>
    <x v="8"/>
    <s v="Percent change"/>
    <s v="Units"/>
    <x v="6"/>
    <n v="2.4340000000000002"/>
  </r>
  <r>
    <n v="110"/>
    <x v="0"/>
    <x v="110"/>
    <x v="8"/>
    <s v="Percent change"/>
    <s v="Units"/>
    <x v="0"/>
    <n v="0.58799999999999997"/>
  </r>
  <r>
    <n v="110"/>
    <x v="0"/>
    <x v="110"/>
    <x v="8"/>
    <s v="Percent change"/>
    <s v="Units"/>
    <x v="1"/>
    <n v="-3.5139999999999998"/>
  </r>
  <r>
    <n v="110"/>
    <x v="0"/>
    <x v="110"/>
    <x v="8"/>
    <s v="Percent change"/>
    <s v="Units"/>
    <x v="2"/>
    <n v="6.7320000000000002"/>
  </r>
  <r>
    <n v="110"/>
    <x v="0"/>
    <x v="110"/>
    <x v="8"/>
    <s v="Percent change"/>
    <s v="Units"/>
    <x v="3"/>
    <n v="2.9550000000000001"/>
  </r>
  <r>
    <n v="110"/>
    <x v="0"/>
    <x v="110"/>
    <x v="8"/>
    <s v="Percent change"/>
    <s v="Units"/>
    <x v="4"/>
    <n v="-0.30599999999999999"/>
  </r>
  <r>
    <n v="110"/>
    <x v="0"/>
    <x v="110"/>
    <x v="8"/>
    <s v="Percent change"/>
    <s v="Units"/>
    <x v="5"/>
    <n v="1.659"/>
  </r>
  <r>
    <n v="110"/>
    <x v="0"/>
    <x v="110"/>
    <x v="8"/>
    <s v="Percent change"/>
    <s v="Units"/>
    <x v="6"/>
    <n v="2.4340000000000002"/>
  </r>
  <r>
    <n v="998"/>
    <x v="6"/>
    <x v="110"/>
    <x v="8"/>
    <s v="Percent change"/>
    <s v="Units"/>
    <x v="0"/>
    <n v="0.58799999999999997"/>
  </r>
  <r>
    <n v="998"/>
    <x v="6"/>
    <x v="110"/>
    <x v="8"/>
    <s v="Percent change"/>
    <s v="Units"/>
    <x v="1"/>
    <n v="-3.5139999999999998"/>
  </r>
  <r>
    <n v="998"/>
    <x v="6"/>
    <x v="110"/>
    <x v="8"/>
    <s v="Percent change"/>
    <s v="Units"/>
    <x v="2"/>
    <n v="6.7320000000000002"/>
  </r>
  <r>
    <n v="998"/>
    <x v="6"/>
    <x v="110"/>
    <x v="8"/>
    <s v="Percent change"/>
    <s v="Units"/>
    <x v="3"/>
    <n v="2.9550000000000001"/>
  </r>
  <r>
    <n v="998"/>
    <x v="6"/>
    <x v="110"/>
    <x v="8"/>
    <s v="Percent change"/>
    <s v="Units"/>
    <x v="4"/>
    <n v="-0.30599999999999999"/>
  </r>
  <r>
    <n v="998"/>
    <x v="6"/>
    <x v="110"/>
    <x v="8"/>
    <s v="Percent change"/>
    <s v="Units"/>
    <x v="5"/>
    <n v="1.659"/>
  </r>
  <r>
    <n v="998"/>
    <x v="6"/>
    <x v="110"/>
    <x v="8"/>
    <s v="Percent change"/>
    <s v="Units"/>
    <x v="6"/>
    <n v="2.4340000000000002"/>
  </r>
  <r>
    <n v="163"/>
    <x v="5"/>
    <x v="110"/>
    <x v="8"/>
    <s v="Percent change"/>
    <s v="Units"/>
    <x v="0"/>
    <n v="0.58799999999999997"/>
  </r>
  <r>
    <n v="163"/>
    <x v="5"/>
    <x v="110"/>
    <x v="8"/>
    <s v="Percent change"/>
    <s v="Units"/>
    <x v="1"/>
    <n v="-3.5139999999999998"/>
  </r>
  <r>
    <n v="163"/>
    <x v="5"/>
    <x v="110"/>
    <x v="8"/>
    <s v="Percent change"/>
    <s v="Units"/>
    <x v="2"/>
    <n v="6.7320000000000002"/>
  </r>
  <r>
    <n v="163"/>
    <x v="5"/>
    <x v="110"/>
    <x v="8"/>
    <s v="Percent change"/>
    <s v="Units"/>
    <x v="3"/>
    <n v="2.9550000000000001"/>
  </r>
  <r>
    <n v="163"/>
    <x v="5"/>
    <x v="110"/>
    <x v="8"/>
    <s v="Percent change"/>
    <s v="Units"/>
    <x v="4"/>
    <n v="-0.30599999999999999"/>
  </r>
  <r>
    <n v="163"/>
    <x v="5"/>
    <x v="110"/>
    <x v="8"/>
    <s v="Percent change"/>
    <s v="Units"/>
    <x v="5"/>
    <n v="1.659"/>
  </r>
  <r>
    <n v="163"/>
    <x v="5"/>
    <x v="110"/>
    <x v="8"/>
    <s v="Percent change"/>
    <s v="Units"/>
    <x v="6"/>
    <n v="2.4340000000000002"/>
  </r>
  <r>
    <n v="123"/>
    <x v="9"/>
    <x v="30"/>
    <x v="6"/>
    <s v="Percent change"/>
    <s v="Units"/>
    <x v="0"/>
    <n v="5.3360000000000003"/>
  </r>
  <r>
    <n v="123"/>
    <x v="9"/>
    <x v="30"/>
    <x v="6"/>
    <s v="Percent change"/>
    <s v="Units"/>
    <x v="1"/>
    <n v="-9.8550000000000004"/>
  </r>
  <r>
    <n v="123"/>
    <x v="9"/>
    <x v="30"/>
    <x v="6"/>
    <s v="Percent change"/>
    <s v="Units"/>
    <x v="2"/>
    <n v="1.823"/>
  </r>
  <r>
    <n v="123"/>
    <x v="9"/>
    <x v="30"/>
    <x v="6"/>
    <s v="Percent change"/>
    <s v="Units"/>
    <x v="3"/>
    <n v="12.52"/>
  </r>
  <r>
    <n v="123"/>
    <x v="9"/>
    <x v="30"/>
    <x v="6"/>
    <s v="Percent change"/>
    <s v="Units"/>
    <x v="4"/>
    <n v="0.72499999999999998"/>
  </r>
  <r>
    <n v="123"/>
    <x v="9"/>
    <x v="30"/>
    <x v="6"/>
    <s v="Percent change"/>
    <s v="Units"/>
    <x v="5"/>
    <n v="1.65"/>
  </r>
  <r>
    <n v="123"/>
    <x v="9"/>
    <x v="30"/>
    <x v="6"/>
    <s v="Percent change"/>
    <s v="Units"/>
    <x v="6"/>
    <n v="2.105"/>
  </r>
  <r>
    <n v="110"/>
    <x v="0"/>
    <x v="30"/>
    <x v="6"/>
    <s v="Percent change"/>
    <s v="Units"/>
    <x v="0"/>
    <n v="5.3360000000000003"/>
  </r>
  <r>
    <n v="110"/>
    <x v="0"/>
    <x v="30"/>
    <x v="6"/>
    <s v="Percent change"/>
    <s v="Units"/>
    <x v="1"/>
    <n v="-9.8550000000000004"/>
  </r>
  <r>
    <n v="110"/>
    <x v="0"/>
    <x v="30"/>
    <x v="6"/>
    <s v="Percent change"/>
    <s v="Units"/>
    <x v="2"/>
    <n v="1.823"/>
  </r>
  <r>
    <n v="110"/>
    <x v="0"/>
    <x v="30"/>
    <x v="6"/>
    <s v="Percent change"/>
    <s v="Units"/>
    <x v="3"/>
    <n v="12.52"/>
  </r>
  <r>
    <n v="110"/>
    <x v="0"/>
    <x v="30"/>
    <x v="6"/>
    <s v="Percent change"/>
    <s v="Units"/>
    <x v="4"/>
    <n v="0.72499999999999998"/>
  </r>
  <r>
    <n v="110"/>
    <x v="0"/>
    <x v="30"/>
    <x v="6"/>
    <s v="Percent change"/>
    <s v="Units"/>
    <x v="5"/>
    <n v="1.65"/>
  </r>
  <r>
    <n v="110"/>
    <x v="0"/>
    <x v="30"/>
    <x v="6"/>
    <s v="Percent change"/>
    <s v="Units"/>
    <x v="6"/>
    <n v="2.105"/>
  </r>
  <r>
    <n v="1"/>
    <x v="2"/>
    <x v="30"/>
    <x v="6"/>
    <s v="Percent change"/>
    <s v="Units"/>
    <x v="0"/>
    <n v="5.3360000000000003"/>
  </r>
  <r>
    <n v="1"/>
    <x v="2"/>
    <x v="30"/>
    <x v="6"/>
    <s v="Percent change"/>
    <s v="Units"/>
    <x v="1"/>
    <n v="-9.8550000000000004"/>
  </r>
  <r>
    <n v="1"/>
    <x v="2"/>
    <x v="30"/>
    <x v="6"/>
    <s v="Percent change"/>
    <s v="Units"/>
    <x v="2"/>
    <n v="1.823"/>
  </r>
  <r>
    <n v="1"/>
    <x v="2"/>
    <x v="30"/>
    <x v="6"/>
    <s v="Percent change"/>
    <s v="Units"/>
    <x v="3"/>
    <n v="12.52"/>
  </r>
  <r>
    <n v="1"/>
    <x v="2"/>
    <x v="30"/>
    <x v="6"/>
    <s v="Percent change"/>
    <s v="Units"/>
    <x v="4"/>
    <n v="0.72499999999999998"/>
  </r>
  <r>
    <n v="1"/>
    <x v="2"/>
    <x v="30"/>
    <x v="6"/>
    <s v="Percent change"/>
    <s v="Units"/>
    <x v="5"/>
    <n v="1.65"/>
  </r>
  <r>
    <n v="1"/>
    <x v="2"/>
    <x v="30"/>
    <x v="6"/>
    <s v="Percent change"/>
    <s v="Units"/>
    <x v="6"/>
    <n v="2.105"/>
  </r>
  <r>
    <n v="110"/>
    <x v="0"/>
    <x v="13"/>
    <x v="10"/>
    <s v="Percent"/>
    <s v="Units"/>
    <x v="0"/>
    <n v="1.6970000000000001"/>
  </r>
  <r>
    <n v="110"/>
    <x v="0"/>
    <x v="13"/>
    <x v="10"/>
    <s v="Percent"/>
    <s v="Units"/>
    <x v="1"/>
    <n v="1.7350000000000001"/>
  </r>
  <r>
    <n v="110"/>
    <x v="0"/>
    <x v="13"/>
    <x v="10"/>
    <s v="Percent"/>
    <s v="Units"/>
    <x v="2"/>
    <n v="1.7010000000000001"/>
  </r>
  <r>
    <n v="110"/>
    <x v="0"/>
    <x v="13"/>
    <x v="10"/>
    <s v="Percent"/>
    <s v="Units"/>
    <x v="3"/>
    <n v="1.6890000000000001"/>
  </r>
  <r>
    <n v="110"/>
    <x v="0"/>
    <x v="13"/>
    <x v="10"/>
    <s v="Percent"/>
    <s v="Units"/>
    <x v="4"/>
    <n v="1.66"/>
  </r>
  <r>
    <n v="110"/>
    <x v="0"/>
    <x v="13"/>
    <x v="10"/>
    <s v="Percent"/>
    <s v="Units"/>
    <x v="5"/>
    <n v="1.647"/>
  </r>
  <r>
    <n v="110"/>
    <x v="0"/>
    <x v="13"/>
    <x v="10"/>
    <s v="Percent"/>
    <s v="Units"/>
    <x v="6"/>
    <n v="1.633"/>
  </r>
  <r>
    <n v="123"/>
    <x v="9"/>
    <x v="13"/>
    <x v="10"/>
    <s v="Percent"/>
    <s v="Units"/>
    <x v="0"/>
    <n v="1.6970000000000001"/>
  </r>
  <r>
    <n v="123"/>
    <x v="9"/>
    <x v="13"/>
    <x v="10"/>
    <s v="Percent"/>
    <s v="Units"/>
    <x v="1"/>
    <n v="1.7350000000000001"/>
  </r>
  <r>
    <n v="123"/>
    <x v="9"/>
    <x v="13"/>
    <x v="10"/>
    <s v="Percent"/>
    <s v="Units"/>
    <x v="2"/>
    <n v="1.7010000000000001"/>
  </r>
  <r>
    <n v="123"/>
    <x v="9"/>
    <x v="13"/>
    <x v="10"/>
    <s v="Percent"/>
    <s v="Units"/>
    <x v="3"/>
    <n v="1.6890000000000001"/>
  </r>
  <r>
    <n v="123"/>
    <x v="9"/>
    <x v="13"/>
    <x v="10"/>
    <s v="Percent"/>
    <s v="Units"/>
    <x v="4"/>
    <n v="1.66"/>
  </r>
  <r>
    <n v="123"/>
    <x v="9"/>
    <x v="13"/>
    <x v="10"/>
    <s v="Percent"/>
    <s v="Units"/>
    <x v="5"/>
    <n v="1.647"/>
  </r>
  <r>
    <n v="123"/>
    <x v="9"/>
    <x v="13"/>
    <x v="10"/>
    <s v="Percent"/>
    <s v="Units"/>
    <x v="6"/>
    <n v="1.633"/>
  </r>
  <r>
    <n v="110"/>
    <x v="0"/>
    <x v="9"/>
    <x v="6"/>
    <s v="Percent change"/>
    <s v="Units"/>
    <x v="0"/>
    <n v="-0.121"/>
  </r>
  <r>
    <n v="110"/>
    <x v="0"/>
    <x v="9"/>
    <x v="6"/>
    <s v="Percent change"/>
    <s v="Units"/>
    <x v="1"/>
    <n v="-9.3949999999999996"/>
  </r>
  <r>
    <n v="110"/>
    <x v="0"/>
    <x v="9"/>
    <x v="6"/>
    <s v="Percent change"/>
    <s v="Units"/>
    <x v="2"/>
    <n v="8.1180000000000003"/>
  </r>
  <r>
    <n v="110"/>
    <x v="0"/>
    <x v="9"/>
    <x v="6"/>
    <s v="Percent change"/>
    <s v="Units"/>
    <x v="3"/>
    <n v="7.649"/>
  </r>
  <r>
    <n v="110"/>
    <x v="0"/>
    <x v="9"/>
    <x v="6"/>
    <s v="Percent change"/>
    <s v="Units"/>
    <x v="4"/>
    <n v="1.0109999999999999"/>
  </r>
  <r>
    <n v="110"/>
    <x v="0"/>
    <x v="9"/>
    <x v="6"/>
    <s v="Percent change"/>
    <s v="Units"/>
    <x v="5"/>
    <n v="1.6339999999999999"/>
  </r>
  <r>
    <n v="110"/>
    <x v="0"/>
    <x v="9"/>
    <x v="6"/>
    <s v="Percent change"/>
    <s v="Units"/>
    <x v="6"/>
    <n v="3.718"/>
  </r>
  <r>
    <n v="119"/>
    <x v="1"/>
    <x v="9"/>
    <x v="6"/>
    <s v="Percent change"/>
    <s v="Units"/>
    <x v="0"/>
    <n v="-0.121"/>
  </r>
  <r>
    <n v="119"/>
    <x v="1"/>
    <x v="9"/>
    <x v="6"/>
    <s v="Percent change"/>
    <s v="Units"/>
    <x v="1"/>
    <n v="-9.3949999999999996"/>
  </r>
  <r>
    <n v="119"/>
    <x v="1"/>
    <x v="9"/>
    <x v="6"/>
    <s v="Percent change"/>
    <s v="Units"/>
    <x v="2"/>
    <n v="8.1180000000000003"/>
  </r>
  <r>
    <n v="119"/>
    <x v="1"/>
    <x v="9"/>
    <x v="6"/>
    <s v="Percent change"/>
    <s v="Units"/>
    <x v="3"/>
    <n v="7.649"/>
  </r>
  <r>
    <n v="119"/>
    <x v="1"/>
    <x v="9"/>
    <x v="6"/>
    <s v="Percent change"/>
    <s v="Units"/>
    <x v="4"/>
    <n v="1.0109999999999999"/>
  </r>
  <r>
    <n v="119"/>
    <x v="1"/>
    <x v="9"/>
    <x v="6"/>
    <s v="Percent change"/>
    <s v="Units"/>
    <x v="5"/>
    <n v="1.6339999999999999"/>
  </r>
  <r>
    <n v="119"/>
    <x v="1"/>
    <x v="9"/>
    <x v="6"/>
    <s v="Percent change"/>
    <s v="Units"/>
    <x v="6"/>
    <n v="3.718"/>
  </r>
  <r>
    <n v="1"/>
    <x v="2"/>
    <x v="9"/>
    <x v="6"/>
    <s v="Percent change"/>
    <s v="Units"/>
    <x v="0"/>
    <n v="-0.121"/>
  </r>
  <r>
    <n v="1"/>
    <x v="2"/>
    <x v="9"/>
    <x v="6"/>
    <s v="Percent change"/>
    <s v="Units"/>
    <x v="1"/>
    <n v="-9.3949999999999996"/>
  </r>
  <r>
    <n v="1"/>
    <x v="2"/>
    <x v="9"/>
    <x v="6"/>
    <s v="Percent change"/>
    <s v="Units"/>
    <x v="2"/>
    <n v="8.1180000000000003"/>
  </r>
  <r>
    <n v="1"/>
    <x v="2"/>
    <x v="9"/>
    <x v="6"/>
    <s v="Percent change"/>
    <s v="Units"/>
    <x v="3"/>
    <n v="7.649"/>
  </r>
  <r>
    <n v="1"/>
    <x v="2"/>
    <x v="9"/>
    <x v="6"/>
    <s v="Percent change"/>
    <s v="Units"/>
    <x v="4"/>
    <n v="1.0109999999999999"/>
  </r>
  <r>
    <n v="1"/>
    <x v="2"/>
    <x v="9"/>
    <x v="6"/>
    <s v="Percent change"/>
    <s v="Units"/>
    <x v="5"/>
    <n v="1.6339999999999999"/>
  </r>
  <r>
    <n v="1"/>
    <x v="2"/>
    <x v="9"/>
    <x v="6"/>
    <s v="Percent change"/>
    <s v="Units"/>
    <x v="6"/>
    <n v="3.718"/>
  </r>
  <r>
    <n v="123"/>
    <x v="9"/>
    <x v="28"/>
    <x v="8"/>
    <s v="Percent change"/>
    <s v="Units"/>
    <x v="0"/>
    <n v="3.7850000000000001"/>
  </r>
  <r>
    <n v="123"/>
    <x v="9"/>
    <x v="28"/>
    <x v="8"/>
    <s v="Percent change"/>
    <s v="Units"/>
    <x v="1"/>
    <n v="-1.4650000000000001"/>
  </r>
  <r>
    <n v="123"/>
    <x v="9"/>
    <x v="28"/>
    <x v="8"/>
    <s v="Percent change"/>
    <s v="Units"/>
    <x v="2"/>
    <n v="9.3439999999999994"/>
  </r>
  <r>
    <n v="123"/>
    <x v="9"/>
    <x v="28"/>
    <x v="8"/>
    <s v="Percent change"/>
    <s v="Units"/>
    <x v="3"/>
    <n v="6.47"/>
  </r>
  <r>
    <n v="123"/>
    <x v="9"/>
    <x v="28"/>
    <x v="8"/>
    <s v="Percent change"/>
    <s v="Units"/>
    <x v="4"/>
    <n v="2.0030000000000001"/>
  </r>
  <r>
    <n v="123"/>
    <x v="9"/>
    <x v="28"/>
    <x v="8"/>
    <s v="Percent change"/>
    <s v="Units"/>
    <x v="5"/>
    <n v="1.609"/>
  </r>
  <r>
    <n v="123"/>
    <x v="9"/>
    <x v="28"/>
    <x v="8"/>
    <s v="Percent change"/>
    <s v="Units"/>
    <x v="6"/>
    <n v="5.4349999999999996"/>
  </r>
  <r>
    <n v="110"/>
    <x v="0"/>
    <x v="28"/>
    <x v="8"/>
    <s v="Percent change"/>
    <s v="Units"/>
    <x v="0"/>
    <n v="3.7850000000000001"/>
  </r>
  <r>
    <n v="110"/>
    <x v="0"/>
    <x v="28"/>
    <x v="8"/>
    <s v="Percent change"/>
    <s v="Units"/>
    <x v="1"/>
    <n v="-1.4650000000000001"/>
  </r>
  <r>
    <n v="110"/>
    <x v="0"/>
    <x v="28"/>
    <x v="8"/>
    <s v="Percent change"/>
    <s v="Units"/>
    <x v="2"/>
    <n v="9.3439999999999994"/>
  </r>
  <r>
    <n v="110"/>
    <x v="0"/>
    <x v="28"/>
    <x v="8"/>
    <s v="Percent change"/>
    <s v="Units"/>
    <x v="3"/>
    <n v="6.47"/>
  </r>
  <r>
    <n v="110"/>
    <x v="0"/>
    <x v="28"/>
    <x v="8"/>
    <s v="Percent change"/>
    <s v="Units"/>
    <x v="4"/>
    <n v="2.0030000000000001"/>
  </r>
  <r>
    <n v="110"/>
    <x v="0"/>
    <x v="28"/>
    <x v="8"/>
    <s v="Percent change"/>
    <s v="Units"/>
    <x v="5"/>
    <n v="1.609"/>
  </r>
  <r>
    <n v="110"/>
    <x v="0"/>
    <x v="28"/>
    <x v="8"/>
    <s v="Percent change"/>
    <s v="Units"/>
    <x v="6"/>
    <n v="5.4349999999999996"/>
  </r>
  <r>
    <n v="1"/>
    <x v="2"/>
    <x v="28"/>
    <x v="8"/>
    <s v="Percent change"/>
    <s v="Units"/>
    <x v="0"/>
    <n v="3.7850000000000001"/>
  </r>
  <r>
    <n v="1"/>
    <x v="2"/>
    <x v="28"/>
    <x v="8"/>
    <s v="Percent change"/>
    <s v="Units"/>
    <x v="1"/>
    <n v="-1.4650000000000001"/>
  </r>
  <r>
    <n v="1"/>
    <x v="2"/>
    <x v="28"/>
    <x v="8"/>
    <s v="Percent change"/>
    <s v="Units"/>
    <x v="2"/>
    <n v="9.3439999999999994"/>
  </r>
  <r>
    <n v="1"/>
    <x v="2"/>
    <x v="28"/>
    <x v="8"/>
    <s v="Percent change"/>
    <s v="Units"/>
    <x v="3"/>
    <n v="6.47"/>
  </r>
  <r>
    <n v="1"/>
    <x v="2"/>
    <x v="28"/>
    <x v="8"/>
    <s v="Percent change"/>
    <s v="Units"/>
    <x v="4"/>
    <n v="2.0030000000000001"/>
  </r>
  <r>
    <n v="1"/>
    <x v="2"/>
    <x v="28"/>
    <x v="8"/>
    <s v="Percent change"/>
    <s v="Units"/>
    <x v="5"/>
    <n v="1.609"/>
  </r>
  <r>
    <n v="1"/>
    <x v="2"/>
    <x v="28"/>
    <x v="8"/>
    <s v="Percent change"/>
    <s v="Units"/>
    <x v="6"/>
    <n v="5.4349999999999996"/>
  </r>
  <r>
    <n v="1"/>
    <x v="2"/>
    <x v="106"/>
    <x v="8"/>
    <s v="Percent change"/>
    <s v="Units"/>
    <x v="0"/>
    <n v="2.2170000000000001"/>
  </r>
  <r>
    <n v="1"/>
    <x v="2"/>
    <x v="106"/>
    <x v="8"/>
    <s v="Percent change"/>
    <s v="Units"/>
    <x v="1"/>
    <n v="-8.7379999999999995"/>
  </r>
  <r>
    <n v="1"/>
    <x v="2"/>
    <x v="106"/>
    <x v="8"/>
    <s v="Percent change"/>
    <s v="Units"/>
    <x v="2"/>
    <n v="6.1109999999999998"/>
  </r>
  <r>
    <n v="1"/>
    <x v="2"/>
    <x v="106"/>
    <x v="8"/>
    <s v="Percent change"/>
    <s v="Units"/>
    <x v="3"/>
    <n v="3.6059999999999999"/>
  </r>
  <r>
    <n v="1"/>
    <x v="2"/>
    <x v="106"/>
    <x v="8"/>
    <s v="Percent change"/>
    <s v="Units"/>
    <x v="4"/>
    <n v="2.5"/>
  </r>
  <r>
    <n v="1"/>
    <x v="2"/>
    <x v="106"/>
    <x v="8"/>
    <s v="Percent change"/>
    <s v="Units"/>
    <x v="5"/>
    <n v="1.6"/>
  </r>
  <r>
    <n v="1"/>
    <x v="2"/>
    <x v="106"/>
    <x v="8"/>
    <s v="Percent change"/>
    <s v="Units"/>
    <x v="6"/>
    <n v="2.2000000000000002"/>
  </r>
  <r>
    <n v="200"/>
    <x v="3"/>
    <x v="106"/>
    <x v="8"/>
    <s v="Percent change"/>
    <s v="Units"/>
    <x v="0"/>
    <n v="2.2170000000000001"/>
  </r>
  <r>
    <n v="200"/>
    <x v="3"/>
    <x v="106"/>
    <x v="8"/>
    <s v="Percent change"/>
    <s v="Units"/>
    <x v="1"/>
    <n v="-8.7379999999999995"/>
  </r>
  <r>
    <n v="200"/>
    <x v="3"/>
    <x v="106"/>
    <x v="8"/>
    <s v="Percent change"/>
    <s v="Units"/>
    <x v="2"/>
    <n v="6.1109999999999998"/>
  </r>
  <r>
    <n v="200"/>
    <x v="3"/>
    <x v="106"/>
    <x v="8"/>
    <s v="Percent change"/>
    <s v="Units"/>
    <x v="3"/>
    <n v="3.6059999999999999"/>
  </r>
  <r>
    <n v="200"/>
    <x v="3"/>
    <x v="106"/>
    <x v="8"/>
    <s v="Percent change"/>
    <s v="Units"/>
    <x v="4"/>
    <n v="2.5"/>
  </r>
  <r>
    <n v="200"/>
    <x v="3"/>
    <x v="106"/>
    <x v="8"/>
    <s v="Percent change"/>
    <s v="Units"/>
    <x v="5"/>
    <n v="1.6"/>
  </r>
  <r>
    <n v="200"/>
    <x v="3"/>
    <x v="106"/>
    <x v="8"/>
    <s v="Percent change"/>
    <s v="Units"/>
    <x v="6"/>
    <n v="2.2000000000000002"/>
  </r>
  <r>
    <n v="205"/>
    <x v="7"/>
    <x v="106"/>
    <x v="8"/>
    <s v="Percent change"/>
    <s v="Units"/>
    <x v="0"/>
    <n v="2.2170000000000001"/>
  </r>
  <r>
    <n v="205"/>
    <x v="7"/>
    <x v="106"/>
    <x v="8"/>
    <s v="Percent change"/>
    <s v="Units"/>
    <x v="1"/>
    <n v="-8.7379999999999995"/>
  </r>
  <r>
    <n v="205"/>
    <x v="7"/>
    <x v="106"/>
    <x v="8"/>
    <s v="Percent change"/>
    <s v="Units"/>
    <x v="2"/>
    <n v="6.1109999999999998"/>
  </r>
  <r>
    <n v="205"/>
    <x v="7"/>
    <x v="106"/>
    <x v="8"/>
    <s v="Percent change"/>
    <s v="Units"/>
    <x v="3"/>
    <n v="3.6059999999999999"/>
  </r>
  <r>
    <n v="205"/>
    <x v="7"/>
    <x v="106"/>
    <x v="8"/>
    <s v="Percent change"/>
    <s v="Units"/>
    <x v="4"/>
    <n v="2.5"/>
  </r>
  <r>
    <n v="205"/>
    <x v="7"/>
    <x v="106"/>
    <x v="8"/>
    <s v="Percent change"/>
    <s v="Units"/>
    <x v="5"/>
    <n v="1.6"/>
  </r>
  <r>
    <n v="205"/>
    <x v="7"/>
    <x v="106"/>
    <x v="8"/>
    <s v="Percent change"/>
    <s v="Units"/>
    <x v="6"/>
    <n v="2.2000000000000002"/>
  </r>
  <r>
    <n v="1"/>
    <x v="2"/>
    <x v="62"/>
    <x v="8"/>
    <s v="Percent change"/>
    <s v="Units"/>
    <x v="0"/>
    <n v="8.4870000000000001"/>
  </r>
  <r>
    <n v="1"/>
    <x v="2"/>
    <x v="62"/>
    <x v="8"/>
    <s v="Percent change"/>
    <s v="Units"/>
    <x v="1"/>
    <n v="1.982"/>
  </r>
  <r>
    <n v="1"/>
    <x v="2"/>
    <x v="62"/>
    <x v="8"/>
    <s v="Percent change"/>
    <s v="Units"/>
    <x v="2"/>
    <n v="7.2069999999999999"/>
  </r>
  <r>
    <n v="1"/>
    <x v="2"/>
    <x v="62"/>
    <x v="8"/>
    <s v="Percent change"/>
    <s v="Units"/>
    <x v="3"/>
    <n v="2.8410000000000002"/>
  </r>
  <r>
    <n v="1"/>
    <x v="2"/>
    <x v="62"/>
    <x v="8"/>
    <s v="Percent change"/>
    <s v="Units"/>
    <x v="4"/>
    <n v="0.59599999999999997"/>
  </r>
  <r>
    <n v="1"/>
    <x v="2"/>
    <x v="62"/>
    <x v="8"/>
    <s v="Percent change"/>
    <s v="Units"/>
    <x v="5"/>
    <n v="1.5760000000000001"/>
  </r>
  <r>
    <n v="1"/>
    <x v="2"/>
    <x v="62"/>
    <x v="8"/>
    <s v="Percent change"/>
    <s v="Units"/>
    <x v="6"/>
    <n v="1.3220000000000001"/>
  </r>
  <r>
    <n v="505"/>
    <x v="4"/>
    <x v="62"/>
    <x v="8"/>
    <s v="Percent change"/>
    <s v="Units"/>
    <x v="0"/>
    <n v="8.4870000000000001"/>
  </r>
  <r>
    <n v="505"/>
    <x v="4"/>
    <x v="62"/>
    <x v="8"/>
    <s v="Percent change"/>
    <s v="Units"/>
    <x v="1"/>
    <n v="1.982"/>
  </r>
  <r>
    <n v="505"/>
    <x v="4"/>
    <x v="62"/>
    <x v="8"/>
    <s v="Percent change"/>
    <s v="Units"/>
    <x v="2"/>
    <n v="7.2069999999999999"/>
  </r>
  <r>
    <n v="505"/>
    <x v="4"/>
    <x v="62"/>
    <x v="8"/>
    <s v="Percent change"/>
    <s v="Units"/>
    <x v="3"/>
    <n v="2.8410000000000002"/>
  </r>
  <r>
    <n v="505"/>
    <x v="4"/>
    <x v="62"/>
    <x v="8"/>
    <s v="Percent change"/>
    <s v="Units"/>
    <x v="4"/>
    <n v="0.59599999999999997"/>
  </r>
  <r>
    <n v="505"/>
    <x v="4"/>
    <x v="62"/>
    <x v="8"/>
    <s v="Percent change"/>
    <s v="Units"/>
    <x v="5"/>
    <n v="1.5760000000000001"/>
  </r>
  <r>
    <n v="505"/>
    <x v="4"/>
    <x v="62"/>
    <x v="8"/>
    <s v="Percent change"/>
    <s v="Units"/>
    <x v="6"/>
    <n v="1.3220000000000001"/>
  </r>
  <r>
    <n v="200"/>
    <x v="3"/>
    <x v="62"/>
    <x v="8"/>
    <s v="Percent change"/>
    <s v="Units"/>
    <x v="0"/>
    <n v="8.4870000000000001"/>
  </r>
  <r>
    <n v="200"/>
    <x v="3"/>
    <x v="62"/>
    <x v="8"/>
    <s v="Percent change"/>
    <s v="Units"/>
    <x v="1"/>
    <n v="1.982"/>
  </r>
  <r>
    <n v="200"/>
    <x v="3"/>
    <x v="62"/>
    <x v="8"/>
    <s v="Percent change"/>
    <s v="Units"/>
    <x v="2"/>
    <n v="7.2069999999999999"/>
  </r>
  <r>
    <n v="200"/>
    <x v="3"/>
    <x v="62"/>
    <x v="8"/>
    <s v="Percent change"/>
    <s v="Units"/>
    <x v="3"/>
    <n v="2.8410000000000002"/>
  </r>
  <r>
    <n v="200"/>
    <x v="3"/>
    <x v="62"/>
    <x v="8"/>
    <s v="Percent change"/>
    <s v="Units"/>
    <x v="4"/>
    <n v="0.59599999999999997"/>
  </r>
  <r>
    <n v="200"/>
    <x v="3"/>
    <x v="62"/>
    <x v="8"/>
    <s v="Percent change"/>
    <s v="Units"/>
    <x v="5"/>
    <n v="1.5760000000000001"/>
  </r>
  <r>
    <n v="200"/>
    <x v="3"/>
    <x v="62"/>
    <x v="8"/>
    <s v="Percent change"/>
    <s v="Units"/>
    <x v="6"/>
    <n v="1.3220000000000001"/>
  </r>
  <r>
    <n v="903"/>
    <x v="8"/>
    <x v="10"/>
    <x v="6"/>
    <s v="Percent change"/>
    <s v="Units"/>
    <x v="0"/>
    <n v="2.8069999999999999"/>
  </r>
  <r>
    <n v="903"/>
    <x v="8"/>
    <x v="10"/>
    <x v="6"/>
    <s v="Percent change"/>
    <s v="Units"/>
    <x v="1"/>
    <n v="-11.823"/>
  </r>
  <r>
    <n v="903"/>
    <x v="8"/>
    <x v="10"/>
    <x v="6"/>
    <s v="Percent change"/>
    <s v="Units"/>
    <x v="2"/>
    <n v="16.658000000000001"/>
  </r>
  <r>
    <n v="903"/>
    <x v="8"/>
    <x v="10"/>
    <x v="6"/>
    <s v="Percent change"/>
    <s v="Units"/>
    <x v="3"/>
    <n v="-14.59"/>
  </r>
  <r>
    <n v="903"/>
    <x v="8"/>
    <x v="10"/>
    <x v="6"/>
    <s v="Percent change"/>
    <s v="Units"/>
    <x v="4"/>
    <n v="15.958"/>
  </r>
  <r>
    <n v="903"/>
    <x v="8"/>
    <x v="10"/>
    <x v="6"/>
    <s v="Percent change"/>
    <s v="Units"/>
    <x v="5"/>
    <n v="1.548"/>
  </r>
  <r>
    <n v="903"/>
    <x v="8"/>
    <x v="10"/>
    <x v="6"/>
    <s v="Percent change"/>
    <s v="Units"/>
    <x v="6"/>
    <n v="1.8959999999999999"/>
  </r>
  <r>
    <n v="200"/>
    <x v="3"/>
    <x v="10"/>
    <x v="6"/>
    <s v="Percent change"/>
    <s v="Units"/>
    <x v="0"/>
    <n v="2.8069999999999999"/>
  </r>
  <r>
    <n v="200"/>
    <x v="3"/>
    <x v="10"/>
    <x v="6"/>
    <s v="Percent change"/>
    <s v="Units"/>
    <x v="1"/>
    <n v="-11.823"/>
  </r>
  <r>
    <n v="200"/>
    <x v="3"/>
    <x v="10"/>
    <x v="6"/>
    <s v="Percent change"/>
    <s v="Units"/>
    <x v="2"/>
    <n v="16.658000000000001"/>
  </r>
  <r>
    <n v="200"/>
    <x v="3"/>
    <x v="10"/>
    <x v="6"/>
    <s v="Percent change"/>
    <s v="Units"/>
    <x v="3"/>
    <n v="-14.59"/>
  </r>
  <r>
    <n v="200"/>
    <x v="3"/>
    <x v="10"/>
    <x v="6"/>
    <s v="Percent change"/>
    <s v="Units"/>
    <x v="4"/>
    <n v="15.958"/>
  </r>
  <r>
    <n v="200"/>
    <x v="3"/>
    <x v="10"/>
    <x v="6"/>
    <s v="Percent change"/>
    <s v="Units"/>
    <x v="5"/>
    <n v="1.548"/>
  </r>
  <r>
    <n v="200"/>
    <x v="3"/>
    <x v="10"/>
    <x v="6"/>
    <s v="Percent change"/>
    <s v="Units"/>
    <x v="6"/>
    <n v="1.8959999999999999"/>
  </r>
  <r>
    <n v="1"/>
    <x v="2"/>
    <x v="10"/>
    <x v="6"/>
    <s v="Percent change"/>
    <s v="Units"/>
    <x v="0"/>
    <n v="2.8069999999999999"/>
  </r>
  <r>
    <n v="1"/>
    <x v="2"/>
    <x v="10"/>
    <x v="6"/>
    <s v="Percent change"/>
    <s v="Units"/>
    <x v="1"/>
    <n v="-11.823"/>
  </r>
  <r>
    <n v="1"/>
    <x v="2"/>
    <x v="10"/>
    <x v="6"/>
    <s v="Percent change"/>
    <s v="Units"/>
    <x v="2"/>
    <n v="16.658000000000001"/>
  </r>
  <r>
    <n v="1"/>
    <x v="2"/>
    <x v="10"/>
    <x v="6"/>
    <s v="Percent change"/>
    <s v="Units"/>
    <x v="3"/>
    <n v="-14.59"/>
  </r>
  <r>
    <n v="1"/>
    <x v="2"/>
    <x v="10"/>
    <x v="6"/>
    <s v="Percent change"/>
    <s v="Units"/>
    <x v="4"/>
    <n v="15.958"/>
  </r>
  <r>
    <n v="1"/>
    <x v="2"/>
    <x v="10"/>
    <x v="6"/>
    <s v="Percent change"/>
    <s v="Units"/>
    <x v="5"/>
    <n v="1.548"/>
  </r>
  <r>
    <n v="1"/>
    <x v="2"/>
    <x v="10"/>
    <x v="6"/>
    <s v="Percent change"/>
    <s v="Units"/>
    <x v="6"/>
    <n v="1.8959999999999999"/>
  </r>
  <r>
    <n v="1"/>
    <x v="2"/>
    <x v="0"/>
    <x v="4"/>
    <s v="Percent change"/>
    <s v="Units"/>
    <x v="0"/>
    <n v="0.51100000000000001"/>
  </r>
  <r>
    <n v="1"/>
    <x v="2"/>
    <x v="0"/>
    <x v="4"/>
    <s v="Percent change"/>
    <s v="Units"/>
    <x v="1"/>
    <n v="-13.129"/>
  </r>
  <r>
    <n v="1"/>
    <x v="2"/>
    <x v="0"/>
    <x v="4"/>
    <s v="Percent change"/>
    <s v="Units"/>
    <x v="2"/>
    <n v="6.343"/>
  </r>
  <r>
    <n v="1"/>
    <x v="2"/>
    <x v="0"/>
    <x v="4"/>
    <s v="Percent change"/>
    <s v="Units"/>
    <x v="3"/>
    <n v="6.96"/>
  </r>
  <r>
    <n v="1"/>
    <x v="2"/>
    <x v="0"/>
    <x v="4"/>
    <s v="Percent change"/>
    <s v="Units"/>
    <x v="4"/>
    <n v="2.71"/>
  </r>
  <r>
    <n v="1"/>
    <x v="2"/>
    <x v="0"/>
    <x v="4"/>
    <s v="Percent change"/>
    <s v="Units"/>
    <x v="5"/>
    <n v="1.5409999999999999"/>
  </r>
  <r>
    <n v="1"/>
    <x v="2"/>
    <x v="0"/>
    <x v="4"/>
    <s v="Percent change"/>
    <s v="Units"/>
    <x v="6"/>
    <n v="2.4870000000000001"/>
  </r>
  <r>
    <n v="110"/>
    <x v="0"/>
    <x v="0"/>
    <x v="4"/>
    <s v="Percent change"/>
    <s v="Units"/>
    <x v="0"/>
    <n v="0.51100000000000001"/>
  </r>
  <r>
    <n v="110"/>
    <x v="0"/>
    <x v="0"/>
    <x v="4"/>
    <s v="Percent change"/>
    <s v="Units"/>
    <x v="1"/>
    <n v="-13.129"/>
  </r>
  <r>
    <n v="110"/>
    <x v="0"/>
    <x v="0"/>
    <x v="4"/>
    <s v="Percent change"/>
    <s v="Units"/>
    <x v="2"/>
    <n v="6.343"/>
  </r>
  <r>
    <n v="110"/>
    <x v="0"/>
    <x v="0"/>
    <x v="4"/>
    <s v="Percent change"/>
    <s v="Units"/>
    <x v="3"/>
    <n v="6.96"/>
  </r>
  <r>
    <n v="110"/>
    <x v="0"/>
    <x v="0"/>
    <x v="4"/>
    <s v="Percent change"/>
    <s v="Units"/>
    <x v="4"/>
    <n v="2.71"/>
  </r>
  <r>
    <n v="110"/>
    <x v="0"/>
    <x v="0"/>
    <x v="4"/>
    <s v="Percent change"/>
    <s v="Units"/>
    <x v="5"/>
    <n v="1.5409999999999999"/>
  </r>
  <r>
    <n v="110"/>
    <x v="0"/>
    <x v="0"/>
    <x v="4"/>
    <s v="Percent change"/>
    <s v="Units"/>
    <x v="6"/>
    <n v="2.4870000000000001"/>
  </r>
  <r>
    <n v="119"/>
    <x v="1"/>
    <x v="0"/>
    <x v="4"/>
    <s v="Percent change"/>
    <s v="Units"/>
    <x v="0"/>
    <n v="0.51100000000000001"/>
  </r>
  <r>
    <n v="119"/>
    <x v="1"/>
    <x v="0"/>
    <x v="4"/>
    <s v="Percent change"/>
    <s v="Units"/>
    <x v="1"/>
    <n v="-13.129"/>
  </r>
  <r>
    <n v="119"/>
    <x v="1"/>
    <x v="0"/>
    <x v="4"/>
    <s v="Percent change"/>
    <s v="Units"/>
    <x v="2"/>
    <n v="6.343"/>
  </r>
  <r>
    <n v="119"/>
    <x v="1"/>
    <x v="0"/>
    <x v="4"/>
    <s v="Percent change"/>
    <s v="Units"/>
    <x v="3"/>
    <n v="6.96"/>
  </r>
  <r>
    <n v="119"/>
    <x v="1"/>
    <x v="0"/>
    <x v="4"/>
    <s v="Percent change"/>
    <s v="Units"/>
    <x v="4"/>
    <n v="2.71"/>
  </r>
  <r>
    <n v="119"/>
    <x v="1"/>
    <x v="0"/>
    <x v="4"/>
    <s v="Percent change"/>
    <s v="Units"/>
    <x v="5"/>
    <n v="1.5409999999999999"/>
  </r>
  <r>
    <n v="119"/>
    <x v="1"/>
    <x v="0"/>
    <x v="4"/>
    <s v="Percent change"/>
    <s v="Units"/>
    <x v="6"/>
    <n v="2.4870000000000001"/>
  </r>
  <r>
    <n v="110"/>
    <x v="0"/>
    <x v="18"/>
    <x v="1"/>
    <s v="Percent change"/>
    <s v="Units"/>
    <x v="0"/>
    <n v="0.36199999999999999"/>
  </r>
  <r>
    <n v="110"/>
    <x v="0"/>
    <x v="18"/>
    <x v="1"/>
    <s v="Percent change"/>
    <s v="Units"/>
    <x v="1"/>
    <n v="-0.72499999999999998"/>
  </r>
  <r>
    <n v="110"/>
    <x v="0"/>
    <x v="18"/>
    <x v="1"/>
    <s v="Percent change"/>
    <s v="Units"/>
    <x v="2"/>
    <n v="0.58199999999999996"/>
  </r>
  <r>
    <n v="110"/>
    <x v="0"/>
    <x v="18"/>
    <x v="1"/>
    <s v="Percent change"/>
    <s v="Units"/>
    <x v="3"/>
    <n v="2.8340000000000001"/>
  </r>
  <r>
    <n v="110"/>
    <x v="0"/>
    <x v="18"/>
    <x v="1"/>
    <s v="Percent change"/>
    <s v="Units"/>
    <x v="4"/>
    <n v="2.1339999999999999"/>
  </r>
  <r>
    <n v="110"/>
    <x v="0"/>
    <x v="18"/>
    <x v="1"/>
    <s v="Percent change"/>
    <s v="Units"/>
    <x v="5"/>
    <n v="1.5369999999999999"/>
  </r>
  <r>
    <n v="110"/>
    <x v="0"/>
    <x v="18"/>
    <x v="1"/>
    <s v="Percent change"/>
    <s v="Units"/>
    <x v="6"/>
    <n v="1.2"/>
  </r>
  <r>
    <n v="123"/>
    <x v="9"/>
    <x v="18"/>
    <x v="1"/>
    <s v="Percent change"/>
    <s v="Units"/>
    <x v="0"/>
    <n v="0.36199999999999999"/>
  </r>
  <r>
    <n v="123"/>
    <x v="9"/>
    <x v="18"/>
    <x v="1"/>
    <s v="Percent change"/>
    <s v="Units"/>
    <x v="1"/>
    <n v="-0.72499999999999998"/>
  </r>
  <r>
    <n v="123"/>
    <x v="9"/>
    <x v="18"/>
    <x v="1"/>
    <s v="Percent change"/>
    <s v="Units"/>
    <x v="2"/>
    <n v="0.58199999999999996"/>
  </r>
  <r>
    <n v="123"/>
    <x v="9"/>
    <x v="18"/>
    <x v="1"/>
    <s v="Percent change"/>
    <s v="Units"/>
    <x v="3"/>
    <n v="2.8340000000000001"/>
  </r>
  <r>
    <n v="123"/>
    <x v="9"/>
    <x v="18"/>
    <x v="1"/>
    <s v="Percent change"/>
    <s v="Units"/>
    <x v="4"/>
    <n v="2.1339999999999999"/>
  </r>
  <r>
    <n v="123"/>
    <x v="9"/>
    <x v="18"/>
    <x v="1"/>
    <s v="Percent change"/>
    <s v="Units"/>
    <x v="5"/>
    <n v="1.5369999999999999"/>
  </r>
  <r>
    <n v="123"/>
    <x v="9"/>
    <x v="18"/>
    <x v="1"/>
    <s v="Percent change"/>
    <s v="Units"/>
    <x v="6"/>
    <n v="1.2"/>
  </r>
  <r>
    <n v="110"/>
    <x v="0"/>
    <x v="78"/>
    <x v="4"/>
    <s v="Percent change"/>
    <s v="Units"/>
    <x v="0"/>
    <n v="6.8520000000000003"/>
  </r>
  <r>
    <n v="110"/>
    <x v="0"/>
    <x v="78"/>
    <x v="4"/>
    <s v="Percent change"/>
    <s v="Units"/>
    <x v="1"/>
    <n v="-23.196999999999999"/>
  </r>
  <r>
    <n v="110"/>
    <x v="0"/>
    <x v="78"/>
    <x v="4"/>
    <s v="Percent change"/>
    <s v="Units"/>
    <x v="2"/>
    <n v="32.731000000000002"/>
  </r>
  <r>
    <n v="110"/>
    <x v="0"/>
    <x v="78"/>
    <x v="4"/>
    <s v="Percent change"/>
    <s v="Units"/>
    <x v="3"/>
    <n v="26.991"/>
  </r>
  <r>
    <n v="110"/>
    <x v="0"/>
    <x v="78"/>
    <x v="4"/>
    <s v="Percent change"/>
    <s v="Units"/>
    <x v="4"/>
    <n v="-2.9359999999999999"/>
  </r>
  <r>
    <n v="110"/>
    <x v="0"/>
    <x v="78"/>
    <x v="4"/>
    <s v="Percent change"/>
    <s v="Units"/>
    <x v="5"/>
    <n v="1.5369999999999999"/>
  </r>
  <r>
    <n v="110"/>
    <x v="0"/>
    <x v="78"/>
    <x v="4"/>
    <s v="Percent change"/>
    <s v="Units"/>
    <x v="6"/>
    <n v="2.78"/>
  </r>
  <r>
    <n v="163"/>
    <x v="5"/>
    <x v="78"/>
    <x v="4"/>
    <s v="Percent change"/>
    <s v="Units"/>
    <x v="0"/>
    <n v="6.8520000000000003"/>
  </r>
  <r>
    <n v="163"/>
    <x v="5"/>
    <x v="78"/>
    <x v="4"/>
    <s v="Percent change"/>
    <s v="Units"/>
    <x v="1"/>
    <n v="-23.196999999999999"/>
  </r>
  <r>
    <n v="163"/>
    <x v="5"/>
    <x v="78"/>
    <x v="4"/>
    <s v="Percent change"/>
    <s v="Units"/>
    <x v="2"/>
    <n v="32.731000000000002"/>
  </r>
  <r>
    <n v="163"/>
    <x v="5"/>
    <x v="78"/>
    <x v="4"/>
    <s v="Percent change"/>
    <s v="Units"/>
    <x v="3"/>
    <n v="26.991"/>
  </r>
  <r>
    <n v="163"/>
    <x v="5"/>
    <x v="78"/>
    <x v="4"/>
    <s v="Percent change"/>
    <s v="Units"/>
    <x v="4"/>
    <n v="-2.9359999999999999"/>
  </r>
  <r>
    <n v="163"/>
    <x v="5"/>
    <x v="78"/>
    <x v="4"/>
    <s v="Percent change"/>
    <s v="Units"/>
    <x v="5"/>
    <n v="1.5369999999999999"/>
  </r>
  <r>
    <n v="163"/>
    <x v="5"/>
    <x v="78"/>
    <x v="4"/>
    <s v="Percent change"/>
    <s v="Units"/>
    <x v="6"/>
    <n v="2.78"/>
  </r>
  <r>
    <n v="1"/>
    <x v="2"/>
    <x v="78"/>
    <x v="4"/>
    <s v="Percent change"/>
    <s v="Units"/>
    <x v="0"/>
    <n v="6.8520000000000003"/>
  </r>
  <r>
    <n v="1"/>
    <x v="2"/>
    <x v="78"/>
    <x v="4"/>
    <s v="Percent change"/>
    <s v="Units"/>
    <x v="1"/>
    <n v="-23.196999999999999"/>
  </r>
  <r>
    <n v="1"/>
    <x v="2"/>
    <x v="78"/>
    <x v="4"/>
    <s v="Percent change"/>
    <s v="Units"/>
    <x v="2"/>
    <n v="32.731000000000002"/>
  </r>
  <r>
    <n v="1"/>
    <x v="2"/>
    <x v="78"/>
    <x v="4"/>
    <s v="Percent change"/>
    <s v="Units"/>
    <x v="3"/>
    <n v="26.991"/>
  </r>
  <r>
    <n v="1"/>
    <x v="2"/>
    <x v="78"/>
    <x v="4"/>
    <s v="Percent change"/>
    <s v="Units"/>
    <x v="4"/>
    <n v="-2.9359999999999999"/>
  </r>
  <r>
    <n v="1"/>
    <x v="2"/>
    <x v="78"/>
    <x v="4"/>
    <s v="Percent change"/>
    <s v="Units"/>
    <x v="5"/>
    <n v="1.5369999999999999"/>
  </r>
  <r>
    <n v="1"/>
    <x v="2"/>
    <x v="78"/>
    <x v="4"/>
    <s v="Percent change"/>
    <s v="Units"/>
    <x v="6"/>
    <n v="2.78"/>
  </r>
  <r>
    <n v="1"/>
    <x v="2"/>
    <x v="18"/>
    <x v="1"/>
    <s v="Percent change"/>
    <s v="Units"/>
    <x v="0"/>
    <n v="0.36199999999999999"/>
  </r>
  <r>
    <n v="1"/>
    <x v="2"/>
    <x v="18"/>
    <x v="1"/>
    <s v="Percent change"/>
    <s v="Units"/>
    <x v="1"/>
    <n v="-0.72499999999999998"/>
  </r>
  <r>
    <n v="1"/>
    <x v="2"/>
    <x v="18"/>
    <x v="1"/>
    <s v="Percent change"/>
    <s v="Units"/>
    <x v="2"/>
    <n v="0.58199999999999996"/>
  </r>
  <r>
    <n v="1"/>
    <x v="2"/>
    <x v="18"/>
    <x v="1"/>
    <s v="Percent change"/>
    <s v="Units"/>
    <x v="3"/>
    <n v="2.8340000000000001"/>
  </r>
  <r>
    <n v="1"/>
    <x v="2"/>
    <x v="18"/>
    <x v="1"/>
    <s v="Percent change"/>
    <s v="Units"/>
    <x v="4"/>
    <n v="2.1339999999999999"/>
  </r>
  <r>
    <n v="1"/>
    <x v="2"/>
    <x v="18"/>
    <x v="1"/>
    <s v="Percent change"/>
    <s v="Units"/>
    <x v="5"/>
    <n v="1.5369999999999999"/>
  </r>
  <r>
    <n v="1"/>
    <x v="2"/>
    <x v="18"/>
    <x v="1"/>
    <s v="Percent change"/>
    <s v="Units"/>
    <x v="6"/>
    <n v="1.2"/>
  </r>
  <r>
    <n v="163"/>
    <x v="5"/>
    <x v="76"/>
    <x v="6"/>
    <s v="Percent change"/>
    <s v="Units"/>
    <x v="0"/>
    <n v="7.4109999999999996"/>
  </r>
  <r>
    <n v="163"/>
    <x v="5"/>
    <x v="76"/>
    <x v="6"/>
    <s v="Percent change"/>
    <s v="Units"/>
    <x v="1"/>
    <n v="-0.377"/>
  </r>
  <r>
    <n v="163"/>
    <x v="5"/>
    <x v="76"/>
    <x v="6"/>
    <s v="Percent change"/>
    <s v="Units"/>
    <x v="2"/>
    <n v="12.374000000000001"/>
  </r>
  <r>
    <n v="163"/>
    <x v="5"/>
    <x v="76"/>
    <x v="6"/>
    <s v="Percent change"/>
    <s v="Units"/>
    <x v="3"/>
    <n v="-1.9059999999999999"/>
  </r>
  <r>
    <n v="163"/>
    <x v="5"/>
    <x v="76"/>
    <x v="6"/>
    <s v="Percent change"/>
    <s v="Units"/>
    <x v="4"/>
    <n v="-0.13900000000000001"/>
  </r>
  <r>
    <n v="163"/>
    <x v="5"/>
    <x v="76"/>
    <x v="6"/>
    <s v="Percent change"/>
    <s v="Units"/>
    <x v="5"/>
    <n v="1.536"/>
  </r>
  <r>
    <n v="163"/>
    <x v="5"/>
    <x v="76"/>
    <x v="6"/>
    <s v="Percent change"/>
    <s v="Units"/>
    <x v="6"/>
    <n v="2.6"/>
  </r>
  <r>
    <n v="1"/>
    <x v="2"/>
    <x v="76"/>
    <x v="6"/>
    <s v="Percent change"/>
    <s v="Units"/>
    <x v="0"/>
    <n v="7.4109999999999996"/>
  </r>
  <r>
    <n v="1"/>
    <x v="2"/>
    <x v="76"/>
    <x v="6"/>
    <s v="Percent change"/>
    <s v="Units"/>
    <x v="1"/>
    <n v="-0.377"/>
  </r>
  <r>
    <n v="1"/>
    <x v="2"/>
    <x v="76"/>
    <x v="6"/>
    <s v="Percent change"/>
    <s v="Units"/>
    <x v="2"/>
    <n v="12.374000000000001"/>
  </r>
  <r>
    <n v="1"/>
    <x v="2"/>
    <x v="76"/>
    <x v="6"/>
    <s v="Percent change"/>
    <s v="Units"/>
    <x v="3"/>
    <n v="-1.9059999999999999"/>
  </r>
  <r>
    <n v="1"/>
    <x v="2"/>
    <x v="76"/>
    <x v="6"/>
    <s v="Percent change"/>
    <s v="Units"/>
    <x v="4"/>
    <n v="-0.13900000000000001"/>
  </r>
  <r>
    <n v="1"/>
    <x v="2"/>
    <x v="76"/>
    <x v="6"/>
    <s v="Percent change"/>
    <s v="Units"/>
    <x v="5"/>
    <n v="1.536"/>
  </r>
  <r>
    <n v="1"/>
    <x v="2"/>
    <x v="76"/>
    <x v="6"/>
    <s v="Percent change"/>
    <s v="Units"/>
    <x v="6"/>
    <n v="2.6"/>
  </r>
  <r>
    <n v="110"/>
    <x v="0"/>
    <x v="76"/>
    <x v="6"/>
    <s v="Percent change"/>
    <s v="Units"/>
    <x v="0"/>
    <n v="7.4109999999999996"/>
  </r>
  <r>
    <n v="110"/>
    <x v="0"/>
    <x v="76"/>
    <x v="6"/>
    <s v="Percent change"/>
    <s v="Units"/>
    <x v="1"/>
    <n v="-0.377"/>
  </r>
  <r>
    <n v="110"/>
    <x v="0"/>
    <x v="76"/>
    <x v="6"/>
    <s v="Percent change"/>
    <s v="Units"/>
    <x v="2"/>
    <n v="12.374000000000001"/>
  </r>
  <r>
    <n v="110"/>
    <x v="0"/>
    <x v="76"/>
    <x v="6"/>
    <s v="Percent change"/>
    <s v="Units"/>
    <x v="3"/>
    <n v="-1.9059999999999999"/>
  </r>
  <r>
    <n v="110"/>
    <x v="0"/>
    <x v="76"/>
    <x v="6"/>
    <s v="Percent change"/>
    <s v="Units"/>
    <x v="4"/>
    <n v="-0.13900000000000001"/>
  </r>
  <r>
    <n v="110"/>
    <x v="0"/>
    <x v="76"/>
    <x v="6"/>
    <s v="Percent change"/>
    <s v="Units"/>
    <x v="5"/>
    <n v="1.536"/>
  </r>
  <r>
    <n v="110"/>
    <x v="0"/>
    <x v="76"/>
    <x v="6"/>
    <s v="Percent change"/>
    <s v="Units"/>
    <x v="6"/>
    <n v="2.6"/>
  </r>
  <r>
    <n v="1"/>
    <x v="2"/>
    <x v="104"/>
    <x v="4"/>
    <s v="Percent change"/>
    <s v="Units"/>
    <x v="0"/>
    <n v="-4.0069999999999997"/>
  </r>
  <r>
    <n v="1"/>
    <x v="2"/>
    <x v="104"/>
    <x v="4"/>
    <s v="Percent change"/>
    <s v="Units"/>
    <x v="1"/>
    <n v="-17.783000000000001"/>
  </r>
  <r>
    <n v="1"/>
    <x v="2"/>
    <x v="104"/>
    <x v="4"/>
    <s v="Percent change"/>
    <s v="Units"/>
    <x v="2"/>
    <n v="19.481000000000002"/>
  </r>
  <r>
    <n v="1"/>
    <x v="2"/>
    <x v="104"/>
    <x v="4"/>
    <s v="Percent change"/>
    <s v="Units"/>
    <x v="3"/>
    <n v="30.280999999999999"/>
  </r>
  <r>
    <n v="1"/>
    <x v="2"/>
    <x v="104"/>
    <x v="4"/>
    <s v="Percent change"/>
    <s v="Units"/>
    <x v="4"/>
    <n v="-2.577"/>
  </r>
  <r>
    <n v="1"/>
    <x v="2"/>
    <x v="104"/>
    <x v="4"/>
    <s v="Percent change"/>
    <s v="Units"/>
    <x v="5"/>
    <n v="1.532"/>
  </r>
  <r>
    <n v="1"/>
    <x v="2"/>
    <x v="104"/>
    <x v="4"/>
    <s v="Percent change"/>
    <s v="Units"/>
    <x v="6"/>
    <n v="3.0430000000000001"/>
  </r>
  <r>
    <n v="200"/>
    <x v="3"/>
    <x v="104"/>
    <x v="4"/>
    <s v="Percent change"/>
    <s v="Units"/>
    <x v="0"/>
    <n v="-4.0069999999999997"/>
  </r>
  <r>
    <n v="200"/>
    <x v="3"/>
    <x v="104"/>
    <x v="4"/>
    <s v="Percent change"/>
    <s v="Units"/>
    <x v="1"/>
    <n v="-17.783000000000001"/>
  </r>
  <r>
    <n v="200"/>
    <x v="3"/>
    <x v="104"/>
    <x v="4"/>
    <s v="Percent change"/>
    <s v="Units"/>
    <x v="2"/>
    <n v="19.481000000000002"/>
  </r>
  <r>
    <n v="200"/>
    <x v="3"/>
    <x v="104"/>
    <x v="4"/>
    <s v="Percent change"/>
    <s v="Units"/>
    <x v="3"/>
    <n v="30.280999999999999"/>
  </r>
  <r>
    <n v="200"/>
    <x v="3"/>
    <x v="104"/>
    <x v="4"/>
    <s v="Percent change"/>
    <s v="Units"/>
    <x v="4"/>
    <n v="-2.577"/>
  </r>
  <r>
    <n v="200"/>
    <x v="3"/>
    <x v="104"/>
    <x v="4"/>
    <s v="Percent change"/>
    <s v="Units"/>
    <x v="5"/>
    <n v="1.532"/>
  </r>
  <r>
    <n v="200"/>
    <x v="3"/>
    <x v="104"/>
    <x v="4"/>
    <s v="Percent change"/>
    <s v="Units"/>
    <x v="6"/>
    <n v="3.0430000000000001"/>
  </r>
  <r>
    <n v="603"/>
    <x v="12"/>
    <x v="104"/>
    <x v="4"/>
    <s v="Percent change"/>
    <s v="Units"/>
    <x v="0"/>
    <n v="-4.0069999999999997"/>
  </r>
  <r>
    <n v="603"/>
    <x v="12"/>
    <x v="104"/>
    <x v="4"/>
    <s v="Percent change"/>
    <s v="Units"/>
    <x v="1"/>
    <n v="-17.783000000000001"/>
  </r>
  <r>
    <n v="603"/>
    <x v="12"/>
    <x v="104"/>
    <x v="4"/>
    <s v="Percent change"/>
    <s v="Units"/>
    <x v="2"/>
    <n v="19.481000000000002"/>
  </r>
  <r>
    <n v="603"/>
    <x v="12"/>
    <x v="104"/>
    <x v="4"/>
    <s v="Percent change"/>
    <s v="Units"/>
    <x v="3"/>
    <n v="30.280999999999999"/>
  </r>
  <r>
    <n v="603"/>
    <x v="12"/>
    <x v="104"/>
    <x v="4"/>
    <s v="Percent change"/>
    <s v="Units"/>
    <x v="4"/>
    <n v="-2.577"/>
  </r>
  <r>
    <n v="603"/>
    <x v="12"/>
    <x v="104"/>
    <x v="4"/>
    <s v="Percent change"/>
    <s v="Units"/>
    <x v="5"/>
    <n v="1.532"/>
  </r>
  <r>
    <n v="603"/>
    <x v="12"/>
    <x v="104"/>
    <x v="4"/>
    <s v="Percent change"/>
    <s v="Units"/>
    <x v="6"/>
    <n v="3.0430000000000001"/>
  </r>
  <r>
    <n v="1"/>
    <x v="2"/>
    <x v="30"/>
    <x v="8"/>
    <s v="Percent change"/>
    <s v="Units"/>
    <x v="0"/>
    <n v="1.1240000000000001"/>
  </r>
  <r>
    <n v="1"/>
    <x v="2"/>
    <x v="30"/>
    <x v="8"/>
    <s v="Percent change"/>
    <s v="Units"/>
    <x v="1"/>
    <n v="-1.278"/>
  </r>
  <r>
    <n v="1"/>
    <x v="2"/>
    <x v="30"/>
    <x v="8"/>
    <s v="Percent change"/>
    <s v="Units"/>
    <x v="2"/>
    <n v="3.9089999999999998"/>
  </r>
  <r>
    <n v="1"/>
    <x v="2"/>
    <x v="30"/>
    <x v="8"/>
    <s v="Percent change"/>
    <s v="Units"/>
    <x v="3"/>
    <n v="3.0059999999999998"/>
  </r>
  <r>
    <n v="1"/>
    <x v="2"/>
    <x v="30"/>
    <x v="8"/>
    <s v="Percent change"/>
    <s v="Units"/>
    <x v="4"/>
    <n v="0.51400000000000001"/>
  </r>
  <r>
    <n v="1"/>
    <x v="2"/>
    <x v="30"/>
    <x v="8"/>
    <s v="Percent change"/>
    <s v="Units"/>
    <x v="5"/>
    <n v="1.5249999999999999"/>
  </r>
  <r>
    <n v="1"/>
    <x v="2"/>
    <x v="30"/>
    <x v="8"/>
    <s v="Percent change"/>
    <s v="Units"/>
    <x v="6"/>
    <n v="1.9179999999999999"/>
  </r>
  <r>
    <n v="123"/>
    <x v="9"/>
    <x v="30"/>
    <x v="8"/>
    <s v="Percent change"/>
    <s v="Units"/>
    <x v="0"/>
    <n v="1.1240000000000001"/>
  </r>
  <r>
    <n v="123"/>
    <x v="9"/>
    <x v="30"/>
    <x v="8"/>
    <s v="Percent change"/>
    <s v="Units"/>
    <x v="1"/>
    <n v="-1.278"/>
  </r>
  <r>
    <n v="123"/>
    <x v="9"/>
    <x v="30"/>
    <x v="8"/>
    <s v="Percent change"/>
    <s v="Units"/>
    <x v="2"/>
    <n v="3.9089999999999998"/>
  </r>
  <r>
    <n v="123"/>
    <x v="9"/>
    <x v="30"/>
    <x v="8"/>
    <s v="Percent change"/>
    <s v="Units"/>
    <x v="3"/>
    <n v="3.0059999999999998"/>
  </r>
  <r>
    <n v="123"/>
    <x v="9"/>
    <x v="30"/>
    <x v="8"/>
    <s v="Percent change"/>
    <s v="Units"/>
    <x v="4"/>
    <n v="0.51400000000000001"/>
  </r>
  <r>
    <n v="123"/>
    <x v="9"/>
    <x v="30"/>
    <x v="8"/>
    <s v="Percent change"/>
    <s v="Units"/>
    <x v="5"/>
    <n v="1.5249999999999999"/>
  </r>
  <r>
    <n v="123"/>
    <x v="9"/>
    <x v="30"/>
    <x v="8"/>
    <s v="Percent change"/>
    <s v="Units"/>
    <x v="6"/>
    <n v="1.9179999999999999"/>
  </r>
  <r>
    <n v="110"/>
    <x v="0"/>
    <x v="30"/>
    <x v="8"/>
    <s v="Percent change"/>
    <s v="Units"/>
    <x v="0"/>
    <n v="1.1240000000000001"/>
  </r>
  <r>
    <n v="110"/>
    <x v="0"/>
    <x v="30"/>
    <x v="8"/>
    <s v="Percent change"/>
    <s v="Units"/>
    <x v="1"/>
    <n v="-1.278"/>
  </r>
  <r>
    <n v="110"/>
    <x v="0"/>
    <x v="30"/>
    <x v="8"/>
    <s v="Percent change"/>
    <s v="Units"/>
    <x v="2"/>
    <n v="3.9089999999999998"/>
  </r>
  <r>
    <n v="110"/>
    <x v="0"/>
    <x v="30"/>
    <x v="8"/>
    <s v="Percent change"/>
    <s v="Units"/>
    <x v="3"/>
    <n v="3.0059999999999998"/>
  </r>
  <r>
    <n v="110"/>
    <x v="0"/>
    <x v="30"/>
    <x v="8"/>
    <s v="Percent change"/>
    <s v="Units"/>
    <x v="4"/>
    <n v="0.51400000000000001"/>
  </r>
  <r>
    <n v="110"/>
    <x v="0"/>
    <x v="30"/>
    <x v="8"/>
    <s v="Percent change"/>
    <s v="Units"/>
    <x v="5"/>
    <n v="1.5249999999999999"/>
  </r>
  <r>
    <n v="110"/>
    <x v="0"/>
    <x v="30"/>
    <x v="8"/>
    <s v="Percent change"/>
    <s v="Units"/>
    <x v="6"/>
    <n v="1.9179999999999999"/>
  </r>
  <r>
    <n v="1"/>
    <x v="2"/>
    <x v="108"/>
    <x v="6"/>
    <s v="Percent change"/>
    <s v="Units"/>
    <x v="0"/>
    <n v="-5.5679999999999996"/>
  </r>
  <r>
    <n v="1"/>
    <x v="2"/>
    <x v="108"/>
    <x v="6"/>
    <s v="Percent change"/>
    <s v="Units"/>
    <x v="1"/>
    <n v="-0.70199999999999996"/>
  </r>
  <r>
    <n v="1"/>
    <x v="2"/>
    <x v="108"/>
    <x v="6"/>
    <s v="Percent change"/>
    <s v="Units"/>
    <x v="2"/>
    <n v="15.185"/>
  </r>
  <r>
    <n v="1"/>
    <x v="2"/>
    <x v="108"/>
    <x v="6"/>
    <s v="Percent change"/>
    <s v="Units"/>
    <x v="3"/>
    <n v="-8.6549999999999994"/>
  </r>
  <r>
    <n v="1"/>
    <x v="2"/>
    <x v="108"/>
    <x v="6"/>
    <s v="Percent change"/>
    <s v="Units"/>
    <x v="4"/>
    <n v="12.997999999999999"/>
  </r>
  <r>
    <n v="1"/>
    <x v="2"/>
    <x v="108"/>
    <x v="6"/>
    <s v="Percent change"/>
    <s v="Units"/>
    <x v="5"/>
    <n v="1.524"/>
  </r>
  <r>
    <n v="1"/>
    <x v="2"/>
    <x v="108"/>
    <x v="6"/>
    <s v="Percent change"/>
    <s v="Units"/>
    <x v="6"/>
    <n v="3.024"/>
  </r>
  <r>
    <n v="400"/>
    <x v="11"/>
    <x v="108"/>
    <x v="6"/>
    <s v="Percent change"/>
    <s v="Units"/>
    <x v="0"/>
    <n v="-5.5679999999999996"/>
  </r>
  <r>
    <n v="400"/>
    <x v="11"/>
    <x v="108"/>
    <x v="6"/>
    <s v="Percent change"/>
    <s v="Units"/>
    <x v="1"/>
    <n v="-0.70199999999999996"/>
  </r>
  <r>
    <n v="400"/>
    <x v="11"/>
    <x v="108"/>
    <x v="6"/>
    <s v="Percent change"/>
    <s v="Units"/>
    <x v="2"/>
    <n v="15.185"/>
  </r>
  <r>
    <n v="400"/>
    <x v="11"/>
    <x v="108"/>
    <x v="6"/>
    <s v="Percent change"/>
    <s v="Units"/>
    <x v="3"/>
    <n v="-8.6549999999999994"/>
  </r>
  <r>
    <n v="400"/>
    <x v="11"/>
    <x v="108"/>
    <x v="6"/>
    <s v="Percent change"/>
    <s v="Units"/>
    <x v="4"/>
    <n v="12.997999999999999"/>
  </r>
  <r>
    <n v="400"/>
    <x v="11"/>
    <x v="108"/>
    <x v="6"/>
    <s v="Percent change"/>
    <s v="Units"/>
    <x v="5"/>
    <n v="1.524"/>
  </r>
  <r>
    <n v="400"/>
    <x v="11"/>
    <x v="108"/>
    <x v="6"/>
    <s v="Percent change"/>
    <s v="Units"/>
    <x v="6"/>
    <n v="3.024"/>
  </r>
  <r>
    <n v="200"/>
    <x v="3"/>
    <x v="108"/>
    <x v="6"/>
    <s v="Percent change"/>
    <s v="Units"/>
    <x v="0"/>
    <n v="-5.5679999999999996"/>
  </r>
  <r>
    <n v="200"/>
    <x v="3"/>
    <x v="108"/>
    <x v="6"/>
    <s v="Percent change"/>
    <s v="Units"/>
    <x v="1"/>
    <n v="-0.70199999999999996"/>
  </r>
  <r>
    <n v="200"/>
    <x v="3"/>
    <x v="108"/>
    <x v="6"/>
    <s v="Percent change"/>
    <s v="Units"/>
    <x v="2"/>
    <n v="15.185"/>
  </r>
  <r>
    <n v="200"/>
    <x v="3"/>
    <x v="108"/>
    <x v="6"/>
    <s v="Percent change"/>
    <s v="Units"/>
    <x v="3"/>
    <n v="-8.6549999999999994"/>
  </r>
  <r>
    <n v="200"/>
    <x v="3"/>
    <x v="108"/>
    <x v="6"/>
    <s v="Percent change"/>
    <s v="Units"/>
    <x v="4"/>
    <n v="12.997999999999999"/>
  </r>
  <r>
    <n v="200"/>
    <x v="3"/>
    <x v="108"/>
    <x v="6"/>
    <s v="Percent change"/>
    <s v="Units"/>
    <x v="5"/>
    <n v="1.524"/>
  </r>
  <r>
    <n v="200"/>
    <x v="3"/>
    <x v="108"/>
    <x v="6"/>
    <s v="Percent change"/>
    <s v="Units"/>
    <x v="6"/>
    <n v="3.024"/>
  </r>
  <r>
    <n v="200"/>
    <x v="3"/>
    <x v="93"/>
    <x v="8"/>
    <s v="Percent change"/>
    <s v="Units"/>
    <x v="0"/>
    <n v="6.75"/>
  </r>
  <r>
    <n v="200"/>
    <x v="3"/>
    <x v="93"/>
    <x v="8"/>
    <s v="Percent change"/>
    <s v="Units"/>
    <x v="1"/>
    <n v="-1.2"/>
  </r>
  <r>
    <n v="200"/>
    <x v="3"/>
    <x v="93"/>
    <x v="8"/>
    <s v="Percent change"/>
    <s v="Units"/>
    <x v="2"/>
    <n v="-10.486000000000001"/>
  </r>
  <r>
    <n v="200"/>
    <x v="3"/>
    <x v="93"/>
    <x v="8"/>
    <s v="Percent change"/>
    <s v="Units"/>
    <x v="3"/>
    <n v="-3.9649999999999999"/>
  </r>
  <r>
    <n v="200"/>
    <x v="3"/>
    <x v="93"/>
    <x v="8"/>
    <s v="Percent change"/>
    <s v="Units"/>
    <x v="4"/>
    <n v="2.5459999999999998"/>
  </r>
  <r>
    <n v="200"/>
    <x v="3"/>
    <x v="93"/>
    <x v="8"/>
    <s v="Percent change"/>
    <s v="Units"/>
    <x v="5"/>
    <n v="1.5009999999999999"/>
  </r>
  <r>
    <n v="200"/>
    <x v="3"/>
    <x v="93"/>
    <x v="8"/>
    <s v="Percent change"/>
    <s v="Units"/>
    <x v="6"/>
    <n v="2.0150000000000001"/>
  </r>
  <r>
    <n v="505"/>
    <x v="4"/>
    <x v="93"/>
    <x v="8"/>
    <s v="Percent change"/>
    <s v="Units"/>
    <x v="0"/>
    <n v="6.75"/>
  </r>
  <r>
    <n v="505"/>
    <x v="4"/>
    <x v="93"/>
    <x v="8"/>
    <s v="Percent change"/>
    <s v="Units"/>
    <x v="1"/>
    <n v="-1.2"/>
  </r>
  <r>
    <n v="505"/>
    <x v="4"/>
    <x v="93"/>
    <x v="8"/>
    <s v="Percent change"/>
    <s v="Units"/>
    <x v="2"/>
    <n v="-10.486000000000001"/>
  </r>
  <r>
    <n v="505"/>
    <x v="4"/>
    <x v="93"/>
    <x v="8"/>
    <s v="Percent change"/>
    <s v="Units"/>
    <x v="3"/>
    <n v="-3.9649999999999999"/>
  </r>
  <r>
    <n v="505"/>
    <x v="4"/>
    <x v="93"/>
    <x v="8"/>
    <s v="Percent change"/>
    <s v="Units"/>
    <x v="4"/>
    <n v="2.5459999999999998"/>
  </r>
  <r>
    <n v="505"/>
    <x v="4"/>
    <x v="93"/>
    <x v="8"/>
    <s v="Percent change"/>
    <s v="Units"/>
    <x v="5"/>
    <n v="1.5009999999999999"/>
  </r>
  <r>
    <n v="505"/>
    <x v="4"/>
    <x v="93"/>
    <x v="8"/>
    <s v="Percent change"/>
    <s v="Units"/>
    <x v="6"/>
    <n v="2.0150000000000001"/>
  </r>
  <r>
    <n v="1"/>
    <x v="2"/>
    <x v="93"/>
    <x v="8"/>
    <s v="Percent change"/>
    <s v="Units"/>
    <x v="0"/>
    <n v="6.75"/>
  </r>
  <r>
    <n v="1"/>
    <x v="2"/>
    <x v="93"/>
    <x v="8"/>
    <s v="Percent change"/>
    <s v="Units"/>
    <x v="1"/>
    <n v="-1.2"/>
  </r>
  <r>
    <n v="1"/>
    <x v="2"/>
    <x v="93"/>
    <x v="8"/>
    <s v="Percent change"/>
    <s v="Units"/>
    <x v="2"/>
    <n v="-10.486000000000001"/>
  </r>
  <r>
    <n v="1"/>
    <x v="2"/>
    <x v="93"/>
    <x v="8"/>
    <s v="Percent change"/>
    <s v="Units"/>
    <x v="3"/>
    <n v="-3.9649999999999999"/>
  </r>
  <r>
    <n v="1"/>
    <x v="2"/>
    <x v="93"/>
    <x v="8"/>
    <s v="Percent change"/>
    <s v="Units"/>
    <x v="4"/>
    <n v="2.5459999999999998"/>
  </r>
  <r>
    <n v="1"/>
    <x v="2"/>
    <x v="93"/>
    <x v="8"/>
    <s v="Percent change"/>
    <s v="Units"/>
    <x v="5"/>
    <n v="1.5009999999999999"/>
  </r>
  <r>
    <n v="1"/>
    <x v="2"/>
    <x v="93"/>
    <x v="8"/>
    <s v="Percent change"/>
    <s v="Units"/>
    <x v="6"/>
    <n v="2.0150000000000001"/>
  </r>
  <r>
    <n v="123"/>
    <x v="9"/>
    <x v="127"/>
    <x v="11"/>
    <s v="Percent of total labor force"/>
    <s v="Units"/>
    <x v="0"/>
    <n v="2.0750000000000002"/>
  </r>
  <r>
    <n v="123"/>
    <x v="9"/>
    <x v="127"/>
    <x v="11"/>
    <s v="Percent of total labor force"/>
    <s v="Units"/>
    <x v="1"/>
    <n v="2.9249999999999998"/>
  </r>
  <r>
    <n v="123"/>
    <x v="9"/>
    <x v="127"/>
    <x v="11"/>
    <s v="Percent of total labor force"/>
    <s v="Units"/>
    <x v="2"/>
    <n v="3.3"/>
  </r>
  <r>
    <n v="123"/>
    <x v="9"/>
    <x v="127"/>
    <x v="11"/>
    <s v="Percent of total labor force"/>
    <s v="Units"/>
    <x v="3"/>
    <n v="2.1"/>
  </r>
  <r>
    <n v="123"/>
    <x v="9"/>
    <x v="127"/>
    <x v="11"/>
    <s v="Percent of total labor force"/>
    <s v="Units"/>
    <x v="4"/>
    <n v="1.5"/>
  </r>
  <r>
    <n v="123"/>
    <x v="9"/>
    <x v="127"/>
    <x v="11"/>
    <s v="Percent of total labor force"/>
    <s v="Units"/>
    <x v="5"/>
    <n v="1.5"/>
  </r>
  <r>
    <n v="123"/>
    <x v="9"/>
    <x v="127"/>
    <x v="11"/>
    <s v="Percent of total labor force"/>
    <s v="Units"/>
    <x v="6"/>
    <n v="1.5"/>
  </r>
  <r>
    <n v="110"/>
    <x v="0"/>
    <x v="127"/>
    <x v="11"/>
    <s v="Percent of total labor force"/>
    <s v="Units"/>
    <x v="0"/>
    <n v="2.0750000000000002"/>
  </r>
  <r>
    <n v="110"/>
    <x v="0"/>
    <x v="127"/>
    <x v="11"/>
    <s v="Percent of total labor force"/>
    <s v="Units"/>
    <x v="1"/>
    <n v="2.9249999999999998"/>
  </r>
  <r>
    <n v="110"/>
    <x v="0"/>
    <x v="127"/>
    <x v="11"/>
    <s v="Percent of total labor force"/>
    <s v="Units"/>
    <x v="2"/>
    <n v="3.3"/>
  </r>
  <r>
    <n v="110"/>
    <x v="0"/>
    <x v="127"/>
    <x v="11"/>
    <s v="Percent of total labor force"/>
    <s v="Units"/>
    <x v="3"/>
    <n v="2.1"/>
  </r>
  <r>
    <n v="110"/>
    <x v="0"/>
    <x v="127"/>
    <x v="11"/>
    <s v="Percent of total labor force"/>
    <s v="Units"/>
    <x v="4"/>
    <n v="1.5"/>
  </r>
  <r>
    <n v="110"/>
    <x v="0"/>
    <x v="127"/>
    <x v="11"/>
    <s v="Percent of total labor force"/>
    <s v="Units"/>
    <x v="5"/>
    <n v="1.5"/>
  </r>
  <r>
    <n v="110"/>
    <x v="0"/>
    <x v="127"/>
    <x v="11"/>
    <s v="Percent of total labor force"/>
    <s v="Units"/>
    <x v="6"/>
    <n v="1.5"/>
  </r>
  <r>
    <n v="1"/>
    <x v="2"/>
    <x v="160"/>
    <x v="1"/>
    <s v="Percent change"/>
    <s v="Units"/>
    <x v="0"/>
    <n v="1.0009999999999999"/>
  </r>
  <r>
    <n v="1"/>
    <x v="2"/>
    <x v="160"/>
    <x v="1"/>
    <s v="Percent change"/>
    <s v="Units"/>
    <x v="1"/>
    <n v="0.59899999999999998"/>
  </r>
  <r>
    <n v="1"/>
    <x v="2"/>
    <x v="160"/>
    <x v="1"/>
    <s v="Percent change"/>
    <s v="Units"/>
    <x v="2"/>
    <n v="2.0609999999999999"/>
  </r>
  <r>
    <n v="1"/>
    <x v="2"/>
    <x v="160"/>
    <x v="1"/>
    <s v="Percent change"/>
    <s v="Units"/>
    <x v="3"/>
    <n v="5.8259999999999996"/>
  </r>
  <r>
    <n v="1"/>
    <x v="2"/>
    <x v="160"/>
    <x v="1"/>
    <s v="Percent change"/>
    <s v="Units"/>
    <x v="4"/>
    <n v="4.6289999999999996"/>
  </r>
  <r>
    <n v="1"/>
    <x v="2"/>
    <x v="160"/>
    <x v="1"/>
    <s v="Percent change"/>
    <s v="Units"/>
    <x v="5"/>
    <n v="1.484"/>
  </r>
  <r>
    <n v="1"/>
    <x v="2"/>
    <x v="160"/>
    <x v="1"/>
    <s v="Percent change"/>
    <s v="Units"/>
    <x v="6"/>
    <n v="2.173"/>
  </r>
  <r>
    <n v="205"/>
    <x v="7"/>
    <x v="160"/>
    <x v="1"/>
    <s v="Percent change"/>
    <s v="Units"/>
    <x v="0"/>
    <n v="1.0009999999999999"/>
  </r>
  <r>
    <n v="205"/>
    <x v="7"/>
    <x v="160"/>
    <x v="1"/>
    <s v="Percent change"/>
    <s v="Units"/>
    <x v="1"/>
    <n v="0.59899999999999998"/>
  </r>
  <r>
    <n v="205"/>
    <x v="7"/>
    <x v="160"/>
    <x v="1"/>
    <s v="Percent change"/>
    <s v="Units"/>
    <x v="2"/>
    <n v="2.0609999999999999"/>
  </r>
  <r>
    <n v="205"/>
    <x v="7"/>
    <x v="160"/>
    <x v="1"/>
    <s v="Percent change"/>
    <s v="Units"/>
    <x v="3"/>
    <n v="5.8259999999999996"/>
  </r>
  <r>
    <n v="205"/>
    <x v="7"/>
    <x v="160"/>
    <x v="1"/>
    <s v="Percent change"/>
    <s v="Units"/>
    <x v="4"/>
    <n v="4.6289999999999996"/>
  </r>
  <r>
    <n v="205"/>
    <x v="7"/>
    <x v="160"/>
    <x v="1"/>
    <s v="Percent change"/>
    <s v="Units"/>
    <x v="5"/>
    <n v="1.484"/>
  </r>
  <r>
    <n v="205"/>
    <x v="7"/>
    <x v="160"/>
    <x v="1"/>
    <s v="Percent change"/>
    <s v="Units"/>
    <x v="6"/>
    <n v="2.173"/>
  </r>
  <r>
    <n v="200"/>
    <x v="3"/>
    <x v="160"/>
    <x v="1"/>
    <s v="Percent change"/>
    <s v="Units"/>
    <x v="0"/>
    <n v="1.0009999999999999"/>
  </r>
  <r>
    <n v="200"/>
    <x v="3"/>
    <x v="160"/>
    <x v="1"/>
    <s v="Percent change"/>
    <s v="Units"/>
    <x v="1"/>
    <n v="0.59899999999999998"/>
  </r>
  <r>
    <n v="200"/>
    <x v="3"/>
    <x v="160"/>
    <x v="1"/>
    <s v="Percent change"/>
    <s v="Units"/>
    <x v="2"/>
    <n v="2.0609999999999999"/>
  </r>
  <r>
    <n v="200"/>
    <x v="3"/>
    <x v="160"/>
    <x v="1"/>
    <s v="Percent change"/>
    <s v="Units"/>
    <x v="3"/>
    <n v="5.8259999999999996"/>
  </r>
  <r>
    <n v="200"/>
    <x v="3"/>
    <x v="160"/>
    <x v="1"/>
    <s v="Percent change"/>
    <s v="Units"/>
    <x v="4"/>
    <n v="4.6289999999999996"/>
  </r>
  <r>
    <n v="200"/>
    <x v="3"/>
    <x v="160"/>
    <x v="1"/>
    <s v="Percent change"/>
    <s v="Units"/>
    <x v="5"/>
    <n v="1.484"/>
  </r>
  <r>
    <n v="200"/>
    <x v="3"/>
    <x v="160"/>
    <x v="1"/>
    <s v="Percent change"/>
    <s v="Units"/>
    <x v="6"/>
    <n v="2.173"/>
  </r>
  <r>
    <n v="1"/>
    <x v="2"/>
    <x v="24"/>
    <x v="8"/>
    <s v="Percent change"/>
    <s v="Units"/>
    <x v="0"/>
    <n v="5.298"/>
  </r>
  <r>
    <n v="1"/>
    <x v="2"/>
    <x v="24"/>
    <x v="8"/>
    <s v="Percent change"/>
    <s v="Units"/>
    <x v="1"/>
    <n v="6.617"/>
  </r>
  <r>
    <n v="1"/>
    <x v="2"/>
    <x v="24"/>
    <x v="8"/>
    <s v="Percent change"/>
    <s v="Units"/>
    <x v="2"/>
    <n v="15.125"/>
  </r>
  <r>
    <n v="1"/>
    <x v="2"/>
    <x v="24"/>
    <x v="8"/>
    <s v="Percent change"/>
    <s v="Units"/>
    <x v="3"/>
    <n v="9.4329999999999998"/>
  </r>
  <r>
    <n v="1"/>
    <x v="2"/>
    <x v="24"/>
    <x v="8"/>
    <s v="Percent change"/>
    <s v="Units"/>
    <x v="4"/>
    <n v="-3.1989999999999998"/>
  </r>
  <r>
    <n v="1"/>
    <x v="2"/>
    <x v="24"/>
    <x v="8"/>
    <s v="Percent change"/>
    <s v="Units"/>
    <x v="5"/>
    <n v="1.466"/>
  </r>
  <r>
    <n v="1"/>
    <x v="2"/>
    <x v="24"/>
    <x v="8"/>
    <s v="Percent change"/>
    <s v="Units"/>
    <x v="6"/>
    <n v="2.4529999999999998"/>
  </r>
  <r>
    <n v="110"/>
    <x v="0"/>
    <x v="24"/>
    <x v="8"/>
    <s v="Percent change"/>
    <s v="Units"/>
    <x v="0"/>
    <n v="5.298"/>
  </r>
  <r>
    <n v="110"/>
    <x v="0"/>
    <x v="24"/>
    <x v="8"/>
    <s v="Percent change"/>
    <s v="Units"/>
    <x v="1"/>
    <n v="6.617"/>
  </r>
  <r>
    <n v="110"/>
    <x v="0"/>
    <x v="24"/>
    <x v="8"/>
    <s v="Percent change"/>
    <s v="Units"/>
    <x v="2"/>
    <n v="15.125"/>
  </r>
  <r>
    <n v="110"/>
    <x v="0"/>
    <x v="24"/>
    <x v="8"/>
    <s v="Percent change"/>
    <s v="Units"/>
    <x v="3"/>
    <n v="9.4329999999999998"/>
  </r>
  <r>
    <n v="110"/>
    <x v="0"/>
    <x v="24"/>
    <x v="8"/>
    <s v="Percent change"/>
    <s v="Units"/>
    <x v="4"/>
    <n v="-3.1989999999999998"/>
  </r>
  <r>
    <n v="110"/>
    <x v="0"/>
    <x v="24"/>
    <x v="8"/>
    <s v="Percent change"/>
    <s v="Units"/>
    <x v="5"/>
    <n v="1.466"/>
  </r>
  <r>
    <n v="110"/>
    <x v="0"/>
    <x v="24"/>
    <x v="8"/>
    <s v="Percent change"/>
    <s v="Units"/>
    <x v="6"/>
    <n v="2.4529999999999998"/>
  </r>
  <r>
    <n v="998"/>
    <x v="6"/>
    <x v="24"/>
    <x v="8"/>
    <s v="Percent change"/>
    <s v="Units"/>
    <x v="0"/>
    <n v="5.298"/>
  </r>
  <r>
    <n v="998"/>
    <x v="6"/>
    <x v="24"/>
    <x v="8"/>
    <s v="Percent change"/>
    <s v="Units"/>
    <x v="1"/>
    <n v="6.617"/>
  </r>
  <r>
    <n v="998"/>
    <x v="6"/>
    <x v="24"/>
    <x v="8"/>
    <s v="Percent change"/>
    <s v="Units"/>
    <x v="2"/>
    <n v="15.125"/>
  </r>
  <r>
    <n v="998"/>
    <x v="6"/>
    <x v="24"/>
    <x v="8"/>
    <s v="Percent change"/>
    <s v="Units"/>
    <x v="3"/>
    <n v="9.4329999999999998"/>
  </r>
  <r>
    <n v="998"/>
    <x v="6"/>
    <x v="24"/>
    <x v="8"/>
    <s v="Percent change"/>
    <s v="Units"/>
    <x v="4"/>
    <n v="-3.1989999999999998"/>
  </r>
  <r>
    <n v="998"/>
    <x v="6"/>
    <x v="24"/>
    <x v="8"/>
    <s v="Percent change"/>
    <s v="Units"/>
    <x v="5"/>
    <n v="1.466"/>
  </r>
  <r>
    <n v="998"/>
    <x v="6"/>
    <x v="24"/>
    <x v="8"/>
    <s v="Percent change"/>
    <s v="Units"/>
    <x v="6"/>
    <n v="2.4529999999999998"/>
  </r>
  <r>
    <n v="163"/>
    <x v="5"/>
    <x v="24"/>
    <x v="8"/>
    <s v="Percent change"/>
    <s v="Units"/>
    <x v="0"/>
    <n v="5.298"/>
  </r>
  <r>
    <n v="163"/>
    <x v="5"/>
    <x v="24"/>
    <x v="8"/>
    <s v="Percent change"/>
    <s v="Units"/>
    <x v="1"/>
    <n v="6.617"/>
  </r>
  <r>
    <n v="163"/>
    <x v="5"/>
    <x v="24"/>
    <x v="8"/>
    <s v="Percent change"/>
    <s v="Units"/>
    <x v="2"/>
    <n v="15.125"/>
  </r>
  <r>
    <n v="163"/>
    <x v="5"/>
    <x v="24"/>
    <x v="8"/>
    <s v="Percent change"/>
    <s v="Units"/>
    <x v="3"/>
    <n v="9.4329999999999998"/>
  </r>
  <r>
    <n v="163"/>
    <x v="5"/>
    <x v="24"/>
    <x v="8"/>
    <s v="Percent change"/>
    <s v="Units"/>
    <x v="4"/>
    <n v="-3.1989999999999998"/>
  </r>
  <r>
    <n v="163"/>
    <x v="5"/>
    <x v="24"/>
    <x v="8"/>
    <s v="Percent change"/>
    <s v="Units"/>
    <x v="5"/>
    <n v="1.466"/>
  </r>
  <r>
    <n v="163"/>
    <x v="5"/>
    <x v="24"/>
    <x v="8"/>
    <s v="Percent change"/>
    <s v="Units"/>
    <x v="6"/>
    <n v="2.4529999999999998"/>
  </r>
  <r>
    <n v="1"/>
    <x v="2"/>
    <x v="12"/>
    <x v="8"/>
    <s v="Percent change"/>
    <s v="Units"/>
    <x v="0"/>
    <n v="1.8149999999999999"/>
  </r>
  <r>
    <n v="1"/>
    <x v="2"/>
    <x v="12"/>
    <x v="8"/>
    <s v="Percent change"/>
    <s v="Units"/>
    <x v="1"/>
    <n v="-2.129"/>
  </r>
  <r>
    <n v="1"/>
    <x v="2"/>
    <x v="12"/>
    <x v="8"/>
    <s v="Percent change"/>
    <s v="Units"/>
    <x v="2"/>
    <n v="5.5540000000000003"/>
  </r>
  <r>
    <n v="1"/>
    <x v="2"/>
    <x v="12"/>
    <x v="8"/>
    <s v="Percent change"/>
    <s v="Units"/>
    <x v="3"/>
    <n v="3.8109999999999999"/>
  </r>
  <r>
    <n v="1"/>
    <x v="2"/>
    <x v="12"/>
    <x v="8"/>
    <s v="Percent change"/>
    <s v="Units"/>
    <x v="4"/>
    <n v="2.0630000000000002"/>
  </r>
  <r>
    <n v="1"/>
    <x v="2"/>
    <x v="12"/>
    <x v="8"/>
    <s v="Percent change"/>
    <s v="Units"/>
    <x v="5"/>
    <n v="1.4610000000000001"/>
  </r>
  <r>
    <n v="1"/>
    <x v="2"/>
    <x v="12"/>
    <x v="8"/>
    <s v="Percent change"/>
    <s v="Units"/>
    <x v="6"/>
    <n v="2.0449999999999999"/>
  </r>
  <r>
    <n v="123"/>
    <x v="9"/>
    <x v="12"/>
    <x v="8"/>
    <s v="Percent change"/>
    <s v="Units"/>
    <x v="0"/>
    <n v="1.8149999999999999"/>
  </r>
  <r>
    <n v="123"/>
    <x v="9"/>
    <x v="12"/>
    <x v="8"/>
    <s v="Percent change"/>
    <s v="Units"/>
    <x v="1"/>
    <n v="-2.129"/>
  </r>
  <r>
    <n v="123"/>
    <x v="9"/>
    <x v="12"/>
    <x v="8"/>
    <s v="Percent change"/>
    <s v="Units"/>
    <x v="2"/>
    <n v="5.5540000000000003"/>
  </r>
  <r>
    <n v="123"/>
    <x v="9"/>
    <x v="12"/>
    <x v="8"/>
    <s v="Percent change"/>
    <s v="Units"/>
    <x v="3"/>
    <n v="3.8109999999999999"/>
  </r>
  <r>
    <n v="123"/>
    <x v="9"/>
    <x v="12"/>
    <x v="8"/>
    <s v="Percent change"/>
    <s v="Units"/>
    <x v="4"/>
    <n v="2.0630000000000002"/>
  </r>
  <r>
    <n v="123"/>
    <x v="9"/>
    <x v="12"/>
    <x v="8"/>
    <s v="Percent change"/>
    <s v="Units"/>
    <x v="5"/>
    <n v="1.4610000000000001"/>
  </r>
  <r>
    <n v="123"/>
    <x v="9"/>
    <x v="12"/>
    <x v="8"/>
    <s v="Percent change"/>
    <s v="Units"/>
    <x v="6"/>
    <n v="2.0449999999999999"/>
  </r>
  <r>
    <n v="110"/>
    <x v="0"/>
    <x v="12"/>
    <x v="8"/>
    <s v="Percent change"/>
    <s v="Units"/>
    <x v="0"/>
    <n v="1.8149999999999999"/>
  </r>
  <r>
    <n v="110"/>
    <x v="0"/>
    <x v="12"/>
    <x v="8"/>
    <s v="Percent change"/>
    <s v="Units"/>
    <x v="1"/>
    <n v="-2.129"/>
  </r>
  <r>
    <n v="110"/>
    <x v="0"/>
    <x v="12"/>
    <x v="8"/>
    <s v="Percent change"/>
    <s v="Units"/>
    <x v="2"/>
    <n v="5.5540000000000003"/>
  </r>
  <r>
    <n v="110"/>
    <x v="0"/>
    <x v="12"/>
    <x v="8"/>
    <s v="Percent change"/>
    <s v="Units"/>
    <x v="3"/>
    <n v="3.8109999999999999"/>
  </r>
  <r>
    <n v="110"/>
    <x v="0"/>
    <x v="12"/>
    <x v="8"/>
    <s v="Percent change"/>
    <s v="Units"/>
    <x v="4"/>
    <n v="2.0630000000000002"/>
  </r>
  <r>
    <n v="110"/>
    <x v="0"/>
    <x v="12"/>
    <x v="8"/>
    <s v="Percent change"/>
    <s v="Units"/>
    <x v="5"/>
    <n v="1.4610000000000001"/>
  </r>
  <r>
    <n v="110"/>
    <x v="0"/>
    <x v="12"/>
    <x v="8"/>
    <s v="Percent change"/>
    <s v="Units"/>
    <x v="6"/>
    <n v="2.0449999999999999"/>
  </r>
  <r>
    <n v="163"/>
    <x v="5"/>
    <x v="84"/>
    <x v="1"/>
    <s v="Percent change"/>
    <s v="Units"/>
    <x v="0"/>
    <n v="2.242"/>
  </r>
  <r>
    <n v="163"/>
    <x v="5"/>
    <x v="84"/>
    <x v="1"/>
    <s v="Percent change"/>
    <s v="Units"/>
    <x v="1"/>
    <n v="1.0620000000000001"/>
  </r>
  <r>
    <n v="163"/>
    <x v="5"/>
    <x v="84"/>
    <x v="1"/>
    <s v="Percent change"/>
    <s v="Units"/>
    <x v="2"/>
    <n v="4.625"/>
  </r>
  <r>
    <n v="163"/>
    <x v="5"/>
    <x v="84"/>
    <x v="1"/>
    <s v="Percent change"/>
    <s v="Units"/>
    <x v="3"/>
    <n v="18.858000000000001"/>
  </r>
  <r>
    <n v="163"/>
    <x v="5"/>
    <x v="84"/>
    <x v="1"/>
    <s v="Percent change"/>
    <s v="Units"/>
    <x v="4"/>
    <n v="8.6850000000000005"/>
  </r>
  <r>
    <n v="163"/>
    <x v="5"/>
    <x v="84"/>
    <x v="1"/>
    <s v="Percent change"/>
    <s v="Units"/>
    <x v="5"/>
    <n v="1.46"/>
  </r>
  <r>
    <n v="163"/>
    <x v="5"/>
    <x v="84"/>
    <x v="1"/>
    <s v="Percent change"/>
    <s v="Units"/>
    <x v="6"/>
    <n v="2.33"/>
  </r>
  <r>
    <n v="1"/>
    <x v="2"/>
    <x v="84"/>
    <x v="1"/>
    <s v="Percent change"/>
    <s v="Units"/>
    <x v="0"/>
    <n v="2.242"/>
  </r>
  <r>
    <n v="1"/>
    <x v="2"/>
    <x v="84"/>
    <x v="1"/>
    <s v="Percent change"/>
    <s v="Units"/>
    <x v="1"/>
    <n v="1.0620000000000001"/>
  </r>
  <r>
    <n v="1"/>
    <x v="2"/>
    <x v="84"/>
    <x v="1"/>
    <s v="Percent change"/>
    <s v="Units"/>
    <x v="2"/>
    <n v="4.625"/>
  </r>
  <r>
    <n v="1"/>
    <x v="2"/>
    <x v="84"/>
    <x v="1"/>
    <s v="Percent change"/>
    <s v="Units"/>
    <x v="3"/>
    <n v="18.858000000000001"/>
  </r>
  <r>
    <n v="1"/>
    <x v="2"/>
    <x v="84"/>
    <x v="1"/>
    <s v="Percent change"/>
    <s v="Units"/>
    <x v="4"/>
    <n v="8.6850000000000005"/>
  </r>
  <r>
    <n v="1"/>
    <x v="2"/>
    <x v="84"/>
    <x v="1"/>
    <s v="Percent change"/>
    <s v="Units"/>
    <x v="5"/>
    <n v="1.46"/>
  </r>
  <r>
    <n v="1"/>
    <x v="2"/>
    <x v="84"/>
    <x v="1"/>
    <s v="Percent change"/>
    <s v="Units"/>
    <x v="6"/>
    <n v="2.33"/>
  </r>
  <r>
    <n v="110"/>
    <x v="0"/>
    <x v="84"/>
    <x v="1"/>
    <s v="Percent change"/>
    <s v="Units"/>
    <x v="0"/>
    <n v="2.242"/>
  </r>
  <r>
    <n v="110"/>
    <x v="0"/>
    <x v="84"/>
    <x v="1"/>
    <s v="Percent change"/>
    <s v="Units"/>
    <x v="1"/>
    <n v="1.0620000000000001"/>
  </r>
  <r>
    <n v="110"/>
    <x v="0"/>
    <x v="84"/>
    <x v="1"/>
    <s v="Percent change"/>
    <s v="Units"/>
    <x v="2"/>
    <n v="4.625"/>
  </r>
  <r>
    <n v="110"/>
    <x v="0"/>
    <x v="84"/>
    <x v="1"/>
    <s v="Percent change"/>
    <s v="Units"/>
    <x v="3"/>
    <n v="18.858000000000001"/>
  </r>
  <r>
    <n v="110"/>
    <x v="0"/>
    <x v="84"/>
    <x v="1"/>
    <s v="Percent change"/>
    <s v="Units"/>
    <x v="4"/>
    <n v="8.6850000000000005"/>
  </r>
  <r>
    <n v="110"/>
    <x v="0"/>
    <x v="84"/>
    <x v="1"/>
    <s v="Percent change"/>
    <s v="Units"/>
    <x v="5"/>
    <n v="1.46"/>
  </r>
  <r>
    <n v="110"/>
    <x v="0"/>
    <x v="84"/>
    <x v="1"/>
    <s v="Percent change"/>
    <s v="Units"/>
    <x v="6"/>
    <n v="2.33"/>
  </r>
  <r>
    <n v="998"/>
    <x v="6"/>
    <x v="84"/>
    <x v="1"/>
    <s v="Percent change"/>
    <s v="Units"/>
    <x v="0"/>
    <n v="2.242"/>
  </r>
  <r>
    <n v="998"/>
    <x v="6"/>
    <x v="84"/>
    <x v="1"/>
    <s v="Percent change"/>
    <s v="Units"/>
    <x v="1"/>
    <n v="1.0620000000000001"/>
  </r>
  <r>
    <n v="998"/>
    <x v="6"/>
    <x v="84"/>
    <x v="1"/>
    <s v="Percent change"/>
    <s v="Units"/>
    <x v="2"/>
    <n v="4.625"/>
  </r>
  <r>
    <n v="998"/>
    <x v="6"/>
    <x v="84"/>
    <x v="1"/>
    <s v="Percent change"/>
    <s v="Units"/>
    <x v="3"/>
    <n v="18.858000000000001"/>
  </r>
  <r>
    <n v="998"/>
    <x v="6"/>
    <x v="84"/>
    <x v="1"/>
    <s v="Percent change"/>
    <s v="Units"/>
    <x v="4"/>
    <n v="8.6850000000000005"/>
  </r>
  <r>
    <n v="998"/>
    <x v="6"/>
    <x v="84"/>
    <x v="1"/>
    <s v="Percent change"/>
    <s v="Units"/>
    <x v="5"/>
    <n v="1.46"/>
  </r>
  <r>
    <n v="998"/>
    <x v="6"/>
    <x v="84"/>
    <x v="1"/>
    <s v="Percent change"/>
    <s v="Units"/>
    <x v="6"/>
    <n v="2.33"/>
  </r>
  <r>
    <n v="998"/>
    <x v="6"/>
    <x v="37"/>
    <x v="1"/>
    <s v="Percent change"/>
    <s v="Units"/>
    <x v="0"/>
    <n v="0.72899999999999998"/>
  </r>
  <r>
    <n v="998"/>
    <x v="6"/>
    <x v="37"/>
    <x v="1"/>
    <s v="Percent change"/>
    <s v="Units"/>
    <x v="1"/>
    <n v="0.33300000000000002"/>
  </r>
  <r>
    <n v="998"/>
    <x v="6"/>
    <x v="37"/>
    <x v="1"/>
    <s v="Percent change"/>
    <s v="Units"/>
    <x v="2"/>
    <n v="1.944"/>
  </r>
  <r>
    <n v="998"/>
    <x v="6"/>
    <x v="37"/>
    <x v="1"/>
    <s v="Percent change"/>
    <s v="Units"/>
    <x v="3"/>
    <n v="8.5340000000000007"/>
  </r>
  <r>
    <n v="998"/>
    <x v="6"/>
    <x v="37"/>
    <x v="1"/>
    <s v="Percent change"/>
    <s v="Units"/>
    <x v="4"/>
    <n v="3.3530000000000002"/>
  </r>
  <r>
    <n v="998"/>
    <x v="6"/>
    <x v="37"/>
    <x v="1"/>
    <s v="Percent change"/>
    <s v="Units"/>
    <x v="5"/>
    <n v="1.4590000000000001"/>
  </r>
  <r>
    <n v="998"/>
    <x v="6"/>
    <x v="37"/>
    <x v="1"/>
    <s v="Percent change"/>
    <s v="Units"/>
    <x v="6"/>
    <n v="1.9870000000000001"/>
  </r>
  <r>
    <n v="110"/>
    <x v="0"/>
    <x v="37"/>
    <x v="1"/>
    <s v="Percent change"/>
    <s v="Units"/>
    <x v="0"/>
    <n v="0.72899999999999998"/>
  </r>
  <r>
    <n v="110"/>
    <x v="0"/>
    <x v="37"/>
    <x v="1"/>
    <s v="Percent change"/>
    <s v="Units"/>
    <x v="1"/>
    <n v="0.33300000000000002"/>
  </r>
  <r>
    <n v="110"/>
    <x v="0"/>
    <x v="37"/>
    <x v="1"/>
    <s v="Percent change"/>
    <s v="Units"/>
    <x v="2"/>
    <n v="1.944"/>
  </r>
  <r>
    <n v="110"/>
    <x v="0"/>
    <x v="37"/>
    <x v="1"/>
    <s v="Percent change"/>
    <s v="Units"/>
    <x v="3"/>
    <n v="8.5340000000000007"/>
  </r>
  <r>
    <n v="110"/>
    <x v="0"/>
    <x v="37"/>
    <x v="1"/>
    <s v="Percent change"/>
    <s v="Units"/>
    <x v="4"/>
    <n v="3.3530000000000002"/>
  </r>
  <r>
    <n v="110"/>
    <x v="0"/>
    <x v="37"/>
    <x v="1"/>
    <s v="Percent change"/>
    <s v="Units"/>
    <x v="5"/>
    <n v="1.4590000000000001"/>
  </r>
  <r>
    <n v="110"/>
    <x v="0"/>
    <x v="37"/>
    <x v="1"/>
    <s v="Percent change"/>
    <s v="Units"/>
    <x v="6"/>
    <n v="1.9870000000000001"/>
  </r>
  <r>
    <n v="1"/>
    <x v="2"/>
    <x v="37"/>
    <x v="1"/>
    <s v="Percent change"/>
    <s v="Units"/>
    <x v="0"/>
    <n v="0.72899999999999998"/>
  </r>
  <r>
    <n v="1"/>
    <x v="2"/>
    <x v="37"/>
    <x v="1"/>
    <s v="Percent change"/>
    <s v="Units"/>
    <x v="1"/>
    <n v="0.33300000000000002"/>
  </r>
  <r>
    <n v="1"/>
    <x v="2"/>
    <x v="37"/>
    <x v="1"/>
    <s v="Percent change"/>
    <s v="Units"/>
    <x v="2"/>
    <n v="1.944"/>
  </r>
  <r>
    <n v="1"/>
    <x v="2"/>
    <x v="37"/>
    <x v="1"/>
    <s v="Percent change"/>
    <s v="Units"/>
    <x v="3"/>
    <n v="8.5340000000000007"/>
  </r>
  <r>
    <n v="1"/>
    <x v="2"/>
    <x v="37"/>
    <x v="1"/>
    <s v="Percent change"/>
    <s v="Units"/>
    <x v="4"/>
    <n v="3.3530000000000002"/>
  </r>
  <r>
    <n v="1"/>
    <x v="2"/>
    <x v="37"/>
    <x v="1"/>
    <s v="Percent change"/>
    <s v="Units"/>
    <x v="5"/>
    <n v="1.4590000000000001"/>
  </r>
  <r>
    <n v="1"/>
    <x v="2"/>
    <x v="37"/>
    <x v="1"/>
    <s v="Percent change"/>
    <s v="Units"/>
    <x v="6"/>
    <n v="1.9870000000000001"/>
  </r>
  <r>
    <n v="123"/>
    <x v="9"/>
    <x v="37"/>
    <x v="1"/>
    <s v="Percent change"/>
    <s v="Units"/>
    <x v="0"/>
    <n v="0.72899999999999998"/>
  </r>
  <r>
    <n v="123"/>
    <x v="9"/>
    <x v="37"/>
    <x v="1"/>
    <s v="Percent change"/>
    <s v="Units"/>
    <x v="1"/>
    <n v="0.33300000000000002"/>
  </r>
  <r>
    <n v="123"/>
    <x v="9"/>
    <x v="37"/>
    <x v="1"/>
    <s v="Percent change"/>
    <s v="Units"/>
    <x v="2"/>
    <n v="1.944"/>
  </r>
  <r>
    <n v="123"/>
    <x v="9"/>
    <x v="37"/>
    <x v="1"/>
    <s v="Percent change"/>
    <s v="Units"/>
    <x v="3"/>
    <n v="8.5340000000000007"/>
  </r>
  <r>
    <n v="123"/>
    <x v="9"/>
    <x v="37"/>
    <x v="1"/>
    <s v="Percent change"/>
    <s v="Units"/>
    <x v="4"/>
    <n v="3.3530000000000002"/>
  </r>
  <r>
    <n v="123"/>
    <x v="9"/>
    <x v="37"/>
    <x v="1"/>
    <s v="Percent change"/>
    <s v="Units"/>
    <x v="5"/>
    <n v="1.4590000000000001"/>
  </r>
  <r>
    <n v="123"/>
    <x v="9"/>
    <x v="37"/>
    <x v="1"/>
    <s v="Percent change"/>
    <s v="Units"/>
    <x v="6"/>
    <n v="1.9870000000000001"/>
  </r>
  <r>
    <n v="110"/>
    <x v="0"/>
    <x v="37"/>
    <x v="9"/>
    <s v="Percent of GDP"/>
    <s v="Units"/>
    <x v="0"/>
    <n v="4.1319999999999997"/>
  </r>
  <r>
    <n v="110"/>
    <x v="0"/>
    <x v="37"/>
    <x v="9"/>
    <s v="Percent of GDP"/>
    <s v="Units"/>
    <x v="1"/>
    <n v="0.38"/>
  </r>
  <r>
    <n v="110"/>
    <x v="0"/>
    <x v="37"/>
    <x v="9"/>
    <s v="Percent of GDP"/>
    <s v="Units"/>
    <x v="2"/>
    <n v="4.0570000000000004"/>
  </r>
  <r>
    <n v="110"/>
    <x v="0"/>
    <x v="37"/>
    <x v="9"/>
    <s v="Percent of GDP"/>
    <s v="Units"/>
    <x v="3"/>
    <n v="3.3420000000000001"/>
  </r>
  <r>
    <n v="110"/>
    <x v="0"/>
    <x v="37"/>
    <x v="9"/>
    <s v="Percent of GDP"/>
    <s v="Units"/>
    <x v="4"/>
    <n v="2.7450000000000001"/>
  </r>
  <r>
    <n v="110"/>
    <x v="0"/>
    <x v="37"/>
    <x v="9"/>
    <s v="Percent of GDP"/>
    <s v="Units"/>
    <x v="5"/>
    <n v="1.4570000000000001"/>
  </r>
  <r>
    <n v="110"/>
    <x v="0"/>
    <x v="37"/>
    <x v="9"/>
    <s v="Percent of GDP"/>
    <s v="Units"/>
    <x v="6"/>
    <n v="0.77400000000000002"/>
  </r>
  <r>
    <n v="998"/>
    <x v="6"/>
    <x v="37"/>
    <x v="9"/>
    <s v="Percent of GDP"/>
    <s v="Units"/>
    <x v="0"/>
    <n v="4.1319999999999997"/>
  </r>
  <r>
    <n v="998"/>
    <x v="6"/>
    <x v="37"/>
    <x v="9"/>
    <s v="Percent of GDP"/>
    <s v="Units"/>
    <x v="1"/>
    <n v="0.38"/>
  </r>
  <r>
    <n v="998"/>
    <x v="6"/>
    <x v="37"/>
    <x v="9"/>
    <s v="Percent of GDP"/>
    <s v="Units"/>
    <x v="2"/>
    <n v="4.0570000000000004"/>
  </r>
  <r>
    <n v="998"/>
    <x v="6"/>
    <x v="37"/>
    <x v="9"/>
    <s v="Percent of GDP"/>
    <s v="Units"/>
    <x v="3"/>
    <n v="3.3420000000000001"/>
  </r>
  <r>
    <n v="998"/>
    <x v="6"/>
    <x v="37"/>
    <x v="9"/>
    <s v="Percent of GDP"/>
    <s v="Units"/>
    <x v="4"/>
    <n v="2.7450000000000001"/>
  </r>
  <r>
    <n v="998"/>
    <x v="6"/>
    <x v="37"/>
    <x v="9"/>
    <s v="Percent of GDP"/>
    <s v="Units"/>
    <x v="5"/>
    <n v="1.4570000000000001"/>
  </r>
  <r>
    <n v="998"/>
    <x v="6"/>
    <x v="37"/>
    <x v="9"/>
    <s v="Percent of GDP"/>
    <s v="Units"/>
    <x v="6"/>
    <n v="0.77400000000000002"/>
  </r>
  <r>
    <n v="123"/>
    <x v="9"/>
    <x v="37"/>
    <x v="9"/>
    <s v="Percent of GDP"/>
    <s v="Units"/>
    <x v="0"/>
    <n v="4.1319999999999997"/>
  </r>
  <r>
    <n v="123"/>
    <x v="9"/>
    <x v="37"/>
    <x v="9"/>
    <s v="Percent of GDP"/>
    <s v="Units"/>
    <x v="1"/>
    <n v="0.38"/>
  </r>
  <r>
    <n v="123"/>
    <x v="9"/>
    <x v="37"/>
    <x v="9"/>
    <s v="Percent of GDP"/>
    <s v="Units"/>
    <x v="2"/>
    <n v="4.0570000000000004"/>
  </r>
  <r>
    <n v="123"/>
    <x v="9"/>
    <x v="37"/>
    <x v="9"/>
    <s v="Percent of GDP"/>
    <s v="Units"/>
    <x v="3"/>
    <n v="3.3420000000000001"/>
  </r>
  <r>
    <n v="123"/>
    <x v="9"/>
    <x v="37"/>
    <x v="9"/>
    <s v="Percent of GDP"/>
    <s v="Units"/>
    <x v="4"/>
    <n v="2.7450000000000001"/>
  </r>
  <r>
    <n v="123"/>
    <x v="9"/>
    <x v="37"/>
    <x v="9"/>
    <s v="Percent of GDP"/>
    <s v="Units"/>
    <x v="5"/>
    <n v="1.4570000000000001"/>
  </r>
  <r>
    <n v="123"/>
    <x v="9"/>
    <x v="37"/>
    <x v="9"/>
    <s v="Percent of GDP"/>
    <s v="Units"/>
    <x v="6"/>
    <n v="0.77400000000000002"/>
  </r>
  <r>
    <n v="163"/>
    <x v="5"/>
    <x v="24"/>
    <x v="9"/>
    <s v="Percent of GDP"/>
    <s v="Units"/>
    <x v="0"/>
    <n v="0.47499999999999998"/>
  </r>
  <r>
    <n v="163"/>
    <x v="5"/>
    <x v="24"/>
    <x v="9"/>
    <s v="Percent of GDP"/>
    <s v="Units"/>
    <x v="1"/>
    <n v="-4.984"/>
  </r>
  <r>
    <n v="163"/>
    <x v="5"/>
    <x v="24"/>
    <x v="9"/>
    <s v="Percent of GDP"/>
    <s v="Units"/>
    <x v="2"/>
    <n v="-1.52"/>
  </r>
  <r>
    <n v="163"/>
    <x v="5"/>
    <x v="24"/>
    <x v="9"/>
    <s v="Percent of GDP"/>
    <s v="Units"/>
    <x v="3"/>
    <n v="1.68"/>
  </r>
  <r>
    <n v="163"/>
    <x v="5"/>
    <x v="24"/>
    <x v="9"/>
    <s v="Percent of GDP"/>
    <s v="Units"/>
    <x v="4"/>
    <n v="1.5169999999999999"/>
  </r>
  <r>
    <n v="163"/>
    <x v="5"/>
    <x v="24"/>
    <x v="9"/>
    <s v="Percent of GDP"/>
    <s v="Units"/>
    <x v="5"/>
    <n v="1.4450000000000001"/>
  </r>
  <r>
    <n v="163"/>
    <x v="5"/>
    <x v="24"/>
    <x v="9"/>
    <s v="Percent of GDP"/>
    <s v="Units"/>
    <x v="6"/>
    <n v="1.258"/>
  </r>
  <r>
    <n v="110"/>
    <x v="0"/>
    <x v="24"/>
    <x v="9"/>
    <s v="Percent of GDP"/>
    <s v="Units"/>
    <x v="0"/>
    <n v="0.47499999999999998"/>
  </r>
  <r>
    <n v="110"/>
    <x v="0"/>
    <x v="24"/>
    <x v="9"/>
    <s v="Percent of GDP"/>
    <s v="Units"/>
    <x v="1"/>
    <n v="-4.984"/>
  </r>
  <r>
    <n v="110"/>
    <x v="0"/>
    <x v="24"/>
    <x v="9"/>
    <s v="Percent of GDP"/>
    <s v="Units"/>
    <x v="2"/>
    <n v="-1.52"/>
  </r>
  <r>
    <n v="110"/>
    <x v="0"/>
    <x v="24"/>
    <x v="9"/>
    <s v="Percent of GDP"/>
    <s v="Units"/>
    <x v="3"/>
    <n v="1.68"/>
  </r>
  <r>
    <n v="110"/>
    <x v="0"/>
    <x v="24"/>
    <x v="9"/>
    <s v="Percent of GDP"/>
    <s v="Units"/>
    <x v="4"/>
    <n v="1.5169999999999999"/>
  </r>
  <r>
    <n v="110"/>
    <x v="0"/>
    <x v="24"/>
    <x v="9"/>
    <s v="Percent of GDP"/>
    <s v="Units"/>
    <x v="5"/>
    <n v="1.4450000000000001"/>
  </r>
  <r>
    <n v="110"/>
    <x v="0"/>
    <x v="24"/>
    <x v="9"/>
    <s v="Percent of GDP"/>
    <s v="Units"/>
    <x v="6"/>
    <n v="1.258"/>
  </r>
  <r>
    <n v="998"/>
    <x v="6"/>
    <x v="24"/>
    <x v="9"/>
    <s v="Percent of GDP"/>
    <s v="Units"/>
    <x v="0"/>
    <n v="0.47499999999999998"/>
  </r>
  <r>
    <n v="998"/>
    <x v="6"/>
    <x v="24"/>
    <x v="9"/>
    <s v="Percent of GDP"/>
    <s v="Units"/>
    <x v="1"/>
    <n v="-4.984"/>
  </r>
  <r>
    <n v="998"/>
    <x v="6"/>
    <x v="24"/>
    <x v="9"/>
    <s v="Percent of GDP"/>
    <s v="Units"/>
    <x v="2"/>
    <n v="-1.52"/>
  </r>
  <r>
    <n v="998"/>
    <x v="6"/>
    <x v="24"/>
    <x v="9"/>
    <s v="Percent of GDP"/>
    <s v="Units"/>
    <x v="3"/>
    <n v="1.68"/>
  </r>
  <r>
    <n v="998"/>
    <x v="6"/>
    <x v="24"/>
    <x v="9"/>
    <s v="Percent of GDP"/>
    <s v="Units"/>
    <x v="4"/>
    <n v="1.5169999999999999"/>
  </r>
  <r>
    <n v="998"/>
    <x v="6"/>
    <x v="24"/>
    <x v="9"/>
    <s v="Percent of GDP"/>
    <s v="Units"/>
    <x v="5"/>
    <n v="1.4450000000000001"/>
  </r>
  <r>
    <n v="998"/>
    <x v="6"/>
    <x v="24"/>
    <x v="9"/>
    <s v="Percent of GDP"/>
    <s v="Units"/>
    <x v="6"/>
    <n v="1.258"/>
  </r>
  <r>
    <n v="603"/>
    <x v="12"/>
    <x v="182"/>
    <x v="0"/>
    <s v="U.S. dollars"/>
    <s v="Billions"/>
    <x v="0"/>
    <n v="1.1879999999999999"/>
  </r>
  <r>
    <n v="603"/>
    <x v="12"/>
    <x v="182"/>
    <x v="0"/>
    <s v="U.S. dollars"/>
    <s v="Billions"/>
    <x v="1"/>
    <n v="1.218"/>
  </r>
  <r>
    <n v="603"/>
    <x v="12"/>
    <x v="182"/>
    <x v="0"/>
    <s v="U.S. dollars"/>
    <s v="Billions"/>
    <x v="2"/>
    <n v="1.2729999999999999"/>
  </r>
  <r>
    <n v="603"/>
    <x v="12"/>
    <x v="182"/>
    <x v="0"/>
    <s v="U.S. dollars"/>
    <s v="Billions"/>
    <x v="3"/>
    <n v="1.2250000000000001"/>
  </r>
  <r>
    <n v="603"/>
    <x v="12"/>
    <x v="182"/>
    <x v="0"/>
    <s v="U.S. dollars"/>
    <s v="Billions"/>
    <x v="4"/>
    <n v="1.34"/>
  </r>
  <r>
    <n v="603"/>
    <x v="12"/>
    <x v="182"/>
    <x v="0"/>
    <s v="U.S. dollars"/>
    <s v="Billions"/>
    <x v="5"/>
    <n v="1.4219999999999999"/>
  </r>
  <r>
    <n v="603"/>
    <x v="12"/>
    <x v="182"/>
    <x v="0"/>
    <s v="U.S. dollars"/>
    <s v="Billions"/>
    <x v="6"/>
    <n v="1.516"/>
  </r>
  <r>
    <n v="1"/>
    <x v="2"/>
    <x v="182"/>
    <x v="0"/>
    <s v="U.S. dollars"/>
    <s v="Billions"/>
    <x v="0"/>
    <n v="1.1879999999999999"/>
  </r>
  <r>
    <n v="1"/>
    <x v="2"/>
    <x v="182"/>
    <x v="0"/>
    <s v="U.S. dollars"/>
    <s v="Billions"/>
    <x v="1"/>
    <n v="1.218"/>
  </r>
  <r>
    <n v="1"/>
    <x v="2"/>
    <x v="182"/>
    <x v="0"/>
    <s v="U.S. dollars"/>
    <s v="Billions"/>
    <x v="2"/>
    <n v="1.2729999999999999"/>
  </r>
  <r>
    <n v="1"/>
    <x v="2"/>
    <x v="182"/>
    <x v="0"/>
    <s v="U.S. dollars"/>
    <s v="Billions"/>
    <x v="3"/>
    <n v="1.2250000000000001"/>
  </r>
  <r>
    <n v="1"/>
    <x v="2"/>
    <x v="182"/>
    <x v="0"/>
    <s v="U.S. dollars"/>
    <s v="Billions"/>
    <x v="4"/>
    <n v="1.34"/>
  </r>
  <r>
    <n v="1"/>
    <x v="2"/>
    <x v="182"/>
    <x v="0"/>
    <s v="U.S. dollars"/>
    <s v="Billions"/>
    <x v="5"/>
    <n v="1.4219999999999999"/>
  </r>
  <r>
    <n v="1"/>
    <x v="2"/>
    <x v="182"/>
    <x v="0"/>
    <s v="U.S. dollars"/>
    <s v="Billions"/>
    <x v="6"/>
    <n v="1.516"/>
  </r>
  <r>
    <n v="200"/>
    <x v="3"/>
    <x v="182"/>
    <x v="0"/>
    <s v="U.S. dollars"/>
    <s v="Billions"/>
    <x v="0"/>
    <n v="1.1879999999999999"/>
  </r>
  <r>
    <n v="200"/>
    <x v="3"/>
    <x v="182"/>
    <x v="0"/>
    <s v="U.S. dollars"/>
    <s v="Billions"/>
    <x v="1"/>
    <n v="1.218"/>
  </r>
  <r>
    <n v="200"/>
    <x v="3"/>
    <x v="182"/>
    <x v="0"/>
    <s v="U.S. dollars"/>
    <s v="Billions"/>
    <x v="2"/>
    <n v="1.2729999999999999"/>
  </r>
  <r>
    <n v="200"/>
    <x v="3"/>
    <x v="182"/>
    <x v="0"/>
    <s v="U.S. dollars"/>
    <s v="Billions"/>
    <x v="3"/>
    <n v="1.2250000000000001"/>
  </r>
  <r>
    <n v="200"/>
    <x v="3"/>
    <x v="182"/>
    <x v="0"/>
    <s v="U.S. dollars"/>
    <s v="Billions"/>
    <x v="4"/>
    <n v="1.34"/>
  </r>
  <r>
    <n v="200"/>
    <x v="3"/>
    <x v="182"/>
    <x v="0"/>
    <s v="U.S. dollars"/>
    <s v="Billions"/>
    <x v="5"/>
    <n v="1.4219999999999999"/>
  </r>
  <r>
    <n v="200"/>
    <x v="3"/>
    <x v="182"/>
    <x v="0"/>
    <s v="U.S. dollars"/>
    <s v="Billions"/>
    <x v="6"/>
    <n v="1.516"/>
  </r>
  <r>
    <n v="1"/>
    <x v="2"/>
    <x v="44"/>
    <x v="4"/>
    <s v="Percent change"/>
    <s v="Units"/>
    <x v="0"/>
    <n v="1.4790000000000001"/>
  </r>
  <r>
    <n v="1"/>
    <x v="2"/>
    <x v="44"/>
    <x v="4"/>
    <s v="Percent change"/>
    <s v="Units"/>
    <x v="1"/>
    <n v="-8.0310000000000006"/>
  </r>
  <r>
    <n v="1"/>
    <x v="2"/>
    <x v="44"/>
    <x v="4"/>
    <s v="Percent change"/>
    <s v="Units"/>
    <x v="2"/>
    <n v="6.8949999999999996"/>
  </r>
  <r>
    <n v="1"/>
    <x v="2"/>
    <x v="44"/>
    <x v="4"/>
    <s v="Percent change"/>
    <s v="Units"/>
    <x v="3"/>
    <n v="7.2270000000000003"/>
  </r>
  <r>
    <n v="1"/>
    <x v="2"/>
    <x v="44"/>
    <x v="4"/>
    <s v="Percent change"/>
    <s v="Units"/>
    <x v="4"/>
    <n v="2.8479999999999999"/>
  </r>
  <r>
    <n v="1"/>
    <x v="2"/>
    <x v="44"/>
    <x v="4"/>
    <s v="Percent change"/>
    <s v="Units"/>
    <x v="5"/>
    <n v="1.42"/>
  </r>
  <r>
    <n v="1"/>
    <x v="2"/>
    <x v="44"/>
    <x v="4"/>
    <s v="Percent change"/>
    <s v="Units"/>
    <x v="6"/>
    <n v="3.8889999999999998"/>
  </r>
  <r>
    <n v="110"/>
    <x v="0"/>
    <x v="44"/>
    <x v="4"/>
    <s v="Percent change"/>
    <s v="Units"/>
    <x v="0"/>
    <n v="1.4790000000000001"/>
  </r>
  <r>
    <n v="110"/>
    <x v="0"/>
    <x v="44"/>
    <x v="4"/>
    <s v="Percent change"/>
    <s v="Units"/>
    <x v="1"/>
    <n v="-8.0310000000000006"/>
  </r>
  <r>
    <n v="110"/>
    <x v="0"/>
    <x v="44"/>
    <x v="4"/>
    <s v="Percent change"/>
    <s v="Units"/>
    <x v="2"/>
    <n v="6.8949999999999996"/>
  </r>
  <r>
    <n v="110"/>
    <x v="0"/>
    <x v="44"/>
    <x v="4"/>
    <s v="Percent change"/>
    <s v="Units"/>
    <x v="3"/>
    <n v="7.2270000000000003"/>
  </r>
  <r>
    <n v="110"/>
    <x v="0"/>
    <x v="44"/>
    <x v="4"/>
    <s v="Percent change"/>
    <s v="Units"/>
    <x v="4"/>
    <n v="2.8479999999999999"/>
  </r>
  <r>
    <n v="110"/>
    <x v="0"/>
    <x v="44"/>
    <x v="4"/>
    <s v="Percent change"/>
    <s v="Units"/>
    <x v="5"/>
    <n v="1.42"/>
  </r>
  <r>
    <n v="110"/>
    <x v="0"/>
    <x v="44"/>
    <x v="4"/>
    <s v="Percent change"/>
    <s v="Units"/>
    <x v="6"/>
    <n v="3.8889999999999998"/>
  </r>
  <r>
    <n v="123"/>
    <x v="9"/>
    <x v="44"/>
    <x v="4"/>
    <s v="Percent change"/>
    <s v="Units"/>
    <x v="0"/>
    <n v="1.4790000000000001"/>
  </r>
  <r>
    <n v="123"/>
    <x v="9"/>
    <x v="44"/>
    <x v="4"/>
    <s v="Percent change"/>
    <s v="Units"/>
    <x v="1"/>
    <n v="-8.0310000000000006"/>
  </r>
  <r>
    <n v="123"/>
    <x v="9"/>
    <x v="44"/>
    <x v="4"/>
    <s v="Percent change"/>
    <s v="Units"/>
    <x v="2"/>
    <n v="6.8949999999999996"/>
  </r>
  <r>
    <n v="123"/>
    <x v="9"/>
    <x v="44"/>
    <x v="4"/>
    <s v="Percent change"/>
    <s v="Units"/>
    <x v="3"/>
    <n v="7.2270000000000003"/>
  </r>
  <r>
    <n v="123"/>
    <x v="9"/>
    <x v="44"/>
    <x v="4"/>
    <s v="Percent change"/>
    <s v="Units"/>
    <x v="4"/>
    <n v="2.8479999999999999"/>
  </r>
  <r>
    <n v="123"/>
    <x v="9"/>
    <x v="44"/>
    <x v="4"/>
    <s v="Percent change"/>
    <s v="Units"/>
    <x v="5"/>
    <n v="1.42"/>
  </r>
  <r>
    <n v="123"/>
    <x v="9"/>
    <x v="44"/>
    <x v="4"/>
    <s v="Percent change"/>
    <s v="Units"/>
    <x v="6"/>
    <n v="3.8889999999999998"/>
  </r>
  <r>
    <n v="200"/>
    <x v="3"/>
    <x v="111"/>
    <x v="0"/>
    <s v="U.S. dollars"/>
    <s v="Billions"/>
    <x v="0"/>
    <n v="1.2130000000000001"/>
  </r>
  <r>
    <n v="200"/>
    <x v="3"/>
    <x v="111"/>
    <x v="0"/>
    <s v="U.S. dollars"/>
    <s v="Billions"/>
    <x v="1"/>
    <n v="1.0429999999999999"/>
  </r>
  <r>
    <n v="200"/>
    <x v="3"/>
    <x v="111"/>
    <x v="0"/>
    <s v="U.S. dollars"/>
    <s v="Billions"/>
    <x v="2"/>
    <n v="1.123"/>
  </r>
  <r>
    <n v="200"/>
    <x v="3"/>
    <x v="111"/>
    <x v="0"/>
    <s v="U.S. dollars"/>
    <s v="Billions"/>
    <x v="3"/>
    <n v="1.2310000000000001"/>
  </r>
  <r>
    <n v="200"/>
    <x v="3"/>
    <x v="111"/>
    <x v="0"/>
    <s v="U.S. dollars"/>
    <s v="Billions"/>
    <x v="4"/>
    <n v="1.3280000000000001"/>
  </r>
  <r>
    <n v="200"/>
    <x v="3"/>
    <x v="111"/>
    <x v="0"/>
    <s v="U.S. dollars"/>
    <s v="Billions"/>
    <x v="5"/>
    <n v="1.4059999999999999"/>
  </r>
  <r>
    <n v="200"/>
    <x v="3"/>
    <x v="111"/>
    <x v="0"/>
    <s v="U.S. dollars"/>
    <s v="Billions"/>
    <x v="6"/>
    <n v="1.4870000000000001"/>
  </r>
  <r>
    <n v="205"/>
    <x v="7"/>
    <x v="111"/>
    <x v="0"/>
    <s v="U.S. dollars"/>
    <s v="Billions"/>
    <x v="0"/>
    <n v="1.2130000000000001"/>
  </r>
  <r>
    <n v="205"/>
    <x v="7"/>
    <x v="111"/>
    <x v="0"/>
    <s v="U.S. dollars"/>
    <s v="Billions"/>
    <x v="1"/>
    <n v="1.0429999999999999"/>
  </r>
  <r>
    <n v="205"/>
    <x v="7"/>
    <x v="111"/>
    <x v="0"/>
    <s v="U.S. dollars"/>
    <s v="Billions"/>
    <x v="2"/>
    <n v="1.123"/>
  </r>
  <r>
    <n v="205"/>
    <x v="7"/>
    <x v="111"/>
    <x v="0"/>
    <s v="U.S. dollars"/>
    <s v="Billions"/>
    <x v="3"/>
    <n v="1.2310000000000001"/>
  </r>
  <r>
    <n v="205"/>
    <x v="7"/>
    <x v="111"/>
    <x v="0"/>
    <s v="U.S. dollars"/>
    <s v="Billions"/>
    <x v="4"/>
    <n v="1.3280000000000001"/>
  </r>
  <r>
    <n v="205"/>
    <x v="7"/>
    <x v="111"/>
    <x v="0"/>
    <s v="U.S. dollars"/>
    <s v="Billions"/>
    <x v="5"/>
    <n v="1.4059999999999999"/>
  </r>
  <r>
    <n v="205"/>
    <x v="7"/>
    <x v="111"/>
    <x v="0"/>
    <s v="U.S. dollars"/>
    <s v="Billions"/>
    <x v="6"/>
    <n v="1.4870000000000001"/>
  </r>
  <r>
    <n v="1"/>
    <x v="2"/>
    <x v="111"/>
    <x v="0"/>
    <s v="U.S. dollars"/>
    <s v="Billions"/>
    <x v="0"/>
    <n v="1.2130000000000001"/>
  </r>
  <r>
    <n v="1"/>
    <x v="2"/>
    <x v="111"/>
    <x v="0"/>
    <s v="U.S. dollars"/>
    <s v="Billions"/>
    <x v="1"/>
    <n v="1.0429999999999999"/>
  </r>
  <r>
    <n v="1"/>
    <x v="2"/>
    <x v="111"/>
    <x v="0"/>
    <s v="U.S. dollars"/>
    <s v="Billions"/>
    <x v="2"/>
    <n v="1.123"/>
  </r>
  <r>
    <n v="1"/>
    <x v="2"/>
    <x v="111"/>
    <x v="0"/>
    <s v="U.S. dollars"/>
    <s v="Billions"/>
    <x v="3"/>
    <n v="1.2310000000000001"/>
  </r>
  <r>
    <n v="1"/>
    <x v="2"/>
    <x v="111"/>
    <x v="0"/>
    <s v="U.S. dollars"/>
    <s v="Billions"/>
    <x v="4"/>
    <n v="1.3280000000000001"/>
  </r>
  <r>
    <n v="1"/>
    <x v="2"/>
    <x v="111"/>
    <x v="0"/>
    <s v="U.S. dollars"/>
    <s v="Billions"/>
    <x v="5"/>
    <n v="1.4059999999999999"/>
  </r>
  <r>
    <n v="1"/>
    <x v="2"/>
    <x v="111"/>
    <x v="0"/>
    <s v="U.S. dollars"/>
    <s v="Billions"/>
    <x v="6"/>
    <n v="1.4870000000000001"/>
  </r>
  <r>
    <n v="1"/>
    <x v="2"/>
    <x v="108"/>
    <x v="1"/>
    <s v="Percent change"/>
    <s v="Units"/>
    <x v="0"/>
    <n v="1.0069999999999999"/>
  </r>
  <r>
    <n v="1"/>
    <x v="2"/>
    <x v="108"/>
    <x v="1"/>
    <s v="Percent change"/>
    <s v="Units"/>
    <x v="1"/>
    <n v="-2.3250000000000002"/>
  </r>
  <r>
    <n v="1"/>
    <x v="2"/>
    <x v="108"/>
    <x v="1"/>
    <s v="Percent change"/>
    <s v="Units"/>
    <x v="2"/>
    <n v="-0.61099999999999999"/>
  </r>
  <r>
    <n v="1"/>
    <x v="2"/>
    <x v="108"/>
    <x v="1"/>
    <s v="Percent change"/>
    <s v="Units"/>
    <x v="3"/>
    <n v="3.6349999999999998"/>
  </r>
  <r>
    <n v="1"/>
    <x v="2"/>
    <x v="108"/>
    <x v="1"/>
    <s v="Percent change"/>
    <s v="Units"/>
    <x v="4"/>
    <n v="7.4999999999999997E-2"/>
  </r>
  <r>
    <n v="1"/>
    <x v="2"/>
    <x v="108"/>
    <x v="1"/>
    <s v="Percent change"/>
    <s v="Units"/>
    <x v="5"/>
    <n v="1.4"/>
  </r>
  <r>
    <n v="1"/>
    <x v="2"/>
    <x v="108"/>
    <x v="1"/>
    <s v="Percent change"/>
    <s v="Units"/>
    <x v="6"/>
    <n v="1.8"/>
  </r>
  <r>
    <n v="200"/>
    <x v="3"/>
    <x v="108"/>
    <x v="1"/>
    <s v="Percent change"/>
    <s v="Units"/>
    <x v="0"/>
    <n v="1.0069999999999999"/>
  </r>
  <r>
    <n v="200"/>
    <x v="3"/>
    <x v="108"/>
    <x v="1"/>
    <s v="Percent change"/>
    <s v="Units"/>
    <x v="1"/>
    <n v="-2.3250000000000002"/>
  </r>
  <r>
    <n v="200"/>
    <x v="3"/>
    <x v="108"/>
    <x v="1"/>
    <s v="Percent change"/>
    <s v="Units"/>
    <x v="2"/>
    <n v="-0.61099999999999999"/>
  </r>
  <r>
    <n v="200"/>
    <x v="3"/>
    <x v="108"/>
    <x v="1"/>
    <s v="Percent change"/>
    <s v="Units"/>
    <x v="3"/>
    <n v="3.6349999999999998"/>
  </r>
  <r>
    <n v="200"/>
    <x v="3"/>
    <x v="108"/>
    <x v="1"/>
    <s v="Percent change"/>
    <s v="Units"/>
    <x v="4"/>
    <n v="7.4999999999999997E-2"/>
  </r>
  <r>
    <n v="200"/>
    <x v="3"/>
    <x v="108"/>
    <x v="1"/>
    <s v="Percent change"/>
    <s v="Units"/>
    <x v="5"/>
    <n v="1.4"/>
  </r>
  <r>
    <n v="200"/>
    <x v="3"/>
    <x v="108"/>
    <x v="1"/>
    <s v="Percent change"/>
    <s v="Units"/>
    <x v="6"/>
    <n v="1.8"/>
  </r>
  <r>
    <n v="400"/>
    <x v="11"/>
    <x v="108"/>
    <x v="1"/>
    <s v="Percent change"/>
    <s v="Units"/>
    <x v="0"/>
    <n v="1.0069999999999999"/>
  </r>
  <r>
    <n v="400"/>
    <x v="11"/>
    <x v="108"/>
    <x v="1"/>
    <s v="Percent change"/>
    <s v="Units"/>
    <x v="1"/>
    <n v="-2.3250000000000002"/>
  </r>
  <r>
    <n v="400"/>
    <x v="11"/>
    <x v="108"/>
    <x v="1"/>
    <s v="Percent change"/>
    <s v="Units"/>
    <x v="2"/>
    <n v="-0.61099999999999999"/>
  </r>
  <r>
    <n v="400"/>
    <x v="11"/>
    <x v="108"/>
    <x v="1"/>
    <s v="Percent change"/>
    <s v="Units"/>
    <x v="3"/>
    <n v="3.6349999999999998"/>
  </r>
  <r>
    <n v="400"/>
    <x v="11"/>
    <x v="108"/>
    <x v="1"/>
    <s v="Percent change"/>
    <s v="Units"/>
    <x v="4"/>
    <n v="7.4999999999999997E-2"/>
  </r>
  <r>
    <n v="400"/>
    <x v="11"/>
    <x v="108"/>
    <x v="1"/>
    <s v="Percent change"/>
    <s v="Units"/>
    <x v="5"/>
    <n v="1.4"/>
  </r>
  <r>
    <n v="400"/>
    <x v="11"/>
    <x v="108"/>
    <x v="1"/>
    <s v="Percent change"/>
    <s v="Units"/>
    <x v="6"/>
    <n v="1.8"/>
  </r>
  <r>
    <n v="603"/>
    <x v="12"/>
    <x v="85"/>
    <x v="6"/>
    <s v="Percent change"/>
    <s v="Units"/>
    <x v="0"/>
    <n v="5.5919999999999996"/>
  </r>
  <r>
    <n v="603"/>
    <x v="12"/>
    <x v="85"/>
    <x v="6"/>
    <s v="Percent change"/>
    <s v="Units"/>
    <x v="1"/>
    <n v="0.20699999999999999"/>
  </r>
  <r>
    <n v="603"/>
    <x v="12"/>
    <x v="85"/>
    <x v="6"/>
    <s v="Percent change"/>
    <s v="Units"/>
    <x v="2"/>
    <n v="9.0120000000000005"/>
  </r>
  <r>
    <n v="603"/>
    <x v="12"/>
    <x v="85"/>
    <x v="6"/>
    <s v="Percent change"/>
    <s v="Units"/>
    <x v="3"/>
    <n v="19.125"/>
  </r>
  <r>
    <n v="603"/>
    <x v="12"/>
    <x v="85"/>
    <x v="6"/>
    <s v="Percent change"/>
    <s v="Units"/>
    <x v="4"/>
    <n v="10.506"/>
  </r>
  <r>
    <n v="603"/>
    <x v="12"/>
    <x v="85"/>
    <x v="6"/>
    <s v="Percent change"/>
    <s v="Units"/>
    <x v="5"/>
    <n v="1.3919999999999999"/>
  </r>
  <r>
    <n v="603"/>
    <x v="12"/>
    <x v="85"/>
    <x v="6"/>
    <s v="Percent change"/>
    <s v="Units"/>
    <x v="6"/>
    <n v="2.9209999999999998"/>
  </r>
  <r>
    <n v="200"/>
    <x v="3"/>
    <x v="85"/>
    <x v="6"/>
    <s v="Percent change"/>
    <s v="Units"/>
    <x v="0"/>
    <n v="5.5919999999999996"/>
  </r>
  <r>
    <n v="200"/>
    <x v="3"/>
    <x v="85"/>
    <x v="6"/>
    <s v="Percent change"/>
    <s v="Units"/>
    <x v="1"/>
    <n v="0.20699999999999999"/>
  </r>
  <r>
    <n v="200"/>
    <x v="3"/>
    <x v="85"/>
    <x v="6"/>
    <s v="Percent change"/>
    <s v="Units"/>
    <x v="2"/>
    <n v="9.0120000000000005"/>
  </r>
  <r>
    <n v="200"/>
    <x v="3"/>
    <x v="85"/>
    <x v="6"/>
    <s v="Percent change"/>
    <s v="Units"/>
    <x v="3"/>
    <n v="19.125"/>
  </r>
  <r>
    <n v="200"/>
    <x v="3"/>
    <x v="85"/>
    <x v="6"/>
    <s v="Percent change"/>
    <s v="Units"/>
    <x v="4"/>
    <n v="10.506"/>
  </r>
  <r>
    <n v="200"/>
    <x v="3"/>
    <x v="85"/>
    <x v="6"/>
    <s v="Percent change"/>
    <s v="Units"/>
    <x v="5"/>
    <n v="1.3919999999999999"/>
  </r>
  <r>
    <n v="200"/>
    <x v="3"/>
    <x v="85"/>
    <x v="6"/>
    <s v="Percent change"/>
    <s v="Units"/>
    <x v="6"/>
    <n v="2.9209999999999998"/>
  </r>
  <r>
    <n v="1"/>
    <x v="2"/>
    <x v="85"/>
    <x v="6"/>
    <s v="Percent change"/>
    <s v="Units"/>
    <x v="0"/>
    <n v="5.5919999999999996"/>
  </r>
  <r>
    <n v="1"/>
    <x v="2"/>
    <x v="85"/>
    <x v="6"/>
    <s v="Percent change"/>
    <s v="Units"/>
    <x v="1"/>
    <n v="0.20699999999999999"/>
  </r>
  <r>
    <n v="1"/>
    <x v="2"/>
    <x v="85"/>
    <x v="6"/>
    <s v="Percent change"/>
    <s v="Units"/>
    <x v="2"/>
    <n v="9.0120000000000005"/>
  </r>
  <r>
    <n v="1"/>
    <x v="2"/>
    <x v="85"/>
    <x v="6"/>
    <s v="Percent change"/>
    <s v="Units"/>
    <x v="3"/>
    <n v="19.125"/>
  </r>
  <r>
    <n v="1"/>
    <x v="2"/>
    <x v="85"/>
    <x v="6"/>
    <s v="Percent change"/>
    <s v="Units"/>
    <x v="4"/>
    <n v="10.506"/>
  </r>
  <r>
    <n v="1"/>
    <x v="2"/>
    <x v="85"/>
    <x v="6"/>
    <s v="Percent change"/>
    <s v="Units"/>
    <x v="5"/>
    <n v="1.3919999999999999"/>
  </r>
  <r>
    <n v="1"/>
    <x v="2"/>
    <x v="85"/>
    <x v="6"/>
    <s v="Percent change"/>
    <s v="Units"/>
    <x v="6"/>
    <n v="2.9209999999999998"/>
  </r>
  <r>
    <n v="123"/>
    <x v="9"/>
    <x v="22"/>
    <x v="4"/>
    <s v="Percent change"/>
    <s v="Units"/>
    <x v="0"/>
    <n v="6.6079999999999997"/>
  </r>
  <r>
    <n v="123"/>
    <x v="9"/>
    <x v="22"/>
    <x v="4"/>
    <s v="Percent change"/>
    <s v="Units"/>
    <x v="1"/>
    <n v="-5.7809999999999997"/>
  </r>
  <r>
    <n v="123"/>
    <x v="9"/>
    <x v="22"/>
    <x v="4"/>
    <s v="Percent change"/>
    <s v="Units"/>
    <x v="2"/>
    <n v="11.465999999999999"/>
  </r>
  <r>
    <n v="123"/>
    <x v="9"/>
    <x v="22"/>
    <x v="4"/>
    <s v="Percent change"/>
    <s v="Units"/>
    <x v="3"/>
    <n v="6.9489999999999998"/>
  </r>
  <r>
    <n v="123"/>
    <x v="9"/>
    <x v="22"/>
    <x v="4"/>
    <s v="Percent change"/>
    <s v="Units"/>
    <x v="4"/>
    <n v="3.1139999999999999"/>
  </r>
  <r>
    <n v="123"/>
    <x v="9"/>
    <x v="22"/>
    <x v="4"/>
    <s v="Percent change"/>
    <s v="Units"/>
    <x v="5"/>
    <n v="1.385"/>
  </r>
  <r>
    <n v="123"/>
    <x v="9"/>
    <x v="22"/>
    <x v="4"/>
    <s v="Percent change"/>
    <s v="Units"/>
    <x v="6"/>
    <n v="2.7469999999999999"/>
  </r>
  <r>
    <n v="1"/>
    <x v="2"/>
    <x v="22"/>
    <x v="4"/>
    <s v="Percent change"/>
    <s v="Units"/>
    <x v="0"/>
    <n v="6.6079999999999997"/>
  </r>
  <r>
    <n v="1"/>
    <x v="2"/>
    <x v="22"/>
    <x v="4"/>
    <s v="Percent change"/>
    <s v="Units"/>
    <x v="1"/>
    <n v="-5.7809999999999997"/>
  </r>
  <r>
    <n v="1"/>
    <x v="2"/>
    <x v="22"/>
    <x v="4"/>
    <s v="Percent change"/>
    <s v="Units"/>
    <x v="2"/>
    <n v="11.465999999999999"/>
  </r>
  <r>
    <n v="1"/>
    <x v="2"/>
    <x v="22"/>
    <x v="4"/>
    <s v="Percent change"/>
    <s v="Units"/>
    <x v="3"/>
    <n v="6.9489999999999998"/>
  </r>
  <r>
    <n v="1"/>
    <x v="2"/>
    <x v="22"/>
    <x v="4"/>
    <s v="Percent change"/>
    <s v="Units"/>
    <x v="4"/>
    <n v="3.1139999999999999"/>
  </r>
  <r>
    <n v="1"/>
    <x v="2"/>
    <x v="22"/>
    <x v="4"/>
    <s v="Percent change"/>
    <s v="Units"/>
    <x v="5"/>
    <n v="1.385"/>
  </r>
  <r>
    <n v="1"/>
    <x v="2"/>
    <x v="22"/>
    <x v="4"/>
    <s v="Percent change"/>
    <s v="Units"/>
    <x v="6"/>
    <n v="2.7469999999999999"/>
  </r>
  <r>
    <n v="110"/>
    <x v="0"/>
    <x v="22"/>
    <x v="4"/>
    <s v="Percent change"/>
    <s v="Units"/>
    <x v="0"/>
    <n v="6.6079999999999997"/>
  </r>
  <r>
    <n v="110"/>
    <x v="0"/>
    <x v="22"/>
    <x v="4"/>
    <s v="Percent change"/>
    <s v="Units"/>
    <x v="1"/>
    <n v="-5.7809999999999997"/>
  </r>
  <r>
    <n v="110"/>
    <x v="0"/>
    <x v="22"/>
    <x v="4"/>
    <s v="Percent change"/>
    <s v="Units"/>
    <x v="2"/>
    <n v="11.465999999999999"/>
  </r>
  <r>
    <n v="110"/>
    <x v="0"/>
    <x v="22"/>
    <x v="4"/>
    <s v="Percent change"/>
    <s v="Units"/>
    <x v="3"/>
    <n v="6.9489999999999998"/>
  </r>
  <r>
    <n v="110"/>
    <x v="0"/>
    <x v="22"/>
    <x v="4"/>
    <s v="Percent change"/>
    <s v="Units"/>
    <x v="4"/>
    <n v="3.1139999999999999"/>
  </r>
  <r>
    <n v="110"/>
    <x v="0"/>
    <x v="22"/>
    <x v="4"/>
    <s v="Percent change"/>
    <s v="Units"/>
    <x v="5"/>
    <n v="1.385"/>
  </r>
  <r>
    <n v="110"/>
    <x v="0"/>
    <x v="22"/>
    <x v="4"/>
    <s v="Percent change"/>
    <s v="Units"/>
    <x v="6"/>
    <n v="2.7469999999999999"/>
  </r>
  <r>
    <n v="1"/>
    <x v="2"/>
    <x v="50"/>
    <x v="8"/>
    <s v="Percent change"/>
    <s v="Units"/>
    <x v="0"/>
    <n v="5.3680000000000003"/>
  </r>
  <r>
    <n v="1"/>
    <x v="2"/>
    <x v="50"/>
    <x v="8"/>
    <s v="Percent change"/>
    <s v="Units"/>
    <x v="1"/>
    <n v="-12.055"/>
  </r>
  <r>
    <n v="1"/>
    <x v="2"/>
    <x v="50"/>
    <x v="8"/>
    <s v="Percent change"/>
    <s v="Units"/>
    <x v="2"/>
    <n v="1.58"/>
  </r>
  <r>
    <n v="1"/>
    <x v="2"/>
    <x v="50"/>
    <x v="8"/>
    <s v="Percent change"/>
    <s v="Units"/>
    <x v="3"/>
    <n v="6.9829999999999997"/>
  </r>
  <r>
    <n v="1"/>
    <x v="2"/>
    <x v="50"/>
    <x v="8"/>
    <s v="Percent change"/>
    <s v="Units"/>
    <x v="4"/>
    <n v="-2.1760000000000002"/>
  </r>
  <r>
    <n v="1"/>
    <x v="2"/>
    <x v="50"/>
    <x v="8"/>
    <s v="Percent change"/>
    <s v="Units"/>
    <x v="5"/>
    <n v="1.377"/>
  </r>
  <r>
    <n v="1"/>
    <x v="2"/>
    <x v="50"/>
    <x v="8"/>
    <s v="Percent change"/>
    <s v="Units"/>
    <x v="6"/>
    <n v="5.3120000000000003"/>
  </r>
  <r>
    <n v="200"/>
    <x v="3"/>
    <x v="50"/>
    <x v="8"/>
    <s v="Percent change"/>
    <s v="Units"/>
    <x v="0"/>
    <n v="5.3680000000000003"/>
  </r>
  <r>
    <n v="200"/>
    <x v="3"/>
    <x v="50"/>
    <x v="8"/>
    <s v="Percent change"/>
    <s v="Units"/>
    <x v="1"/>
    <n v="-12.055"/>
  </r>
  <r>
    <n v="200"/>
    <x v="3"/>
    <x v="50"/>
    <x v="8"/>
    <s v="Percent change"/>
    <s v="Units"/>
    <x v="2"/>
    <n v="1.58"/>
  </r>
  <r>
    <n v="200"/>
    <x v="3"/>
    <x v="50"/>
    <x v="8"/>
    <s v="Percent change"/>
    <s v="Units"/>
    <x v="3"/>
    <n v="6.9829999999999997"/>
  </r>
  <r>
    <n v="200"/>
    <x v="3"/>
    <x v="50"/>
    <x v="8"/>
    <s v="Percent change"/>
    <s v="Units"/>
    <x v="4"/>
    <n v="-2.1760000000000002"/>
  </r>
  <r>
    <n v="200"/>
    <x v="3"/>
    <x v="50"/>
    <x v="8"/>
    <s v="Percent change"/>
    <s v="Units"/>
    <x v="5"/>
    <n v="1.377"/>
  </r>
  <r>
    <n v="200"/>
    <x v="3"/>
    <x v="50"/>
    <x v="8"/>
    <s v="Percent change"/>
    <s v="Units"/>
    <x v="6"/>
    <n v="5.3120000000000003"/>
  </r>
  <r>
    <n v="400"/>
    <x v="11"/>
    <x v="50"/>
    <x v="8"/>
    <s v="Percent change"/>
    <s v="Units"/>
    <x v="0"/>
    <n v="5.3680000000000003"/>
  </r>
  <r>
    <n v="400"/>
    <x v="11"/>
    <x v="50"/>
    <x v="8"/>
    <s v="Percent change"/>
    <s v="Units"/>
    <x v="1"/>
    <n v="-12.055"/>
  </r>
  <r>
    <n v="400"/>
    <x v="11"/>
    <x v="50"/>
    <x v="8"/>
    <s v="Percent change"/>
    <s v="Units"/>
    <x v="2"/>
    <n v="1.58"/>
  </r>
  <r>
    <n v="400"/>
    <x v="11"/>
    <x v="50"/>
    <x v="8"/>
    <s v="Percent change"/>
    <s v="Units"/>
    <x v="3"/>
    <n v="6.9829999999999997"/>
  </r>
  <r>
    <n v="400"/>
    <x v="11"/>
    <x v="50"/>
    <x v="8"/>
    <s v="Percent change"/>
    <s v="Units"/>
    <x v="4"/>
    <n v="-2.1760000000000002"/>
  </r>
  <r>
    <n v="400"/>
    <x v="11"/>
    <x v="50"/>
    <x v="8"/>
    <s v="Percent change"/>
    <s v="Units"/>
    <x v="5"/>
    <n v="1.377"/>
  </r>
  <r>
    <n v="400"/>
    <x v="11"/>
    <x v="50"/>
    <x v="8"/>
    <s v="Percent change"/>
    <s v="Units"/>
    <x v="6"/>
    <n v="5.3120000000000003"/>
  </r>
  <r>
    <n v="1"/>
    <x v="2"/>
    <x v="66"/>
    <x v="1"/>
    <s v="Percent change"/>
    <s v="Units"/>
    <x v="0"/>
    <n v="0.26600000000000001"/>
  </r>
  <r>
    <n v="1"/>
    <x v="2"/>
    <x v="66"/>
    <x v="1"/>
    <s v="Percent change"/>
    <s v="Units"/>
    <x v="1"/>
    <n v="-0.33900000000000002"/>
  </r>
  <r>
    <n v="1"/>
    <x v="2"/>
    <x v="66"/>
    <x v="1"/>
    <s v="Percent change"/>
    <s v="Units"/>
    <x v="2"/>
    <n v="0.13300000000000001"/>
  </r>
  <r>
    <n v="1"/>
    <x v="2"/>
    <x v="66"/>
    <x v="1"/>
    <s v="Percent change"/>
    <s v="Units"/>
    <x v="3"/>
    <n v="3.4660000000000002"/>
  </r>
  <r>
    <n v="1"/>
    <x v="2"/>
    <x v="66"/>
    <x v="1"/>
    <s v="Percent change"/>
    <s v="Units"/>
    <x v="4"/>
    <n v="2.2160000000000002"/>
  </r>
  <r>
    <n v="1"/>
    <x v="2"/>
    <x v="66"/>
    <x v="1"/>
    <s v="Percent change"/>
    <s v="Units"/>
    <x v="5"/>
    <n v="1.367"/>
  </r>
  <r>
    <n v="1"/>
    <x v="2"/>
    <x v="66"/>
    <x v="1"/>
    <s v="Percent change"/>
    <s v="Units"/>
    <x v="6"/>
    <n v="1.548"/>
  </r>
  <r>
    <n v="200"/>
    <x v="3"/>
    <x v="66"/>
    <x v="1"/>
    <s v="Percent change"/>
    <s v="Units"/>
    <x v="0"/>
    <n v="0.26600000000000001"/>
  </r>
  <r>
    <n v="200"/>
    <x v="3"/>
    <x v="66"/>
    <x v="1"/>
    <s v="Percent change"/>
    <s v="Units"/>
    <x v="1"/>
    <n v="-0.33900000000000002"/>
  </r>
  <r>
    <n v="200"/>
    <x v="3"/>
    <x v="66"/>
    <x v="1"/>
    <s v="Percent change"/>
    <s v="Units"/>
    <x v="2"/>
    <n v="0.13300000000000001"/>
  </r>
  <r>
    <n v="200"/>
    <x v="3"/>
    <x v="66"/>
    <x v="1"/>
    <s v="Percent change"/>
    <s v="Units"/>
    <x v="3"/>
    <n v="3.4660000000000002"/>
  </r>
  <r>
    <n v="200"/>
    <x v="3"/>
    <x v="66"/>
    <x v="1"/>
    <s v="Percent change"/>
    <s v="Units"/>
    <x v="4"/>
    <n v="2.2160000000000002"/>
  </r>
  <r>
    <n v="200"/>
    <x v="3"/>
    <x v="66"/>
    <x v="1"/>
    <s v="Percent change"/>
    <s v="Units"/>
    <x v="5"/>
    <n v="1.367"/>
  </r>
  <r>
    <n v="200"/>
    <x v="3"/>
    <x v="66"/>
    <x v="1"/>
    <s v="Percent change"/>
    <s v="Units"/>
    <x v="6"/>
    <n v="1.548"/>
  </r>
  <r>
    <n v="205"/>
    <x v="7"/>
    <x v="66"/>
    <x v="1"/>
    <s v="Percent change"/>
    <s v="Units"/>
    <x v="0"/>
    <n v="0.26600000000000001"/>
  </r>
  <r>
    <n v="205"/>
    <x v="7"/>
    <x v="66"/>
    <x v="1"/>
    <s v="Percent change"/>
    <s v="Units"/>
    <x v="1"/>
    <n v="-0.33900000000000002"/>
  </r>
  <r>
    <n v="205"/>
    <x v="7"/>
    <x v="66"/>
    <x v="1"/>
    <s v="Percent change"/>
    <s v="Units"/>
    <x v="2"/>
    <n v="0.13300000000000001"/>
  </r>
  <r>
    <n v="205"/>
    <x v="7"/>
    <x v="66"/>
    <x v="1"/>
    <s v="Percent change"/>
    <s v="Units"/>
    <x v="3"/>
    <n v="3.4660000000000002"/>
  </r>
  <r>
    <n v="205"/>
    <x v="7"/>
    <x v="66"/>
    <x v="1"/>
    <s v="Percent change"/>
    <s v="Units"/>
    <x v="4"/>
    <n v="2.2160000000000002"/>
  </r>
  <r>
    <n v="205"/>
    <x v="7"/>
    <x v="66"/>
    <x v="1"/>
    <s v="Percent change"/>
    <s v="Units"/>
    <x v="5"/>
    <n v="1.367"/>
  </r>
  <r>
    <n v="205"/>
    <x v="7"/>
    <x v="66"/>
    <x v="1"/>
    <s v="Percent change"/>
    <s v="Units"/>
    <x v="6"/>
    <n v="1.548"/>
  </r>
  <r>
    <n v="110"/>
    <x v="0"/>
    <x v="14"/>
    <x v="10"/>
    <s v="Percent"/>
    <s v="Units"/>
    <x v="0"/>
    <n v="1.474"/>
  </r>
  <r>
    <n v="110"/>
    <x v="0"/>
    <x v="14"/>
    <x v="10"/>
    <s v="Percent"/>
    <s v="Units"/>
    <x v="1"/>
    <n v="1.3480000000000001"/>
  </r>
  <r>
    <n v="110"/>
    <x v="0"/>
    <x v="14"/>
    <x v="10"/>
    <s v="Percent"/>
    <s v="Units"/>
    <x v="2"/>
    <n v="1.3480000000000001"/>
  </r>
  <r>
    <n v="110"/>
    <x v="0"/>
    <x v="14"/>
    <x v="10"/>
    <s v="Percent"/>
    <s v="Units"/>
    <x v="3"/>
    <n v="1.38"/>
  </r>
  <r>
    <n v="110"/>
    <x v="0"/>
    <x v="14"/>
    <x v="10"/>
    <s v="Percent"/>
    <s v="Units"/>
    <x v="4"/>
    <n v="1.3720000000000001"/>
  </r>
  <r>
    <n v="110"/>
    <x v="0"/>
    <x v="14"/>
    <x v="10"/>
    <s v="Percent"/>
    <s v="Units"/>
    <x v="5"/>
    <n v="1.355"/>
  </r>
  <r>
    <n v="110"/>
    <x v="0"/>
    <x v="14"/>
    <x v="10"/>
    <s v="Percent"/>
    <s v="Units"/>
    <x v="6"/>
    <n v="1.34"/>
  </r>
  <r>
    <n v="998"/>
    <x v="6"/>
    <x v="14"/>
    <x v="10"/>
    <s v="Percent"/>
    <s v="Units"/>
    <x v="0"/>
    <n v="1.474"/>
  </r>
  <r>
    <n v="998"/>
    <x v="6"/>
    <x v="14"/>
    <x v="10"/>
    <s v="Percent"/>
    <s v="Units"/>
    <x v="1"/>
    <n v="1.3480000000000001"/>
  </r>
  <r>
    <n v="998"/>
    <x v="6"/>
    <x v="14"/>
    <x v="10"/>
    <s v="Percent"/>
    <s v="Units"/>
    <x v="2"/>
    <n v="1.3480000000000001"/>
  </r>
  <r>
    <n v="998"/>
    <x v="6"/>
    <x v="14"/>
    <x v="10"/>
    <s v="Percent"/>
    <s v="Units"/>
    <x v="3"/>
    <n v="1.38"/>
  </r>
  <r>
    <n v="998"/>
    <x v="6"/>
    <x v="14"/>
    <x v="10"/>
    <s v="Percent"/>
    <s v="Units"/>
    <x v="4"/>
    <n v="1.3720000000000001"/>
  </r>
  <r>
    <n v="998"/>
    <x v="6"/>
    <x v="14"/>
    <x v="10"/>
    <s v="Percent"/>
    <s v="Units"/>
    <x v="5"/>
    <n v="1.355"/>
  </r>
  <r>
    <n v="998"/>
    <x v="6"/>
    <x v="14"/>
    <x v="10"/>
    <s v="Percent"/>
    <s v="Units"/>
    <x v="6"/>
    <n v="1.34"/>
  </r>
  <r>
    <n v="123"/>
    <x v="9"/>
    <x v="18"/>
    <x v="8"/>
    <s v="Percent change"/>
    <s v="Units"/>
    <x v="0"/>
    <n v="1.157"/>
  </r>
  <r>
    <n v="123"/>
    <x v="9"/>
    <x v="18"/>
    <x v="8"/>
    <s v="Percent change"/>
    <s v="Units"/>
    <x v="1"/>
    <n v="-2.2719999999999998"/>
  </r>
  <r>
    <n v="123"/>
    <x v="9"/>
    <x v="18"/>
    <x v="8"/>
    <s v="Percent change"/>
    <s v="Units"/>
    <x v="2"/>
    <n v="5.3970000000000002"/>
  </r>
  <r>
    <n v="123"/>
    <x v="9"/>
    <x v="18"/>
    <x v="8"/>
    <s v="Percent change"/>
    <s v="Units"/>
    <x v="3"/>
    <n v="2.6659999999999999"/>
  </r>
  <r>
    <n v="123"/>
    <x v="9"/>
    <x v="18"/>
    <x v="8"/>
    <s v="Percent change"/>
    <s v="Units"/>
    <x v="4"/>
    <n v="0.76400000000000001"/>
  </r>
  <r>
    <n v="123"/>
    <x v="9"/>
    <x v="18"/>
    <x v="8"/>
    <s v="Percent change"/>
    <s v="Units"/>
    <x v="5"/>
    <n v="1.341"/>
  </r>
  <r>
    <n v="123"/>
    <x v="9"/>
    <x v="18"/>
    <x v="8"/>
    <s v="Percent change"/>
    <s v="Units"/>
    <x v="6"/>
    <n v="1.391"/>
  </r>
  <r>
    <n v="110"/>
    <x v="0"/>
    <x v="18"/>
    <x v="8"/>
    <s v="Percent change"/>
    <s v="Units"/>
    <x v="0"/>
    <n v="1.157"/>
  </r>
  <r>
    <n v="110"/>
    <x v="0"/>
    <x v="18"/>
    <x v="8"/>
    <s v="Percent change"/>
    <s v="Units"/>
    <x v="1"/>
    <n v="-2.2719999999999998"/>
  </r>
  <r>
    <n v="110"/>
    <x v="0"/>
    <x v="18"/>
    <x v="8"/>
    <s v="Percent change"/>
    <s v="Units"/>
    <x v="2"/>
    <n v="5.3970000000000002"/>
  </r>
  <r>
    <n v="110"/>
    <x v="0"/>
    <x v="18"/>
    <x v="8"/>
    <s v="Percent change"/>
    <s v="Units"/>
    <x v="3"/>
    <n v="2.6659999999999999"/>
  </r>
  <r>
    <n v="110"/>
    <x v="0"/>
    <x v="18"/>
    <x v="8"/>
    <s v="Percent change"/>
    <s v="Units"/>
    <x v="4"/>
    <n v="0.76400000000000001"/>
  </r>
  <r>
    <n v="110"/>
    <x v="0"/>
    <x v="18"/>
    <x v="8"/>
    <s v="Percent change"/>
    <s v="Units"/>
    <x v="5"/>
    <n v="1.341"/>
  </r>
  <r>
    <n v="110"/>
    <x v="0"/>
    <x v="18"/>
    <x v="8"/>
    <s v="Percent change"/>
    <s v="Units"/>
    <x v="6"/>
    <n v="1.391"/>
  </r>
  <r>
    <n v="1"/>
    <x v="2"/>
    <x v="18"/>
    <x v="8"/>
    <s v="Percent change"/>
    <s v="Units"/>
    <x v="0"/>
    <n v="1.157"/>
  </r>
  <r>
    <n v="1"/>
    <x v="2"/>
    <x v="18"/>
    <x v="8"/>
    <s v="Percent change"/>
    <s v="Units"/>
    <x v="1"/>
    <n v="-2.2719999999999998"/>
  </r>
  <r>
    <n v="1"/>
    <x v="2"/>
    <x v="18"/>
    <x v="8"/>
    <s v="Percent change"/>
    <s v="Units"/>
    <x v="2"/>
    <n v="5.3970000000000002"/>
  </r>
  <r>
    <n v="1"/>
    <x v="2"/>
    <x v="18"/>
    <x v="8"/>
    <s v="Percent change"/>
    <s v="Units"/>
    <x v="3"/>
    <n v="2.6659999999999999"/>
  </r>
  <r>
    <n v="1"/>
    <x v="2"/>
    <x v="18"/>
    <x v="8"/>
    <s v="Percent change"/>
    <s v="Units"/>
    <x v="4"/>
    <n v="0.76400000000000001"/>
  </r>
  <r>
    <n v="1"/>
    <x v="2"/>
    <x v="18"/>
    <x v="8"/>
    <s v="Percent change"/>
    <s v="Units"/>
    <x v="5"/>
    <n v="1.341"/>
  </r>
  <r>
    <n v="1"/>
    <x v="2"/>
    <x v="18"/>
    <x v="8"/>
    <s v="Percent change"/>
    <s v="Units"/>
    <x v="6"/>
    <n v="1.391"/>
  </r>
  <r>
    <n v="119"/>
    <x v="1"/>
    <x v="9"/>
    <x v="10"/>
    <s v="Percent"/>
    <s v="Units"/>
    <x v="0"/>
    <n v="1.425"/>
  </r>
  <r>
    <n v="119"/>
    <x v="1"/>
    <x v="9"/>
    <x v="10"/>
    <s v="Percent"/>
    <s v="Units"/>
    <x v="1"/>
    <n v="1.393"/>
  </r>
  <r>
    <n v="119"/>
    <x v="1"/>
    <x v="9"/>
    <x v="10"/>
    <s v="Percent"/>
    <s v="Units"/>
    <x v="2"/>
    <n v="1.379"/>
  </r>
  <r>
    <n v="119"/>
    <x v="1"/>
    <x v="9"/>
    <x v="10"/>
    <s v="Percent"/>
    <s v="Units"/>
    <x v="3"/>
    <n v="1.385"/>
  </r>
  <r>
    <n v="119"/>
    <x v="1"/>
    <x v="9"/>
    <x v="10"/>
    <s v="Percent"/>
    <s v="Units"/>
    <x v="4"/>
    <n v="1.3580000000000001"/>
  </r>
  <r>
    <n v="119"/>
    <x v="1"/>
    <x v="9"/>
    <x v="10"/>
    <s v="Percent"/>
    <s v="Units"/>
    <x v="5"/>
    <n v="1.331"/>
  </r>
  <r>
    <n v="119"/>
    <x v="1"/>
    <x v="9"/>
    <x v="10"/>
    <s v="Percent"/>
    <s v="Units"/>
    <x v="6"/>
    <n v="1.32"/>
  </r>
  <r>
    <n v="110"/>
    <x v="0"/>
    <x v="9"/>
    <x v="10"/>
    <s v="Percent"/>
    <s v="Units"/>
    <x v="0"/>
    <n v="1.425"/>
  </r>
  <r>
    <n v="110"/>
    <x v="0"/>
    <x v="9"/>
    <x v="10"/>
    <s v="Percent"/>
    <s v="Units"/>
    <x v="1"/>
    <n v="1.393"/>
  </r>
  <r>
    <n v="110"/>
    <x v="0"/>
    <x v="9"/>
    <x v="10"/>
    <s v="Percent"/>
    <s v="Units"/>
    <x v="2"/>
    <n v="1.379"/>
  </r>
  <r>
    <n v="110"/>
    <x v="0"/>
    <x v="9"/>
    <x v="10"/>
    <s v="Percent"/>
    <s v="Units"/>
    <x v="3"/>
    <n v="1.385"/>
  </r>
  <r>
    <n v="110"/>
    <x v="0"/>
    <x v="9"/>
    <x v="10"/>
    <s v="Percent"/>
    <s v="Units"/>
    <x v="4"/>
    <n v="1.3580000000000001"/>
  </r>
  <r>
    <n v="110"/>
    <x v="0"/>
    <x v="9"/>
    <x v="10"/>
    <s v="Percent"/>
    <s v="Units"/>
    <x v="5"/>
    <n v="1.331"/>
  </r>
  <r>
    <n v="110"/>
    <x v="0"/>
    <x v="9"/>
    <x v="10"/>
    <s v="Percent"/>
    <s v="Units"/>
    <x v="6"/>
    <n v="1.32"/>
  </r>
  <r>
    <n v="200"/>
    <x v="3"/>
    <x v="155"/>
    <x v="6"/>
    <s v="Percent change"/>
    <s v="Units"/>
    <x v="0"/>
    <n v="9.3070000000000004"/>
  </r>
  <r>
    <n v="200"/>
    <x v="3"/>
    <x v="155"/>
    <x v="6"/>
    <s v="Percent change"/>
    <s v="Units"/>
    <x v="1"/>
    <n v="-2.9820000000000002"/>
  </r>
  <r>
    <n v="200"/>
    <x v="3"/>
    <x v="155"/>
    <x v="6"/>
    <s v="Percent change"/>
    <s v="Units"/>
    <x v="2"/>
    <n v="22.227"/>
  </r>
  <r>
    <n v="200"/>
    <x v="3"/>
    <x v="155"/>
    <x v="6"/>
    <s v="Percent change"/>
    <s v="Units"/>
    <x v="3"/>
    <n v="17.193000000000001"/>
  </r>
  <r>
    <n v="200"/>
    <x v="3"/>
    <x v="155"/>
    <x v="6"/>
    <s v="Percent change"/>
    <s v="Units"/>
    <x v="4"/>
    <n v="20.545999999999999"/>
  </r>
  <r>
    <n v="200"/>
    <x v="3"/>
    <x v="155"/>
    <x v="6"/>
    <s v="Percent change"/>
    <s v="Units"/>
    <x v="5"/>
    <n v="1.321"/>
  </r>
  <r>
    <n v="200"/>
    <x v="3"/>
    <x v="155"/>
    <x v="6"/>
    <s v="Percent change"/>
    <s v="Units"/>
    <x v="6"/>
    <n v="2.8620000000000001"/>
  </r>
  <r>
    <n v="1"/>
    <x v="2"/>
    <x v="155"/>
    <x v="6"/>
    <s v="Percent change"/>
    <s v="Units"/>
    <x v="0"/>
    <n v="9.3070000000000004"/>
  </r>
  <r>
    <n v="1"/>
    <x v="2"/>
    <x v="155"/>
    <x v="6"/>
    <s v="Percent change"/>
    <s v="Units"/>
    <x v="1"/>
    <n v="-2.9820000000000002"/>
  </r>
  <r>
    <n v="1"/>
    <x v="2"/>
    <x v="155"/>
    <x v="6"/>
    <s v="Percent change"/>
    <s v="Units"/>
    <x v="2"/>
    <n v="22.227"/>
  </r>
  <r>
    <n v="1"/>
    <x v="2"/>
    <x v="155"/>
    <x v="6"/>
    <s v="Percent change"/>
    <s v="Units"/>
    <x v="3"/>
    <n v="17.193000000000001"/>
  </r>
  <r>
    <n v="1"/>
    <x v="2"/>
    <x v="155"/>
    <x v="6"/>
    <s v="Percent change"/>
    <s v="Units"/>
    <x v="4"/>
    <n v="20.545999999999999"/>
  </r>
  <r>
    <n v="1"/>
    <x v="2"/>
    <x v="155"/>
    <x v="6"/>
    <s v="Percent change"/>
    <s v="Units"/>
    <x v="5"/>
    <n v="1.321"/>
  </r>
  <r>
    <n v="1"/>
    <x v="2"/>
    <x v="155"/>
    <x v="6"/>
    <s v="Percent change"/>
    <s v="Units"/>
    <x v="6"/>
    <n v="2.8620000000000001"/>
  </r>
  <r>
    <n v="400"/>
    <x v="11"/>
    <x v="155"/>
    <x v="6"/>
    <s v="Percent change"/>
    <s v="Units"/>
    <x v="0"/>
    <n v="9.3070000000000004"/>
  </r>
  <r>
    <n v="400"/>
    <x v="11"/>
    <x v="155"/>
    <x v="6"/>
    <s v="Percent change"/>
    <s v="Units"/>
    <x v="1"/>
    <n v="-2.9820000000000002"/>
  </r>
  <r>
    <n v="400"/>
    <x v="11"/>
    <x v="155"/>
    <x v="6"/>
    <s v="Percent change"/>
    <s v="Units"/>
    <x v="2"/>
    <n v="22.227"/>
  </r>
  <r>
    <n v="400"/>
    <x v="11"/>
    <x v="155"/>
    <x v="6"/>
    <s v="Percent change"/>
    <s v="Units"/>
    <x v="3"/>
    <n v="17.193000000000001"/>
  </r>
  <r>
    <n v="400"/>
    <x v="11"/>
    <x v="155"/>
    <x v="6"/>
    <s v="Percent change"/>
    <s v="Units"/>
    <x v="4"/>
    <n v="20.545999999999999"/>
  </r>
  <r>
    <n v="400"/>
    <x v="11"/>
    <x v="155"/>
    <x v="6"/>
    <s v="Percent change"/>
    <s v="Units"/>
    <x v="5"/>
    <n v="1.321"/>
  </r>
  <r>
    <n v="400"/>
    <x v="11"/>
    <x v="155"/>
    <x v="6"/>
    <s v="Percent change"/>
    <s v="Units"/>
    <x v="6"/>
    <n v="2.8620000000000001"/>
  </r>
  <r>
    <n v="200"/>
    <x v="3"/>
    <x v="69"/>
    <x v="1"/>
    <s v="Percent change"/>
    <s v="Units"/>
    <x v="0"/>
    <n v="0.47199999999999998"/>
  </r>
  <r>
    <n v="200"/>
    <x v="3"/>
    <x v="69"/>
    <x v="1"/>
    <s v="Percent change"/>
    <s v="Units"/>
    <x v="1"/>
    <n v="-0.39500000000000002"/>
  </r>
  <r>
    <n v="200"/>
    <x v="3"/>
    <x v="69"/>
    <x v="1"/>
    <s v="Percent change"/>
    <s v="Units"/>
    <x v="2"/>
    <n v="1.6639999999999999"/>
  </r>
  <r>
    <n v="200"/>
    <x v="3"/>
    <x v="69"/>
    <x v="1"/>
    <s v="Percent change"/>
    <s v="Units"/>
    <x v="3"/>
    <n v="2.512"/>
  </r>
  <r>
    <n v="200"/>
    <x v="3"/>
    <x v="69"/>
    <x v="1"/>
    <s v="Percent change"/>
    <s v="Units"/>
    <x v="4"/>
    <n v="0.94699999999999995"/>
  </r>
  <r>
    <n v="200"/>
    <x v="3"/>
    <x v="69"/>
    <x v="1"/>
    <s v="Percent change"/>
    <s v="Units"/>
    <x v="5"/>
    <n v="1.3"/>
  </r>
  <r>
    <n v="200"/>
    <x v="3"/>
    <x v="69"/>
    <x v="1"/>
    <s v="Percent change"/>
    <s v="Units"/>
    <x v="6"/>
    <n v="1.5"/>
  </r>
  <r>
    <n v="200"/>
    <x v="3"/>
    <x v="149"/>
    <x v="1"/>
    <s v="Percent change"/>
    <s v="Units"/>
    <x v="0"/>
    <n v="-0.39100000000000001"/>
  </r>
  <r>
    <n v="200"/>
    <x v="3"/>
    <x v="149"/>
    <x v="1"/>
    <s v="Percent change"/>
    <s v="Units"/>
    <x v="1"/>
    <n v="1.94"/>
  </r>
  <r>
    <n v="200"/>
    <x v="3"/>
    <x v="149"/>
    <x v="1"/>
    <s v="Percent change"/>
    <s v="Units"/>
    <x v="2"/>
    <n v="1.7330000000000001"/>
  </r>
  <r>
    <n v="200"/>
    <x v="3"/>
    <x v="149"/>
    <x v="1"/>
    <s v="Percent change"/>
    <s v="Units"/>
    <x v="3"/>
    <n v="3.6829999999999998"/>
  </r>
  <r>
    <n v="200"/>
    <x v="3"/>
    <x v="149"/>
    <x v="1"/>
    <s v="Percent change"/>
    <s v="Units"/>
    <x v="4"/>
    <n v="0.37"/>
  </r>
  <r>
    <n v="200"/>
    <x v="3"/>
    <x v="149"/>
    <x v="1"/>
    <s v="Percent change"/>
    <s v="Units"/>
    <x v="5"/>
    <n v="1.3"/>
  </r>
  <r>
    <n v="200"/>
    <x v="3"/>
    <x v="149"/>
    <x v="1"/>
    <s v="Percent change"/>
    <s v="Units"/>
    <x v="6"/>
    <n v="1"/>
  </r>
  <r>
    <n v="1"/>
    <x v="2"/>
    <x v="180"/>
    <x v="8"/>
    <s v="Percent change"/>
    <s v="Units"/>
    <x v="0"/>
    <n v="2.032"/>
  </r>
  <r>
    <n v="1"/>
    <x v="2"/>
    <x v="180"/>
    <x v="8"/>
    <s v="Percent change"/>
    <s v="Units"/>
    <x v="1"/>
    <n v="-6.8120000000000003"/>
  </r>
  <r>
    <n v="1"/>
    <x v="2"/>
    <x v="180"/>
    <x v="8"/>
    <s v="Percent change"/>
    <s v="Units"/>
    <x v="2"/>
    <n v="14.228"/>
  </r>
  <r>
    <n v="1"/>
    <x v="2"/>
    <x v="180"/>
    <x v="8"/>
    <s v="Percent change"/>
    <s v="Units"/>
    <x v="3"/>
    <n v="5.0369999999999999"/>
  </r>
  <r>
    <n v="1"/>
    <x v="2"/>
    <x v="180"/>
    <x v="8"/>
    <s v="Percent change"/>
    <s v="Units"/>
    <x v="4"/>
    <n v="2.3039999999999998"/>
  </r>
  <r>
    <n v="1"/>
    <x v="2"/>
    <x v="180"/>
    <x v="8"/>
    <s v="Percent change"/>
    <s v="Units"/>
    <x v="5"/>
    <n v="1.3"/>
  </r>
  <r>
    <n v="1"/>
    <x v="2"/>
    <x v="180"/>
    <x v="8"/>
    <s v="Percent change"/>
    <s v="Units"/>
    <x v="6"/>
    <n v="1.3"/>
  </r>
  <r>
    <n v="505"/>
    <x v="4"/>
    <x v="149"/>
    <x v="1"/>
    <s v="Percent change"/>
    <s v="Units"/>
    <x v="0"/>
    <n v="-0.39100000000000001"/>
  </r>
  <r>
    <n v="505"/>
    <x v="4"/>
    <x v="149"/>
    <x v="1"/>
    <s v="Percent change"/>
    <s v="Units"/>
    <x v="1"/>
    <n v="1.94"/>
  </r>
  <r>
    <n v="505"/>
    <x v="4"/>
    <x v="149"/>
    <x v="1"/>
    <s v="Percent change"/>
    <s v="Units"/>
    <x v="2"/>
    <n v="1.7330000000000001"/>
  </r>
  <r>
    <n v="505"/>
    <x v="4"/>
    <x v="149"/>
    <x v="1"/>
    <s v="Percent change"/>
    <s v="Units"/>
    <x v="3"/>
    <n v="3.6829999999999998"/>
  </r>
  <r>
    <n v="505"/>
    <x v="4"/>
    <x v="149"/>
    <x v="1"/>
    <s v="Percent change"/>
    <s v="Units"/>
    <x v="4"/>
    <n v="0.37"/>
  </r>
  <r>
    <n v="505"/>
    <x v="4"/>
    <x v="149"/>
    <x v="1"/>
    <s v="Percent change"/>
    <s v="Units"/>
    <x v="5"/>
    <n v="1.3"/>
  </r>
  <r>
    <n v="505"/>
    <x v="4"/>
    <x v="149"/>
    <x v="1"/>
    <s v="Percent change"/>
    <s v="Units"/>
    <x v="6"/>
    <n v="1"/>
  </r>
  <r>
    <n v="400"/>
    <x v="11"/>
    <x v="69"/>
    <x v="1"/>
    <s v="Percent change"/>
    <s v="Units"/>
    <x v="0"/>
    <n v="0.47199999999999998"/>
  </r>
  <r>
    <n v="400"/>
    <x v="11"/>
    <x v="69"/>
    <x v="1"/>
    <s v="Percent change"/>
    <s v="Units"/>
    <x v="1"/>
    <n v="-0.39500000000000002"/>
  </r>
  <r>
    <n v="400"/>
    <x v="11"/>
    <x v="69"/>
    <x v="1"/>
    <s v="Percent change"/>
    <s v="Units"/>
    <x v="2"/>
    <n v="1.6639999999999999"/>
  </r>
  <r>
    <n v="400"/>
    <x v="11"/>
    <x v="69"/>
    <x v="1"/>
    <s v="Percent change"/>
    <s v="Units"/>
    <x v="3"/>
    <n v="2.512"/>
  </r>
  <r>
    <n v="400"/>
    <x v="11"/>
    <x v="69"/>
    <x v="1"/>
    <s v="Percent change"/>
    <s v="Units"/>
    <x v="4"/>
    <n v="0.94699999999999995"/>
  </r>
  <r>
    <n v="400"/>
    <x v="11"/>
    <x v="69"/>
    <x v="1"/>
    <s v="Percent change"/>
    <s v="Units"/>
    <x v="5"/>
    <n v="1.3"/>
  </r>
  <r>
    <n v="400"/>
    <x v="11"/>
    <x v="69"/>
    <x v="1"/>
    <s v="Percent change"/>
    <s v="Units"/>
    <x v="6"/>
    <n v="1.5"/>
  </r>
  <r>
    <n v="1"/>
    <x v="2"/>
    <x v="149"/>
    <x v="1"/>
    <s v="Percent change"/>
    <s v="Units"/>
    <x v="0"/>
    <n v="-0.39100000000000001"/>
  </r>
  <r>
    <n v="1"/>
    <x v="2"/>
    <x v="149"/>
    <x v="1"/>
    <s v="Percent change"/>
    <s v="Units"/>
    <x v="1"/>
    <n v="1.94"/>
  </r>
  <r>
    <n v="1"/>
    <x v="2"/>
    <x v="149"/>
    <x v="1"/>
    <s v="Percent change"/>
    <s v="Units"/>
    <x v="2"/>
    <n v="1.7330000000000001"/>
  </r>
  <r>
    <n v="1"/>
    <x v="2"/>
    <x v="149"/>
    <x v="1"/>
    <s v="Percent change"/>
    <s v="Units"/>
    <x v="3"/>
    <n v="3.6829999999999998"/>
  </r>
  <r>
    <n v="1"/>
    <x v="2"/>
    <x v="149"/>
    <x v="1"/>
    <s v="Percent change"/>
    <s v="Units"/>
    <x v="4"/>
    <n v="0.37"/>
  </r>
  <r>
    <n v="1"/>
    <x v="2"/>
    <x v="149"/>
    <x v="1"/>
    <s v="Percent change"/>
    <s v="Units"/>
    <x v="5"/>
    <n v="1.3"/>
  </r>
  <r>
    <n v="1"/>
    <x v="2"/>
    <x v="149"/>
    <x v="1"/>
    <s v="Percent change"/>
    <s v="Units"/>
    <x v="6"/>
    <n v="1"/>
  </r>
  <r>
    <n v="123"/>
    <x v="9"/>
    <x v="180"/>
    <x v="8"/>
    <s v="Percent change"/>
    <s v="Units"/>
    <x v="0"/>
    <n v="2.032"/>
  </r>
  <r>
    <n v="123"/>
    <x v="9"/>
    <x v="180"/>
    <x v="8"/>
    <s v="Percent change"/>
    <s v="Units"/>
    <x v="1"/>
    <n v="-6.8120000000000003"/>
  </r>
  <r>
    <n v="123"/>
    <x v="9"/>
    <x v="180"/>
    <x v="8"/>
    <s v="Percent change"/>
    <s v="Units"/>
    <x v="2"/>
    <n v="14.228"/>
  </r>
  <r>
    <n v="123"/>
    <x v="9"/>
    <x v="180"/>
    <x v="8"/>
    <s v="Percent change"/>
    <s v="Units"/>
    <x v="3"/>
    <n v="5.0369999999999999"/>
  </r>
  <r>
    <n v="123"/>
    <x v="9"/>
    <x v="180"/>
    <x v="8"/>
    <s v="Percent change"/>
    <s v="Units"/>
    <x v="4"/>
    <n v="2.3039999999999998"/>
  </r>
  <r>
    <n v="123"/>
    <x v="9"/>
    <x v="180"/>
    <x v="8"/>
    <s v="Percent change"/>
    <s v="Units"/>
    <x v="5"/>
    <n v="1.3"/>
  </r>
  <r>
    <n v="123"/>
    <x v="9"/>
    <x v="180"/>
    <x v="8"/>
    <s v="Percent change"/>
    <s v="Units"/>
    <x v="6"/>
    <n v="1.3"/>
  </r>
  <r>
    <n v="110"/>
    <x v="0"/>
    <x v="180"/>
    <x v="8"/>
    <s v="Percent change"/>
    <s v="Units"/>
    <x v="0"/>
    <n v="2.032"/>
  </r>
  <r>
    <n v="110"/>
    <x v="0"/>
    <x v="180"/>
    <x v="8"/>
    <s v="Percent change"/>
    <s v="Units"/>
    <x v="1"/>
    <n v="-6.8120000000000003"/>
  </r>
  <r>
    <n v="110"/>
    <x v="0"/>
    <x v="180"/>
    <x v="8"/>
    <s v="Percent change"/>
    <s v="Units"/>
    <x v="2"/>
    <n v="14.228"/>
  </r>
  <r>
    <n v="110"/>
    <x v="0"/>
    <x v="180"/>
    <x v="8"/>
    <s v="Percent change"/>
    <s v="Units"/>
    <x v="3"/>
    <n v="5.0369999999999999"/>
  </r>
  <r>
    <n v="110"/>
    <x v="0"/>
    <x v="180"/>
    <x v="8"/>
    <s v="Percent change"/>
    <s v="Units"/>
    <x v="4"/>
    <n v="2.3039999999999998"/>
  </r>
  <r>
    <n v="110"/>
    <x v="0"/>
    <x v="180"/>
    <x v="8"/>
    <s v="Percent change"/>
    <s v="Units"/>
    <x v="5"/>
    <n v="1.3"/>
  </r>
  <r>
    <n v="110"/>
    <x v="0"/>
    <x v="180"/>
    <x v="8"/>
    <s v="Percent change"/>
    <s v="Units"/>
    <x v="6"/>
    <n v="1.3"/>
  </r>
  <r>
    <n v="1"/>
    <x v="2"/>
    <x v="69"/>
    <x v="1"/>
    <s v="Percent change"/>
    <s v="Units"/>
    <x v="0"/>
    <n v="0.47199999999999998"/>
  </r>
  <r>
    <n v="1"/>
    <x v="2"/>
    <x v="69"/>
    <x v="1"/>
    <s v="Percent change"/>
    <s v="Units"/>
    <x v="1"/>
    <n v="-0.39500000000000002"/>
  </r>
  <r>
    <n v="1"/>
    <x v="2"/>
    <x v="69"/>
    <x v="1"/>
    <s v="Percent change"/>
    <s v="Units"/>
    <x v="2"/>
    <n v="1.6639999999999999"/>
  </r>
  <r>
    <n v="1"/>
    <x v="2"/>
    <x v="69"/>
    <x v="1"/>
    <s v="Percent change"/>
    <s v="Units"/>
    <x v="3"/>
    <n v="2.512"/>
  </r>
  <r>
    <n v="1"/>
    <x v="2"/>
    <x v="69"/>
    <x v="1"/>
    <s v="Percent change"/>
    <s v="Units"/>
    <x v="4"/>
    <n v="0.94699999999999995"/>
  </r>
  <r>
    <n v="1"/>
    <x v="2"/>
    <x v="69"/>
    <x v="1"/>
    <s v="Percent change"/>
    <s v="Units"/>
    <x v="5"/>
    <n v="1.3"/>
  </r>
  <r>
    <n v="1"/>
    <x v="2"/>
    <x v="69"/>
    <x v="1"/>
    <s v="Percent change"/>
    <s v="Units"/>
    <x v="6"/>
    <n v="1.5"/>
  </r>
  <r>
    <n v="505"/>
    <x v="4"/>
    <x v="122"/>
    <x v="0"/>
    <s v="U.S. dollars"/>
    <s v="Billions"/>
    <x v="0"/>
    <n v="0.93"/>
  </r>
  <r>
    <n v="505"/>
    <x v="4"/>
    <x v="122"/>
    <x v="0"/>
    <s v="U.S. dollars"/>
    <s v="Billions"/>
    <x v="1"/>
    <n v="1.008"/>
  </r>
  <r>
    <n v="505"/>
    <x v="4"/>
    <x v="122"/>
    <x v="0"/>
    <s v="U.S. dollars"/>
    <s v="Billions"/>
    <x v="2"/>
    <n v="0.92100000000000004"/>
  </r>
  <r>
    <n v="505"/>
    <x v="4"/>
    <x v="122"/>
    <x v="0"/>
    <s v="U.S. dollars"/>
    <s v="Billions"/>
    <x v="3"/>
    <n v="1.0389999999999999"/>
  </r>
  <r>
    <n v="505"/>
    <x v="4"/>
    <x v="122"/>
    <x v="0"/>
    <s v="U.S. dollars"/>
    <s v="Billions"/>
    <x v="4"/>
    <n v="1.169"/>
  </r>
  <r>
    <n v="505"/>
    <x v="4"/>
    <x v="122"/>
    <x v="0"/>
    <s v="U.S. dollars"/>
    <s v="Billions"/>
    <x v="5"/>
    <n v="1.2889999999999999"/>
  </r>
  <r>
    <n v="505"/>
    <x v="4"/>
    <x v="122"/>
    <x v="0"/>
    <s v="U.S. dollars"/>
    <s v="Billions"/>
    <x v="6"/>
    <n v="1.4"/>
  </r>
  <r>
    <n v="200"/>
    <x v="3"/>
    <x v="122"/>
    <x v="0"/>
    <s v="U.S. dollars"/>
    <s v="Billions"/>
    <x v="0"/>
    <n v="0.93"/>
  </r>
  <r>
    <n v="200"/>
    <x v="3"/>
    <x v="122"/>
    <x v="0"/>
    <s v="U.S. dollars"/>
    <s v="Billions"/>
    <x v="1"/>
    <n v="1.008"/>
  </r>
  <r>
    <n v="200"/>
    <x v="3"/>
    <x v="122"/>
    <x v="0"/>
    <s v="U.S. dollars"/>
    <s v="Billions"/>
    <x v="2"/>
    <n v="0.92100000000000004"/>
  </r>
  <r>
    <n v="200"/>
    <x v="3"/>
    <x v="122"/>
    <x v="0"/>
    <s v="U.S. dollars"/>
    <s v="Billions"/>
    <x v="3"/>
    <n v="1.0389999999999999"/>
  </r>
  <r>
    <n v="200"/>
    <x v="3"/>
    <x v="122"/>
    <x v="0"/>
    <s v="U.S. dollars"/>
    <s v="Billions"/>
    <x v="4"/>
    <n v="1.169"/>
  </r>
  <r>
    <n v="200"/>
    <x v="3"/>
    <x v="122"/>
    <x v="0"/>
    <s v="U.S. dollars"/>
    <s v="Billions"/>
    <x v="5"/>
    <n v="1.2889999999999999"/>
  </r>
  <r>
    <n v="200"/>
    <x v="3"/>
    <x v="122"/>
    <x v="0"/>
    <s v="U.S. dollars"/>
    <s v="Billions"/>
    <x v="6"/>
    <n v="1.4"/>
  </r>
  <r>
    <n v="1"/>
    <x v="2"/>
    <x v="122"/>
    <x v="0"/>
    <s v="U.S. dollars"/>
    <s v="Billions"/>
    <x v="0"/>
    <n v="0.93"/>
  </r>
  <r>
    <n v="1"/>
    <x v="2"/>
    <x v="122"/>
    <x v="0"/>
    <s v="U.S. dollars"/>
    <s v="Billions"/>
    <x v="1"/>
    <n v="1.008"/>
  </r>
  <r>
    <n v="1"/>
    <x v="2"/>
    <x v="122"/>
    <x v="0"/>
    <s v="U.S. dollars"/>
    <s v="Billions"/>
    <x v="2"/>
    <n v="0.92100000000000004"/>
  </r>
  <r>
    <n v="1"/>
    <x v="2"/>
    <x v="122"/>
    <x v="0"/>
    <s v="U.S. dollars"/>
    <s v="Billions"/>
    <x v="3"/>
    <n v="1.0389999999999999"/>
  </r>
  <r>
    <n v="1"/>
    <x v="2"/>
    <x v="122"/>
    <x v="0"/>
    <s v="U.S. dollars"/>
    <s v="Billions"/>
    <x v="4"/>
    <n v="1.169"/>
  </r>
  <r>
    <n v="1"/>
    <x v="2"/>
    <x v="122"/>
    <x v="0"/>
    <s v="U.S. dollars"/>
    <s v="Billions"/>
    <x v="5"/>
    <n v="1.2889999999999999"/>
  </r>
  <r>
    <n v="1"/>
    <x v="2"/>
    <x v="122"/>
    <x v="0"/>
    <s v="U.S. dollars"/>
    <s v="Billions"/>
    <x v="6"/>
    <n v="1.4"/>
  </r>
  <r>
    <n v="110"/>
    <x v="0"/>
    <x v="22"/>
    <x v="6"/>
    <s v="Percent change"/>
    <s v="Units"/>
    <x v="0"/>
    <n v="2.387"/>
  </r>
  <r>
    <n v="110"/>
    <x v="0"/>
    <x v="22"/>
    <x v="6"/>
    <s v="Percent change"/>
    <s v="Units"/>
    <x v="1"/>
    <n v="-5.9059999999999997"/>
  </r>
  <r>
    <n v="110"/>
    <x v="0"/>
    <x v="22"/>
    <x v="6"/>
    <s v="Percent change"/>
    <s v="Units"/>
    <x v="2"/>
    <n v="11.721"/>
  </r>
  <r>
    <n v="110"/>
    <x v="0"/>
    <x v="22"/>
    <x v="6"/>
    <s v="Percent change"/>
    <s v="Units"/>
    <x v="3"/>
    <n v="9.3239999999999998"/>
  </r>
  <r>
    <n v="110"/>
    <x v="0"/>
    <x v="22"/>
    <x v="6"/>
    <s v="Percent change"/>
    <s v="Units"/>
    <x v="4"/>
    <n v="0.96799999999999997"/>
  </r>
  <r>
    <n v="110"/>
    <x v="0"/>
    <x v="22"/>
    <x v="6"/>
    <s v="Percent change"/>
    <s v="Units"/>
    <x v="5"/>
    <n v="1.2729999999999999"/>
  </r>
  <r>
    <n v="110"/>
    <x v="0"/>
    <x v="22"/>
    <x v="6"/>
    <s v="Percent change"/>
    <s v="Units"/>
    <x v="6"/>
    <n v="2.552"/>
  </r>
  <r>
    <n v="123"/>
    <x v="9"/>
    <x v="22"/>
    <x v="6"/>
    <s v="Percent change"/>
    <s v="Units"/>
    <x v="0"/>
    <n v="2.387"/>
  </r>
  <r>
    <n v="123"/>
    <x v="9"/>
    <x v="22"/>
    <x v="6"/>
    <s v="Percent change"/>
    <s v="Units"/>
    <x v="1"/>
    <n v="-5.9059999999999997"/>
  </r>
  <r>
    <n v="123"/>
    <x v="9"/>
    <x v="22"/>
    <x v="6"/>
    <s v="Percent change"/>
    <s v="Units"/>
    <x v="2"/>
    <n v="11.721"/>
  </r>
  <r>
    <n v="123"/>
    <x v="9"/>
    <x v="22"/>
    <x v="6"/>
    <s v="Percent change"/>
    <s v="Units"/>
    <x v="3"/>
    <n v="9.3239999999999998"/>
  </r>
  <r>
    <n v="123"/>
    <x v="9"/>
    <x v="22"/>
    <x v="6"/>
    <s v="Percent change"/>
    <s v="Units"/>
    <x v="4"/>
    <n v="0.96799999999999997"/>
  </r>
  <r>
    <n v="123"/>
    <x v="9"/>
    <x v="22"/>
    <x v="6"/>
    <s v="Percent change"/>
    <s v="Units"/>
    <x v="5"/>
    <n v="1.2729999999999999"/>
  </r>
  <r>
    <n v="123"/>
    <x v="9"/>
    <x v="22"/>
    <x v="6"/>
    <s v="Percent change"/>
    <s v="Units"/>
    <x v="6"/>
    <n v="2.552"/>
  </r>
  <r>
    <n v="1"/>
    <x v="2"/>
    <x v="22"/>
    <x v="6"/>
    <s v="Percent change"/>
    <s v="Units"/>
    <x v="0"/>
    <n v="2.387"/>
  </r>
  <r>
    <n v="1"/>
    <x v="2"/>
    <x v="22"/>
    <x v="6"/>
    <s v="Percent change"/>
    <s v="Units"/>
    <x v="1"/>
    <n v="-5.9059999999999997"/>
  </r>
  <r>
    <n v="1"/>
    <x v="2"/>
    <x v="22"/>
    <x v="6"/>
    <s v="Percent change"/>
    <s v="Units"/>
    <x v="2"/>
    <n v="11.721"/>
  </r>
  <r>
    <n v="1"/>
    <x v="2"/>
    <x v="22"/>
    <x v="6"/>
    <s v="Percent change"/>
    <s v="Units"/>
    <x v="3"/>
    <n v="9.3239999999999998"/>
  </r>
  <r>
    <n v="1"/>
    <x v="2"/>
    <x v="22"/>
    <x v="6"/>
    <s v="Percent change"/>
    <s v="Units"/>
    <x v="4"/>
    <n v="0.96799999999999997"/>
  </r>
  <r>
    <n v="1"/>
    <x v="2"/>
    <x v="22"/>
    <x v="6"/>
    <s v="Percent change"/>
    <s v="Units"/>
    <x v="5"/>
    <n v="1.2729999999999999"/>
  </r>
  <r>
    <n v="1"/>
    <x v="2"/>
    <x v="22"/>
    <x v="6"/>
    <s v="Percent change"/>
    <s v="Units"/>
    <x v="6"/>
    <n v="2.552"/>
  </r>
  <r>
    <n v="1"/>
    <x v="2"/>
    <x v="186"/>
    <x v="8"/>
    <s v="Percent change"/>
    <s v="Units"/>
    <x v="0"/>
    <n v="2.97"/>
  </r>
  <r>
    <n v="1"/>
    <x v="2"/>
    <x v="186"/>
    <x v="8"/>
    <s v="Percent change"/>
    <s v="Units"/>
    <x v="1"/>
    <n v="0.95899999999999996"/>
  </r>
  <r>
    <n v="1"/>
    <x v="2"/>
    <x v="186"/>
    <x v="8"/>
    <s v="Percent change"/>
    <s v="Units"/>
    <x v="2"/>
    <n v="0.98299999999999998"/>
  </r>
  <r>
    <n v="1"/>
    <x v="2"/>
    <x v="186"/>
    <x v="8"/>
    <s v="Percent change"/>
    <s v="Units"/>
    <x v="3"/>
    <n v="0.47199999999999998"/>
  </r>
  <r>
    <n v="1"/>
    <x v="2"/>
    <x v="186"/>
    <x v="8"/>
    <s v="Percent change"/>
    <s v="Units"/>
    <x v="4"/>
    <n v="0.72699999999999998"/>
  </r>
  <r>
    <n v="1"/>
    <x v="2"/>
    <x v="186"/>
    <x v="8"/>
    <s v="Percent change"/>
    <s v="Units"/>
    <x v="5"/>
    <n v="1.2689999999999999"/>
  </r>
  <r>
    <n v="1"/>
    <x v="2"/>
    <x v="186"/>
    <x v="8"/>
    <s v="Percent change"/>
    <s v="Units"/>
    <x v="6"/>
    <n v="1.72"/>
  </r>
  <r>
    <n v="603"/>
    <x v="12"/>
    <x v="186"/>
    <x v="8"/>
    <s v="Percent change"/>
    <s v="Units"/>
    <x v="0"/>
    <n v="2.97"/>
  </r>
  <r>
    <n v="603"/>
    <x v="12"/>
    <x v="186"/>
    <x v="8"/>
    <s v="Percent change"/>
    <s v="Units"/>
    <x v="1"/>
    <n v="0.95899999999999996"/>
  </r>
  <r>
    <n v="603"/>
    <x v="12"/>
    <x v="186"/>
    <x v="8"/>
    <s v="Percent change"/>
    <s v="Units"/>
    <x v="2"/>
    <n v="0.98299999999999998"/>
  </r>
  <r>
    <n v="603"/>
    <x v="12"/>
    <x v="186"/>
    <x v="8"/>
    <s v="Percent change"/>
    <s v="Units"/>
    <x v="3"/>
    <n v="0.47199999999999998"/>
  </r>
  <r>
    <n v="603"/>
    <x v="12"/>
    <x v="186"/>
    <x v="8"/>
    <s v="Percent change"/>
    <s v="Units"/>
    <x v="4"/>
    <n v="0.72699999999999998"/>
  </r>
  <r>
    <n v="603"/>
    <x v="12"/>
    <x v="186"/>
    <x v="8"/>
    <s v="Percent change"/>
    <s v="Units"/>
    <x v="5"/>
    <n v="1.2689999999999999"/>
  </r>
  <r>
    <n v="603"/>
    <x v="12"/>
    <x v="186"/>
    <x v="8"/>
    <s v="Percent change"/>
    <s v="Units"/>
    <x v="6"/>
    <n v="1.72"/>
  </r>
  <r>
    <n v="200"/>
    <x v="3"/>
    <x v="186"/>
    <x v="8"/>
    <s v="Percent change"/>
    <s v="Units"/>
    <x v="0"/>
    <n v="2.97"/>
  </r>
  <r>
    <n v="200"/>
    <x v="3"/>
    <x v="186"/>
    <x v="8"/>
    <s v="Percent change"/>
    <s v="Units"/>
    <x v="1"/>
    <n v="0.95899999999999996"/>
  </r>
  <r>
    <n v="200"/>
    <x v="3"/>
    <x v="186"/>
    <x v="8"/>
    <s v="Percent change"/>
    <s v="Units"/>
    <x v="2"/>
    <n v="0.98299999999999998"/>
  </r>
  <r>
    <n v="200"/>
    <x v="3"/>
    <x v="186"/>
    <x v="8"/>
    <s v="Percent change"/>
    <s v="Units"/>
    <x v="3"/>
    <n v="0.47199999999999998"/>
  </r>
  <r>
    <n v="200"/>
    <x v="3"/>
    <x v="186"/>
    <x v="8"/>
    <s v="Percent change"/>
    <s v="Units"/>
    <x v="4"/>
    <n v="0.72699999999999998"/>
  </r>
  <r>
    <n v="200"/>
    <x v="3"/>
    <x v="186"/>
    <x v="8"/>
    <s v="Percent change"/>
    <s v="Units"/>
    <x v="5"/>
    <n v="1.2689999999999999"/>
  </r>
  <r>
    <n v="200"/>
    <x v="3"/>
    <x v="186"/>
    <x v="8"/>
    <s v="Percent change"/>
    <s v="Units"/>
    <x v="6"/>
    <n v="1.72"/>
  </r>
  <r>
    <n v="400"/>
    <x v="11"/>
    <x v="17"/>
    <x v="10"/>
    <s v="Percent"/>
    <s v="Units"/>
    <x v="0"/>
    <n v="1.2989999999999999"/>
  </r>
  <r>
    <n v="400"/>
    <x v="11"/>
    <x v="17"/>
    <x v="10"/>
    <s v="Percent"/>
    <s v="Units"/>
    <x v="1"/>
    <n v="1.29"/>
  </r>
  <r>
    <n v="400"/>
    <x v="11"/>
    <x v="17"/>
    <x v="10"/>
    <s v="Percent"/>
    <s v="Units"/>
    <x v="2"/>
    <n v="1.274"/>
  </r>
  <r>
    <n v="400"/>
    <x v="11"/>
    <x v="17"/>
    <x v="10"/>
    <s v="Percent"/>
    <s v="Units"/>
    <x v="3"/>
    <n v="1.325"/>
  </r>
  <r>
    <n v="400"/>
    <x v="11"/>
    <x v="17"/>
    <x v="10"/>
    <s v="Percent"/>
    <s v="Units"/>
    <x v="4"/>
    <n v="1.2749999999999999"/>
  </r>
  <r>
    <n v="400"/>
    <x v="11"/>
    <x v="17"/>
    <x v="10"/>
    <s v="Percent"/>
    <s v="Units"/>
    <x v="5"/>
    <n v="1.268"/>
  </r>
  <r>
    <n v="400"/>
    <x v="11"/>
    <x v="17"/>
    <x v="10"/>
    <s v="Percent"/>
    <s v="Units"/>
    <x v="6"/>
    <n v="1.302"/>
  </r>
  <r>
    <n v="200"/>
    <x v="3"/>
    <x v="17"/>
    <x v="10"/>
    <s v="Percent"/>
    <s v="Units"/>
    <x v="0"/>
    <n v="1.2989999999999999"/>
  </r>
  <r>
    <n v="200"/>
    <x v="3"/>
    <x v="17"/>
    <x v="10"/>
    <s v="Percent"/>
    <s v="Units"/>
    <x v="1"/>
    <n v="1.29"/>
  </r>
  <r>
    <n v="200"/>
    <x v="3"/>
    <x v="17"/>
    <x v="10"/>
    <s v="Percent"/>
    <s v="Units"/>
    <x v="2"/>
    <n v="1.274"/>
  </r>
  <r>
    <n v="200"/>
    <x v="3"/>
    <x v="17"/>
    <x v="10"/>
    <s v="Percent"/>
    <s v="Units"/>
    <x v="3"/>
    <n v="1.325"/>
  </r>
  <r>
    <n v="200"/>
    <x v="3"/>
    <x v="17"/>
    <x v="10"/>
    <s v="Percent"/>
    <s v="Units"/>
    <x v="4"/>
    <n v="1.2749999999999999"/>
  </r>
  <r>
    <n v="200"/>
    <x v="3"/>
    <x v="17"/>
    <x v="10"/>
    <s v="Percent"/>
    <s v="Units"/>
    <x v="5"/>
    <n v="1.268"/>
  </r>
  <r>
    <n v="200"/>
    <x v="3"/>
    <x v="17"/>
    <x v="10"/>
    <s v="Percent"/>
    <s v="Units"/>
    <x v="6"/>
    <n v="1.302"/>
  </r>
  <r>
    <n v="505"/>
    <x v="4"/>
    <x v="96"/>
    <x v="9"/>
    <s v="Percent of GDP"/>
    <s v="Units"/>
    <x v="0"/>
    <n v="19.588000000000001"/>
  </r>
  <r>
    <n v="505"/>
    <x v="4"/>
    <x v="96"/>
    <x v="9"/>
    <s v="Percent of GDP"/>
    <s v="Units"/>
    <x v="1"/>
    <n v="6.4370000000000003"/>
  </r>
  <r>
    <n v="505"/>
    <x v="4"/>
    <x v="96"/>
    <x v="9"/>
    <s v="Percent of GDP"/>
    <s v="Units"/>
    <x v="2"/>
    <n v="4.4610000000000003"/>
  </r>
  <r>
    <n v="505"/>
    <x v="4"/>
    <x v="96"/>
    <x v="9"/>
    <s v="Percent of GDP"/>
    <s v="Units"/>
    <x v="3"/>
    <n v="7.798"/>
  </r>
  <r>
    <n v="505"/>
    <x v="4"/>
    <x v="96"/>
    <x v="9"/>
    <s v="Percent of GDP"/>
    <s v="Units"/>
    <x v="4"/>
    <n v="1.571"/>
  </r>
  <r>
    <n v="505"/>
    <x v="4"/>
    <x v="96"/>
    <x v="9"/>
    <s v="Percent of GDP"/>
    <s v="Units"/>
    <x v="5"/>
    <n v="1.266"/>
  </r>
  <r>
    <n v="505"/>
    <x v="4"/>
    <x v="96"/>
    <x v="9"/>
    <s v="Percent of GDP"/>
    <s v="Units"/>
    <x v="6"/>
    <n v="-0.40200000000000002"/>
  </r>
  <r>
    <n v="200"/>
    <x v="3"/>
    <x v="96"/>
    <x v="9"/>
    <s v="Percent of GDP"/>
    <s v="Units"/>
    <x v="0"/>
    <n v="19.588000000000001"/>
  </r>
  <r>
    <n v="200"/>
    <x v="3"/>
    <x v="96"/>
    <x v="9"/>
    <s v="Percent of GDP"/>
    <s v="Units"/>
    <x v="1"/>
    <n v="6.4370000000000003"/>
  </r>
  <r>
    <n v="200"/>
    <x v="3"/>
    <x v="96"/>
    <x v="9"/>
    <s v="Percent of GDP"/>
    <s v="Units"/>
    <x v="2"/>
    <n v="4.4610000000000003"/>
  </r>
  <r>
    <n v="200"/>
    <x v="3"/>
    <x v="96"/>
    <x v="9"/>
    <s v="Percent of GDP"/>
    <s v="Units"/>
    <x v="3"/>
    <n v="7.798"/>
  </r>
  <r>
    <n v="200"/>
    <x v="3"/>
    <x v="96"/>
    <x v="9"/>
    <s v="Percent of GDP"/>
    <s v="Units"/>
    <x v="4"/>
    <n v="1.571"/>
  </r>
  <r>
    <n v="200"/>
    <x v="3"/>
    <x v="96"/>
    <x v="9"/>
    <s v="Percent of GDP"/>
    <s v="Units"/>
    <x v="5"/>
    <n v="1.266"/>
  </r>
  <r>
    <n v="200"/>
    <x v="3"/>
    <x v="96"/>
    <x v="9"/>
    <s v="Percent of GDP"/>
    <s v="Units"/>
    <x v="6"/>
    <n v="-0.40200000000000002"/>
  </r>
  <r>
    <n v="163"/>
    <x v="5"/>
    <x v="76"/>
    <x v="8"/>
    <s v="Percent change"/>
    <s v="Units"/>
    <x v="0"/>
    <n v="2.9159999999999999"/>
  </r>
  <r>
    <n v="163"/>
    <x v="5"/>
    <x v="76"/>
    <x v="8"/>
    <s v="Percent change"/>
    <s v="Units"/>
    <x v="1"/>
    <n v="-0.91"/>
  </r>
  <r>
    <n v="163"/>
    <x v="5"/>
    <x v="76"/>
    <x v="8"/>
    <s v="Percent change"/>
    <s v="Units"/>
    <x v="2"/>
    <n v="7.1689999999999996"/>
  </r>
  <r>
    <n v="163"/>
    <x v="5"/>
    <x v="76"/>
    <x v="8"/>
    <s v="Percent change"/>
    <s v="Units"/>
    <x v="3"/>
    <n v="1.38"/>
  </r>
  <r>
    <n v="163"/>
    <x v="5"/>
    <x v="76"/>
    <x v="8"/>
    <s v="Percent change"/>
    <s v="Units"/>
    <x v="4"/>
    <n v="-1.095"/>
  </r>
  <r>
    <n v="163"/>
    <x v="5"/>
    <x v="76"/>
    <x v="8"/>
    <s v="Percent change"/>
    <s v="Units"/>
    <x v="5"/>
    <n v="1.262"/>
  </r>
  <r>
    <n v="163"/>
    <x v="5"/>
    <x v="76"/>
    <x v="8"/>
    <s v="Percent change"/>
    <s v="Units"/>
    <x v="6"/>
    <n v="2.9049999999999998"/>
  </r>
  <r>
    <n v="110"/>
    <x v="0"/>
    <x v="76"/>
    <x v="8"/>
    <s v="Percent change"/>
    <s v="Units"/>
    <x v="0"/>
    <n v="2.9159999999999999"/>
  </r>
  <r>
    <n v="110"/>
    <x v="0"/>
    <x v="76"/>
    <x v="8"/>
    <s v="Percent change"/>
    <s v="Units"/>
    <x v="1"/>
    <n v="-0.91"/>
  </r>
  <r>
    <n v="110"/>
    <x v="0"/>
    <x v="76"/>
    <x v="8"/>
    <s v="Percent change"/>
    <s v="Units"/>
    <x v="2"/>
    <n v="7.1689999999999996"/>
  </r>
  <r>
    <n v="110"/>
    <x v="0"/>
    <x v="76"/>
    <x v="8"/>
    <s v="Percent change"/>
    <s v="Units"/>
    <x v="3"/>
    <n v="1.38"/>
  </r>
  <r>
    <n v="110"/>
    <x v="0"/>
    <x v="76"/>
    <x v="8"/>
    <s v="Percent change"/>
    <s v="Units"/>
    <x v="4"/>
    <n v="-1.095"/>
  </r>
  <r>
    <n v="110"/>
    <x v="0"/>
    <x v="76"/>
    <x v="8"/>
    <s v="Percent change"/>
    <s v="Units"/>
    <x v="5"/>
    <n v="1.262"/>
  </r>
  <r>
    <n v="110"/>
    <x v="0"/>
    <x v="76"/>
    <x v="8"/>
    <s v="Percent change"/>
    <s v="Units"/>
    <x v="6"/>
    <n v="2.9049999999999998"/>
  </r>
  <r>
    <n v="998"/>
    <x v="6"/>
    <x v="76"/>
    <x v="8"/>
    <s v="Percent change"/>
    <s v="Units"/>
    <x v="0"/>
    <n v="2.9159999999999999"/>
  </r>
  <r>
    <n v="998"/>
    <x v="6"/>
    <x v="76"/>
    <x v="8"/>
    <s v="Percent change"/>
    <s v="Units"/>
    <x v="1"/>
    <n v="-0.91"/>
  </r>
  <r>
    <n v="998"/>
    <x v="6"/>
    <x v="76"/>
    <x v="8"/>
    <s v="Percent change"/>
    <s v="Units"/>
    <x v="2"/>
    <n v="7.1689999999999996"/>
  </r>
  <r>
    <n v="998"/>
    <x v="6"/>
    <x v="76"/>
    <x v="8"/>
    <s v="Percent change"/>
    <s v="Units"/>
    <x v="3"/>
    <n v="1.38"/>
  </r>
  <r>
    <n v="998"/>
    <x v="6"/>
    <x v="76"/>
    <x v="8"/>
    <s v="Percent change"/>
    <s v="Units"/>
    <x v="4"/>
    <n v="-1.095"/>
  </r>
  <r>
    <n v="998"/>
    <x v="6"/>
    <x v="76"/>
    <x v="8"/>
    <s v="Percent change"/>
    <s v="Units"/>
    <x v="5"/>
    <n v="1.262"/>
  </r>
  <r>
    <n v="998"/>
    <x v="6"/>
    <x v="76"/>
    <x v="8"/>
    <s v="Percent change"/>
    <s v="Units"/>
    <x v="6"/>
    <n v="2.9049999999999998"/>
  </r>
  <r>
    <n v="1"/>
    <x v="2"/>
    <x v="76"/>
    <x v="8"/>
    <s v="Percent change"/>
    <s v="Units"/>
    <x v="0"/>
    <n v="2.9159999999999999"/>
  </r>
  <r>
    <n v="1"/>
    <x v="2"/>
    <x v="76"/>
    <x v="8"/>
    <s v="Percent change"/>
    <s v="Units"/>
    <x v="1"/>
    <n v="-0.91"/>
  </r>
  <r>
    <n v="1"/>
    <x v="2"/>
    <x v="76"/>
    <x v="8"/>
    <s v="Percent change"/>
    <s v="Units"/>
    <x v="2"/>
    <n v="7.1689999999999996"/>
  </r>
  <r>
    <n v="1"/>
    <x v="2"/>
    <x v="76"/>
    <x v="8"/>
    <s v="Percent change"/>
    <s v="Units"/>
    <x v="3"/>
    <n v="1.38"/>
  </r>
  <r>
    <n v="1"/>
    <x v="2"/>
    <x v="76"/>
    <x v="8"/>
    <s v="Percent change"/>
    <s v="Units"/>
    <x v="4"/>
    <n v="-1.095"/>
  </r>
  <r>
    <n v="1"/>
    <x v="2"/>
    <x v="76"/>
    <x v="8"/>
    <s v="Percent change"/>
    <s v="Units"/>
    <x v="5"/>
    <n v="1.262"/>
  </r>
  <r>
    <n v="1"/>
    <x v="2"/>
    <x v="76"/>
    <x v="8"/>
    <s v="Percent change"/>
    <s v="Units"/>
    <x v="6"/>
    <n v="2.9049999999999998"/>
  </r>
  <r>
    <n v="1"/>
    <x v="2"/>
    <x v="45"/>
    <x v="1"/>
    <s v="Percent change"/>
    <s v="Units"/>
    <x v="0"/>
    <n v="1.137"/>
  </r>
  <r>
    <n v="1"/>
    <x v="2"/>
    <x v="45"/>
    <x v="1"/>
    <s v="Percent change"/>
    <s v="Units"/>
    <x v="1"/>
    <n v="0.38300000000000001"/>
  </r>
  <r>
    <n v="1"/>
    <x v="2"/>
    <x v="45"/>
    <x v="1"/>
    <s v="Percent change"/>
    <s v="Units"/>
    <x v="2"/>
    <n v="2.0659999999999998"/>
  </r>
  <r>
    <n v="1"/>
    <x v="2"/>
    <x v="45"/>
    <x v="1"/>
    <s v="Percent change"/>
    <s v="Units"/>
    <x v="3"/>
    <n v="7.1719999999999997"/>
  </r>
  <r>
    <n v="1"/>
    <x v="2"/>
    <x v="45"/>
    <x v="1"/>
    <s v="Percent change"/>
    <s v="Units"/>
    <x v="4"/>
    <n v="4.34"/>
  </r>
  <r>
    <n v="1"/>
    <x v="2"/>
    <x v="45"/>
    <x v="1"/>
    <s v="Percent change"/>
    <s v="Units"/>
    <x v="5"/>
    <n v="1.212"/>
  </r>
  <r>
    <n v="1"/>
    <x v="2"/>
    <x v="45"/>
    <x v="1"/>
    <s v="Percent change"/>
    <s v="Units"/>
    <x v="6"/>
    <n v="1.9339999999999999"/>
  </r>
  <r>
    <n v="998"/>
    <x v="6"/>
    <x v="45"/>
    <x v="1"/>
    <s v="Percent change"/>
    <s v="Units"/>
    <x v="0"/>
    <n v="1.137"/>
  </r>
  <r>
    <n v="998"/>
    <x v="6"/>
    <x v="45"/>
    <x v="1"/>
    <s v="Percent change"/>
    <s v="Units"/>
    <x v="1"/>
    <n v="0.38300000000000001"/>
  </r>
  <r>
    <n v="998"/>
    <x v="6"/>
    <x v="45"/>
    <x v="1"/>
    <s v="Percent change"/>
    <s v="Units"/>
    <x v="2"/>
    <n v="2.0659999999999998"/>
  </r>
  <r>
    <n v="998"/>
    <x v="6"/>
    <x v="45"/>
    <x v="1"/>
    <s v="Percent change"/>
    <s v="Units"/>
    <x v="3"/>
    <n v="7.1719999999999997"/>
  </r>
  <r>
    <n v="998"/>
    <x v="6"/>
    <x v="45"/>
    <x v="1"/>
    <s v="Percent change"/>
    <s v="Units"/>
    <x v="4"/>
    <n v="4.34"/>
  </r>
  <r>
    <n v="998"/>
    <x v="6"/>
    <x v="45"/>
    <x v="1"/>
    <s v="Percent change"/>
    <s v="Units"/>
    <x v="5"/>
    <n v="1.212"/>
  </r>
  <r>
    <n v="998"/>
    <x v="6"/>
    <x v="45"/>
    <x v="1"/>
    <s v="Percent change"/>
    <s v="Units"/>
    <x v="6"/>
    <n v="1.9339999999999999"/>
  </r>
  <r>
    <n v="110"/>
    <x v="0"/>
    <x v="45"/>
    <x v="1"/>
    <s v="Percent change"/>
    <s v="Units"/>
    <x v="0"/>
    <n v="1.137"/>
  </r>
  <r>
    <n v="110"/>
    <x v="0"/>
    <x v="45"/>
    <x v="1"/>
    <s v="Percent change"/>
    <s v="Units"/>
    <x v="1"/>
    <n v="0.38300000000000001"/>
  </r>
  <r>
    <n v="110"/>
    <x v="0"/>
    <x v="45"/>
    <x v="1"/>
    <s v="Percent change"/>
    <s v="Units"/>
    <x v="2"/>
    <n v="2.0659999999999998"/>
  </r>
  <r>
    <n v="110"/>
    <x v="0"/>
    <x v="45"/>
    <x v="1"/>
    <s v="Percent change"/>
    <s v="Units"/>
    <x v="3"/>
    <n v="7.1719999999999997"/>
  </r>
  <r>
    <n v="110"/>
    <x v="0"/>
    <x v="45"/>
    <x v="1"/>
    <s v="Percent change"/>
    <s v="Units"/>
    <x v="4"/>
    <n v="4.34"/>
  </r>
  <r>
    <n v="110"/>
    <x v="0"/>
    <x v="45"/>
    <x v="1"/>
    <s v="Percent change"/>
    <s v="Units"/>
    <x v="5"/>
    <n v="1.212"/>
  </r>
  <r>
    <n v="110"/>
    <x v="0"/>
    <x v="45"/>
    <x v="1"/>
    <s v="Percent change"/>
    <s v="Units"/>
    <x v="6"/>
    <n v="1.9339999999999999"/>
  </r>
  <r>
    <n v="163"/>
    <x v="5"/>
    <x v="45"/>
    <x v="1"/>
    <s v="Percent change"/>
    <s v="Units"/>
    <x v="0"/>
    <n v="1.137"/>
  </r>
  <r>
    <n v="163"/>
    <x v="5"/>
    <x v="45"/>
    <x v="1"/>
    <s v="Percent change"/>
    <s v="Units"/>
    <x v="1"/>
    <n v="0.38300000000000001"/>
  </r>
  <r>
    <n v="163"/>
    <x v="5"/>
    <x v="45"/>
    <x v="1"/>
    <s v="Percent change"/>
    <s v="Units"/>
    <x v="2"/>
    <n v="2.0659999999999998"/>
  </r>
  <r>
    <n v="163"/>
    <x v="5"/>
    <x v="45"/>
    <x v="1"/>
    <s v="Percent change"/>
    <s v="Units"/>
    <x v="3"/>
    <n v="7.1719999999999997"/>
  </r>
  <r>
    <n v="163"/>
    <x v="5"/>
    <x v="45"/>
    <x v="1"/>
    <s v="Percent change"/>
    <s v="Units"/>
    <x v="4"/>
    <n v="4.34"/>
  </r>
  <r>
    <n v="163"/>
    <x v="5"/>
    <x v="45"/>
    <x v="1"/>
    <s v="Percent change"/>
    <s v="Units"/>
    <x v="5"/>
    <n v="1.212"/>
  </r>
  <r>
    <n v="163"/>
    <x v="5"/>
    <x v="45"/>
    <x v="1"/>
    <s v="Percent change"/>
    <s v="Units"/>
    <x v="6"/>
    <n v="1.9339999999999999"/>
  </r>
  <r>
    <n v="200"/>
    <x v="3"/>
    <x v="161"/>
    <x v="4"/>
    <s v="Percent change"/>
    <s v="Units"/>
    <x v="0"/>
    <n v="16.283000000000001"/>
  </r>
  <r>
    <n v="200"/>
    <x v="3"/>
    <x v="161"/>
    <x v="4"/>
    <s v="Percent change"/>
    <s v="Units"/>
    <x v="1"/>
    <n v="-2.4009999999999998"/>
  </r>
  <r>
    <n v="200"/>
    <x v="3"/>
    <x v="161"/>
    <x v="4"/>
    <s v="Percent change"/>
    <s v="Units"/>
    <x v="2"/>
    <n v="8.8309999999999995"/>
  </r>
  <r>
    <n v="200"/>
    <x v="3"/>
    <x v="161"/>
    <x v="4"/>
    <s v="Percent change"/>
    <s v="Units"/>
    <x v="3"/>
    <n v="-0.42699999999999999"/>
  </r>
  <r>
    <n v="200"/>
    <x v="3"/>
    <x v="161"/>
    <x v="4"/>
    <s v="Percent change"/>
    <s v="Units"/>
    <x v="4"/>
    <n v="10.035"/>
  </r>
  <r>
    <n v="200"/>
    <x v="3"/>
    <x v="161"/>
    <x v="4"/>
    <s v="Percent change"/>
    <s v="Units"/>
    <x v="5"/>
    <n v="1.198"/>
  </r>
  <r>
    <n v="200"/>
    <x v="3"/>
    <x v="161"/>
    <x v="4"/>
    <s v="Percent change"/>
    <s v="Units"/>
    <x v="6"/>
    <n v="3.6339999999999999"/>
  </r>
  <r>
    <n v="1"/>
    <x v="2"/>
    <x v="161"/>
    <x v="4"/>
    <s v="Percent change"/>
    <s v="Units"/>
    <x v="0"/>
    <n v="16.283000000000001"/>
  </r>
  <r>
    <n v="1"/>
    <x v="2"/>
    <x v="161"/>
    <x v="4"/>
    <s v="Percent change"/>
    <s v="Units"/>
    <x v="1"/>
    <n v="-2.4009999999999998"/>
  </r>
  <r>
    <n v="1"/>
    <x v="2"/>
    <x v="161"/>
    <x v="4"/>
    <s v="Percent change"/>
    <s v="Units"/>
    <x v="2"/>
    <n v="8.8309999999999995"/>
  </r>
  <r>
    <n v="1"/>
    <x v="2"/>
    <x v="161"/>
    <x v="4"/>
    <s v="Percent change"/>
    <s v="Units"/>
    <x v="3"/>
    <n v="-0.42699999999999999"/>
  </r>
  <r>
    <n v="1"/>
    <x v="2"/>
    <x v="161"/>
    <x v="4"/>
    <s v="Percent change"/>
    <s v="Units"/>
    <x v="4"/>
    <n v="10.035"/>
  </r>
  <r>
    <n v="1"/>
    <x v="2"/>
    <x v="161"/>
    <x v="4"/>
    <s v="Percent change"/>
    <s v="Units"/>
    <x v="5"/>
    <n v="1.198"/>
  </r>
  <r>
    <n v="1"/>
    <x v="2"/>
    <x v="161"/>
    <x v="4"/>
    <s v="Percent change"/>
    <s v="Units"/>
    <x v="6"/>
    <n v="3.6339999999999999"/>
  </r>
  <r>
    <n v="603"/>
    <x v="12"/>
    <x v="161"/>
    <x v="4"/>
    <s v="Percent change"/>
    <s v="Units"/>
    <x v="0"/>
    <n v="16.283000000000001"/>
  </r>
  <r>
    <n v="603"/>
    <x v="12"/>
    <x v="161"/>
    <x v="4"/>
    <s v="Percent change"/>
    <s v="Units"/>
    <x v="1"/>
    <n v="-2.4009999999999998"/>
  </r>
  <r>
    <n v="603"/>
    <x v="12"/>
    <x v="161"/>
    <x v="4"/>
    <s v="Percent change"/>
    <s v="Units"/>
    <x v="2"/>
    <n v="8.8309999999999995"/>
  </r>
  <r>
    <n v="603"/>
    <x v="12"/>
    <x v="161"/>
    <x v="4"/>
    <s v="Percent change"/>
    <s v="Units"/>
    <x v="3"/>
    <n v="-0.42699999999999999"/>
  </r>
  <r>
    <n v="603"/>
    <x v="12"/>
    <x v="161"/>
    <x v="4"/>
    <s v="Percent change"/>
    <s v="Units"/>
    <x v="4"/>
    <n v="10.035"/>
  </r>
  <r>
    <n v="603"/>
    <x v="12"/>
    <x v="161"/>
    <x v="4"/>
    <s v="Percent change"/>
    <s v="Units"/>
    <x v="5"/>
    <n v="1.198"/>
  </r>
  <r>
    <n v="603"/>
    <x v="12"/>
    <x v="161"/>
    <x v="4"/>
    <s v="Percent change"/>
    <s v="Units"/>
    <x v="6"/>
    <n v="3.6339999999999999"/>
  </r>
  <r>
    <n v="1"/>
    <x v="2"/>
    <x v="69"/>
    <x v="8"/>
    <s v="Percent change"/>
    <s v="Units"/>
    <x v="0"/>
    <n v="-1.1299999999999999"/>
  </r>
  <r>
    <n v="1"/>
    <x v="2"/>
    <x v="69"/>
    <x v="8"/>
    <s v="Percent change"/>
    <s v="Units"/>
    <x v="1"/>
    <n v="-3.3780000000000001"/>
  </r>
  <r>
    <n v="1"/>
    <x v="2"/>
    <x v="69"/>
    <x v="8"/>
    <s v="Percent change"/>
    <s v="Units"/>
    <x v="2"/>
    <n v="3.0920000000000001"/>
  </r>
  <r>
    <n v="1"/>
    <x v="2"/>
    <x v="69"/>
    <x v="8"/>
    <s v="Percent change"/>
    <s v="Units"/>
    <x v="3"/>
    <n v="4.3109999999999999"/>
  </r>
  <r>
    <n v="1"/>
    <x v="2"/>
    <x v="69"/>
    <x v="8"/>
    <s v="Percent change"/>
    <s v="Units"/>
    <x v="4"/>
    <n v="1.3109999999999999"/>
  </r>
  <r>
    <n v="1"/>
    <x v="2"/>
    <x v="69"/>
    <x v="8"/>
    <s v="Percent change"/>
    <s v="Units"/>
    <x v="5"/>
    <n v="1.194"/>
  </r>
  <r>
    <n v="1"/>
    <x v="2"/>
    <x v="69"/>
    <x v="8"/>
    <s v="Percent change"/>
    <s v="Units"/>
    <x v="6"/>
    <n v="3.0880000000000001"/>
  </r>
  <r>
    <n v="400"/>
    <x v="11"/>
    <x v="69"/>
    <x v="8"/>
    <s v="Percent change"/>
    <s v="Units"/>
    <x v="0"/>
    <n v="-1.1299999999999999"/>
  </r>
  <r>
    <n v="400"/>
    <x v="11"/>
    <x v="69"/>
    <x v="8"/>
    <s v="Percent change"/>
    <s v="Units"/>
    <x v="1"/>
    <n v="-3.3780000000000001"/>
  </r>
  <r>
    <n v="400"/>
    <x v="11"/>
    <x v="69"/>
    <x v="8"/>
    <s v="Percent change"/>
    <s v="Units"/>
    <x v="2"/>
    <n v="3.0920000000000001"/>
  </r>
  <r>
    <n v="400"/>
    <x v="11"/>
    <x v="69"/>
    <x v="8"/>
    <s v="Percent change"/>
    <s v="Units"/>
    <x v="3"/>
    <n v="4.3109999999999999"/>
  </r>
  <r>
    <n v="400"/>
    <x v="11"/>
    <x v="69"/>
    <x v="8"/>
    <s v="Percent change"/>
    <s v="Units"/>
    <x v="4"/>
    <n v="1.3109999999999999"/>
  </r>
  <r>
    <n v="400"/>
    <x v="11"/>
    <x v="69"/>
    <x v="8"/>
    <s v="Percent change"/>
    <s v="Units"/>
    <x v="5"/>
    <n v="1.194"/>
  </r>
  <r>
    <n v="400"/>
    <x v="11"/>
    <x v="69"/>
    <x v="8"/>
    <s v="Percent change"/>
    <s v="Units"/>
    <x v="6"/>
    <n v="3.0880000000000001"/>
  </r>
  <r>
    <n v="200"/>
    <x v="3"/>
    <x v="69"/>
    <x v="8"/>
    <s v="Percent change"/>
    <s v="Units"/>
    <x v="0"/>
    <n v="-1.1299999999999999"/>
  </r>
  <r>
    <n v="200"/>
    <x v="3"/>
    <x v="69"/>
    <x v="8"/>
    <s v="Percent change"/>
    <s v="Units"/>
    <x v="1"/>
    <n v="-3.3780000000000001"/>
  </r>
  <r>
    <n v="200"/>
    <x v="3"/>
    <x v="69"/>
    <x v="8"/>
    <s v="Percent change"/>
    <s v="Units"/>
    <x v="2"/>
    <n v="3.0920000000000001"/>
  </r>
  <r>
    <n v="200"/>
    <x v="3"/>
    <x v="69"/>
    <x v="8"/>
    <s v="Percent change"/>
    <s v="Units"/>
    <x v="3"/>
    <n v="4.3109999999999999"/>
  </r>
  <r>
    <n v="200"/>
    <x v="3"/>
    <x v="69"/>
    <x v="8"/>
    <s v="Percent change"/>
    <s v="Units"/>
    <x v="4"/>
    <n v="1.3109999999999999"/>
  </r>
  <r>
    <n v="200"/>
    <x v="3"/>
    <x v="69"/>
    <x v="8"/>
    <s v="Percent change"/>
    <s v="Units"/>
    <x v="5"/>
    <n v="1.194"/>
  </r>
  <r>
    <n v="200"/>
    <x v="3"/>
    <x v="69"/>
    <x v="8"/>
    <s v="Percent change"/>
    <s v="Units"/>
    <x v="6"/>
    <n v="3.0880000000000001"/>
  </r>
  <r>
    <n v="163"/>
    <x v="5"/>
    <x v="76"/>
    <x v="4"/>
    <s v="Percent change"/>
    <s v="Units"/>
    <x v="0"/>
    <n v="5.9960000000000004"/>
  </r>
  <r>
    <n v="163"/>
    <x v="5"/>
    <x v="76"/>
    <x v="4"/>
    <s v="Percent change"/>
    <s v="Units"/>
    <x v="1"/>
    <n v="0.59399999999999997"/>
  </r>
  <r>
    <n v="163"/>
    <x v="5"/>
    <x v="76"/>
    <x v="4"/>
    <s v="Percent change"/>
    <s v="Units"/>
    <x v="2"/>
    <n v="10.278"/>
  </r>
  <r>
    <n v="163"/>
    <x v="5"/>
    <x v="76"/>
    <x v="4"/>
    <s v="Percent change"/>
    <s v="Units"/>
    <x v="3"/>
    <n v="-0.64100000000000001"/>
  </r>
  <r>
    <n v="163"/>
    <x v="5"/>
    <x v="76"/>
    <x v="4"/>
    <s v="Percent change"/>
    <s v="Units"/>
    <x v="4"/>
    <n v="-1.367"/>
  </r>
  <r>
    <n v="163"/>
    <x v="5"/>
    <x v="76"/>
    <x v="4"/>
    <s v="Percent change"/>
    <s v="Units"/>
    <x v="5"/>
    <n v="1.18"/>
  </r>
  <r>
    <n v="163"/>
    <x v="5"/>
    <x v="76"/>
    <x v="4"/>
    <s v="Percent change"/>
    <s v="Units"/>
    <x v="6"/>
    <n v="2.5"/>
  </r>
  <r>
    <n v="110"/>
    <x v="0"/>
    <x v="76"/>
    <x v="4"/>
    <s v="Percent change"/>
    <s v="Units"/>
    <x v="0"/>
    <n v="5.9960000000000004"/>
  </r>
  <r>
    <n v="110"/>
    <x v="0"/>
    <x v="76"/>
    <x v="4"/>
    <s v="Percent change"/>
    <s v="Units"/>
    <x v="1"/>
    <n v="0.59399999999999997"/>
  </r>
  <r>
    <n v="110"/>
    <x v="0"/>
    <x v="76"/>
    <x v="4"/>
    <s v="Percent change"/>
    <s v="Units"/>
    <x v="2"/>
    <n v="10.278"/>
  </r>
  <r>
    <n v="110"/>
    <x v="0"/>
    <x v="76"/>
    <x v="4"/>
    <s v="Percent change"/>
    <s v="Units"/>
    <x v="3"/>
    <n v="-0.64100000000000001"/>
  </r>
  <r>
    <n v="110"/>
    <x v="0"/>
    <x v="76"/>
    <x v="4"/>
    <s v="Percent change"/>
    <s v="Units"/>
    <x v="4"/>
    <n v="-1.367"/>
  </r>
  <r>
    <n v="110"/>
    <x v="0"/>
    <x v="76"/>
    <x v="4"/>
    <s v="Percent change"/>
    <s v="Units"/>
    <x v="5"/>
    <n v="1.18"/>
  </r>
  <r>
    <n v="110"/>
    <x v="0"/>
    <x v="76"/>
    <x v="4"/>
    <s v="Percent change"/>
    <s v="Units"/>
    <x v="6"/>
    <n v="2.5"/>
  </r>
  <r>
    <n v="110"/>
    <x v="0"/>
    <x v="37"/>
    <x v="13"/>
    <s v="Percent of potential GDP"/>
    <s v="Units"/>
    <x v="0"/>
    <n v="0.89700000000000002"/>
  </r>
  <r>
    <n v="110"/>
    <x v="0"/>
    <x v="37"/>
    <x v="13"/>
    <s v="Percent of potential GDP"/>
    <s v="Units"/>
    <x v="1"/>
    <n v="-3.5590000000000002"/>
  </r>
  <r>
    <n v="110"/>
    <x v="0"/>
    <x v="37"/>
    <x v="13"/>
    <s v="Percent of potential GDP"/>
    <s v="Units"/>
    <x v="2"/>
    <n v="0.85499999999999998"/>
  </r>
  <r>
    <n v="110"/>
    <x v="0"/>
    <x v="37"/>
    <x v="13"/>
    <s v="Percent of potential GDP"/>
    <s v="Units"/>
    <x v="3"/>
    <n v="1.4"/>
  </r>
  <r>
    <n v="110"/>
    <x v="0"/>
    <x v="37"/>
    <x v="13"/>
    <s v="Percent of potential GDP"/>
    <s v="Units"/>
    <x v="4"/>
    <n v="1.0880000000000001"/>
  </r>
  <r>
    <n v="110"/>
    <x v="0"/>
    <x v="37"/>
    <x v="13"/>
    <s v="Percent of potential GDP"/>
    <s v="Units"/>
    <x v="5"/>
    <n v="1.18"/>
  </r>
  <r>
    <n v="110"/>
    <x v="0"/>
    <x v="37"/>
    <x v="13"/>
    <s v="Percent of potential GDP"/>
    <s v="Units"/>
    <x v="6"/>
    <n v="0.74399999999999999"/>
  </r>
  <r>
    <n v="1"/>
    <x v="2"/>
    <x v="76"/>
    <x v="4"/>
    <s v="Percent change"/>
    <s v="Units"/>
    <x v="0"/>
    <n v="5.9960000000000004"/>
  </r>
  <r>
    <n v="1"/>
    <x v="2"/>
    <x v="76"/>
    <x v="4"/>
    <s v="Percent change"/>
    <s v="Units"/>
    <x v="1"/>
    <n v="0.59399999999999997"/>
  </r>
  <r>
    <n v="1"/>
    <x v="2"/>
    <x v="76"/>
    <x v="4"/>
    <s v="Percent change"/>
    <s v="Units"/>
    <x v="2"/>
    <n v="10.278"/>
  </r>
  <r>
    <n v="1"/>
    <x v="2"/>
    <x v="76"/>
    <x v="4"/>
    <s v="Percent change"/>
    <s v="Units"/>
    <x v="3"/>
    <n v="-0.64100000000000001"/>
  </r>
  <r>
    <n v="1"/>
    <x v="2"/>
    <x v="76"/>
    <x v="4"/>
    <s v="Percent change"/>
    <s v="Units"/>
    <x v="4"/>
    <n v="-1.367"/>
  </r>
  <r>
    <n v="1"/>
    <x v="2"/>
    <x v="76"/>
    <x v="4"/>
    <s v="Percent change"/>
    <s v="Units"/>
    <x v="5"/>
    <n v="1.18"/>
  </r>
  <r>
    <n v="1"/>
    <x v="2"/>
    <x v="76"/>
    <x v="4"/>
    <s v="Percent change"/>
    <s v="Units"/>
    <x v="6"/>
    <n v="2.5"/>
  </r>
  <r>
    <n v="1"/>
    <x v="2"/>
    <x v="39"/>
    <x v="4"/>
    <s v="Percent change"/>
    <s v="Units"/>
    <x v="0"/>
    <n v="3.0840000000000001"/>
  </r>
  <r>
    <n v="1"/>
    <x v="2"/>
    <x v="39"/>
    <x v="4"/>
    <s v="Percent change"/>
    <s v="Units"/>
    <x v="1"/>
    <n v="-22.459"/>
  </r>
  <r>
    <n v="1"/>
    <x v="2"/>
    <x v="39"/>
    <x v="4"/>
    <s v="Percent change"/>
    <s v="Units"/>
    <x v="2"/>
    <n v="14.632999999999999"/>
  </r>
  <r>
    <n v="1"/>
    <x v="2"/>
    <x v="39"/>
    <x v="4"/>
    <s v="Percent change"/>
    <s v="Units"/>
    <x v="3"/>
    <n v="12.305"/>
  </r>
  <r>
    <n v="1"/>
    <x v="2"/>
    <x v="39"/>
    <x v="4"/>
    <s v="Percent change"/>
    <s v="Units"/>
    <x v="4"/>
    <n v="1.3660000000000001"/>
  </r>
  <r>
    <n v="1"/>
    <x v="2"/>
    <x v="39"/>
    <x v="4"/>
    <s v="Percent change"/>
    <s v="Units"/>
    <x v="5"/>
    <n v="1.1639999999999999"/>
  </r>
  <r>
    <n v="1"/>
    <x v="2"/>
    <x v="39"/>
    <x v="4"/>
    <s v="Percent change"/>
    <s v="Units"/>
    <x v="6"/>
    <n v="1.4870000000000001"/>
  </r>
  <r>
    <n v="200"/>
    <x v="3"/>
    <x v="39"/>
    <x v="4"/>
    <s v="Percent change"/>
    <s v="Units"/>
    <x v="0"/>
    <n v="3.0840000000000001"/>
  </r>
  <r>
    <n v="200"/>
    <x v="3"/>
    <x v="39"/>
    <x v="4"/>
    <s v="Percent change"/>
    <s v="Units"/>
    <x v="1"/>
    <n v="-22.459"/>
  </r>
  <r>
    <n v="200"/>
    <x v="3"/>
    <x v="39"/>
    <x v="4"/>
    <s v="Percent change"/>
    <s v="Units"/>
    <x v="2"/>
    <n v="14.632999999999999"/>
  </r>
  <r>
    <n v="200"/>
    <x v="3"/>
    <x v="39"/>
    <x v="4"/>
    <s v="Percent change"/>
    <s v="Units"/>
    <x v="3"/>
    <n v="12.305"/>
  </r>
  <r>
    <n v="200"/>
    <x v="3"/>
    <x v="39"/>
    <x v="4"/>
    <s v="Percent change"/>
    <s v="Units"/>
    <x v="4"/>
    <n v="1.3660000000000001"/>
  </r>
  <r>
    <n v="200"/>
    <x v="3"/>
    <x v="39"/>
    <x v="4"/>
    <s v="Percent change"/>
    <s v="Units"/>
    <x v="5"/>
    <n v="1.1639999999999999"/>
  </r>
  <r>
    <n v="200"/>
    <x v="3"/>
    <x v="39"/>
    <x v="4"/>
    <s v="Percent change"/>
    <s v="Units"/>
    <x v="6"/>
    <n v="1.4870000000000001"/>
  </r>
  <r>
    <n v="205"/>
    <x v="7"/>
    <x v="39"/>
    <x v="4"/>
    <s v="Percent change"/>
    <s v="Units"/>
    <x v="0"/>
    <n v="3.0840000000000001"/>
  </r>
  <r>
    <n v="205"/>
    <x v="7"/>
    <x v="39"/>
    <x v="4"/>
    <s v="Percent change"/>
    <s v="Units"/>
    <x v="1"/>
    <n v="-22.459"/>
  </r>
  <r>
    <n v="205"/>
    <x v="7"/>
    <x v="39"/>
    <x v="4"/>
    <s v="Percent change"/>
    <s v="Units"/>
    <x v="2"/>
    <n v="14.632999999999999"/>
  </r>
  <r>
    <n v="205"/>
    <x v="7"/>
    <x v="39"/>
    <x v="4"/>
    <s v="Percent change"/>
    <s v="Units"/>
    <x v="3"/>
    <n v="12.305"/>
  </r>
  <r>
    <n v="205"/>
    <x v="7"/>
    <x v="39"/>
    <x v="4"/>
    <s v="Percent change"/>
    <s v="Units"/>
    <x v="4"/>
    <n v="1.3660000000000001"/>
  </r>
  <r>
    <n v="205"/>
    <x v="7"/>
    <x v="39"/>
    <x v="4"/>
    <s v="Percent change"/>
    <s v="Units"/>
    <x v="5"/>
    <n v="1.1639999999999999"/>
  </r>
  <r>
    <n v="205"/>
    <x v="7"/>
    <x v="39"/>
    <x v="4"/>
    <s v="Percent change"/>
    <s v="Units"/>
    <x v="6"/>
    <n v="1.4870000000000001"/>
  </r>
  <r>
    <n v="1"/>
    <x v="2"/>
    <x v="113"/>
    <x v="6"/>
    <s v="Percent change"/>
    <s v="Units"/>
    <x v="0"/>
    <n v="-9.0879999999999992"/>
  </r>
  <r>
    <n v="1"/>
    <x v="2"/>
    <x v="113"/>
    <x v="6"/>
    <s v="Percent change"/>
    <s v="Units"/>
    <x v="1"/>
    <n v="-20.635000000000002"/>
  </r>
  <r>
    <n v="1"/>
    <x v="2"/>
    <x v="113"/>
    <x v="6"/>
    <s v="Percent change"/>
    <s v="Units"/>
    <x v="2"/>
    <n v="19.905000000000001"/>
  </r>
  <r>
    <n v="1"/>
    <x v="2"/>
    <x v="113"/>
    <x v="6"/>
    <s v="Percent change"/>
    <s v="Units"/>
    <x v="3"/>
    <n v="19.97"/>
  </r>
  <r>
    <n v="1"/>
    <x v="2"/>
    <x v="113"/>
    <x v="6"/>
    <s v="Percent change"/>
    <s v="Units"/>
    <x v="4"/>
    <n v="-1.4390000000000001"/>
  </r>
  <r>
    <n v="1"/>
    <x v="2"/>
    <x v="113"/>
    <x v="6"/>
    <s v="Percent change"/>
    <s v="Units"/>
    <x v="5"/>
    <n v="1.163"/>
  </r>
  <r>
    <n v="1"/>
    <x v="2"/>
    <x v="113"/>
    <x v="6"/>
    <s v="Percent change"/>
    <s v="Units"/>
    <x v="6"/>
    <n v="1.851"/>
  </r>
  <r>
    <n v="123"/>
    <x v="9"/>
    <x v="113"/>
    <x v="6"/>
    <s v="Percent change"/>
    <s v="Units"/>
    <x v="0"/>
    <n v="-9.0879999999999992"/>
  </r>
  <r>
    <n v="123"/>
    <x v="9"/>
    <x v="113"/>
    <x v="6"/>
    <s v="Percent change"/>
    <s v="Units"/>
    <x v="1"/>
    <n v="-20.635000000000002"/>
  </r>
  <r>
    <n v="123"/>
    <x v="9"/>
    <x v="113"/>
    <x v="6"/>
    <s v="Percent change"/>
    <s v="Units"/>
    <x v="2"/>
    <n v="19.905000000000001"/>
  </r>
  <r>
    <n v="123"/>
    <x v="9"/>
    <x v="113"/>
    <x v="6"/>
    <s v="Percent change"/>
    <s v="Units"/>
    <x v="3"/>
    <n v="19.97"/>
  </r>
  <r>
    <n v="123"/>
    <x v="9"/>
    <x v="113"/>
    <x v="6"/>
    <s v="Percent change"/>
    <s v="Units"/>
    <x v="4"/>
    <n v="-1.4390000000000001"/>
  </r>
  <r>
    <n v="123"/>
    <x v="9"/>
    <x v="113"/>
    <x v="6"/>
    <s v="Percent change"/>
    <s v="Units"/>
    <x v="5"/>
    <n v="1.163"/>
  </r>
  <r>
    <n v="123"/>
    <x v="9"/>
    <x v="113"/>
    <x v="6"/>
    <s v="Percent change"/>
    <s v="Units"/>
    <x v="6"/>
    <n v="1.851"/>
  </r>
  <r>
    <n v="110"/>
    <x v="0"/>
    <x v="113"/>
    <x v="6"/>
    <s v="Percent change"/>
    <s v="Units"/>
    <x v="0"/>
    <n v="-9.0879999999999992"/>
  </r>
  <r>
    <n v="110"/>
    <x v="0"/>
    <x v="113"/>
    <x v="6"/>
    <s v="Percent change"/>
    <s v="Units"/>
    <x v="1"/>
    <n v="-20.635000000000002"/>
  </r>
  <r>
    <n v="110"/>
    <x v="0"/>
    <x v="113"/>
    <x v="6"/>
    <s v="Percent change"/>
    <s v="Units"/>
    <x v="2"/>
    <n v="19.905000000000001"/>
  </r>
  <r>
    <n v="110"/>
    <x v="0"/>
    <x v="113"/>
    <x v="6"/>
    <s v="Percent change"/>
    <s v="Units"/>
    <x v="3"/>
    <n v="19.97"/>
  </r>
  <r>
    <n v="110"/>
    <x v="0"/>
    <x v="113"/>
    <x v="6"/>
    <s v="Percent change"/>
    <s v="Units"/>
    <x v="4"/>
    <n v="-1.4390000000000001"/>
  </r>
  <r>
    <n v="110"/>
    <x v="0"/>
    <x v="113"/>
    <x v="6"/>
    <s v="Percent change"/>
    <s v="Units"/>
    <x v="5"/>
    <n v="1.163"/>
  </r>
  <r>
    <n v="110"/>
    <x v="0"/>
    <x v="113"/>
    <x v="6"/>
    <s v="Percent change"/>
    <s v="Units"/>
    <x v="6"/>
    <n v="1.851"/>
  </r>
  <r>
    <n v="110"/>
    <x v="0"/>
    <x v="21"/>
    <x v="8"/>
    <s v="Percent change"/>
    <s v="Units"/>
    <x v="0"/>
    <n v="2.2410000000000001"/>
  </r>
  <r>
    <n v="110"/>
    <x v="0"/>
    <x v="21"/>
    <x v="8"/>
    <s v="Percent change"/>
    <s v="Units"/>
    <x v="1"/>
    <n v="-5.2610000000000001"/>
  </r>
  <r>
    <n v="110"/>
    <x v="0"/>
    <x v="21"/>
    <x v="8"/>
    <s v="Percent change"/>
    <s v="Units"/>
    <x v="2"/>
    <n v="6.851"/>
  </r>
  <r>
    <n v="110"/>
    <x v="0"/>
    <x v="21"/>
    <x v="8"/>
    <s v="Percent change"/>
    <s v="Units"/>
    <x v="3"/>
    <n v="3.01"/>
  </r>
  <r>
    <n v="110"/>
    <x v="0"/>
    <x v="21"/>
    <x v="8"/>
    <s v="Percent change"/>
    <s v="Units"/>
    <x v="4"/>
    <n v="1.4610000000000001"/>
  </r>
  <r>
    <n v="110"/>
    <x v="0"/>
    <x v="21"/>
    <x v="8"/>
    <s v="Percent change"/>
    <s v="Units"/>
    <x v="5"/>
    <n v="1.1579999999999999"/>
  </r>
  <r>
    <n v="110"/>
    <x v="0"/>
    <x v="21"/>
    <x v="8"/>
    <s v="Percent change"/>
    <s v="Units"/>
    <x v="6"/>
    <n v="1.194"/>
  </r>
  <r>
    <n v="163"/>
    <x v="5"/>
    <x v="21"/>
    <x v="8"/>
    <s v="Percent change"/>
    <s v="Units"/>
    <x v="0"/>
    <n v="2.2410000000000001"/>
  </r>
  <r>
    <n v="163"/>
    <x v="5"/>
    <x v="21"/>
    <x v="8"/>
    <s v="Percent change"/>
    <s v="Units"/>
    <x v="1"/>
    <n v="-5.2610000000000001"/>
  </r>
  <r>
    <n v="163"/>
    <x v="5"/>
    <x v="21"/>
    <x v="8"/>
    <s v="Percent change"/>
    <s v="Units"/>
    <x v="2"/>
    <n v="6.851"/>
  </r>
  <r>
    <n v="163"/>
    <x v="5"/>
    <x v="21"/>
    <x v="8"/>
    <s v="Percent change"/>
    <s v="Units"/>
    <x v="3"/>
    <n v="3.01"/>
  </r>
  <r>
    <n v="163"/>
    <x v="5"/>
    <x v="21"/>
    <x v="8"/>
    <s v="Percent change"/>
    <s v="Units"/>
    <x v="4"/>
    <n v="1.4610000000000001"/>
  </r>
  <r>
    <n v="163"/>
    <x v="5"/>
    <x v="21"/>
    <x v="8"/>
    <s v="Percent change"/>
    <s v="Units"/>
    <x v="5"/>
    <n v="1.1579999999999999"/>
  </r>
  <r>
    <n v="163"/>
    <x v="5"/>
    <x v="21"/>
    <x v="8"/>
    <s v="Percent change"/>
    <s v="Units"/>
    <x v="6"/>
    <n v="1.194"/>
  </r>
  <r>
    <n v="998"/>
    <x v="6"/>
    <x v="21"/>
    <x v="8"/>
    <s v="Percent change"/>
    <s v="Units"/>
    <x v="0"/>
    <n v="2.2410000000000001"/>
  </r>
  <r>
    <n v="998"/>
    <x v="6"/>
    <x v="21"/>
    <x v="8"/>
    <s v="Percent change"/>
    <s v="Units"/>
    <x v="1"/>
    <n v="-5.2610000000000001"/>
  </r>
  <r>
    <n v="998"/>
    <x v="6"/>
    <x v="21"/>
    <x v="8"/>
    <s v="Percent change"/>
    <s v="Units"/>
    <x v="2"/>
    <n v="6.851"/>
  </r>
  <r>
    <n v="998"/>
    <x v="6"/>
    <x v="21"/>
    <x v="8"/>
    <s v="Percent change"/>
    <s v="Units"/>
    <x v="3"/>
    <n v="3.01"/>
  </r>
  <r>
    <n v="998"/>
    <x v="6"/>
    <x v="21"/>
    <x v="8"/>
    <s v="Percent change"/>
    <s v="Units"/>
    <x v="4"/>
    <n v="1.4610000000000001"/>
  </r>
  <r>
    <n v="998"/>
    <x v="6"/>
    <x v="21"/>
    <x v="8"/>
    <s v="Percent change"/>
    <s v="Units"/>
    <x v="5"/>
    <n v="1.1579999999999999"/>
  </r>
  <r>
    <n v="998"/>
    <x v="6"/>
    <x v="21"/>
    <x v="8"/>
    <s v="Percent change"/>
    <s v="Units"/>
    <x v="6"/>
    <n v="1.194"/>
  </r>
  <r>
    <n v="1"/>
    <x v="2"/>
    <x v="21"/>
    <x v="8"/>
    <s v="Percent change"/>
    <s v="Units"/>
    <x v="0"/>
    <n v="2.2410000000000001"/>
  </r>
  <r>
    <n v="1"/>
    <x v="2"/>
    <x v="21"/>
    <x v="8"/>
    <s v="Percent change"/>
    <s v="Units"/>
    <x v="1"/>
    <n v="-5.2610000000000001"/>
  </r>
  <r>
    <n v="1"/>
    <x v="2"/>
    <x v="21"/>
    <x v="8"/>
    <s v="Percent change"/>
    <s v="Units"/>
    <x v="2"/>
    <n v="6.851"/>
  </r>
  <r>
    <n v="1"/>
    <x v="2"/>
    <x v="21"/>
    <x v="8"/>
    <s v="Percent change"/>
    <s v="Units"/>
    <x v="3"/>
    <n v="3.01"/>
  </r>
  <r>
    <n v="1"/>
    <x v="2"/>
    <x v="21"/>
    <x v="8"/>
    <s v="Percent change"/>
    <s v="Units"/>
    <x v="4"/>
    <n v="1.4610000000000001"/>
  </r>
  <r>
    <n v="1"/>
    <x v="2"/>
    <x v="21"/>
    <x v="8"/>
    <s v="Percent change"/>
    <s v="Units"/>
    <x v="5"/>
    <n v="1.1579999999999999"/>
  </r>
  <r>
    <n v="1"/>
    <x v="2"/>
    <x v="21"/>
    <x v="8"/>
    <s v="Percent change"/>
    <s v="Units"/>
    <x v="6"/>
    <n v="1.194"/>
  </r>
  <r>
    <n v="205"/>
    <x v="7"/>
    <x v="169"/>
    <x v="9"/>
    <s v="Percent of GDP"/>
    <s v="Units"/>
    <x v="0"/>
    <n v="-0.24299999999999999"/>
  </r>
  <r>
    <n v="205"/>
    <x v="7"/>
    <x v="169"/>
    <x v="9"/>
    <s v="Percent of GDP"/>
    <s v="Units"/>
    <x v="1"/>
    <n v="-16.23"/>
  </r>
  <r>
    <n v="205"/>
    <x v="7"/>
    <x v="169"/>
    <x v="9"/>
    <s v="Percent of GDP"/>
    <s v="Units"/>
    <x v="2"/>
    <n v="-9.1609999999999996"/>
  </r>
  <r>
    <n v="205"/>
    <x v="7"/>
    <x v="169"/>
    <x v="9"/>
    <s v="Percent of GDP"/>
    <s v="Units"/>
    <x v="3"/>
    <n v="-0.46500000000000002"/>
  </r>
  <r>
    <n v="205"/>
    <x v="7"/>
    <x v="169"/>
    <x v="9"/>
    <s v="Percent of GDP"/>
    <s v="Units"/>
    <x v="4"/>
    <n v="1.5549999999999999"/>
  </r>
  <r>
    <n v="205"/>
    <x v="7"/>
    <x v="169"/>
    <x v="9"/>
    <s v="Percent of GDP"/>
    <s v="Units"/>
    <x v="5"/>
    <n v="1.1559999999999999"/>
  </r>
  <r>
    <n v="205"/>
    <x v="7"/>
    <x v="169"/>
    <x v="9"/>
    <s v="Percent of GDP"/>
    <s v="Units"/>
    <x v="6"/>
    <n v="1.3120000000000001"/>
  </r>
  <r>
    <n v="200"/>
    <x v="3"/>
    <x v="169"/>
    <x v="9"/>
    <s v="Percent of GDP"/>
    <s v="Units"/>
    <x v="0"/>
    <n v="-0.24299999999999999"/>
  </r>
  <r>
    <n v="200"/>
    <x v="3"/>
    <x v="169"/>
    <x v="9"/>
    <s v="Percent of GDP"/>
    <s v="Units"/>
    <x v="1"/>
    <n v="-16.23"/>
  </r>
  <r>
    <n v="200"/>
    <x v="3"/>
    <x v="169"/>
    <x v="9"/>
    <s v="Percent of GDP"/>
    <s v="Units"/>
    <x v="2"/>
    <n v="-9.1609999999999996"/>
  </r>
  <r>
    <n v="200"/>
    <x v="3"/>
    <x v="169"/>
    <x v="9"/>
    <s v="Percent of GDP"/>
    <s v="Units"/>
    <x v="3"/>
    <n v="-0.46500000000000002"/>
  </r>
  <r>
    <n v="200"/>
    <x v="3"/>
    <x v="169"/>
    <x v="9"/>
    <s v="Percent of GDP"/>
    <s v="Units"/>
    <x v="4"/>
    <n v="1.5549999999999999"/>
  </r>
  <r>
    <n v="200"/>
    <x v="3"/>
    <x v="169"/>
    <x v="9"/>
    <s v="Percent of GDP"/>
    <s v="Units"/>
    <x v="5"/>
    <n v="1.1559999999999999"/>
  </r>
  <r>
    <n v="200"/>
    <x v="3"/>
    <x v="169"/>
    <x v="9"/>
    <s v="Percent of GDP"/>
    <s v="Units"/>
    <x v="6"/>
    <n v="1.3120000000000001"/>
  </r>
  <r>
    <n v="110"/>
    <x v="0"/>
    <x v="9"/>
    <x v="8"/>
    <s v="Percent change"/>
    <s v="Units"/>
    <x v="0"/>
    <n v="1.9079999999999999"/>
  </r>
  <r>
    <n v="110"/>
    <x v="0"/>
    <x v="9"/>
    <x v="8"/>
    <s v="Percent change"/>
    <s v="Units"/>
    <x v="1"/>
    <n v="-5.0380000000000003"/>
  </r>
  <r>
    <n v="110"/>
    <x v="0"/>
    <x v="9"/>
    <x v="8"/>
    <s v="Percent change"/>
    <s v="Units"/>
    <x v="2"/>
    <n v="5.2869999999999999"/>
  </r>
  <r>
    <n v="110"/>
    <x v="0"/>
    <x v="9"/>
    <x v="8"/>
    <s v="Percent change"/>
    <s v="Units"/>
    <x v="3"/>
    <n v="3.82"/>
  </r>
  <r>
    <n v="110"/>
    <x v="0"/>
    <x v="9"/>
    <x v="8"/>
    <s v="Percent change"/>
    <s v="Units"/>
    <x v="4"/>
    <n v="1.0660000000000001"/>
  </r>
  <r>
    <n v="110"/>
    <x v="0"/>
    <x v="9"/>
    <x v="8"/>
    <s v="Percent change"/>
    <s v="Units"/>
    <x v="5"/>
    <n v="1.1539999999999999"/>
  </r>
  <r>
    <n v="110"/>
    <x v="0"/>
    <x v="9"/>
    <x v="8"/>
    <s v="Percent change"/>
    <s v="Units"/>
    <x v="6"/>
    <n v="2.3079999999999998"/>
  </r>
  <r>
    <n v="119"/>
    <x v="1"/>
    <x v="9"/>
    <x v="8"/>
    <s v="Percent change"/>
    <s v="Units"/>
    <x v="0"/>
    <n v="1.9079999999999999"/>
  </r>
  <r>
    <n v="119"/>
    <x v="1"/>
    <x v="9"/>
    <x v="8"/>
    <s v="Percent change"/>
    <s v="Units"/>
    <x v="1"/>
    <n v="-5.0380000000000003"/>
  </r>
  <r>
    <n v="119"/>
    <x v="1"/>
    <x v="9"/>
    <x v="8"/>
    <s v="Percent change"/>
    <s v="Units"/>
    <x v="2"/>
    <n v="5.2869999999999999"/>
  </r>
  <r>
    <n v="119"/>
    <x v="1"/>
    <x v="9"/>
    <x v="8"/>
    <s v="Percent change"/>
    <s v="Units"/>
    <x v="3"/>
    <n v="3.82"/>
  </r>
  <r>
    <n v="119"/>
    <x v="1"/>
    <x v="9"/>
    <x v="8"/>
    <s v="Percent change"/>
    <s v="Units"/>
    <x v="4"/>
    <n v="1.0660000000000001"/>
  </r>
  <r>
    <n v="119"/>
    <x v="1"/>
    <x v="9"/>
    <x v="8"/>
    <s v="Percent change"/>
    <s v="Units"/>
    <x v="5"/>
    <n v="1.1539999999999999"/>
  </r>
  <r>
    <n v="119"/>
    <x v="1"/>
    <x v="9"/>
    <x v="8"/>
    <s v="Percent change"/>
    <s v="Units"/>
    <x v="6"/>
    <n v="2.3079999999999998"/>
  </r>
  <r>
    <n v="1"/>
    <x v="2"/>
    <x v="9"/>
    <x v="8"/>
    <s v="Percent change"/>
    <s v="Units"/>
    <x v="0"/>
    <n v="1.9079999999999999"/>
  </r>
  <r>
    <n v="1"/>
    <x v="2"/>
    <x v="9"/>
    <x v="8"/>
    <s v="Percent change"/>
    <s v="Units"/>
    <x v="1"/>
    <n v="-5.0380000000000003"/>
  </r>
  <r>
    <n v="1"/>
    <x v="2"/>
    <x v="9"/>
    <x v="8"/>
    <s v="Percent change"/>
    <s v="Units"/>
    <x v="2"/>
    <n v="5.2869999999999999"/>
  </r>
  <r>
    <n v="1"/>
    <x v="2"/>
    <x v="9"/>
    <x v="8"/>
    <s v="Percent change"/>
    <s v="Units"/>
    <x v="3"/>
    <n v="3.82"/>
  </r>
  <r>
    <n v="1"/>
    <x v="2"/>
    <x v="9"/>
    <x v="8"/>
    <s v="Percent change"/>
    <s v="Units"/>
    <x v="4"/>
    <n v="1.0660000000000001"/>
  </r>
  <r>
    <n v="1"/>
    <x v="2"/>
    <x v="9"/>
    <x v="8"/>
    <s v="Percent change"/>
    <s v="Units"/>
    <x v="5"/>
    <n v="1.1539999999999999"/>
  </r>
  <r>
    <n v="1"/>
    <x v="2"/>
    <x v="9"/>
    <x v="8"/>
    <s v="Percent change"/>
    <s v="Units"/>
    <x v="6"/>
    <n v="2.3079999999999998"/>
  </r>
  <r>
    <n v="200"/>
    <x v="3"/>
    <x v="39"/>
    <x v="8"/>
    <s v="Percent change"/>
    <s v="Units"/>
    <x v="0"/>
    <n v="3.1869999999999998"/>
  </r>
  <r>
    <n v="200"/>
    <x v="3"/>
    <x v="39"/>
    <x v="8"/>
    <s v="Percent change"/>
    <s v="Units"/>
    <x v="1"/>
    <n v="-7.1859999999999999"/>
  </r>
  <r>
    <n v="200"/>
    <x v="3"/>
    <x v="39"/>
    <x v="8"/>
    <s v="Percent change"/>
    <s v="Units"/>
    <x v="2"/>
    <n v="10.801"/>
  </r>
  <r>
    <n v="200"/>
    <x v="3"/>
    <x v="39"/>
    <x v="8"/>
    <s v="Percent change"/>
    <s v="Units"/>
    <x v="3"/>
    <n v="7.2889999999999997"/>
  </r>
  <r>
    <n v="200"/>
    <x v="3"/>
    <x v="39"/>
    <x v="8"/>
    <s v="Percent change"/>
    <s v="Units"/>
    <x v="4"/>
    <n v="0.61199999999999999"/>
  </r>
  <r>
    <n v="200"/>
    <x v="3"/>
    <x v="39"/>
    <x v="8"/>
    <s v="Percent change"/>
    <s v="Units"/>
    <x v="5"/>
    <n v="1.1399999999999999"/>
  </r>
  <r>
    <n v="200"/>
    <x v="3"/>
    <x v="39"/>
    <x v="8"/>
    <s v="Percent change"/>
    <s v="Units"/>
    <x v="6"/>
    <n v="2.4700000000000002"/>
  </r>
  <r>
    <n v="1"/>
    <x v="2"/>
    <x v="39"/>
    <x v="8"/>
    <s v="Percent change"/>
    <s v="Units"/>
    <x v="0"/>
    <n v="3.1869999999999998"/>
  </r>
  <r>
    <n v="1"/>
    <x v="2"/>
    <x v="39"/>
    <x v="8"/>
    <s v="Percent change"/>
    <s v="Units"/>
    <x v="1"/>
    <n v="-7.1859999999999999"/>
  </r>
  <r>
    <n v="1"/>
    <x v="2"/>
    <x v="39"/>
    <x v="8"/>
    <s v="Percent change"/>
    <s v="Units"/>
    <x v="2"/>
    <n v="10.801"/>
  </r>
  <r>
    <n v="1"/>
    <x v="2"/>
    <x v="39"/>
    <x v="8"/>
    <s v="Percent change"/>
    <s v="Units"/>
    <x v="3"/>
    <n v="7.2889999999999997"/>
  </r>
  <r>
    <n v="1"/>
    <x v="2"/>
    <x v="39"/>
    <x v="8"/>
    <s v="Percent change"/>
    <s v="Units"/>
    <x v="4"/>
    <n v="0.61199999999999999"/>
  </r>
  <r>
    <n v="1"/>
    <x v="2"/>
    <x v="39"/>
    <x v="8"/>
    <s v="Percent change"/>
    <s v="Units"/>
    <x v="5"/>
    <n v="1.1399999999999999"/>
  </r>
  <r>
    <n v="1"/>
    <x v="2"/>
    <x v="39"/>
    <x v="8"/>
    <s v="Percent change"/>
    <s v="Units"/>
    <x v="6"/>
    <n v="2.4700000000000002"/>
  </r>
  <r>
    <n v="205"/>
    <x v="7"/>
    <x v="39"/>
    <x v="8"/>
    <s v="Percent change"/>
    <s v="Units"/>
    <x v="0"/>
    <n v="3.1869999999999998"/>
  </r>
  <r>
    <n v="205"/>
    <x v="7"/>
    <x v="39"/>
    <x v="8"/>
    <s v="Percent change"/>
    <s v="Units"/>
    <x v="1"/>
    <n v="-7.1859999999999999"/>
  </r>
  <r>
    <n v="205"/>
    <x v="7"/>
    <x v="39"/>
    <x v="8"/>
    <s v="Percent change"/>
    <s v="Units"/>
    <x v="2"/>
    <n v="10.801"/>
  </r>
  <r>
    <n v="205"/>
    <x v="7"/>
    <x v="39"/>
    <x v="8"/>
    <s v="Percent change"/>
    <s v="Units"/>
    <x v="3"/>
    <n v="7.2889999999999997"/>
  </r>
  <r>
    <n v="205"/>
    <x v="7"/>
    <x v="39"/>
    <x v="8"/>
    <s v="Percent change"/>
    <s v="Units"/>
    <x v="4"/>
    <n v="0.61199999999999999"/>
  </r>
  <r>
    <n v="205"/>
    <x v="7"/>
    <x v="39"/>
    <x v="8"/>
    <s v="Percent change"/>
    <s v="Units"/>
    <x v="5"/>
    <n v="1.1399999999999999"/>
  </r>
  <r>
    <n v="205"/>
    <x v="7"/>
    <x v="39"/>
    <x v="8"/>
    <s v="Percent change"/>
    <s v="Units"/>
    <x v="6"/>
    <n v="2.4700000000000002"/>
  </r>
  <r>
    <n v="1"/>
    <x v="2"/>
    <x v="124"/>
    <x v="0"/>
    <s v="U.S. dollars"/>
    <s v="Billions"/>
    <x v="0"/>
    <n v="1.107"/>
  </r>
  <r>
    <n v="1"/>
    <x v="2"/>
    <x v="124"/>
    <x v="0"/>
    <s v="U.S. dollars"/>
    <s v="Billions"/>
    <x v="1"/>
    <n v="0.88400000000000001"/>
  </r>
  <r>
    <n v="1"/>
    <x v="2"/>
    <x v="124"/>
    <x v="0"/>
    <s v="U.S. dollars"/>
    <s v="Billions"/>
    <x v="2"/>
    <n v="0.85899999999999999"/>
  </r>
  <r>
    <n v="1"/>
    <x v="2"/>
    <x v="124"/>
    <x v="0"/>
    <s v="U.S. dollars"/>
    <s v="Billions"/>
    <x v="3"/>
    <n v="0.97299999999999998"/>
  </r>
  <r>
    <n v="1"/>
    <x v="2"/>
    <x v="124"/>
    <x v="0"/>
    <s v="U.S. dollars"/>
    <s v="Billions"/>
    <x v="4"/>
    <n v="1.0680000000000001"/>
  </r>
  <r>
    <n v="1"/>
    <x v="2"/>
    <x v="124"/>
    <x v="0"/>
    <s v="U.S. dollars"/>
    <s v="Billions"/>
    <x v="5"/>
    <n v="1.1339999999999999"/>
  </r>
  <r>
    <n v="1"/>
    <x v="2"/>
    <x v="124"/>
    <x v="0"/>
    <s v="U.S. dollars"/>
    <s v="Billions"/>
    <x v="6"/>
    <n v="1.2070000000000001"/>
  </r>
  <r>
    <n v="200"/>
    <x v="3"/>
    <x v="124"/>
    <x v="0"/>
    <s v="U.S. dollars"/>
    <s v="Billions"/>
    <x v="0"/>
    <n v="1.107"/>
  </r>
  <r>
    <n v="200"/>
    <x v="3"/>
    <x v="124"/>
    <x v="0"/>
    <s v="U.S. dollars"/>
    <s v="Billions"/>
    <x v="1"/>
    <n v="0.88400000000000001"/>
  </r>
  <r>
    <n v="200"/>
    <x v="3"/>
    <x v="124"/>
    <x v="0"/>
    <s v="U.S. dollars"/>
    <s v="Billions"/>
    <x v="2"/>
    <n v="0.85899999999999999"/>
  </r>
  <r>
    <n v="200"/>
    <x v="3"/>
    <x v="124"/>
    <x v="0"/>
    <s v="U.S. dollars"/>
    <s v="Billions"/>
    <x v="3"/>
    <n v="0.97299999999999998"/>
  </r>
  <r>
    <n v="200"/>
    <x v="3"/>
    <x v="124"/>
    <x v="0"/>
    <s v="U.S. dollars"/>
    <s v="Billions"/>
    <x v="4"/>
    <n v="1.0680000000000001"/>
  </r>
  <r>
    <n v="200"/>
    <x v="3"/>
    <x v="124"/>
    <x v="0"/>
    <s v="U.S. dollars"/>
    <s v="Billions"/>
    <x v="5"/>
    <n v="1.1339999999999999"/>
  </r>
  <r>
    <n v="200"/>
    <x v="3"/>
    <x v="124"/>
    <x v="0"/>
    <s v="U.S. dollars"/>
    <s v="Billions"/>
    <x v="6"/>
    <n v="1.2070000000000001"/>
  </r>
  <r>
    <n v="205"/>
    <x v="7"/>
    <x v="124"/>
    <x v="0"/>
    <s v="U.S. dollars"/>
    <s v="Billions"/>
    <x v="0"/>
    <n v="1.107"/>
  </r>
  <r>
    <n v="205"/>
    <x v="7"/>
    <x v="124"/>
    <x v="0"/>
    <s v="U.S. dollars"/>
    <s v="Billions"/>
    <x v="1"/>
    <n v="0.88400000000000001"/>
  </r>
  <r>
    <n v="205"/>
    <x v="7"/>
    <x v="124"/>
    <x v="0"/>
    <s v="U.S. dollars"/>
    <s v="Billions"/>
    <x v="2"/>
    <n v="0.85899999999999999"/>
  </r>
  <r>
    <n v="205"/>
    <x v="7"/>
    <x v="124"/>
    <x v="0"/>
    <s v="U.S. dollars"/>
    <s v="Billions"/>
    <x v="3"/>
    <n v="0.97299999999999998"/>
  </r>
  <r>
    <n v="205"/>
    <x v="7"/>
    <x v="124"/>
    <x v="0"/>
    <s v="U.S. dollars"/>
    <s v="Billions"/>
    <x v="4"/>
    <n v="1.0680000000000001"/>
  </r>
  <r>
    <n v="205"/>
    <x v="7"/>
    <x v="124"/>
    <x v="0"/>
    <s v="U.S. dollars"/>
    <s v="Billions"/>
    <x v="5"/>
    <n v="1.1339999999999999"/>
  </r>
  <r>
    <n v="205"/>
    <x v="7"/>
    <x v="124"/>
    <x v="0"/>
    <s v="U.S. dollars"/>
    <s v="Billions"/>
    <x v="6"/>
    <n v="1.2070000000000001"/>
  </r>
  <r>
    <n v="400"/>
    <x v="11"/>
    <x v="86"/>
    <x v="6"/>
    <s v="Percent change"/>
    <s v="Units"/>
    <x v="0"/>
    <n v="0.76800000000000002"/>
  </r>
  <r>
    <n v="400"/>
    <x v="11"/>
    <x v="86"/>
    <x v="6"/>
    <s v="Percent change"/>
    <s v="Units"/>
    <x v="1"/>
    <n v="-7.1710000000000003"/>
  </r>
  <r>
    <n v="400"/>
    <x v="11"/>
    <x v="86"/>
    <x v="6"/>
    <s v="Percent change"/>
    <s v="Units"/>
    <x v="2"/>
    <n v="-16.128"/>
  </r>
  <r>
    <n v="400"/>
    <x v="11"/>
    <x v="86"/>
    <x v="6"/>
    <s v="Percent change"/>
    <s v="Units"/>
    <x v="3"/>
    <n v="14.114000000000001"/>
  </r>
  <r>
    <n v="400"/>
    <x v="11"/>
    <x v="86"/>
    <x v="6"/>
    <s v="Percent change"/>
    <s v="Units"/>
    <x v="4"/>
    <n v="2.9340000000000002"/>
  </r>
  <r>
    <n v="400"/>
    <x v="11"/>
    <x v="86"/>
    <x v="6"/>
    <s v="Percent change"/>
    <s v="Units"/>
    <x v="5"/>
    <n v="1.133"/>
  </r>
  <r>
    <n v="400"/>
    <x v="11"/>
    <x v="86"/>
    <x v="6"/>
    <s v="Percent change"/>
    <s v="Units"/>
    <x v="6"/>
    <n v="1.32"/>
  </r>
  <r>
    <n v="1"/>
    <x v="2"/>
    <x v="86"/>
    <x v="6"/>
    <s v="Percent change"/>
    <s v="Units"/>
    <x v="0"/>
    <n v="0.76800000000000002"/>
  </r>
  <r>
    <n v="1"/>
    <x v="2"/>
    <x v="86"/>
    <x v="6"/>
    <s v="Percent change"/>
    <s v="Units"/>
    <x v="1"/>
    <n v="-7.1710000000000003"/>
  </r>
  <r>
    <n v="1"/>
    <x v="2"/>
    <x v="86"/>
    <x v="6"/>
    <s v="Percent change"/>
    <s v="Units"/>
    <x v="2"/>
    <n v="-16.128"/>
  </r>
  <r>
    <n v="1"/>
    <x v="2"/>
    <x v="86"/>
    <x v="6"/>
    <s v="Percent change"/>
    <s v="Units"/>
    <x v="3"/>
    <n v="14.114000000000001"/>
  </r>
  <r>
    <n v="1"/>
    <x v="2"/>
    <x v="86"/>
    <x v="6"/>
    <s v="Percent change"/>
    <s v="Units"/>
    <x v="4"/>
    <n v="2.9340000000000002"/>
  </r>
  <r>
    <n v="1"/>
    <x v="2"/>
    <x v="86"/>
    <x v="6"/>
    <s v="Percent change"/>
    <s v="Units"/>
    <x v="5"/>
    <n v="1.133"/>
  </r>
  <r>
    <n v="1"/>
    <x v="2"/>
    <x v="86"/>
    <x v="6"/>
    <s v="Percent change"/>
    <s v="Units"/>
    <x v="6"/>
    <n v="1.32"/>
  </r>
  <r>
    <n v="200"/>
    <x v="3"/>
    <x v="86"/>
    <x v="6"/>
    <s v="Percent change"/>
    <s v="Units"/>
    <x v="0"/>
    <n v="0.76800000000000002"/>
  </r>
  <r>
    <n v="200"/>
    <x v="3"/>
    <x v="86"/>
    <x v="6"/>
    <s v="Percent change"/>
    <s v="Units"/>
    <x v="1"/>
    <n v="-7.1710000000000003"/>
  </r>
  <r>
    <n v="200"/>
    <x v="3"/>
    <x v="86"/>
    <x v="6"/>
    <s v="Percent change"/>
    <s v="Units"/>
    <x v="2"/>
    <n v="-16.128"/>
  </r>
  <r>
    <n v="200"/>
    <x v="3"/>
    <x v="86"/>
    <x v="6"/>
    <s v="Percent change"/>
    <s v="Units"/>
    <x v="3"/>
    <n v="14.114000000000001"/>
  </r>
  <r>
    <n v="200"/>
    <x v="3"/>
    <x v="86"/>
    <x v="6"/>
    <s v="Percent change"/>
    <s v="Units"/>
    <x v="4"/>
    <n v="2.9340000000000002"/>
  </r>
  <r>
    <n v="200"/>
    <x v="3"/>
    <x v="86"/>
    <x v="6"/>
    <s v="Percent change"/>
    <s v="Units"/>
    <x v="5"/>
    <n v="1.133"/>
  </r>
  <r>
    <n v="200"/>
    <x v="3"/>
    <x v="86"/>
    <x v="6"/>
    <s v="Percent change"/>
    <s v="Units"/>
    <x v="6"/>
    <n v="1.32"/>
  </r>
  <r>
    <n v="205"/>
    <x v="7"/>
    <x v="137"/>
    <x v="0"/>
    <s v="U.S. dollars"/>
    <s v="Billions"/>
    <x v="0"/>
    <n v="0.91100000000000003"/>
  </r>
  <r>
    <n v="205"/>
    <x v="7"/>
    <x v="137"/>
    <x v="0"/>
    <s v="U.S. dollars"/>
    <s v="Billions"/>
    <x v="1"/>
    <n v="0.86899999999999999"/>
  </r>
  <r>
    <n v="205"/>
    <x v="7"/>
    <x v="137"/>
    <x v="0"/>
    <s v="U.S. dollars"/>
    <s v="Billions"/>
    <x v="2"/>
    <n v="0.872"/>
  </r>
  <r>
    <n v="205"/>
    <x v="7"/>
    <x v="137"/>
    <x v="0"/>
    <s v="U.S. dollars"/>
    <s v="Billions"/>
    <x v="3"/>
    <n v="0.94699999999999995"/>
  </r>
  <r>
    <n v="205"/>
    <x v="7"/>
    <x v="137"/>
    <x v="0"/>
    <s v="U.S. dollars"/>
    <s v="Billions"/>
    <x v="4"/>
    <n v="1.0409999999999999"/>
  </r>
  <r>
    <n v="205"/>
    <x v="7"/>
    <x v="137"/>
    <x v="0"/>
    <s v="U.S. dollars"/>
    <s v="Billions"/>
    <x v="5"/>
    <n v="1.1279999999999999"/>
  </r>
  <r>
    <n v="205"/>
    <x v="7"/>
    <x v="137"/>
    <x v="0"/>
    <s v="U.S. dollars"/>
    <s v="Billions"/>
    <x v="6"/>
    <n v="1.1950000000000001"/>
  </r>
  <r>
    <n v="200"/>
    <x v="3"/>
    <x v="39"/>
    <x v="6"/>
    <s v="Percent change"/>
    <s v="Units"/>
    <x v="0"/>
    <n v="7.343"/>
  </r>
  <r>
    <n v="200"/>
    <x v="3"/>
    <x v="39"/>
    <x v="6"/>
    <s v="Percent change"/>
    <s v="Units"/>
    <x v="1"/>
    <n v="-20.093"/>
  </r>
  <r>
    <n v="200"/>
    <x v="3"/>
    <x v="39"/>
    <x v="6"/>
    <s v="Percent change"/>
    <s v="Units"/>
    <x v="2"/>
    <n v="26.728999999999999"/>
  </r>
  <r>
    <n v="200"/>
    <x v="3"/>
    <x v="39"/>
    <x v="6"/>
    <s v="Percent change"/>
    <s v="Units"/>
    <x v="3"/>
    <n v="23.614000000000001"/>
  </r>
  <r>
    <n v="200"/>
    <x v="3"/>
    <x v="39"/>
    <x v="6"/>
    <s v="Percent change"/>
    <s v="Units"/>
    <x v="4"/>
    <n v="-12.202999999999999"/>
  </r>
  <r>
    <n v="200"/>
    <x v="3"/>
    <x v="39"/>
    <x v="6"/>
    <s v="Percent change"/>
    <s v="Units"/>
    <x v="5"/>
    <n v="1.1279999999999999"/>
  </r>
  <r>
    <n v="200"/>
    <x v="3"/>
    <x v="39"/>
    <x v="6"/>
    <s v="Percent change"/>
    <s v="Units"/>
    <x v="6"/>
    <n v="2.851"/>
  </r>
  <r>
    <n v="205"/>
    <x v="7"/>
    <x v="39"/>
    <x v="6"/>
    <s v="Percent change"/>
    <s v="Units"/>
    <x v="0"/>
    <n v="7.343"/>
  </r>
  <r>
    <n v="205"/>
    <x v="7"/>
    <x v="39"/>
    <x v="6"/>
    <s v="Percent change"/>
    <s v="Units"/>
    <x v="1"/>
    <n v="-20.093"/>
  </r>
  <r>
    <n v="205"/>
    <x v="7"/>
    <x v="39"/>
    <x v="6"/>
    <s v="Percent change"/>
    <s v="Units"/>
    <x v="2"/>
    <n v="26.728999999999999"/>
  </r>
  <r>
    <n v="205"/>
    <x v="7"/>
    <x v="39"/>
    <x v="6"/>
    <s v="Percent change"/>
    <s v="Units"/>
    <x v="3"/>
    <n v="23.614000000000001"/>
  </r>
  <r>
    <n v="205"/>
    <x v="7"/>
    <x v="39"/>
    <x v="6"/>
    <s v="Percent change"/>
    <s v="Units"/>
    <x v="4"/>
    <n v="-12.202999999999999"/>
  </r>
  <r>
    <n v="205"/>
    <x v="7"/>
    <x v="39"/>
    <x v="6"/>
    <s v="Percent change"/>
    <s v="Units"/>
    <x v="5"/>
    <n v="1.1279999999999999"/>
  </r>
  <r>
    <n v="205"/>
    <x v="7"/>
    <x v="39"/>
    <x v="6"/>
    <s v="Percent change"/>
    <s v="Units"/>
    <x v="6"/>
    <n v="2.851"/>
  </r>
  <r>
    <n v="1"/>
    <x v="2"/>
    <x v="39"/>
    <x v="6"/>
    <s v="Percent change"/>
    <s v="Units"/>
    <x v="0"/>
    <n v="7.343"/>
  </r>
  <r>
    <n v="1"/>
    <x v="2"/>
    <x v="39"/>
    <x v="6"/>
    <s v="Percent change"/>
    <s v="Units"/>
    <x v="1"/>
    <n v="-20.093"/>
  </r>
  <r>
    <n v="1"/>
    <x v="2"/>
    <x v="39"/>
    <x v="6"/>
    <s v="Percent change"/>
    <s v="Units"/>
    <x v="2"/>
    <n v="26.728999999999999"/>
  </r>
  <r>
    <n v="1"/>
    <x v="2"/>
    <x v="39"/>
    <x v="6"/>
    <s v="Percent change"/>
    <s v="Units"/>
    <x v="3"/>
    <n v="23.614000000000001"/>
  </r>
  <r>
    <n v="1"/>
    <x v="2"/>
    <x v="39"/>
    <x v="6"/>
    <s v="Percent change"/>
    <s v="Units"/>
    <x v="4"/>
    <n v="-12.202999999999999"/>
  </r>
  <r>
    <n v="1"/>
    <x v="2"/>
    <x v="39"/>
    <x v="6"/>
    <s v="Percent change"/>
    <s v="Units"/>
    <x v="5"/>
    <n v="1.1279999999999999"/>
  </r>
  <r>
    <n v="1"/>
    <x v="2"/>
    <x v="39"/>
    <x v="6"/>
    <s v="Percent change"/>
    <s v="Units"/>
    <x v="6"/>
    <n v="2.851"/>
  </r>
  <r>
    <n v="200"/>
    <x v="3"/>
    <x v="137"/>
    <x v="0"/>
    <s v="U.S. dollars"/>
    <s v="Billions"/>
    <x v="0"/>
    <n v="0.91100000000000003"/>
  </r>
  <r>
    <n v="200"/>
    <x v="3"/>
    <x v="137"/>
    <x v="0"/>
    <s v="U.S. dollars"/>
    <s v="Billions"/>
    <x v="1"/>
    <n v="0.86899999999999999"/>
  </r>
  <r>
    <n v="200"/>
    <x v="3"/>
    <x v="137"/>
    <x v="0"/>
    <s v="U.S. dollars"/>
    <s v="Billions"/>
    <x v="2"/>
    <n v="0.872"/>
  </r>
  <r>
    <n v="200"/>
    <x v="3"/>
    <x v="137"/>
    <x v="0"/>
    <s v="U.S. dollars"/>
    <s v="Billions"/>
    <x v="3"/>
    <n v="0.94699999999999995"/>
  </r>
  <r>
    <n v="200"/>
    <x v="3"/>
    <x v="137"/>
    <x v="0"/>
    <s v="U.S. dollars"/>
    <s v="Billions"/>
    <x v="4"/>
    <n v="1.0409999999999999"/>
  </r>
  <r>
    <n v="200"/>
    <x v="3"/>
    <x v="137"/>
    <x v="0"/>
    <s v="U.S. dollars"/>
    <s v="Billions"/>
    <x v="5"/>
    <n v="1.1279999999999999"/>
  </r>
  <r>
    <n v="200"/>
    <x v="3"/>
    <x v="137"/>
    <x v="0"/>
    <s v="U.S. dollars"/>
    <s v="Billions"/>
    <x v="6"/>
    <n v="1.1950000000000001"/>
  </r>
  <r>
    <n v="1"/>
    <x v="2"/>
    <x v="137"/>
    <x v="0"/>
    <s v="U.S. dollars"/>
    <s v="Billions"/>
    <x v="0"/>
    <n v="0.91100000000000003"/>
  </r>
  <r>
    <n v="1"/>
    <x v="2"/>
    <x v="137"/>
    <x v="0"/>
    <s v="U.S. dollars"/>
    <s v="Billions"/>
    <x v="1"/>
    <n v="0.86899999999999999"/>
  </r>
  <r>
    <n v="1"/>
    <x v="2"/>
    <x v="137"/>
    <x v="0"/>
    <s v="U.S. dollars"/>
    <s v="Billions"/>
    <x v="2"/>
    <n v="0.872"/>
  </r>
  <r>
    <n v="1"/>
    <x v="2"/>
    <x v="137"/>
    <x v="0"/>
    <s v="U.S. dollars"/>
    <s v="Billions"/>
    <x v="3"/>
    <n v="0.94699999999999995"/>
  </r>
  <r>
    <n v="1"/>
    <x v="2"/>
    <x v="137"/>
    <x v="0"/>
    <s v="U.S. dollars"/>
    <s v="Billions"/>
    <x v="4"/>
    <n v="1.0409999999999999"/>
  </r>
  <r>
    <n v="1"/>
    <x v="2"/>
    <x v="137"/>
    <x v="0"/>
    <s v="U.S. dollars"/>
    <s v="Billions"/>
    <x v="5"/>
    <n v="1.1279999999999999"/>
  </r>
  <r>
    <n v="1"/>
    <x v="2"/>
    <x v="137"/>
    <x v="0"/>
    <s v="U.S. dollars"/>
    <s v="Billions"/>
    <x v="6"/>
    <n v="1.1950000000000001"/>
  </r>
  <r>
    <n v="603"/>
    <x v="12"/>
    <x v="162"/>
    <x v="6"/>
    <s v="Percent change"/>
    <s v="Units"/>
    <x v="0"/>
    <n v="14.342000000000001"/>
  </r>
  <r>
    <n v="603"/>
    <x v="12"/>
    <x v="162"/>
    <x v="6"/>
    <s v="Percent change"/>
    <s v="Units"/>
    <x v="1"/>
    <n v="7.359"/>
  </r>
  <r>
    <n v="603"/>
    <x v="12"/>
    <x v="162"/>
    <x v="6"/>
    <s v="Percent change"/>
    <s v="Units"/>
    <x v="2"/>
    <n v="-14.696"/>
  </r>
  <r>
    <n v="603"/>
    <x v="12"/>
    <x v="162"/>
    <x v="6"/>
    <s v="Percent change"/>
    <s v="Units"/>
    <x v="3"/>
    <n v="-57.194000000000003"/>
  </r>
  <r>
    <n v="603"/>
    <x v="12"/>
    <x v="162"/>
    <x v="6"/>
    <s v="Percent change"/>
    <s v="Units"/>
    <x v="4"/>
    <n v="75.974000000000004"/>
  </r>
  <r>
    <n v="603"/>
    <x v="12"/>
    <x v="162"/>
    <x v="6"/>
    <s v="Percent change"/>
    <s v="Units"/>
    <x v="5"/>
    <n v="1.123"/>
  </r>
  <r>
    <n v="603"/>
    <x v="12"/>
    <x v="162"/>
    <x v="6"/>
    <s v="Percent change"/>
    <s v="Units"/>
    <x v="6"/>
    <n v="15.454000000000001"/>
  </r>
  <r>
    <n v="200"/>
    <x v="3"/>
    <x v="162"/>
    <x v="6"/>
    <s v="Percent change"/>
    <s v="Units"/>
    <x v="0"/>
    <n v="14.342000000000001"/>
  </r>
  <r>
    <n v="200"/>
    <x v="3"/>
    <x v="162"/>
    <x v="6"/>
    <s v="Percent change"/>
    <s v="Units"/>
    <x v="1"/>
    <n v="7.359"/>
  </r>
  <r>
    <n v="200"/>
    <x v="3"/>
    <x v="162"/>
    <x v="6"/>
    <s v="Percent change"/>
    <s v="Units"/>
    <x v="2"/>
    <n v="-14.696"/>
  </r>
  <r>
    <n v="200"/>
    <x v="3"/>
    <x v="162"/>
    <x v="6"/>
    <s v="Percent change"/>
    <s v="Units"/>
    <x v="3"/>
    <n v="-57.194000000000003"/>
  </r>
  <r>
    <n v="200"/>
    <x v="3"/>
    <x v="162"/>
    <x v="6"/>
    <s v="Percent change"/>
    <s v="Units"/>
    <x v="4"/>
    <n v="75.974000000000004"/>
  </r>
  <r>
    <n v="200"/>
    <x v="3"/>
    <x v="162"/>
    <x v="6"/>
    <s v="Percent change"/>
    <s v="Units"/>
    <x v="5"/>
    <n v="1.123"/>
  </r>
  <r>
    <n v="200"/>
    <x v="3"/>
    <x v="162"/>
    <x v="6"/>
    <s v="Percent change"/>
    <s v="Units"/>
    <x v="6"/>
    <n v="15.454000000000001"/>
  </r>
  <r>
    <n v="1"/>
    <x v="2"/>
    <x v="162"/>
    <x v="6"/>
    <s v="Percent change"/>
    <s v="Units"/>
    <x v="0"/>
    <n v="14.342000000000001"/>
  </r>
  <r>
    <n v="1"/>
    <x v="2"/>
    <x v="162"/>
    <x v="6"/>
    <s v="Percent change"/>
    <s v="Units"/>
    <x v="1"/>
    <n v="7.359"/>
  </r>
  <r>
    <n v="1"/>
    <x v="2"/>
    <x v="162"/>
    <x v="6"/>
    <s v="Percent change"/>
    <s v="Units"/>
    <x v="2"/>
    <n v="-14.696"/>
  </r>
  <r>
    <n v="1"/>
    <x v="2"/>
    <x v="162"/>
    <x v="6"/>
    <s v="Percent change"/>
    <s v="Units"/>
    <x v="3"/>
    <n v="-57.194000000000003"/>
  </r>
  <r>
    <n v="1"/>
    <x v="2"/>
    <x v="162"/>
    <x v="6"/>
    <s v="Percent change"/>
    <s v="Units"/>
    <x v="4"/>
    <n v="75.974000000000004"/>
  </r>
  <r>
    <n v="1"/>
    <x v="2"/>
    <x v="162"/>
    <x v="6"/>
    <s v="Percent change"/>
    <s v="Units"/>
    <x v="5"/>
    <n v="1.123"/>
  </r>
  <r>
    <n v="1"/>
    <x v="2"/>
    <x v="162"/>
    <x v="6"/>
    <s v="Percent change"/>
    <s v="Units"/>
    <x v="6"/>
    <n v="15.454000000000001"/>
  </r>
  <r>
    <n v="119"/>
    <x v="1"/>
    <x v="0"/>
    <x v="6"/>
    <s v="Percent change"/>
    <s v="Units"/>
    <x v="0"/>
    <n v="1.1970000000000001"/>
  </r>
  <r>
    <n v="119"/>
    <x v="1"/>
    <x v="0"/>
    <x v="6"/>
    <s v="Percent change"/>
    <s v="Units"/>
    <x v="1"/>
    <n v="-9.0139999999999993"/>
  </r>
  <r>
    <n v="119"/>
    <x v="1"/>
    <x v="0"/>
    <x v="6"/>
    <s v="Percent change"/>
    <s v="Units"/>
    <x v="2"/>
    <n v="14.473000000000001"/>
  </r>
  <r>
    <n v="119"/>
    <x v="1"/>
    <x v="0"/>
    <x v="6"/>
    <s v="Percent change"/>
    <s v="Units"/>
    <x v="3"/>
    <n v="8.5839999999999996"/>
  </r>
  <r>
    <n v="119"/>
    <x v="1"/>
    <x v="0"/>
    <x v="6"/>
    <s v="Percent change"/>
    <s v="Units"/>
    <x v="4"/>
    <n v="-1.7"/>
  </r>
  <r>
    <n v="119"/>
    <x v="1"/>
    <x v="0"/>
    <x v="6"/>
    <s v="Percent change"/>
    <s v="Units"/>
    <x v="5"/>
    <n v="1.1060000000000001"/>
  </r>
  <r>
    <n v="119"/>
    <x v="1"/>
    <x v="0"/>
    <x v="6"/>
    <s v="Percent change"/>
    <s v="Units"/>
    <x v="6"/>
    <n v="1.9870000000000001"/>
  </r>
  <r>
    <n v="110"/>
    <x v="0"/>
    <x v="0"/>
    <x v="6"/>
    <s v="Percent change"/>
    <s v="Units"/>
    <x v="0"/>
    <n v="1.1970000000000001"/>
  </r>
  <r>
    <n v="110"/>
    <x v="0"/>
    <x v="0"/>
    <x v="6"/>
    <s v="Percent change"/>
    <s v="Units"/>
    <x v="1"/>
    <n v="-9.0139999999999993"/>
  </r>
  <r>
    <n v="110"/>
    <x v="0"/>
    <x v="0"/>
    <x v="6"/>
    <s v="Percent change"/>
    <s v="Units"/>
    <x v="2"/>
    <n v="14.473000000000001"/>
  </r>
  <r>
    <n v="110"/>
    <x v="0"/>
    <x v="0"/>
    <x v="6"/>
    <s v="Percent change"/>
    <s v="Units"/>
    <x v="3"/>
    <n v="8.5839999999999996"/>
  </r>
  <r>
    <n v="110"/>
    <x v="0"/>
    <x v="0"/>
    <x v="6"/>
    <s v="Percent change"/>
    <s v="Units"/>
    <x v="4"/>
    <n v="-1.7"/>
  </r>
  <r>
    <n v="110"/>
    <x v="0"/>
    <x v="0"/>
    <x v="6"/>
    <s v="Percent change"/>
    <s v="Units"/>
    <x v="5"/>
    <n v="1.1060000000000001"/>
  </r>
  <r>
    <n v="110"/>
    <x v="0"/>
    <x v="0"/>
    <x v="6"/>
    <s v="Percent change"/>
    <s v="Units"/>
    <x v="6"/>
    <n v="1.9870000000000001"/>
  </r>
  <r>
    <n v="1"/>
    <x v="2"/>
    <x v="0"/>
    <x v="6"/>
    <s v="Percent change"/>
    <s v="Units"/>
    <x v="0"/>
    <n v="1.1970000000000001"/>
  </r>
  <r>
    <n v="1"/>
    <x v="2"/>
    <x v="0"/>
    <x v="6"/>
    <s v="Percent change"/>
    <s v="Units"/>
    <x v="1"/>
    <n v="-9.0139999999999993"/>
  </r>
  <r>
    <n v="1"/>
    <x v="2"/>
    <x v="0"/>
    <x v="6"/>
    <s v="Percent change"/>
    <s v="Units"/>
    <x v="2"/>
    <n v="14.473000000000001"/>
  </r>
  <r>
    <n v="1"/>
    <x v="2"/>
    <x v="0"/>
    <x v="6"/>
    <s v="Percent change"/>
    <s v="Units"/>
    <x v="3"/>
    <n v="8.5839999999999996"/>
  </r>
  <r>
    <n v="1"/>
    <x v="2"/>
    <x v="0"/>
    <x v="6"/>
    <s v="Percent change"/>
    <s v="Units"/>
    <x v="4"/>
    <n v="-1.7"/>
  </r>
  <r>
    <n v="1"/>
    <x v="2"/>
    <x v="0"/>
    <x v="6"/>
    <s v="Percent change"/>
    <s v="Units"/>
    <x v="5"/>
    <n v="1.1060000000000001"/>
  </r>
  <r>
    <n v="1"/>
    <x v="2"/>
    <x v="0"/>
    <x v="6"/>
    <s v="Percent change"/>
    <s v="Units"/>
    <x v="6"/>
    <n v="1.9870000000000001"/>
  </r>
  <r>
    <n v="205"/>
    <x v="7"/>
    <x v="169"/>
    <x v="8"/>
    <s v="Percent change"/>
    <s v="Units"/>
    <x v="0"/>
    <n v="-2.3029999999999999"/>
  </r>
  <r>
    <n v="205"/>
    <x v="7"/>
    <x v="169"/>
    <x v="8"/>
    <s v="Percent change"/>
    <s v="Units"/>
    <x v="1"/>
    <n v="-23.983000000000001"/>
  </r>
  <r>
    <n v="205"/>
    <x v="7"/>
    <x v="169"/>
    <x v="8"/>
    <s v="Percent change"/>
    <s v="Units"/>
    <x v="2"/>
    <n v="27.638999999999999"/>
  </r>
  <r>
    <n v="205"/>
    <x v="7"/>
    <x v="169"/>
    <x v="8"/>
    <s v="Percent change"/>
    <s v="Units"/>
    <x v="3"/>
    <n v="10.458"/>
  </r>
  <r>
    <n v="205"/>
    <x v="7"/>
    <x v="169"/>
    <x v="8"/>
    <s v="Percent change"/>
    <s v="Units"/>
    <x v="4"/>
    <n v="5.3"/>
  </r>
  <r>
    <n v="205"/>
    <x v="7"/>
    <x v="169"/>
    <x v="8"/>
    <s v="Percent change"/>
    <s v="Units"/>
    <x v="5"/>
    <n v="1.1000000000000001"/>
  </r>
  <r>
    <n v="205"/>
    <x v="7"/>
    <x v="169"/>
    <x v="8"/>
    <s v="Percent change"/>
    <s v="Units"/>
    <x v="6"/>
    <n v="1"/>
  </r>
  <r>
    <n v="1"/>
    <x v="2"/>
    <x v="169"/>
    <x v="8"/>
    <s v="Percent change"/>
    <s v="Units"/>
    <x v="0"/>
    <n v="-2.3029999999999999"/>
  </r>
  <r>
    <n v="1"/>
    <x v="2"/>
    <x v="169"/>
    <x v="8"/>
    <s v="Percent change"/>
    <s v="Units"/>
    <x v="1"/>
    <n v="-23.983000000000001"/>
  </r>
  <r>
    <n v="1"/>
    <x v="2"/>
    <x v="169"/>
    <x v="8"/>
    <s v="Percent change"/>
    <s v="Units"/>
    <x v="2"/>
    <n v="27.638999999999999"/>
  </r>
  <r>
    <n v="1"/>
    <x v="2"/>
    <x v="169"/>
    <x v="8"/>
    <s v="Percent change"/>
    <s v="Units"/>
    <x v="3"/>
    <n v="10.458"/>
  </r>
  <r>
    <n v="1"/>
    <x v="2"/>
    <x v="169"/>
    <x v="8"/>
    <s v="Percent change"/>
    <s v="Units"/>
    <x v="4"/>
    <n v="5.3"/>
  </r>
  <r>
    <n v="1"/>
    <x v="2"/>
    <x v="169"/>
    <x v="8"/>
    <s v="Percent change"/>
    <s v="Units"/>
    <x v="5"/>
    <n v="1.1000000000000001"/>
  </r>
  <r>
    <n v="1"/>
    <x v="2"/>
    <x v="169"/>
    <x v="8"/>
    <s v="Percent change"/>
    <s v="Units"/>
    <x v="6"/>
    <n v="1"/>
  </r>
  <r>
    <n v="200"/>
    <x v="3"/>
    <x v="169"/>
    <x v="8"/>
    <s v="Percent change"/>
    <s v="Units"/>
    <x v="0"/>
    <n v="-2.3029999999999999"/>
  </r>
  <r>
    <n v="200"/>
    <x v="3"/>
    <x v="169"/>
    <x v="8"/>
    <s v="Percent change"/>
    <s v="Units"/>
    <x v="1"/>
    <n v="-23.983000000000001"/>
  </r>
  <r>
    <n v="200"/>
    <x v="3"/>
    <x v="169"/>
    <x v="8"/>
    <s v="Percent change"/>
    <s v="Units"/>
    <x v="2"/>
    <n v="27.638999999999999"/>
  </r>
  <r>
    <n v="200"/>
    <x v="3"/>
    <x v="169"/>
    <x v="8"/>
    <s v="Percent change"/>
    <s v="Units"/>
    <x v="3"/>
    <n v="10.458"/>
  </r>
  <r>
    <n v="200"/>
    <x v="3"/>
    <x v="169"/>
    <x v="8"/>
    <s v="Percent change"/>
    <s v="Units"/>
    <x v="4"/>
    <n v="5.3"/>
  </r>
  <r>
    <n v="200"/>
    <x v="3"/>
    <x v="169"/>
    <x v="8"/>
    <s v="Percent change"/>
    <s v="Units"/>
    <x v="5"/>
    <n v="1.1000000000000001"/>
  </r>
  <r>
    <n v="200"/>
    <x v="3"/>
    <x v="169"/>
    <x v="8"/>
    <s v="Percent change"/>
    <s v="Units"/>
    <x v="6"/>
    <n v="1"/>
  </r>
  <r>
    <n v="1"/>
    <x v="2"/>
    <x v="96"/>
    <x v="8"/>
    <s v="Percent change"/>
    <s v="Units"/>
    <x v="0"/>
    <n v="3.82"/>
  </r>
  <r>
    <n v="1"/>
    <x v="2"/>
    <x v="96"/>
    <x v="8"/>
    <s v="Percent change"/>
    <s v="Units"/>
    <x v="1"/>
    <n v="-1.87"/>
  </r>
  <r>
    <n v="1"/>
    <x v="2"/>
    <x v="96"/>
    <x v="8"/>
    <s v="Percent change"/>
    <s v="Units"/>
    <x v="2"/>
    <n v="3.0129999999999999"/>
  </r>
  <r>
    <n v="1"/>
    <x v="2"/>
    <x v="96"/>
    <x v="8"/>
    <s v="Percent change"/>
    <s v="Units"/>
    <x v="3"/>
    <n v="-0.86399999999999999"/>
  </r>
  <r>
    <n v="1"/>
    <x v="2"/>
    <x v="96"/>
    <x v="8"/>
    <s v="Percent change"/>
    <s v="Units"/>
    <x v="4"/>
    <n v="0.76600000000000001"/>
  </r>
  <r>
    <n v="1"/>
    <x v="2"/>
    <x v="96"/>
    <x v="8"/>
    <s v="Percent change"/>
    <s v="Units"/>
    <x v="5"/>
    <n v="1.052"/>
  </r>
  <r>
    <n v="1"/>
    <x v="2"/>
    <x v="96"/>
    <x v="8"/>
    <s v="Percent change"/>
    <s v="Units"/>
    <x v="6"/>
    <n v="1.7250000000000001"/>
  </r>
  <r>
    <n v="505"/>
    <x v="4"/>
    <x v="96"/>
    <x v="8"/>
    <s v="Percent change"/>
    <s v="Units"/>
    <x v="0"/>
    <n v="3.82"/>
  </r>
  <r>
    <n v="505"/>
    <x v="4"/>
    <x v="96"/>
    <x v="8"/>
    <s v="Percent change"/>
    <s v="Units"/>
    <x v="1"/>
    <n v="-1.87"/>
  </r>
  <r>
    <n v="505"/>
    <x v="4"/>
    <x v="96"/>
    <x v="8"/>
    <s v="Percent change"/>
    <s v="Units"/>
    <x v="2"/>
    <n v="3.0129999999999999"/>
  </r>
  <r>
    <n v="505"/>
    <x v="4"/>
    <x v="96"/>
    <x v="8"/>
    <s v="Percent change"/>
    <s v="Units"/>
    <x v="3"/>
    <n v="-0.86399999999999999"/>
  </r>
  <r>
    <n v="505"/>
    <x v="4"/>
    <x v="96"/>
    <x v="8"/>
    <s v="Percent change"/>
    <s v="Units"/>
    <x v="4"/>
    <n v="0.76600000000000001"/>
  </r>
  <r>
    <n v="505"/>
    <x v="4"/>
    <x v="96"/>
    <x v="8"/>
    <s v="Percent change"/>
    <s v="Units"/>
    <x v="5"/>
    <n v="1.052"/>
  </r>
  <r>
    <n v="505"/>
    <x v="4"/>
    <x v="96"/>
    <x v="8"/>
    <s v="Percent change"/>
    <s v="Units"/>
    <x v="6"/>
    <n v="1.7250000000000001"/>
  </r>
  <r>
    <n v="200"/>
    <x v="3"/>
    <x v="96"/>
    <x v="8"/>
    <s v="Percent change"/>
    <s v="Units"/>
    <x v="0"/>
    <n v="3.82"/>
  </r>
  <r>
    <n v="200"/>
    <x v="3"/>
    <x v="96"/>
    <x v="8"/>
    <s v="Percent change"/>
    <s v="Units"/>
    <x v="1"/>
    <n v="-1.87"/>
  </r>
  <r>
    <n v="200"/>
    <x v="3"/>
    <x v="96"/>
    <x v="8"/>
    <s v="Percent change"/>
    <s v="Units"/>
    <x v="2"/>
    <n v="3.0129999999999999"/>
  </r>
  <r>
    <n v="200"/>
    <x v="3"/>
    <x v="96"/>
    <x v="8"/>
    <s v="Percent change"/>
    <s v="Units"/>
    <x v="3"/>
    <n v="-0.86399999999999999"/>
  </r>
  <r>
    <n v="200"/>
    <x v="3"/>
    <x v="96"/>
    <x v="8"/>
    <s v="Percent change"/>
    <s v="Units"/>
    <x v="4"/>
    <n v="0.76600000000000001"/>
  </r>
  <r>
    <n v="200"/>
    <x v="3"/>
    <x v="96"/>
    <x v="8"/>
    <s v="Percent change"/>
    <s v="Units"/>
    <x v="5"/>
    <n v="1.052"/>
  </r>
  <r>
    <n v="200"/>
    <x v="3"/>
    <x v="96"/>
    <x v="8"/>
    <s v="Percent change"/>
    <s v="Units"/>
    <x v="6"/>
    <n v="1.7250000000000001"/>
  </r>
  <r>
    <n v="110"/>
    <x v="0"/>
    <x v="51"/>
    <x v="8"/>
    <s v="Percent change"/>
    <s v="Units"/>
    <x v="0"/>
    <n v="3.0790000000000002"/>
  </r>
  <r>
    <n v="110"/>
    <x v="0"/>
    <x v="51"/>
    <x v="8"/>
    <s v="Percent change"/>
    <s v="Units"/>
    <x v="1"/>
    <n v="-1.37"/>
  </r>
  <r>
    <n v="110"/>
    <x v="0"/>
    <x v="51"/>
    <x v="8"/>
    <s v="Percent change"/>
    <s v="Units"/>
    <x v="2"/>
    <n v="5.6280000000000001"/>
  </r>
  <r>
    <n v="110"/>
    <x v="0"/>
    <x v="51"/>
    <x v="8"/>
    <s v="Percent change"/>
    <s v="Units"/>
    <x v="3"/>
    <n v="2.3839999999999999"/>
  </r>
  <r>
    <n v="110"/>
    <x v="0"/>
    <x v="51"/>
    <x v="8"/>
    <s v="Percent change"/>
    <s v="Units"/>
    <x v="4"/>
    <n v="0.63300000000000001"/>
  </r>
  <r>
    <n v="110"/>
    <x v="0"/>
    <x v="51"/>
    <x v="8"/>
    <s v="Percent change"/>
    <s v="Units"/>
    <x v="5"/>
    <n v="1.0469999999999999"/>
  </r>
  <r>
    <n v="110"/>
    <x v="0"/>
    <x v="51"/>
    <x v="8"/>
    <s v="Percent change"/>
    <s v="Units"/>
    <x v="6"/>
    <n v="1.966"/>
  </r>
  <r>
    <n v="1"/>
    <x v="2"/>
    <x v="51"/>
    <x v="8"/>
    <s v="Percent change"/>
    <s v="Units"/>
    <x v="0"/>
    <n v="3.0790000000000002"/>
  </r>
  <r>
    <n v="1"/>
    <x v="2"/>
    <x v="51"/>
    <x v="8"/>
    <s v="Percent change"/>
    <s v="Units"/>
    <x v="1"/>
    <n v="-1.37"/>
  </r>
  <r>
    <n v="1"/>
    <x v="2"/>
    <x v="51"/>
    <x v="8"/>
    <s v="Percent change"/>
    <s v="Units"/>
    <x v="2"/>
    <n v="5.6280000000000001"/>
  </r>
  <r>
    <n v="1"/>
    <x v="2"/>
    <x v="51"/>
    <x v="8"/>
    <s v="Percent change"/>
    <s v="Units"/>
    <x v="3"/>
    <n v="2.3839999999999999"/>
  </r>
  <r>
    <n v="1"/>
    <x v="2"/>
    <x v="51"/>
    <x v="8"/>
    <s v="Percent change"/>
    <s v="Units"/>
    <x v="4"/>
    <n v="0.63300000000000001"/>
  </r>
  <r>
    <n v="1"/>
    <x v="2"/>
    <x v="51"/>
    <x v="8"/>
    <s v="Percent change"/>
    <s v="Units"/>
    <x v="5"/>
    <n v="1.0469999999999999"/>
  </r>
  <r>
    <n v="1"/>
    <x v="2"/>
    <x v="51"/>
    <x v="8"/>
    <s v="Percent change"/>
    <s v="Units"/>
    <x v="6"/>
    <n v="1.966"/>
  </r>
  <r>
    <n v="123"/>
    <x v="9"/>
    <x v="51"/>
    <x v="8"/>
    <s v="Percent change"/>
    <s v="Units"/>
    <x v="0"/>
    <n v="3.0790000000000002"/>
  </r>
  <r>
    <n v="123"/>
    <x v="9"/>
    <x v="51"/>
    <x v="8"/>
    <s v="Percent change"/>
    <s v="Units"/>
    <x v="1"/>
    <n v="-1.37"/>
  </r>
  <r>
    <n v="123"/>
    <x v="9"/>
    <x v="51"/>
    <x v="8"/>
    <s v="Percent change"/>
    <s v="Units"/>
    <x v="2"/>
    <n v="5.6280000000000001"/>
  </r>
  <r>
    <n v="123"/>
    <x v="9"/>
    <x v="51"/>
    <x v="8"/>
    <s v="Percent change"/>
    <s v="Units"/>
    <x v="3"/>
    <n v="2.3839999999999999"/>
  </r>
  <r>
    <n v="123"/>
    <x v="9"/>
    <x v="51"/>
    <x v="8"/>
    <s v="Percent change"/>
    <s v="Units"/>
    <x v="4"/>
    <n v="0.63300000000000001"/>
  </r>
  <r>
    <n v="123"/>
    <x v="9"/>
    <x v="51"/>
    <x v="8"/>
    <s v="Percent change"/>
    <s v="Units"/>
    <x v="5"/>
    <n v="1.0469999999999999"/>
  </r>
  <r>
    <n v="123"/>
    <x v="9"/>
    <x v="51"/>
    <x v="8"/>
    <s v="Percent change"/>
    <s v="Units"/>
    <x v="6"/>
    <n v="1.966"/>
  </r>
  <r>
    <n v="505"/>
    <x v="4"/>
    <x v="142"/>
    <x v="0"/>
    <s v="U.S. dollars"/>
    <s v="Billions"/>
    <x v="0"/>
    <n v="0.91300000000000003"/>
  </r>
  <r>
    <n v="505"/>
    <x v="4"/>
    <x v="142"/>
    <x v="0"/>
    <s v="U.S. dollars"/>
    <s v="Billions"/>
    <x v="1"/>
    <n v="0.86899999999999999"/>
  </r>
  <r>
    <n v="505"/>
    <x v="4"/>
    <x v="142"/>
    <x v="0"/>
    <s v="U.S. dollars"/>
    <s v="Billions"/>
    <x v="2"/>
    <n v="0.84399999999999997"/>
  </r>
  <r>
    <n v="505"/>
    <x v="4"/>
    <x v="142"/>
    <x v="0"/>
    <s v="U.S. dollars"/>
    <s v="Billions"/>
    <x v="3"/>
    <n v="0.83299999999999996"/>
  </r>
  <r>
    <n v="505"/>
    <x v="4"/>
    <x v="142"/>
    <x v="0"/>
    <s v="U.S. dollars"/>
    <s v="Billions"/>
    <x v="4"/>
    <n v="0.93400000000000005"/>
  </r>
  <r>
    <n v="505"/>
    <x v="4"/>
    <x v="142"/>
    <x v="0"/>
    <s v="U.S. dollars"/>
    <s v="Billions"/>
    <x v="5"/>
    <n v="1.024"/>
  </r>
  <r>
    <n v="505"/>
    <x v="4"/>
    <x v="142"/>
    <x v="0"/>
    <s v="U.S. dollars"/>
    <s v="Billions"/>
    <x v="6"/>
    <n v="1.093"/>
  </r>
  <r>
    <n v="1"/>
    <x v="2"/>
    <x v="142"/>
    <x v="0"/>
    <s v="U.S. dollars"/>
    <s v="Billions"/>
    <x v="0"/>
    <n v="0.91300000000000003"/>
  </r>
  <r>
    <n v="1"/>
    <x v="2"/>
    <x v="142"/>
    <x v="0"/>
    <s v="U.S. dollars"/>
    <s v="Billions"/>
    <x v="1"/>
    <n v="0.86899999999999999"/>
  </r>
  <r>
    <n v="1"/>
    <x v="2"/>
    <x v="142"/>
    <x v="0"/>
    <s v="U.S. dollars"/>
    <s v="Billions"/>
    <x v="2"/>
    <n v="0.84399999999999997"/>
  </r>
  <r>
    <n v="1"/>
    <x v="2"/>
    <x v="142"/>
    <x v="0"/>
    <s v="U.S. dollars"/>
    <s v="Billions"/>
    <x v="3"/>
    <n v="0.83299999999999996"/>
  </r>
  <r>
    <n v="1"/>
    <x v="2"/>
    <x v="142"/>
    <x v="0"/>
    <s v="U.S. dollars"/>
    <s v="Billions"/>
    <x v="4"/>
    <n v="0.93400000000000005"/>
  </r>
  <r>
    <n v="1"/>
    <x v="2"/>
    <x v="142"/>
    <x v="0"/>
    <s v="U.S. dollars"/>
    <s v="Billions"/>
    <x v="5"/>
    <n v="1.024"/>
  </r>
  <r>
    <n v="1"/>
    <x v="2"/>
    <x v="142"/>
    <x v="0"/>
    <s v="U.S. dollars"/>
    <s v="Billions"/>
    <x v="6"/>
    <n v="1.093"/>
  </r>
  <r>
    <n v="200"/>
    <x v="3"/>
    <x v="142"/>
    <x v="0"/>
    <s v="U.S. dollars"/>
    <s v="Billions"/>
    <x v="0"/>
    <n v="0.91300000000000003"/>
  </r>
  <r>
    <n v="200"/>
    <x v="3"/>
    <x v="142"/>
    <x v="0"/>
    <s v="U.S. dollars"/>
    <s v="Billions"/>
    <x v="1"/>
    <n v="0.86899999999999999"/>
  </r>
  <r>
    <n v="200"/>
    <x v="3"/>
    <x v="142"/>
    <x v="0"/>
    <s v="U.S. dollars"/>
    <s v="Billions"/>
    <x v="2"/>
    <n v="0.84399999999999997"/>
  </r>
  <r>
    <n v="200"/>
    <x v="3"/>
    <x v="142"/>
    <x v="0"/>
    <s v="U.S. dollars"/>
    <s v="Billions"/>
    <x v="3"/>
    <n v="0.83299999999999996"/>
  </r>
  <r>
    <n v="200"/>
    <x v="3"/>
    <x v="142"/>
    <x v="0"/>
    <s v="U.S. dollars"/>
    <s v="Billions"/>
    <x v="4"/>
    <n v="0.93400000000000005"/>
  </r>
  <r>
    <n v="200"/>
    <x v="3"/>
    <x v="142"/>
    <x v="0"/>
    <s v="U.S. dollars"/>
    <s v="Billions"/>
    <x v="5"/>
    <n v="1.024"/>
  </r>
  <r>
    <n v="200"/>
    <x v="3"/>
    <x v="142"/>
    <x v="0"/>
    <s v="U.S. dollars"/>
    <s v="Billions"/>
    <x v="6"/>
    <n v="1.093"/>
  </r>
  <r>
    <n v="400"/>
    <x v="11"/>
    <x v="42"/>
    <x v="10"/>
    <s v="Percent"/>
    <s v="Units"/>
    <x v="0"/>
    <n v="0.95299999999999996"/>
  </r>
  <r>
    <n v="400"/>
    <x v="11"/>
    <x v="42"/>
    <x v="10"/>
    <s v="Percent"/>
    <s v="Units"/>
    <x v="1"/>
    <n v="1.016"/>
  </r>
  <r>
    <n v="400"/>
    <x v="11"/>
    <x v="42"/>
    <x v="10"/>
    <s v="Percent"/>
    <s v="Units"/>
    <x v="2"/>
    <n v="0.98599999999999999"/>
  </r>
  <r>
    <n v="400"/>
    <x v="11"/>
    <x v="42"/>
    <x v="10"/>
    <s v="Percent"/>
    <s v="Units"/>
    <x v="3"/>
    <n v="1.018"/>
  </r>
  <r>
    <n v="400"/>
    <x v="11"/>
    <x v="42"/>
    <x v="10"/>
    <s v="Percent"/>
    <s v="Units"/>
    <x v="4"/>
    <n v="1.024"/>
  </r>
  <r>
    <n v="400"/>
    <x v="11"/>
    <x v="42"/>
    <x v="10"/>
    <s v="Percent"/>
    <s v="Units"/>
    <x v="5"/>
    <n v="1.022"/>
  </r>
  <r>
    <n v="400"/>
    <x v="11"/>
    <x v="42"/>
    <x v="10"/>
    <s v="Percent"/>
    <s v="Units"/>
    <x v="6"/>
    <n v="1.0349999999999999"/>
  </r>
  <r>
    <n v="200"/>
    <x v="3"/>
    <x v="42"/>
    <x v="10"/>
    <s v="Percent"/>
    <s v="Units"/>
    <x v="0"/>
    <n v="0.95299999999999996"/>
  </r>
  <r>
    <n v="200"/>
    <x v="3"/>
    <x v="42"/>
    <x v="10"/>
    <s v="Percent"/>
    <s v="Units"/>
    <x v="1"/>
    <n v="1.016"/>
  </r>
  <r>
    <n v="200"/>
    <x v="3"/>
    <x v="42"/>
    <x v="10"/>
    <s v="Percent"/>
    <s v="Units"/>
    <x v="2"/>
    <n v="0.98599999999999999"/>
  </r>
  <r>
    <n v="200"/>
    <x v="3"/>
    <x v="42"/>
    <x v="10"/>
    <s v="Percent"/>
    <s v="Units"/>
    <x v="3"/>
    <n v="1.018"/>
  </r>
  <r>
    <n v="200"/>
    <x v="3"/>
    <x v="42"/>
    <x v="10"/>
    <s v="Percent"/>
    <s v="Units"/>
    <x v="4"/>
    <n v="1.024"/>
  </r>
  <r>
    <n v="200"/>
    <x v="3"/>
    <x v="42"/>
    <x v="10"/>
    <s v="Percent"/>
    <s v="Units"/>
    <x v="5"/>
    <n v="1.022"/>
  </r>
  <r>
    <n v="200"/>
    <x v="3"/>
    <x v="42"/>
    <x v="10"/>
    <s v="Percent"/>
    <s v="Units"/>
    <x v="6"/>
    <n v="1.0349999999999999"/>
  </r>
  <r>
    <n v="110"/>
    <x v="0"/>
    <x v="128"/>
    <x v="6"/>
    <s v="Percent change"/>
    <s v="Units"/>
    <x v="0"/>
    <n v="10.51"/>
  </r>
  <r>
    <n v="110"/>
    <x v="0"/>
    <x v="128"/>
    <x v="6"/>
    <s v="Percent change"/>
    <s v="Units"/>
    <x v="1"/>
    <n v="1.518"/>
  </r>
  <r>
    <n v="110"/>
    <x v="0"/>
    <x v="128"/>
    <x v="6"/>
    <s v="Percent change"/>
    <s v="Units"/>
    <x v="2"/>
    <n v="5.0739999999999998"/>
  </r>
  <r>
    <n v="110"/>
    <x v="0"/>
    <x v="128"/>
    <x v="6"/>
    <s v="Percent change"/>
    <s v="Units"/>
    <x v="3"/>
    <n v="11.683999999999999"/>
  </r>
  <r>
    <n v="110"/>
    <x v="0"/>
    <x v="128"/>
    <x v="6"/>
    <s v="Percent change"/>
    <s v="Units"/>
    <x v="4"/>
    <n v="4.6459999999999999"/>
  </r>
  <r>
    <n v="110"/>
    <x v="0"/>
    <x v="128"/>
    <x v="6"/>
    <s v="Percent change"/>
    <s v="Units"/>
    <x v="5"/>
    <n v="1.0209999999999999"/>
  </r>
  <r>
    <n v="110"/>
    <x v="0"/>
    <x v="128"/>
    <x v="6"/>
    <s v="Percent change"/>
    <s v="Units"/>
    <x v="6"/>
    <n v="2.09"/>
  </r>
  <r>
    <n v="1"/>
    <x v="2"/>
    <x v="128"/>
    <x v="6"/>
    <s v="Percent change"/>
    <s v="Units"/>
    <x v="0"/>
    <n v="10.51"/>
  </r>
  <r>
    <n v="1"/>
    <x v="2"/>
    <x v="128"/>
    <x v="6"/>
    <s v="Percent change"/>
    <s v="Units"/>
    <x v="1"/>
    <n v="1.518"/>
  </r>
  <r>
    <n v="1"/>
    <x v="2"/>
    <x v="128"/>
    <x v="6"/>
    <s v="Percent change"/>
    <s v="Units"/>
    <x v="2"/>
    <n v="5.0739999999999998"/>
  </r>
  <r>
    <n v="1"/>
    <x v="2"/>
    <x v="128"/>
    <x v="6"/>
    <s v="Percent change"/>
    <s v="Units"/>
    <x v="3"/>
    <n v="11.683999999999999"/>
  </r>
  <r>
    <n v="1"/>
    <x v="2"/>
    <x v="128"/>
    <x v="6"/>
    <s v="Percent change"/>
    <s v="Units"/>
    <x v="4"/>
    <n v="4.6459999999999999"/>
  </r>
  <r>
    <n v="1"/>
    <x v="2"/>
    <x v="128"/>
    <x v="6"/>
    <s v="Percent change"/>
    <s v="Units"/>
    <x v="5"/>
    <n v="1.0209999999999999"/>
  </r>
  <r>
    <n v="1"/>
    <x v="2"/>
    <x v="128"/>
    <x v="6"/>
    <s v="Percent change"/>
    <s v="Units"/>
    <x v="6"/>
    <n v="2.09"/>
  </r>
  <r>
    <n v="163"/>
    <x v="5"/>
    <x v="128"/>
    <x v="6"/>
    <s v="Percent change"/>
    <s v="Units"/>
    <x v="0"/>
    <n v="10.51"/>
  </r>
  <r>
    <n v="163"/>
    <x v="5"/>
    <x v="128"/>
    <x v="6"/>
    <s v="Percent change"/>
    <s v="Units"/>
    <x v="1"/>
    <n v="1.518"/>
  </r>
  <r>
    <n v="163"/>
    <x v="5"/>
    <x v="128"/>
    <x v="6"/>
    <s v="Percent change"/>
    <s v="Units"/>
    <x v="2"/>
    <n v="5.0739999999999998"/>
  </r>
  <r>
    <n v="163"/>
    <x v="5"/>
    <x v="128"/>
    <x v="6"/>
    <s v="Percent change"/>
    <s v="Units"/>
    <x v="3"/>
    <n v="11.683999999999999"/>
  </r>
  <r>
    <n v="163"/>
    <x v="5"/>
    <x v="128"/>
    <x v="6"/>
    <s v="Percent change"/>
    <s v="Units"/>
    <x v="4"/>
    <n v="4.6459999999999999"/>
  </r>
  <r>
    <n v="163"/>
    <x v="5"/>
    <x v="128"/>
    <x v="6"/>
    <s v="Percent change"/>
    <s v="Units"/>
    <x v="5"/>
    <n v="1.0209999999999999"/>
  </r>
  <r>
    <n v="163"/>
    <x v="5"/>
    <x v="128"/>
    <x v="6"/>
    <s v="Percent change"/>
    <s v="Units"/>
    <x v="6"/>
    <n v="2.09"/>
  </r>
  <r>
    <n v="200"/>
    <x v="3"/>
    <x v="170"/>
    <x v="1"/>
    <s v="Percent change"/>
    <s v="Units"/>
    <x v="0"/>
    <n v="-3.03"/>
  </r>
  <r>
    <n v="200"/>
    <x v="3"/>
    <x v="170"/>
    <x v="1"/>
    <s v="Percent change"/>
    <s v="Units"/>
    <x v="1"/>
    <n v="0.48099999999999998"/>
  </r>
  <r>
    <n v="200"/>
    <x v="3"/>
    <x v="170"/>
    <x v="1"/>
    <s v="Percent change"/>
    <s v="Units"/>
    <x v="2"/>
    <n v="3.8079999999999998"/>
  </r>
  <r>
    <n v="200"/>
    <x v="3"/>
    <x v="170"/>
    <x v="1"/>
    <s v="Percent change"/>
    <s v="Units"/>
    <x v="3"/>
    <n v="9.734"/>
  </r>
  <r>
    <n v="200"/>
    <x v="3"/>
    <x v="170"/>
    <x v="1"/>
    <s v="Percent change"/>
    <s v="Units"/>
    <x v="4"/>
    <n v="2.0529999999999999"/>
  </r>
  <r>
    <n v="200"/>
    <x v="3"/>
    <x v="170"/>
    <x v="1"/>
    <s v="Percent change"/>
    <s v="Units"/>
    <x v="5"/>
    <n v="1"/>
  </r>
  <r>
    <n v="200"/>
    <x v="3"/>
    <x v="170"/>
    <x v="1"/>
    <s v="Percent change"/>
    <s v="Units"/>
    <x v="6"/>
    <n v="2"/>
  </r>
  <r>
    <n v="603"/>
    <x v="12"/>
    <x v="170"/>
    <x v="1"/>
    <s v="Percent change"/>
    <s v="Units"/>
    <x v="0"/>
    <n v="-3.03"/>
  </r>
  <r>
    <n v="603"/>
    <x v="12"/>
    <x v="170"/>
    <x v="1"/>
    <s v="Percent change"/>
    <s v="Units"/>
    <x v="1"/>
    <n v="0.48099999999999998"/>
  </r>
  <r>
    <n v="603"/>
    <x v="12"/>
    <x v="170"/>
    <x v="1"/>
    <s v="Percent change"/>
    <s v="Units"/>
    <x v="2"/>
    <n v="3.8079999999999998"/>
  </r>
  <r>
    <n v="603"/>
    <x v="12"/>
    <x v="170"/>
    <x v="1"/>
    <s v="Percent change"/>
    <s v="Units"/>
    <x v="3"/>
    <n v="9.734"/>
  </r>
  <r>
    <n v="603"/>
    <x v="12"/>
    <x v="170"/>
    <x v="1"/>
    <s v="Percent change"/>
    <s v="Units"/>
    <x v="4"/>
    <n v="2.0529999999999999"/>
  </r>
  <r>
    <n v="603"/>
    <x v="12"/>
    <x v="170"/>
    <x v="1"/>
    <s v="Percent change"/>
    <s v="Units"/>
    <x v="5"/>
    <n v="1"/>
  </r>
  <r>
    <n v="603"/>
    <x v="12"/>
    <x v="170"/>
    <x v="1"/>
    <s v="Percent change"/>
    <s v="Units"/>
    <x v="6"/>
    <n v="2"/>
  </r>
  <r>
    <n v="1"/>
    <x v="2"/>
    <x v="170"/>
    <x v="1"/>
    <s v="Percent change"/>
    <s v="Units"/>
    <x v="0"/>
    <n v="-3.03"/>
  </r>
  <r>
    <n v="1"/>
    <x v="2"/>
    <x v="170"/>
    <x v="1"/>
    <s v="Percent change"/>
    <s v="Units"/>
    <x v="1"/>
    <n v="0.48099999999999998"/>
  </r>
  <r>
    <n v="1"/>
    <x v="2"/>
    <x v="170"/>
    <x v="1"/>
    <s v="Percent change"/>
    <s v="Units"/>
    <x v="2"/>
    <n v="3.8079999999999998"/>
  </r>
  <r>
    <n v="1"/>
    <x v="2"/>
    <x v="170"/>
    <x v="1"/>
    <s v="Percent change"/>
    <s v="Units"/>
    <x v="3"/>
    <n v="9.734"/>
  </r>
  <r>
    <n v="1"/>
    <x v="2"/>
    <x v="170"/>
    <x v="1"/>
    <s v="Percent change"/>
    <s v="Units"/>
    <x v="4"/>
    <n v="2.0529999999999999"/>
  </r>
  <r>
    <n v="1"/>
    <x v="2"/>
    <x v="170"/>
    <x v="1"/>
    <s v="Percent change"/>
    <s v="Units"/>
    <x v="5"/>
    <n v="1"/>
  </r>
  <r>
    <n v="1"/>
    <x v="2"/>
    <x v="170"/>
    <x v="1"/>
    <s v="Percent change"/>
    <s v="Units"/>
    <x v="6"/>
    <n v="2"/>
  </r>
  <r>
    <n v="200"/>
    <x v="3"/>
    <x v="34"/>
    <x v="10"/>
    <s v="Percent"/>
    <s v="Units"/>
    <x v="0"/>
    <n v="0.93400000000000005"/>
  </r>
  <r>
    <n v="200"/>
    <x v="3"/>
    <x v="34"/>
    <x v="10"/>
    <s v="Percent"/>
    <s v="Units"/>
    <x v="1"/>
    <n v="0.99299999999999999"/>
  </r>
  <r>
    <n v="200"/>
    <x v="3"/>
    <x v="34"/>
    <x v="10"/>
    <s v="Percent"/>
    <s v="Units"/>
    <x v="2"/>
    <n v="0.97799999999999998"/>
  </r>
  <r>
    <n v="200"/>
    <x v="3"/>
    <x v="34"/>
    <x v="10"/>
    <s v="Percent"/>
    <s v="Units"/>
    <x v="3"/>
    <n v="0.98199999999999998"/>
  </r>
  <r>
    <n v="200"/>
    <x v="3"/>
    <x v="34"/>
    <x v="10"/>
    <s v="Percent"/>
    <s v="Units"/>
    <x v="4"/>
    <n v="0.997"/>
  </r>
  <r>
    <n v="200"/>
    <x v="3"/>
    <x v="34"/>
    <x v="10"/>
    <s v="Percent"/>
    <s v="Units"/>
    <x v="5"/>
    <n v="0.999"/>
  </r>
  <r>
    <n v="200"/>
    <x v="3"/>
    <x v="34"/>
    <x v="10"/>
    <s v="Percent"/>
    <s v="Units"/>
    <x v="6"/>
    <n v="0.997"/>
  </r>
  <r>
    <n v="400"/>
    <x v="11"/>
    <x v="34"/>
    <x v="10"/>
    <s v="Percent"/>
    <s v="Units"/>
    <x v="0"/>
    <n v="0.93400000000000005"/>
  </r>
  <r>
    <n v="400"/>
    <x v="11"/>
    <x v="34"/>
    <x v="10"/>
    <s v="Percent"/>
    <s v="Units"/>
    <x v="1"/>
    <n v="0.99299999999999999"/>
  </r>
  <r>
    <n v="400"/>
    <x v="11"/>
    <x v="34"/>
    <x v="10"/>
    <s v="Percent"/>
    <s v="Units"/>
    <x v="2"/>
    <n v="0.97799999999999998"/>
  </r>
  <r>
    <n v="400"/>
    <x v="11"/>
    <x v="34"/>
    <x v="10"/>
    <s v="Percent"/>
    <s v="Units"/>
    <x v="3"/>
    <n v="0.98199999999999998"/>
  </r>
  <r>
    <n v="400"/>
    <x v="11"/>
    <x v="34"/>
    <x v="10"/>
    <s v="Percent"/>
    <s v="Units"/>
    <x v="4"/>
    <n v="0.997"/>
  </r>
  <r>
    <n v="400"/>
    <x v="11"/>
    <x v="34"/>
    <x v="10"/>
    <s v="Percent"/>
    <s v="Units"/>
    <x v="5"/>
    <n v="0.999"/>
  </r>
  <r>
    <n v="400"/>
    <x v="11"/>
    <x v="34"/>
    <x v="10"/>
    <s v="Percent"/>
    <s v="Units"/>
    <x v="6"/>
    <n v="0.997"/>
  </r>
  <r>
    <n v="1"/>
    <x v="2"/>
    <x v="66"/>
    <x v="4"/>
    <s v="Percent change"/>
    <s v="Units"/>
    <x v="0"/>
    <n v="7.2060000000000004"/>
  </r>
  <r>
    <n v="1"/>
    <x v="2"/>
    <x v="66"/>
    <x v="4"/>
    <s v="Percent change"/>
    <s v="Units"/>
    <x v="1"/>
    <n v="0.97"/>
  </r>
  <r>
    <n v="1"/>
    <x v="2"/>
    <x v="66"/>
    <x v="4"/>
    <s v="Percent change"/>
    <s v="Units"/>
    <x v="2"/>
    <n v="7.4050000000000002"/>
  </r>
  <r>
    <n v="1"/>
    <x v="2"/>
    <x v="66"/>
    <x v="4"/>
    <s v="Percent change"/>
    <s v="Units"/>
    <x v="3"/>
    <n v="4.5869999999999997"/>
  </r>
  <r>
    <n v="1"/>
    <x v="2"/>
    <x v="66"/>
    <x v="4"/>
    <s v="Percent change"/>
    <s v="Units"/>
    <x v="4"/>
    <n v="4.5229999999999997"/>
  </r>
  <r>
    <n v="1"/>
    <x v="2"/>
    <x v="66"/>
    <x v="4"/>
    <s v="Percent change"/>
    <s v="Units"/>
    <x v="5"/>
    <n v="0.97499999999999998"/>
  </r>
  <r>
    <n v="1"/>
    <x v="2"/>
    <x v="66"/>
    <x v="4"/>
    <s v="Percent change"/>
    <s v="Units"/>
    <x v="6"/>
    <n v="1.4550000000000001"/>
  </r>
  <r>
    <n v="200"/>
    <x v="3"/>
    <x v="66"/>
    <x v="4"/>
    <s v="Percent change"/>
    <s v="Units"/>
    <x v="0"/>
    <n v="7.2060000000000004"/>
  </r>
  <r>
    <n v="200"/>
    <x v="3"/>
    <x v="66"/>
    <x v="4"/>
    <s v="Percent change"/>
    <s v="Units"/>
    <x v="1"/>
    <n v="0.97"/>
  </r>
  <r>
    <n v="200"/>
    <x v="3"/>
    <x v="66"/>
    <x v="4"/>
    <s v="Percent change"/>
    <s v="Units"/>
    <x v="2"/>
    <n v="7.4050000000000002"/>
  </r>
  <r>
    <n v="200"/>
    <x v="3"/>
    <x v="66"/>
    <x v="4"/>
    <s v="Percent change"/>
    <s v="Units"/>
    <x v="3"/>
    <n v="4.5869999999999997"/>
  </r>
  <r>
    <n v="200"/>
    <x v="3"/>
    <x v="66"/>
    <x v="4"/>
    <s v="Percent change"/>
    <s v="Units"/>
    <x v="4"/>
    <n v="4.5229999999999997"/>
  </r>
  <r>
    <n v="200"/>
    <x v="3"/>
    <x v="66"/>
    <x v="4"/>
    <s v="Percent change"/>
    <s v="Units"/>
    <x v="5"/>
    <n v="0.97499999999999998"/>
  </r>
  <r>
    <n v="200"/>
    <x v="3"/>
    <x v="66"/>
    <x v="4"/>
    <s v="Percent change"/>
    <s v="Units"/>
    <x v="6"/>
    <n v="1.4550000000000001"/>
  </r>
  <r>
    <n v="205"/>
    <x v="7"/>
    <x v="66"/>
    <x v="4"/>
    <s v="Percent change"/>
    <s v="Units"/>
    <x v="0"/>
    <n v="7.2060000000000004"/>
  </r>
  <r>
    <n v="205"/>
    <x v="7"/>
    <x v="66"/>
    <x v="4"/>
    <s v="Percent change"/>
    <s v="Units"/>
    <x v="1"/>
    <n v="0.97"/>
  </r>
  <r>
    <n v="205"/>
    <x v="7"/>
    <x v="66"/>
    <x v="4"/>
    <s v="Percent change"/>
    <s v="Units"/>
    <x v="2"/>
    <n v="7.4050000000000002"/>
  </r>
  <r>
    <n v="205"/>
    <x v="7"/>
    <x v="66"/>
    <x v="4"/>
    <s v="Percent change"/>
    <s v="Units"/>
    <x v="3"/>
    <n v="4.5869999999999997"/>
  </r>
  <r>
    <n v="205"/>
    <x v="7"/>
    <x v="66"/>
    <x v="4"/>
    <s v="Percent change"/>
    <s v="Units"/>
    <x v="4"/>
    <n v="4.5229999999999997"/>
  </r>
  <r>
    <n v="205"/>
    <x v="7"/>
    <x v="66"/>
    <x v="4"/>
    <s v="Percent change"/>
    <s v="Units"/>
    <x v="5"/>
    <n v="0.97499999999999998"/>
  </r>
  <r>
    <n v="205"/>
    <x v="7"/>
    <x v="66"/>
    <x v="4"/>
    <s v="Percent change"/>
    <s v="Units"/>
    <x v="6"/>
    <n v="1.4550000000000001"/>
  </r>
  <r>
    <n v="903"/>
    <x v="8"/>
    <x v="19"/>
    <x v="10"/>
    <s v="Percent"/>
    <s v="Units"/>
    <x v="0"/>
    <n v="0.96699999999999997"/>
  </r>
  <r>
    <n v="903"/>
    <x v="8"/>
    <x v="19"/>
    <x v="10"/>
    <s v="Percent"/>
    <s v="Units"/>
    <x v="1"/>
    <n v="0.97599999999999998"/>
  </r>
  <r>
    <n v="903"/>
    <x v="8"/>
    <x v="19"/>
    <x v="10"/>
    <s v="Percent"/>
    <s v="Units"/>
    <x v="2"/>
    <n v="0.98099999999999998"/>
  </r>
  <r>
    <n v="903"/>
    <x v="8"/>
    <x v="19"/>
    <x v="10"/>
    <s v="Percent"/>
    <s v="Units"/>
    <x v="3"/>
    <n v="0.999"/>
  </r>
  <r>
    <n v="903"/>
    <x v="8"/>
    <x v="19"/>
    <x v="10"/>
    <s v="Percent"/>
    <s v="Units"/>
    <x v="4"/>
    <n v="0.97"/>
  </r>
  <r>
    <n v="903"/>
    <x v="8"/>
    <x v="19"/>
    <x v="10"/>
    <s v="Percent"/>
    <s v="Units"/>
    <x v="5"/>
    <n v="0.97"/>
  </r>
  <r>
    <n v="903"/>
    <x v="8"/>
    <x v="19"/>
    <x v="10"/>
    <s v="Percent"/>
    <s v="Units"/>
    <x v="6"/>
    <n v="0.97199999999999998"/>
  </r>
  <r>
    <n v="110"/>
    <x v="0"/>
    <x v="6"/>
    <x v="6"/>
    <s v="Percent change"/>
    <s v="Units"/>
    <x v="0"/>
    <n v="2.3439999999999999"/>
  </r>
  <r>
    <n v="110"/>
    <x v="0"/>
    <x v="6"/>
    <x v="6"/>
    <s v="Percent change"/>
    <s v="Units"/>
    <x v="1"/>
    <n v="-12.324"/>
  </r>
  <r>
    <n v="110"/>
    <x v="0"/>
    <x v="6"/>
    <x v="6"/>
    <s v="Percent change"/>
    <s v="Units"/>
    <x v="2"/>
    <n v="9.0489999999999995"/>
  </r>
  <r>
    <n v="110"/>
    <x v="0"/>
    <x v="6"/>
    <x v="6"/>
    <s v="Percent change"/>
    <s v="Units"/>
    <x v="3"/>
    <n v="8.7959999999999994"/>
  </r>
  <r>
    <n v="110"/>
    <x v="0"/>
    <x v="6"/>
    <x v="6"/>
    <s v="Percent change"/>
    <s v="Units"/>
    <x v="4"/>
    <n v="-8.6999999999999994E-2"/>
  </r>
  <r>
    <n v="110"/>
    <x v="0"/>
    <x v="6"/>
    <x v="6"/>
    <s v="Percent change"/>
    <s v="Units"/>
    <x v="5"/>
    <n v="0.97"/>
  </r>
  <r>
    <n v="110"/>
    <x v="0"/>
    <x v="6"/>
    <x v="6"/>
    <s v="Percent change"/>
    <s v="Units"/>
    <x v="6"/>
    <n v="2.3650000000000002"/>
  </r>
  <r>
    <n v="163"/>
    <x v="5"/>
    <x v="6"/>
    <x v="6"/>
    <s v="Percent change"/>
    <s v="Units"/>
    <x v="0"/>
    <n v="2.3439999999999999"/>
  </r>
  <r>
    <n v="163"/>
    <x v="5"/>
    <x v="6"/>
    <x v="6"/>
    <s v="Percent change"/>
    <s v="Units"/>
    <x v="1"/>
    <n v="-12.324"/>
  </r>
  <r>
    <n v="163"/>
    <x v="5"/>
    <x v="6"/>
    <x v="6"/>
    <s v="Percent change"/>
    <s v="Units"/>
    <x v="2"/>
    <n v="9.0489999999999995"/>
  </r>
  <r>
    <n v="163"/>
    <x v="5"/>
    <x v="6"/>
    <x v="6"/>
    <s v="Percent change"/>
    <s v="Units"/>
    <x v="3"/>
    <n v="8.7959999999999994"/>
  </r>
  <r>
    <n v="163"/>
    <x v="5"/>
    <x v="6"/>
    <x v="6"/>
    <s v="Percent change"/>
    <s v="Units"/>
    <x v="4"/>
    <n v="-8.6999999999999994E-2"/>
  </r>
  <r>
    <n v="163"/>
    <x v="5"/>
    <x v="6"/>
    <x v="6"/>
    <s v="Percent change"/>
    <s v="Units"/>
    <x v="5"/>
    <n v="0.97"/>
  </r>
  <r>
    <n v="163"/>
    <x v="5"/>
    <x v="6"/>
    <x v="6"/>
    <s v="Percent change"/>
    <s v="Units"/>
    <x v="6"/>
    <n v="2.3650000000000002"/>
  </r>
  <r>
    <n v="998"/>
    <x v="6"/>
    <x v="19"/>
    <x v="10"/>
    <s v="Percent"/>
    <s v="Units"/>
    <x v="0"/>
    <n v="0.96699999999999997"/>
  </r>
  <r>
    <n v="998"/>
    <x v="6"/>
    <x v="19"/>
    <x v="10"/>
    <s v="Percent"/>
    <s v="Units"/>
    <x v="1"/>
    <n v="0.97599999999999998"/>
  </r>
  <r>
    <n v="998"/>
    <x v="6"/>
    <x v="19"/>
    <x v="10"/>
    <s v="Percent"/>
    <s v="Units"/>
    <x v="2"/>
    <n v="0.98099999999999998"/>
  </r>
  <r>
    <n v="998"/>
    <x v="6"/>
    <x v="19"/>
    <x v="10"/>
    <s v="Percent"/>
    <s v="Units"/>
    <x v="3"/>
    <n v="0.999"/>
  </r>
  <r>
    <n v="998"/>
    <x v="6"/>
    <x v="19"/>
    <x v="10"/>
    <s v="Percent"/>
    <s v="Units"/>
    <x v="4"/>
    <n v="0.97"/>
  </r>
  <r>
    <n v="998"/>
    <x v="6"/>
    <x v="19"/>
    <x v="10"/>
    <s v="Percent"/>
    <s v="Units"/>
    <x v="5"/>
    <n v="0.97"/>
  </r>
  <r>
    <n v="998"/>
    <x v="6"/>
    <x v="19"/>
    <x v="10"/>
    <s v="Percent"/>
    <s v="Units"/>
    <x v="6"/>
    <n v="0.97199999999999998"/>
  </r>
  <r>
    <n v="1"/>
    <x v="2"/>
    <x v="6"/>
    <x v="6"/>
    <s v="Percent change"/>
    <s v="Units"/>
    <x v="0"/>
    <n v="2.3439999999999999"/>
  </r>
  <r>
    <n v="1"/>
    <x v="2"/>
    <x v="6"/>
    <x v="6"/>
    <s v="Percent change"/>
    <s v="Units"/>
    <x v="1"/>
    <n v="-12.324"/>
  </r>
  <r>
    <n v="1"/>
    <x v="2"/>
    <x v="6"/>
    <x v="6"/>
    <s v="Percent change"/>
    <s v="Units"/>
    <x v="2"/>
    <n v="9.0489999999999995"/>
  </r>
  <r>
    <n v="1"/>
    <x v="2"/>
    <x v="6"/>
    <x v="6"/>
    <s v="Percent change"/>
    <s v="Units"/>
    <x v="3"/>
    <n v="8.7959999999999994"/>
  </r>
  <r>
    <n v="1"/>
    <x v="2"/>
    <x v="6"/>
    <x v="6"/>
    <s v="Percent change"/>
    <s v="Units"/>
    <x v="4"/>
    <n v="-8.6999999999999994E-2"/>
  </r>
  <r>
    <n v="1"/>
    <x v="2"/>
    <x v="6"/>
    <x v="6"/>
    <s v="Percent change"/>
    <s v="Units"/>
    <x v="5"/>
    <n v="0.97"/>
  </r>
  <r>
    <n v="1"/>
    <x v="2"/>
    <x v="6"/>
    <x v="6"/>
    <s v="Percent change"/>
    <s v="Units"/>
    <x v="6"/>
    <n v="2.3650000000000002"/>
  </r>
  <r>
    <n v="200"/>
    <x v="3"/>
    <x v="19"/>
    <x v="10"/>
    <s v="Percent"/>
    <s v="Units"/>
    <x v="0"/>
    <n v="0.96699999999999997"/>
  </r>
  <r>
    <n v="200"/>
    <x v="3"/>
    <x v="19"/>
    <x v="10"/>
    <s v="Percent"/>
    <s v="Units"/>
    <x v="1"/>
    <n v="0.97599999999999998"/>
  </r>
  <r>
    <n v="200"/>
    <x v="3"/>
    <x v="19"/>
    <x v="10"/>
    <s v="Percent"/>
    <s v="Units"/>
    <x v="2"/>
    <n v="0.98099999999999998"/>
  </r>
  <r>
    <n v="200"/>
    <x v="3"/>
    <x v="19"/>
    <x v="10"/>
    <s v="Percent"/>
    <s v="Units"/>
    <x v="3"/>
    <n v="0.999"/>
  </r>
  <r>
    <n v="200"/>
    <x v="3"/>
    <x v="19"/>
    <x v="10"/>
    <s v="Percent"/>
    <s v="Units"/>
    <x v="4"/>
    <n v="0.97"/>
  </r>
  <r>
    <n v="200"/>
    <x v="3"/>
    <x v="19"/>
    <x v="10"/>
    <s v="Percent"/>
    <s v="Units"/>
    <x v="5"/>
    <n v="0.97"/>
  </r>
  <r>
    <n v="200"/>
    <x v="3"/>
    <x v="19"/>
    <x v="10"/>
    <s v="Percent"/>
    <s v="Units"/>
    <x v="6"/>
    <n v="0.97199999999999998"/>
  </r>
  <r>
    <n v="200"/>
    <x v="3"/>
    <x v="1"/>
    <x v="1"/>
    <s v="Percent change"/>
    <s v="Units"/>
    <x v="0"/>
    <n v="2.9049999999999998"/>
  </r>
  <r>
    <n v="200"/>
    <x v="3"/>
    <x v="1"/>
    <x v="1"/>
    <s v="Percent change"/>
    <s v="Units"/>
    <x v="1"/>
    <n v="2.492"/>
  </r>
  <r>
    <n v="200"/>
    <x v="3"/>
    <x v="1"/>
    <x v="1"/>
    <s v="Percent change"/>
    <s v="Units"/>
    <x v="2"/>
    <n v="0.91800000000000004"/>
  </r>
  <r>
    <n v="200"/>
    <x v="3"/>
    <x v="1"/>
    <x v="1"/>
    <s v="Percent change"/>
    <s v="Units"/>
    <x v="3"/>
    <n v="1.9750000000000001"/>
  </r>
  <r>
    <n v="200"/>
    <x v="3"/>
    <x v="1"/>
    <x v="1"/>
    <s v="Percent change"/>
    <s v="Units"/>
    <x v="4"/>
    <n v="0.22800000000000001"/>
  </r>
  <r>
    <n v="200"/>
    <x v="3"/>
    <x v="1"/>
    <x v="1"/>
    <s v="Percent change"/>
    <s v="Units"/>
    <x v="5"/>
    <n v="0.97"/>
  </r>
  <r>
    <n v="200"/>
    <x v="3"/>
    <x v="1"/>
    <x v="1"/>
    <s v="Percent change"/>
    <s v="Units"/>
    <x v="6"/>
    <n v="1.9930000000000001"/>
  </r>
  <r>
    <n v="1"/>
    <x v="2"/>
    <x v="1"/>
    <x v="1"/>
    <s v="Percent change"/>
    <s v="Units"/>
    <x v="0"/>
    <n v="2.9049999999999998"/>
  </r>
  <r>
    <n v="1"/>
    <x v="2"/>
    <x v="1"/>
    <x v="1"/>
    <s v="Percent change"/>
    <s v="Units"/>
    <x v="1"/>
    <n v="2.492"/>
  </r>
  <r>
    <n v="1"/>
    <x v="2"/>
    <x v="1"/>
    <x v="1"/>
    <s v="Percent change"/>
    <s v="Units"/>
    <x v="2"/>
    <n v="0.91800000000000004"/>
  </r>
  <r>
    <n v="1"/>
    <x v="2"/>
    <x v="1"/>
    <x v="1"/>
    <s v="Percent change"/>
    <s v="Units"/>
    <x v="3"/>
    <n v="1.9750000000000001"/>
  </r>
  <r>
    <n v="1"/>
    <x v="2"/>
    <x v="1"/>
    <x v="1"/>
    <s v="Percent change"/>
    <s v="Units"/>
    <x v="4"/>
    <n v="0.22800000000000001"/>
  </r>
  <r>
    <n v="1"/>
    <x v="2"/>
    <x v="1"/>
    <x v="1"/>
    <s v="Percent change"/>
    <s v="Units"/>
    <x v="5"/>
    <n v="0.97"/>
  </r>
  <r>
    <n v="1"/>
    <x v="2"/>
    <x v="1"/>
    <x v="1"/>
    <s v="Percent change"/>
    <s v="Units"/>
    <x v="6"/>
    <n v="1.9930000000000001"/>
  </r>
  <r>
    <n v="505"/>
    <x v="4"/>
    <x v="1"/>
    <x v="1"/>
    <s v="Percent change"/>
    <s v="Units"/>
    <x v="0"/>
    <n v="2.9049999999999998"/>
  </r>
  <r>
    <n v="505"/>
    <x v="4"/>
    <x v="1"/>
    <x v="1"/>
    <s v="Percent change"/>
    <s v="Units"/>
    <x v="1"/>
    <n v="2.492"/>
  </r>
  <r>
    <n v="505"/>
    <x v="4"/>
    <x v="1"/>
    <x v="1"/>
    <s v="Percent change"/>
    <s v="Units"/>
    <x v="2"/>
    <n v="0.91800000000000004"/>
  </r>
  <r>
    <n v="505"/>
    <x v="4"/>
    <x v="1"/>
    <x v="1"/>
    <s v="Percent change"/>
    <s v="Units"/>
    <x v="3"/>
    <n v="1.9750000000000001"/>
  </r>
  <r>
    <n v="505"/>
    <x v="4"/>
    <x v="1"/>
    <x v="1"/>
    <s v="Percent change"/>
    <s v="Units"/>
    <x v="4"/>
    <n v="0.22800000000000001"/>
  </r>
  <r>
    <n v="505"/>
    <x v="4"/>
    <x v="1"/>
    <x v="1"/>
    <s v="Percent change"/>
    <s v="Units"/>
    <x v="5"/>
    <n v="0.97"/>
  </r>
  <r>
    <n v="505"/>
    <x v="4"/>
    <x v="1"/>
    <x v="1"/>
    <s v="Percent change"/>
    <s v="Units"/>
    <x v="6"/>
    <n v="1.9930000000000001"/>
  </r>
  <r>
    <n v="119"/>
    <x v="1"/>
    <x v="6"/>
    <x v="6"/>
    <s v="Percent change"/>
    <s v="Units"/>
    <x v="0"/>
    <n v="2.3439999999999999"/>
  </r>
  <r>
    <n v="119"/>
    <x v="1"/>
    <x v="6"/>
    <x v="6"/>
    <s v="Percent change"/>
    <s v="Units"/>
    <x v="1"/>
    <n v="-12.324"/>
  </r>
  <r>
    <n v="119"/>
    <x v="1"/>
    <x v="6"/>
    <x v="6"/>
    <s v="Percent change"/>
    <s v="Units"/>
    <x v="2"/>
    <n v="9.0489999999999995"/>
  </r>
  <r>
    <n v="119"/>
    <x v="1"/>
    <x v="6"/>
    <x v="6"/>
    <s v="Percent change"/>
    <s v="Units"/>
    <x v="3"/>
    <n v="8.7959999999999994"/>
  </r>
  <r>
    <n v="119"/>
    <x v="1"/>
    <x v="6"/>
    <x v="6"/>
    <s v="Percent change"/>
    <s v="Units"/>
    <x v="4"/>
    <n v="-8.6999999999999994E-2"/>
  </r>
  <r>
    <n v="119"/>
    <x v="1"/>
    <x v="6"/>
    <x v="6"/>
    <s v="Percent change"/>
    <s v="Units"/>
    <x v="5"/>
    <n v="0.97"/>
  </r>
  <r>
    <n v="119"/>
    <x v="1"/>
    <x v="6"/>
    <x v="6"/>
    <s v="Percent change"/>
    <s v="Units"/>
    <x v="6"/>
    <n v="2.3650000000000002"/>
  </r>
  <r>
    <n v="163"/>
    <x v="5"/>
    <x v="128"/>
    <x v="13"/>
    <s v="Percent of potential GDP"/>
    <s v="Units"/>
    <x v="0"/>
    <n v="5.0380000000000003"/>
  </r>
  <r>
    <n v="163"/>
    <x v="5"/>
    <x v="128"/>
    <x v="13"/>
    <s v="Percent of potential GDP"/>
    <s v="Units"/>
    <x v="1"/>
    <n v="-7.8979999999999997"/>
  </r>
  <r>
    <n v="163"/>
    <x v="5"/>
    <x v="128"/>
    <x v="13"/>
    <s v="Percent of potential GDP"/>
    <s v="Units"/>
    <x v="2"/>
    <n v="-1.552"/>
  </r>
  <r>
    <n v="163"/>
    <x v="5"/>
    <x v="128"/>
    <x v="13"/>
    <s v="Percent of potential GDP"/>
    <s v="Units"/>
    <x v="3"/>
    <n v="0.58299999999999996"/>
  </r>
  <r>
    <n v="163"/>
    <x v="5"/>
    <x v="128"/>
    <x v="13"/>
    <s v="Percent of potential GDP"/>
    <s v="Units"/>
    <x v="4"/>
    <n v="1.0940000000000001"/>
  </r>
  <r>
    <n v="163"/>
    <x v="5"/>
    <x v="128"/>
    <x v="13"/>
    <s v="Percent of potential GDP"/>
    <s v="Units"/>
    <x v="5"/>
    <n v="0.96599999999999997"/>
  </r>
  <r>
    <n v="163"/>
    <x v="5"/>
    <x v="128"/>
    <x v="13"/>
    <s v="Percent of potential GDP"/>
    <s v="Units"/>
    <x v="6"/>
    <n v="0.39500000000000002"/>
  </r>
  <r>
    <n v="110"/>
    <x v="0"/>
    <x v="128"/>
    <x v="13"/>
    <s v="Percent of potential GDP"/>
    <s v="Units"/>
    <x v="0"/>
    <n v="5.0380000000000003"/>
  </r>
  <r>
    <n v="110"/>
    <x v="0"/>
    <x v="128"/>
    <x v="13"/>
    <s v="Percent of potential GDP"/>
    <s v="Units"/>
    <x v="1"/>
    <n v="-7.8979999999999997"/>
  </r>
  <r>
    <n v="110"/>
    <x v="0"/>
    <x v="128"/>
    <x v="13"/>
    <s v="Percent of potential GDP"/>
    <s v="Units"/>
    <x v="2"/>
    <n v="-1.552"/>
  </r>
  <r>
    <n v="110"/>
    <x v="0"/>
    <x v="128"/>
    <x v="13"/>
    <s v="Percent of potential GDP"/>
    <s v="Units"/>
    <x v="3"/>
    <n v="0.58299999999999996"/>
  </r>
  <r>
    <n v="110"/>
    <x v="0"/>
    <x v="128"/>
    <x v="13"/>
    <s v="Percent of potential GDP"/>
    <s v="Units"/>
    <x v="4"/>
    <n v="1.0940000000000001"/>
  </r>
  <r>
    <n v="110"/>
    <x v="0"/>
    <x v="128"/>
    <x v="13"/>
    <s v="Percent of potential GDP"/>
    <s v="Units"/>
    <x v="5"/>
    <n v="0.96599999999999997"/>
  </r>
  <r>
    <n v="110"/>
    <x v="0"/>
    <x v="128"/>
    <x v="13"/>
    <s v="Percent of potential GDP"/>
    <s v="Units"/>
    <x v="6"/>
    <n v="0.39500000000000002"/>
  </r>
  <r>
    <n v="110"/>
    <x v="0"/>
    <x v="20"/>
    <x v="10"/>
    <s v="Percent"/>
    <s v="Units"/>
    <x v="0"/>
    <n v="0.92700000000000005"/>
  </r>
  <r>
    <n v="110"/>
    <x v="0"/>
    <x v="20"/>
    <x v="10"/>
    <s v="Percent"/>
    <s v="Units"/>
    <x v="1"/>
    <n v="0.98699999999999999"/>
  </r>
  <r>
    <n v="110"/>
    <x v="0"/>
    <x v="20"/>
    <x v="10"/>
    <s v="Percent"/>
    <s v="Units"/>
    <x v="2"/>
    <n v="0.98899999999999999"/>
  </r>
  <r>
    <n v="110"/>
    <x v="0"/>
    <x v="20"/>
    <x v="10"/>
    <s v="Percent"/>
    <s v="Units"/>
    <x v="3"/>
    <n v="0.98199999999999998"/>
  </r>
  <r>
    <n v="110"/>
    <x v="0"/>
    <x v="20"/>
    <x v="10"/>
    <s v="Percent"/>
    <s v="Units"/>
    <x v="4"/>
    <n v="0.96599999999999997"/>
  </r>
  <r>
    <n v="110"/>
    <x v="0"/>
    <x v="20"/>
    <x v="10"/>
    <s v="Percent"/>
    <s v="Units"/>
    <x v="5"/>
    <n v="0.96499999999999997"/>
  </r>
  <r>
    <n v="110"/>
    <x v="0"/>
    <x v="20"/>
    <x v="10"/>
    <s v="Percent"/>
    <s v="Units"/>
    <x v="6"/>
    <n v="0.96099999999999997"/>
  </r>
  <r>
    <n v="123"/>
    <x v="9"/>
    <x v="12"/>
    <x v="10"/>
    <s v="Percent"/>
    <s v="Units"/>
    <x v="0"/>
    <n v="0.98599999999999999"/>
  </r>
  <r>
    <n v="123"/>
    <x v="9"/>
    <x v="12"/>
    <x v="10"/>
    <s v="Percent"/>
    <s v="Units"/>
    <x v="1"/>
    <n v="0.99399999999999999"/>
  </r>
  <r>
    <n v="123"/>
    <x v="9"/>
    <x v="12"/>
    <x v="10"/>
    <s v="Percent"/>
    <s v="Units"/>
    <x v="2"/>
    <n v="0.98599999999999999"/>
  </r>
  <r>
    <n v="123"/>
    <x v="9"/>
    <x v="12"/>
    <x v="10"/>
    <s v="Percent"/>
    <s v="Units"/>
    <x v="3"/>
    <n v="0.99099999999999999"/>
  </r>
  <r>
    <n v="123"/>
    <x v="9"/>
    <x v="12"/>
    <x v="10"/>
    <s v="Percent"/>
    <s v="Units"/>
    <x v="4"/>
    <n v="0.98099999999999998"/>
  </r>
  <r>
    <n v="123"/>
    <x v="9"/>
    <x v="12"/>
    <x v="10"/>
    <s v="Percent"/>
    <s v="Units"/>
    <x v="5"/>
    <n v="0.96499999999999997"/>
  </r>
  <r>
    <n v="123"/>
    <x v="9"/>
    <x v="12"/>
    <x v="10"/>
    <s v="Percent"/>
    <s v="Units"/>
    <x v="6"/>
    <n v="0.95399999999999996"/>
  </r>
  <r>
    <n v="123"/>
    <x v="9"/>
    <x v="20"/>
    <x v="10"/>
    <s v="Percent"/>
    <s v="Units"/>
    <x v="0"/>
    <n v="0.92700000000000005"/>
  </r>
  <r>
    <n v="123"/>
    <x v="9"/>
    <x v="20"/>
    <x v="10"/>
    <s v="Percent"/>
    <s v="Units"/>
    <x v="1"/>
    <n v="0.98699999999999999"/>
  </r>
  <r>
    <n v="123"/>
    <x v="9"/>
    <x v="20"/>
    <x v="10"/>
    <s v="Percent"/>
    <s v="Units"/>
    <x v="2"/>
    <n v="0.98899999999999999"/>
  </r>
  <r>
    <n v="123"/>
    <x v="9"/>
    <x v="20"/>
    <x v="10"/>
    <s v="Percent"/>
    <s v="Units"/>
    <x v="3"/>
    <n v="0.98199999999999998"/>
  </r>
  <r>
    <n v="123"/>
    <x v="9"/>
    <x v="20"/>
    <x v="10"/>
    <s v="Percent"/>
    <s v="Units"/>
    <x v="4"/>
    <n v="0.96599999999999997"/>
  </r>
  <r>
    <n v="123"/>
    <x v="9"/>
    <x v="20"/>
    <x v="10"/>
    <s v="Percent"/>
    <s v="Units"/>
    <x v="5"/>
    <n v="0.96499999999999997"/>
  </r>
  <r>
    <n v="123"/>
    <x v="9"/>
    <x v="20"/>
    <x v="10"/>
    <s v="Percent"/>
    <s v="Units"/>
    <x v="6"/>
    <n v="0.96099999999999997"/>
  </r>
  <r>
    <n v="110"/>
    <x v="0"/>
    <x v="12"/>
    <x v="10"/>
    <s v="Percent"/>
    <s v="Units"/>
    <x v="0"/>
    <n v="0.98599999999999999"/>
  </r>
  <r>
    <n v="110"/>
    <x v="0"/>
    <x v="12"/>
    <x v="10"/>
    <s v="Percent"/>
    <s v="Units"/>
    <x v="1"/>
    <n v="0.99399999999999999"/>
  </r>
  <r>
    <n v="110"/>
    <x v="0"/>
    <x v="12"/>
    <x v="10"/>
    <s v="Percent"/>
    <s v="Units"/>
    <x v="2"/>
    <n v="0.98599999999999999"/>
  </r>
  <r>
    <n v="110"/>
    <x v="0"/>
    <x v="12"/>
    <x v="10"/>
    <s v="Percent"/>
    <s v="Units"/>
    <x v="3"/>
    <n v="0.99099999999999999"/>
  </r>
  <r>
    <n v="110"/>
    <x v="0"/>
    <x v="12"/>
    <x v="10"/>
    <s v="Percent"/>
    <s v="Units"/>
    <x v="4"/>
    <n v="0.98099999999999998"/>
  </r>
  <r>
    <n v="110"/>
    <x v="0"/>
    <x v="12"/>
    <x v="10"/>
    <s v="Percent"/>
    <s v="Units"/>
    <x v="5"/>
    <n v="0.96499999999999997"/>
  </r>
  <r>
    <n v="110"/>
    <x v="0"/>
    <x v="12"/>
    <x v="10"/>
    <s v="Percent"/>
    <s v="Units"/>
    <x v="6"/>
    <n v="0.95399999999999996"/>
  </r>
  <r>
    <n v="1"/>
    <x v="2"/>
    <x v="124"/>
    <x v="4"/>
    <s v="Percent change"/>
    <s v="Units"/>
    <x v="0"/>
    <n v="-3.8119999999999998"/>
  </r>
  <r>
    <n v="1"/>
    <x v="2"/>
    <x v="124"/>
    <x v="4"/>
    <s v="Percent change"/>
    <s v="Units"/>
    <x v="1"/>
    <n v="-35.232999999999997"/>
  </r>
  <r>
    <n v="1"/>
    <x v="2"/>
    <x v="124"/>
    <x v="4"/>
    <s v="Percent change"/>
    <s v="Units"/>
    <x v="2"/>
    <n v="-4.1340000000000003"/>
  </r>
  <r>
    <n v="1"/>
    <x v="2"/>
    <x v="124"/>
    <x v="4"/>
    <s v="Percent change"/>
    <s v="Units"/>
    <x v="3"/>
    <n v="28.254000000000001"/>
  </r>
  <r>
    <n v="1"/>
    <x v="2"/>
    <x v="124"/>
    <x v="4"/>
    <s v="Percent change"/>
    <s v="Units"/>
    <x v="4"/>
    <n v="15.161"/>
  </r>
  <r>
    <n v="1"/>
    <x v="2"/>
    <x v="124"/>
    <x v="4"/>
    <s v="Percent change"/>
    <s v="Units"/>
    <x v="5"/>
    <n v="0.95899999999999996"/>
  </r>
  <r>
    <n v="1"/>
    <x v="2"/>
    <x v="124"/>
    <x v="4"/>
    <s v="Percent change"/>
    <s v="Units"/>
    <x v="6"/>
    <n v="2.3010000000000002"/>
  </r>
  <r>
    <n v="205"/>
    <x v="7"/>
    <x v="124"/>
    <x v="4"/>
    <s v="Percent change"/>
    <s v="Units"/>
    <x v="0"/>
    <n v="-3.8119999999999998"/>
  </r>
  <r>
    <n v="205"/>
    <x v="7"/>
    <x v="124"/>
    <x v="4"/>
    <s v="Percent change"/>
    <s v="Units"/>
    <x v="1"/>
    <n v="-35.232999999999997"/>
  </r>
  <r>
    <n v="205"/>
    <x v="7"/>
    <x v="124"/>
    <x v="4"/>
    <s v="Percent change"/>
    <s v="Units"/>
    <x v="2"/>
    <n v="-4.1340000000000003"/>
  </r>
  <r>
    <n v="205"/>
    <x v="7"/>
    <x v="124"/>
    <x v="4"/>
    <s v="Percent change"/>
    <s v="Units"/>
    <x v="3"/>
    <n v="28.254000000000001"/>
  </r>
  <r>
    <n v="205"/>
    <x v="7"/>
    <x v="124"/>
    <x v="4"/>
    <s v="Percent change"/>
    <s v="Units"/>
    <x v="4"/>
    <n v="15.161"/>
  </r>
  <r>
    <n v="205"/>
    <x v="7"/>
    <x v="124"/>
    <x v="4"/>
    <s v="Percent change"/>
    <s v="Units"/>
    <x v="5"/>
    <n v="0.95899999999999996"/>
  </r>
  <r>
    <n v="205"/>
    <x v="7"/>
    <x v="124"/>
    <x v="4"/>
    <s v="Percent change"/>
    <s v="Units"/>
    <x v="6"/>
    <n v="2.3010000000000002"/>
  </r>
  <r>
    <n v="200"/>
    <x v="3"/>
    <x v="124"/>
    <x v="4"/>
    <s v="Percent change"/>
    <s v="Units"/>
    <x v="0"/>
    <n v="-3.8119999999999998"/>
  </r>
  <r>
    <n v="200"/>
    <x v="3"/>
    <x v="124"/>
    <x v="4"/>
    <s v="Percent change"/>
    <s v="Units"/>
    <x v="1"/>
    <n v="-35.232999999999997"/>
  </r>
  <r>
    <n v="200"/>
    <x v="3"/>
    <x v="124"/>
    <x v="4"/>
    <s v="Percent change"/>
    <s v="Units"/>
    <x v="2"/>
    <n v="-4.1340000000000003"/>
  </r>
  <r>
    <n v="200"/>
    <x v="3"/>
    <x v="124"/>
    <x v="4"/>
    <s v="Percent change"/>
    <s v="Units"/>
    <x v="3"/>
    <n v="28.254000000000001"/>
  </r>
  <r>
    <n v="200"/>
    <x v="3"/>
    <x v="124"/>
    <x v="4"/>
    <s v="Percent change"/>
    <s v="Units"/>
    <x v="4"/>
    <n v="15.161"/>
  </r>
  <r>
    <n v="200"/>
    <x v="3"/>
    <x v="124"/>
    <x v="4"/>
    <s v="Percent change"/>
    <s v="Units"/>
    <x v="5"/>
    <n v="0.95899999999999996"/>
  </r>
  <r>
    <n v="200"/>
    <x v="3"/>
    <x v="124"/>
    <x v="4"/>
    <s v="Percent change"/>
    <s v="Units"/>
    <x v="6"/>
    <n v="2.3010000000000002"/>
  </r>
  <r>
    <n v="400"/>
    <x v="11"/>
    <x v="17"/>
    <x v="4"/>
    <s v="Percent change"/>
    <s v="Units"/>
    <x v="0"/>
    <n v="-3.3769999999999998"/>
  </r>
  <r>
    <n v="400"/>
    <x v="11"/>
    <x v="17"/>
    <x v="4"/>
    <s v="Percent change"/>
    <s v="Units"/>
    <x v="1"/>
    <n v="-14.452"/>
  </r>
  <r>
    <n v="400"/>
    <x v="11"/>
    <x v="17"/>
    <x v="4"/>
    <s v="Percent change"/>
    <s v="Units"/>
    <x v="2"/>
    <n v="5.6740000000000004"/>
  </r>
  <r>
    <n v="400"/>
    <x v="11"/>
    <x v="17"/>
    <x v="4"/>
    <s v="Percent change"/>
    <s v="Units"/>
    <x v="3"/>
    <n v="24.111999999999998"/>
  </r>
  <r>
    <n v="400"/>
    <x v="11"/>
    <x v="17"/>
    <x v="4"/>
    <s v="Percent change"/>
    <s v="Units"/>
    <x v="4"/>
    <n v="-0.98399999999999999"/>
  </r>
  <r>
    <n v="400"/>
    <x v="11"/>
    <x v="17"/>
    <x v="4"/>
    <s v="Percent change"/>
    <s v="Units"/>
    <x v="5"/>
    <n v="0.95399999999999996"/>
  </r>
  <r>
    <n v="400"/>
    <x v="11"/>
    <x v="17"/>
    <x v="4"/>
    <s v="Percent change"/>
    <s v="Units"/>
    <x v="6"/>
    <n v="10.196999999999999"/>
  </r>
  <r>
    <n v="1"/>
    <x v="2"/>
    <x v="17"/>
    <x v="4"/>
    <s v="Percent change"/>
    <s v="Units"/>
    <x v="0"/>
    <n v="-3.3769999999999998"/>
  </r>
  <r>
    <n v="1"/>
    <x v="2"/>
    <x v="17"/>
    <x v="4"/>
    <s v="Percent change"/>
    <s v="Units"/>
    <x v="1"/>
    <n v="-14.452"/>
  </r>
  <r>
    <n v="1"/>
    <x v="2"/>
    <x v="17"/>
    <x v="4"/>
    <s v="Percent change"/>
    <s v="Units"/>
    <x v="2"/>
    <n v="5.6740000000000004"/>
  </r>
  <r>
    <n v="1"/>
    <x v="2"/>
    <x v="17"/>
    <x v="4"/>
    <s v="Percent change"/>
    <s v="Units"/>
    <x v="3"/>
    <n v="24.111999999999998"/>
  </r>
  <r>
    <n v="1"/>
    <x v="2"/>
    <x v="17"/>
    <x v="4"/>
    <s v="Percent change"/>
    <s v="Units"/>
    <x v="4"/>
    <n v="-0.98399999999999999"/>
  </r>
  <r>
    <n v="1"/>
    <x v="2"/>
    <x v="17"/>
    <x v="4"/>
    <s v="Percent change"/>
    <s v="Units"/>
    <x v="5"/>
    <n v="0.95399999999999996"/>
  </r>
  <r>
    <n v="1"/>
    <x v="2"/>
    <x v="17"/>
    <x v="4"/>
    <s v="Percent change"/>
    <s v="Units"/>
    <x v="6"/>
    <n v="10.196999999999999"/>
  </r>
  <r>
    <n v="200"/>
    <x v="3"/>
    <x v="17"/>
    <x v="4"/>
    <s v="Percent change"/>
    <s v="Units"/>
    <x v="0"/>
    <n v="-3.3769999999999998"/>
  </r>
  <r>
    <n v="200"/>
    <x v="3"/>
    <x v="17"/>
    <x v="4"/>
    <s v="Percent change"/>
    <s v="Units"/>
    <x v="1"/>
    <n v="-14.452"/>
  </r>
  <r>
    <n v="200"/>
    <x v="3"/>
    <x v="17"/>
    <x v="4"/>
    <s v="Percent change"/>
    <s v="Units"/>
    <x v="2"/>
    <n v="5.6740000000000004"/>
  </r>
  <r>
    <n v="200"/>
    <x v="3"/>
    <x v="17"/>
    <x v="4"/>
    <s v="Percent change"/>
    <s v="Units"/>
    <x v="3"/>
    <n v="24.111999999999998"/>
  </r>
  <r>
    <n v="200"/>
    <x v="3"/>
    <x v="17"/>
    <x v="4"/>
    <s v="Percent change"/>
    <s v="Units"/>
    <x v="4"/>
    <n v="-0.98399999999999999"/>
  </r>
  <r>
    <n v="200"/>
    <x v="3"/>
    <x v="17"/>
    <x v="4"/>
    <s v="Percent change"/>
    <s v="Units"/>
    <x v="5"/>
    <n v="0.95399999999999996"/>
  </r>
  <r>
    <n v="200"/>
    <x v="3"/>
    <x v="17"/>
    <x v="4"/>
    <s v="Percent change"/>
    <s v="Units"/>
    <x v="6"/>
    <n v="10.196999999999999"/>
  </r>
  <r>
    <n v="200"/>
    <x v="3"/>
    <x v="82"/>
    <x v="9"/>
    <s v="Percent of GDP"/>
    <s v="Units"/>
    <x v="0"/>
    <n v="-0.34100000000000003"/>
  </r>
  <r>
    <n v="200"/>
    <x v="3"/>
    <x v="82"/>
    <x v="9"/>
    <s v="Percent of GDP"/>
    <s v="Units"/>
    <x v="1"/>
    <n v="-0.13700000000000001"/>
  </r>
  <r>
    <n v="200"/>
    <x v="3"/>
    <x v="82"/>
    <x v="9"/>
    <s v="Percent of GDP"/>
    <s v="Units"/>
    <x v="2"/>
    <n v="0.46"/>
  </r>
  <r>
    <n v="200"/>
    <x v="3"/>
    <x v="82"/>
    <x v="9"/>
    <s v="Percent of GDP"/>
    <s v="Units"/>
    <x v="3"/>
    <n v="2.4550000000000001"/>
  </r>
  <r>
    <n v="200"/>
    <x v="3"/>
    <x v="82"/>
    <x v="9"/>
    <s v="Percent of GDP"/>
    <s v="Units"/>
    <x v="4"/>
    <n v="1.302"/>
  </r>
  <r>
    <n v="200"/>
    <x v="3"/>
    <x v="82"/>
    <x v="9"/>
    <s v="Percent of GDP"/>
    <s v="Units"/>
    <x v="5"/>
    <n v="0.89600000000000002"/>
  </r>
  <r>
    <n v="200"/>
    <x v="3"/>
    <x v="82"/>
    <x v="9"/>
    <s v="Percent of GDP"/>
    <s v="Units"/>
    <x v="6"/>
    <n v="0.55100000000000005"/>
  </r>
  <r>
    <n v="205"/>
    <x v="7"/>
    <x v="140"/>
    <x v="1"/>
    <s v="Percent change"/>
    <s v="Units"/>
    <x v="0"/>
    <n v="7.3999999999999996E-2"/>
  </r>
  <r>
    <n v="205"/>
    <x v="7"/>
    <x v="140"/>
    <x v="1"/>
    <s v="Percent change"/>
    <s v="Units"/>
    <x v="1"/>
    <n v="-0.37"/>
  </r>
  <r>
    <n v="205"/>
    <x v="7"/>
    <x v="140"/>
    <x v="1"/>
    <s v="Percent change"/>
    <s v="Units"/>
    <x v="2"/>
    <n v="3.468"/>
  </r>
  <r>
    <n v="205"/>
    <x v="7"/>
    <x v="140"/>
    <x v="1"/>
    <s v="Percent change"/>
    <s v="Units"/>
    <x v="3"/>
    <n v="7.1959999999999997"/>
  </r>
  <r>
    <n v="205"/>
    <x v="7"/>
    <x v="140"/>
    <x v="1"/>
    <s v="Percent change"/>
    <s v="Units"/>
    <x v="4"/>
    <n v="4.0469999999999997"/>
  </r>
  <r>
    <n v="205"/>
    <x v="7"/>
    <x v="140"/>
    <x v="1"/>
    <s v="Percent change"/>
    <s v="Units"/>
    <x v="5"/>
    <n v="0.89600000000000002"/>
  </r>
  <r>
    <n v="205"/>
    <x v="7"/>
    <x v="140"/>
    <x v="1"/>
    <s v="Percent change"/>
    <s v="Units"/>
    <x v="6"/>
    <n v="1.7"/>
  </r>
  <r>
    <n v="200"/>
    <x v="3"/>
    <x v="140"/>
    <x v="1"/>
    <s v="Percent change"/>
    <s v="Units"/>
    <x v="0"/>
    <n v="7.3999999999999996E-2"/>
  </r>
  <r>
    <n v="200"/>
    <x v="3"/>
    <x v="140"/>
    <x v="1"/>
    <s v="Percent change"/>
    <s v="Units"/>
    <x v="1"/>
    <n v="-0.37"/>
  </r>
  <r>
    <n v="200"/>
    <x v="3"/>
    <x v="140"/>
    <x v="1"/>
    <s v="Percent change"/>
    <s v="Units"/>
    <x v="2"/>
    <n v="3.468"/>
  </r>
  <r>
    <n v="200"/>
    <x v="3"/>
    <x v="140"/>
    <x v="1"/>
    <s v="Percent change"/>
    <s v="Units"/>
    <x v="3"/>
    <n v="7.1959999999999997"/>
  </r>
  <r>
    <n v="200"/>
    <x v="3"/>
    <x v="140"/>
    <x v="1"/>
    <s v="Percent change"/>
    <s v="Units"/>
    <x v="4"/>
    <n v="4.0469999999999997"/>
  </r>
  <r>
    <n v="200"/>
    <x v="3"/>
    <x v="140"/>
    <x v="1"/>
    <s v="Percent change"/>
    <s v="Units"/>
    <x v="5"/>
    <n v="0.89600000000000002"/>
  </r>
  <r>
    <n v="200"/>
    <x v="3"/>
    <x v="140"/>
    <x v="1"/>
    <s v="Percent change"/>
    <s v="Units"/>
    <x v="6"/>
    <n v="1.7"/>
  </r>
  <r>
    <n v="400"/>
    <x v="11"/>
    <x v="82"/>
    <x v="9"/>
    <s v="Percent of GDP"/>
    <s v="Units"/>
    <x v="0"/>
    <n v="-0.34100000000000003"/>
  </r>
  <r>
    <n v="400"/>
    <x v="11"/>
    <x v="82"/>
    <x v="9"/>
    <s v="Percent of GDP"/>
    <s v="Units"/>
    <x v="1"/>
    <n v="-0.13700000000000001"/>
  </r>
  <r>
    <n v="400"/>
    <x v="11"/>
    <x v="82"/>
    <x v="9"/>
    <s v="Percent of GDP"/>
    <s v="Units"/>
    <x v="2"/>
    <n v="0.46"/>
  </r>
  <r>
    <n v="400"/>
    <x v="11"/>
    <x v="82"/>
    <x v="9"/>
    <s v="Percent of GDP"/>
    <s v="Units"/>
    <x v="3"/>
    <n v="2.4550000000000001"/>
  </r>
  <r>
    <n v="400"/>
    <x v="11"/>
    <x v="82"/>
    <x v="9"/>
    <s v="Percent of GDP"/>
    <s v="Units"/>
    <x v="4"/>
    <n v="1.302"/>
  </r>
  <r>
    <n v="400"/>
    <x v="11"/>
    <x v="82"/>
    <x v="9"/>
    <s v="Percent of GDP"/>
    <s v="Units"/>
    <x v="5"/>
    <n v="0.89600000000000002"/>
  </r>
  <r>
    <n v="400"/>
    <x v="11"/>
    <x v="82"/>
    <x v="9"/>
    <s v="Percent of GDP"/>
    <s v="Units"/>
    <x v="6"/>
    <n v="0.55100000000000005"/>
  </r>
  <r>
    <n v="1"/>
    <x v="2"/>
    <x v="140"/>
    <x v="1"/>
    <s v="Percent change"/>
    <s v="Units"/>
    <x v="0"/>
    <n v="7.3999999999999996E-2"/>
  </r>
  <r>
    <n v="1"/>
    <x v="2"/>
    <x v="140"/>
    <x v="1"/>
    <s v="Percent change"/>
    <s v="Units"/>
    <x v="1"/>
    <n v="-0.37"/>
  </r>
  <r>
    <n v="1"/>
    <x v="2"/>
    <x v="140"/>
    <x v="1"/>
    <s v="Percent change"/>
    <s v="Units"/>
    <x v="2"/>
    <n v="3.468"/>
  </r>
  <r>
    <n v="1"/>
    <x v="2"/>
    <x v="140"/>
    <x v="1"/>
    <s v="Percent change"/>
    <s v="Units"/>
    <x v="3"/>
    <n v="7.1959999999999997"/>
  </r>
  <r>
    <n v="1"/>
    <x v="2"/>
    <x v="140"/>
    <x v="1"/>
    <s v="Percent change"/>
    <s v="Units"/>
    <x v="4"/>
    <n v="4.0469999999999997"/>
  </r>
  <r>
    <n v="1"/>
    <x v="2"/>
    <x v="140"/>
    <x v="1"/>
    <s v="Percent change"/>
    <s v="Units"/>
    <x v="5"/>
    <n v="0.89600000000000002"/>
  </r>
  <r>
    <n v="1"/>
    <x v="2"/>
    <x v="140"/>
    <x v="1"/>
    <s v="Percent change"/>
    <s v="Units"/>
    <x v="6"/>
    <n v="1.7"/>
  </r>
  <r>
    <n v="200"/>
    <x v="3"/>
    <x v="165"/>
    <x v="9"/>
    <s v="Percent of GDP"/>
    <s v="Units"/>
    <x v="0"/>
    <n v="-6.6000000000000003E-2"/>
  </r>
  <r>
    <n v="200"/>
    <x v="3"/>
    <x v="165"/>
    <x v="9"/>
    <s v="Percent of GDP"/>
    <s v="Units"/>
    <x v="1"/>
    <n v="2.94"/>
  </r>
  <r>
    <n v="200"/>
    <x v="3"/>
    <x v="165"/>
    <x v="9"/>
    <s v="Percent of GDP"/>
    <s v="Units"/>
    <x v="2"/>
    <n v="-1.516"/>
  </r>
  <r>
    <n v="200"/>
    <x v="3"/>
    <x v="165"/>
    <x v="9"/>
    <s v="Percent of GDP"/>
    <s v="Units"/>
    <x v="3"/>
    <n v="-2.2330000000000001"/>
  </r>
  <r>
    <n v="200"/>
    <x v="3"/>
    <x v="165"/>
    <x v="9"/>
    <s v="Percent of GDP"/>
    <s v="Units"/>
    <x v="4"/>
    <n v="0.88300000000000001"/>
  </r>
  <r>
    <n v="200"/>
    <x v="3"/>
    <x v="165"/>
    <x v="9"/>
    <s v="Percent of GDP"/>
    <s v="Units"/>
    <x v="5"/>
    <n v="0.89100000000000001"/>
  </r>
  <r>
    <n v="200"/>
    <x v="3"/>
    <x v="165"/>
    <x v="9"/>
    <s v="Percent of GDP"/>
    <s v="Units"/>
    <x v="6"/>
    <n v="1.5169999999999999"/>
  </r>
  <r>
    <n v="603"/>
    <x v="12"/>
    <x v="165"/>
    <x v="9"/>
    <s v="Percent of GDP"/>
    <s v="Units"/>
    <x v="0"/>
    <n v="-6.6000000000000003E-2"/>
  </r>
  <r>
    <n v="603"/>
    <x v="12"/>
    <x v="165"/>
    <x v="9"/>
    <s v="Percent of GDP"/>
    <s v="Units"/>
    <x v="1"/>
    <n v="2.94"/>
  </r>
  <r>
    <n v="603"/>
    <x v="12"/>
    <x v="165"/>
    <x v="9"/>
    <s v="Percent of GDP"/>
    <s v="Units"/>
    <x v="2"/>
    <n v="-1.516"/>
  </r>
  <r>
    <n v="603"/>
    <x v="12"/>
    <x v="165"/>
    <x v="9"/>
    <s v="Percent of GDP"/>
    <s v="Units"/>
    <x v="3"/>
    <n v="-2.2330000000000001"/>
  </r>
  <r>
    <n v="603"/>
    <x v="12"/>
    <x v="165"/>
    <x v="9"/>
    <s v="Percent of GDP"/>
    <s v="Units"/>
    <x v="4"/>
    <n v="0.88300000000000001"/>
  </r>
  <r>
    <n v="603"/>
    <x v="12"/>
    <x v="165"/>
    <x v="9"/>
    <s v="Percent of GDP"/>
    <s v="Units"/>
    <x v="5"/>
    <n v="0.89100000000000001"/>
  </r>
  <r>
    <n v="603"/>
    <x v="12"/>
    <x v="165"/>
    <x v="9"/>
    <s v="Percent of GDP"/>
    <s v="Units"/>
    <x v="6"/>
    <n v="1.5169999999999999"/>
  </r>
  <r>
    <n v="510"/>
    <x v="10"/>
    <x v="26"/>
    <x v="10"/>
    <s v="Percent"/>
    <s v="Units"/>
    <x v="0"/>
    <n v="0.98299999999999998"/>
  </r>
  <r>
    <n v="510"/>
    <x v="10"/>
    <x v="26"/>
    <x v="10"/>
    <s v="Percent"/>
    <s v="Units"/>
    <x v="1"/>
    <n v="0.95099999999999996"/>
  </r>
  <r>
    <n v="510"/>
    <x v="10"/>
    <x v="26"/>
    <x v="10"/>
    <s v="Percent"/>
    <s v="Units"/>
    <x v="2"/>
    <n v="0.90700000000000003"/>
  </r>
  <r>
    <n v="510"/>
    <x v="10"/>
    <x v="26"/>
    <x v="10"/>
    <s v="Percent"/>
    <s v="Units"/>
    <x v="3"/>
    <n v="0.9"/>
  </r>
  <r>
    <n v="510"/>
    <x v="10"/>
    <x v="26"/>
    <x v="10"/>
    <s v="Percent"/>
    <s v="Units"/>
    <x v="4"/>
    <n v="0.88900000000000001"/>
  </r>
  <r>
    <n v="510"/>
    <x v="10"/>
    <x v="26"/>
    <x v="10"/>
    <s v="Percent"/>
    <s v="Units"/>
    <x v="5"/>
    <n v="0.88600000000000001"/>
  </r>
  <r>
    <n v="510"/>
    <x v="10"/>
    <x v="26"/>
    <x v="10"/>
    <s v="Percent"/>
    <s v="Units"/>
    <x v="6"/>
    <n v="0.88300000000000001"/>
  </r>
  <r>
    <n v="505"/>
    <x v="4"/>
    <x v="26"/>
    <x v="10"/>
    <s v="Percent"/>
    <s v="Units"/>
    <x v="0"/>
    <n v="0.98299999999999998"/>
  </r>
  <r>
    <n v="505"/>
    <x v="4"/>
    <x v="26"/>
    <x v="10"/>
    <s v="Percent"/>
    <s v="Units"/>
    <x v="1"/>
    <n v="0.95099999999999996"/>
  </r>
  <r>
    <n v="505"/>
    <x v="4"/>
    <x v="26"/>
    <x v="10"/>
    <s v="Percent"/>
    <s v="Units"/>
    <x v="2"/>
    <n v="0.90700000000000003"/>
  </r>
  <r>
    <n v="505"/>
    <x v="4"/>
    <x v="26"/>
    <x v="10"/>
    <s v="Percent"/>
    <s v="Units"/>
    <x v="3"/>
    <n v="0.9"/>
  </r>
  <r>
    <n v="505"/>
    <x v="4"/>
    <x v="26"/>
    <x v="10"/>
    <s v="Percent"/>
    <s v="Units"/>
    <x v="4"/>
    <n v="0.88900000000000001"/>
  </r>
  <r>
    <n v="505"/>
    <x v="4"/>
    <x v="26"/>
    <x v="10"/>
    <s v="Percent"/>
    <s v="Units"/>
    <x v="5"/>
    <n v="0.88600000000000001"/>
  </r>
  <r>
    <n v="505"/>
    <x v="4"/>
    <x v="26"/>
    <x v="10"/>
    <s v="Percent"/>
    <s v="Units"/>
    <x v="6"/>
    <n v="0.88300000000000001"/>
  </r>
  <r>
    <n v="200"/>
    <x v="3"/>
    <x v="26"/>
    <x v="10"/>
    <s v="Percent"/>
    <s v="Units"/>
    <x v="0"/>
    <n v="0.98299999999999998"/>
  </r>
  <r>
    <n v="200"/>
    <x v="3"/>
    <x v="26"/>
    <x v="10"/>
    <s v="Percent"/>
    <s v="Units"/>
    <x v="1"/>
    <n v="0.95099999999999996"/>
  </r>
  <r>
    <n v="200"/>
    <x v="3"/>
    <x v="26"/>
    <x v="10"/>
    <s v="Percent"/>
    <s v="Units"/>
    <x v="2"/>
    <n v="0.90700000000000003"/>
  </r>
  <r>
    <n v="200"/>
    <x v="3"/>
    <x v="26"/>
    <x v="10"/>
    <s v="Percent"/>
    <s v="Units"/>
    <x v="3"/>
    <n v="0.9"/>
  </r>
  <r>
    <n v="200"/>
    <x v="3"/>
    <x v="26"/>
    <x v="10"/>
    <s v="Percent"/>
    <s v="Units"/>
    <x v="4"/>
    <n v="0.88900000000000001"/>
  </r>
  <r>
    <n v="200"/>
    <x v="3"/>
    <x v="26"/>
    <x v="10"/>
    <s v="Percent"/>
    <s v="Units"/>
    <x v="5"/>
    <n v="0.88600000000000001"/>
  </r>
  <r>
    <n v="200"/>
    <x v="3"/>
    <x v="26"/>
    <x v="10"/>
    <s v="Percent"/>
    <s v="Units"/>
    <x v="6"/>
    <n v="0.88300000000000001"/>
  </r>
  <r>
    <n v="400"/>
    <x v="11"/>
    <x v="174"/>
    <x v="10"/>
    <s v="Percent"/>
    <s v="Units"/>
    <x v="0"/>
    <n v="0.88700000000000001"/>
  </r>
  <r>
    <n v="400"/>
    <x v="11"/>
    <x v="174"/>
    <x v="10"/>
    <s v="Percent"/>
    <s v="Units"/>
    <x v="1"/>
    <n v="0.90500000000000003"/>
  </r>
  <r>
    <n v="400"/>
    <x v="11"/>
    <x v="174"/>
    <x v="10"/>
    <s v="Percent"/>
    <s v="Units"/>
    <x v="2"/>
    <n v="0.89900000000000002"/>
  </r>
  <r>
    <n v="400"/>
    <x v="11"/>
    <x v="174"/>
    <x v="10"/>
    <s v="Percent"/>
    <s v="Units"/>
    <x v="3"/>
    <n v="0.92400000000000004"/>
  </r>
  <r>
    <n v="400"/>
    <x v="11"/>
    <x v="174"/>
    <x v="10"/>
    <s v="Percent"/>
    <s v="Units"/>
    <x v="4"/>
    <n v="0.89500000000000002"/>
  </r>
  <r>
    <n v="400"/>
    <x v="11"/>
    <x v="174"/>
    <x v="10"/>
    <s v="Percent"/>
    <s v="Units"/>
    <x v="5"/>
    <n v="0.88500000000000001"/>
  </r>
  <r>
    <n v="400"/>
    <x v="11"/>
    <x v="174"/>
    <x v="10"/>
    <s v="Percent"/>
    <s v="Units"/>
    <x v="6"/>
    <n v="0.88700000000000001"/>
  </r>
  <r>
    <n v="200"/>
    <x v="3"/>
    <x v="174"/>
    <x v="10"/>
    <s v="Percent"/>
    <s v="Units"/>
    <x v="0"/>
    <n v="0.88700000000000001"/>
  </r>
  <r>
    <n v="200"/>
    <x v="3"/>
    <x v="174"/>
    <x v="10"/>
    <s v="Percent"/>
    <s v="Units"/>
    <x v="1"/>
    <n v="0.90500000000000003"/>
  </r>
  <r>
    <n v="200"/>
    <x v="3"/>
    <x v="174"/>
    <x v="10"/>
    <s v="Percent"/>
    <s v="Units"/>
    <x v="2"/>
    <n v="0.89900000000000002"/>
  </r>
  <r>
    <n v="200"/>
    <x v="3"/>
    <x v="174"/>
    <x v="10"/>
    <s v="Percent"/>
    <s v="Units"/>
    <x v="3"/>
    <n v="0.92400000000000004"/>
  </r>
  <r>
    <n v="200"/>
    <x v="3"/>
    <x v="174"/>
    <x v="10"/>
    <s v="Percent"/>
    <s v="Units"/>
    <x v="4"/>
    <n v="0.89500000000000002"/>
  </r>
  <r>
    <n v="200"/>
    <x v="3"/>
    <x v="174"/>
    <x v="10"/>
    <s v="Percent"/>
    <s v="Units"/>
    <x v="5"/>
    <n v="0.88500000000000001"/>
  </r>
  <r>
    <n v="200"/>
    <x v="3"/>
    <x v="174"/>
    <x v="10"/>
    <s v="Percent"/>
    <s v="Units"/>
    <x v="6"/>
    <n v="0.88700000000000001"/>
  </r>
  <r>
    <n v="1"/>
    <x v="2"/>
    <x v="40"/>
    <x v="8"/>
    <s v="Percent change"/>
    <s v="Units"/>
    <x v="0"/>
    <n v="0.26"/>
  </r>
  <r>
    <n v="1"/>
    <x v="2"/>
    <x v="40"/>
    <x v="8"/>
    <s v="Percent change"/>
    <s v="Units"/>
    <x v="1"/>
    <n v="-5.9630000000000001"/>
  </r>
  <r>
    <n v="1"/>
    <x v="2"/>
    <x v="40"/>
    <x v="8"/>
    <s v="Percent change"/>
    <s v="Units"/>
    <x v="2"/>
    <n v="4.7030000000000003"/>
  </r>
  <r>
    <n v="1"/>
    <x v="2"/>
    <x v="40"/>
    <x v="8"/>
    <s v="Percent change"/>
    <s v="Units"/>
    <x v="3"/>
    <n v="1.91"/>
  </r>
  <r>
    <n v="1"/>
    <x v="2"/>
    <x v="40"/>
    <x v="8"/>
    <s v="Percent change"/>
    <s v="Units"/>
    <x v="4"/>
    <n v="0.60199999999999998"/>
  </r>
  <r>
    <n v="1"/>
    <x v="2"/>
    <x v="40"/>
    <x v="8"/>
    <s v="Percent change"/>
    <s v="Units"/>
    <x v="5"/>
    <n v="0.879"/>
  </r>
  <r>
    <n v="1"/>
    <x v="2"/>
    <x v="40"/>
    <x v="8"/>
    <s v="Percent change"/>
    <s v="Units"/>
    <x v="6"/>
    <n v="1.2130000000000001"/>
  </r>
  <r>
    <n v="603"/>
    <x v="12"/>
    <x v="40"/>
    <x v="8"/>
    <s v="Percent change"/>
    <s v="Units"/>
    <x v="0"/>
    <n v="0.26"/>
  </r>
  <r>
    <n v="603"/>
    <x v="12"/>
    <x v="40"/>
    <x v="8"/>
    <s v="Percent change"/>
    <s v="Units"/>
    <x v="1"/>
    <n v="-5.9630000000000001"/>
  </r>
  <r>
    <n v="603"/>
    <x v="12"/>
    <x v="40"/>
    <x v="8"/>
    <s v="Percent change"/>
    <s v="Units"/>
    <x v="2"/>
    <n v="4.7030000000000003"/>
  </r>
  <r>
    <n v="603"/>
    <x v="12"/>
    <x v="40"/>
    <x v="8"/>
    <s v="Percent change"/>
    <s v="Units"/>
    <x v="3"/>
    <n v="1.91"/>
  </r>
  <r>
    <n v="603"/>
    <x v="12"/>
    <x v="40"/>
    <x v="8"/>
    <s v="Percent change"/>
    <s v="Units"/>
    <x v="4"/>
    <n v="0.60199999999999998"/>
  </r>
  <r>
    <n v="603"/>
    <x v="12"/>
    <x v="40"/>
    <x v="8"/>
    <s v="Percent change"/>
    <s v="Units"/>
    <x v="5"/>
    <n v="0.879"/>
  </r>
  <r>
    <n v="603"/>
    <x v="12"/>
    <x v="40"/>
    <x v="8"/>
    <s v="Percent change"/>
    <s v="Units"/>
    <x v="6"/>
    <n v="1.2130000000000001"/>
  </r>
  <r>
    <n v="200"/>
    <x v="3"/>
    <x v="40"/>
    <x v="8"/>
    <s v="Percent change"/>
    <s v="Units"/>
    <x v="0"/>
    <n v="0.26"/>
  </r>
  <r>
    <n v="200"/>
    <x v="3"/>
    <x v="40"/>
    <x v="8"/>
    <s v="Percent change"/>
    <s v="Units"/>
    <x v="1"/>
    <n v="-5.9630000000000001"/>
  </r>
  <r>
    <n v="200"/>
    <x v="3"/>
    <x v="40"/>
    <x v="8"/>
    <s v="Percent change"/>
    <s v="Units"/>
    <x v="2"/>
    <n v="4.7030000000000003"/>
  </r>
  <r>
    <n v="200"/>
    <x v="3"/>
    <x v="40"/>
    <x v="8"/>
    <s v="Percent change"/>
    <s v="Units"/>
    <x v="3"/>
    <n v="1.91"/>
  </r>
  <r>
    <n v="200"/>
    <x v="3"/>
    <x v="40"/>
    <x v="8"/>
    <s v="Percent change"/>
    <s v="Units"/>
    <x v="4"/>
    <n v="0.60199999999999998"/>
  </r>
  <r>
    <n v="200"/>
    <x v="3"/>
    <x v="40"/>
    <x v="8"/>
    <s v="Percent change"/>
    <s v="Units"/>
    <x v="5"/>
    <n v="0.879"/>
  </r>
  <r>
    <n v="200"/>
    <x v="3"/>
    <x v="40"/>
    <x v="8"/>
    <s v="Percent change"/>
    <s v="Units"/>
    <x v="6"/>
    <n v="1.2130000000000001"/>
  </r>
  <r>
    <n v="110"/>
    <x v="0"/>
    <x v="31"/>
    <x v="12"/>
    <s v="Percent of potential GDP"/>
    <s v="Units"/>
    <x v="0"/>
    <n v="1.706"/>
  </r>
  <r>
    <n v="110"/>
    <x v="0"/>
    <x v="31"/>
    <x v="12"/>
    <s v="Percent of potential GDP"/>
    <s v="Units"/>
    <x v="1"/>
    <n v="-7.915"/>
  </r>
  <r>
    <n v="110"/>
    <x v="0"/>
    <x v="31"/>
    <x v="12"/>
    <s v="Percent of potential GDP"/>
    <s v="Units"/>
    <x v="2"/>
    <n v="-1.153"/>
  </r>
  <r>
    <n v="110"/>
    <x v="0"/>
    <x v="31"/>
    <x v="12"/>
    <s v="Percent of potential GDP"/>
    <s v="Units"/>
    <x v="3"/>
    <n v="-0.66900000000000004"/>
  </r>
  <r>
    <n v="110"/>
    <x v="0"/>
    <x v="31"/>
    <x v="12"/>
    <s v="Percent of potential GDP"/>
    <s v="Units"/>
    <x v="4"/>
    <n v="0.95099999999999996"/>
  </r>
  <r>
    <n v="110"/>
    <x v="0"/>
    <x v="31"/>
    <x v="12"/>
    <s v="Percent of potential GDP"/>
    <s v="Units"/>
    <x v="5"/>
    <n v="0.878"/>
  </r>
  <r>
    <n v="110"/>
    <x v="0"/>
    <x v="31"/>
    <x v="12"/>
    <s v="Percent of potential GDP"/>
    <s v="Units"/>
    <x v="6"/>
    <n v="1.2470000000000001"/>
  </r>
  <r>
    <n v="123"/>
    <x v="9"/>
    <x v="31"/>
    <x v="12"/>
    <s v="Percent of potential GDP"/>
    <s v="Units"/>
    <x v="0"/>
    <n v="1.706"/>
  </r>
  <r>
    <n v="123"/>
    <x v="9"/>
    <x v="31"/>
    <x v="12"/>
    <s v="Percent of potential GDP"/>
    <s v="Units"/>
    <x v="1"/>
    <n v="-7.915"/>
  </r>
  <r>
    <n v="123"/>
    <x v="9"/>
    <x v="31"/>
    <x v="12"/>
    <s v="Percent of potential GDP"/>
    <s v="Units"/>
    <x v="2"/>
    <n v="-1.153"/>
  </r>
  <r>
    <n v="123"/>
    <x v="9"/>
    <x v="31"/>
    <x v="12"/>
    <s v="Percent of potential GDP"/>
    <s v="Units"/>
    <x v="3"/>
    <n v="-0.66900000000000004"/>
  </r>
  <r>
    <n v="123"/>
    <x v="9"/>
    <x v="31"/>
    <x v="12"/>
    <s v="Percent of potential GDP"/>
    <s v="Units"/>
    <x v="4"/>
    <n v="0.95099999999999996"/>
  </r>
  <r>
    <n v="123"/>
    <x v="9"/>
    <x v="31"/>
    <x v="12"/>
    <s v="Percent of potential GDP"/>
    <s v="Units"/>
    <x v="5"/>
    <n v="0.878"/>
  </r>
  <r>
    <n v="123"/>
    <x v="9"/>
    <x v="31"/>
    <x v="12"/>
    <s v="Percent of potential GDP"/>
    <s v="Units"/>
    <x v="6"/>
    <n v="1.2470000000000001"/>
  </r>
  <r>
    <n v="505"/>
    <x v="4"/>
    <x v="35"/>
    <x v="10"/>
    <s v="Percent"/>
    <s v="Units"/>
    <x v="0"/>
    <n v="0.72599999999999998"/>
  </r>
  <r>
    <n v="505"/>
    <x v="4"/>
    <x v="35"/>
    <x v="10"/>
    <s v="Percent"/>
    <s v="Units"/>
    <x v="1"/>
    <n v="0.78700000000000003"/>
  </r>
  <r>
    <n v="505"/>
    <x v="4"/>
    <x v="35"/>
    <x v="10"/>
    <s v="Percent"/>
    <s v="Units"/>
    <x v="2"/>
    <n v="0.79100000000000004"/>
  </r>
  <r>
    <n v="505"/>
    <x v="4"/>
    <x v="35"/>
    <x v="10"/>
    <s v="Percent"/>
    <s v="Units"/>
    <x v="3"/>
    <n v="0.81599999999999995"/>
  </r>
  <r>
    <n v="505"/>
    <x v="4"/>
    <x v="35"/>
    <x v="10"/>
    <s v="Percent"/>
    <s v="Units"/>
    <x v="4"/>
    <n v="0.83899999999999997"/>
  </r>
  <r>
    <n v="505"/>
    <x v="4"/>
    <x v="35"/>
    <x v="10"/>
    <s v="Percent"/>
    <s v="Units"/>
    <x v="5"/>
    <n v="0.872"/>
  </r>
  <r>
    <n v="505"/>
    <x v="4"/>
    <x v="35"/>
    <x v="10"/>
    <s v="Percent"/>
    <s v="Units"/>
    <x v="6"/>
    <n v="0.90600000000000003"/>
  </r>
  <r>
    <n v="200"/>
    <x v="3"/>
    <x v="35"/>
    <x v="10"/>
    <s v="Percent"/>
    <s v="Units"/>
    <x v="0"/>
    <n v="0.72599999999999998"/>
  </r>
  <r>
    <n v="200"/>
    <x v="3"/>
    <x v="35"/>
    <x v="10"/>
    <s v="Percent"/>
    <s v="Units"/>
    <x v="1"/>
    <n v="0.78700000000000003"/>
  </r>
  <r>
    <n v="200"/>
    <x v="3"/>
    <x v="35"/>
    <x v="10"/>
    <s v="Percent"/>
    <s v="Units"/>
    <x v="2"/>
    <n v="0.79100000000000004"/>
  </r>
  <r>
    <n v="200"/>
    <x v="3"/>
    <x v="35"/>
    <x v="10"/>
    <s v="Percent"/>
    <s v="Units"/>
    <x v="3"/>
    <n v="0.81599999999999995"/>
  </r>
  <r>
    <n v="200"/>
    <x v="3"/>
    <x v="35"/>
    <x v="10"/>
    <s v="Percent"/>
    <s v="Units"/>
    <x v="4"/>
    <n v="0.83899999999999997"/>
  </r>
  <r>
    <n v="200"/>
    <x v="3"/>
    <x v="35"/>
    <x v="10"/>
    <s v="Percent"/>
    <s v="Units"/>
    <x v="5"/>
    <n v="0.872"/>
  </r>
  <r>
    <n v="200"/>
    <x v="3"/>
    <x v="35"/>
    <x v="10"/>
    <s v="Percent"/>
    <s v="Units"/>
    <x v="6"/>
    <n v="0.90600000000000003"/>
  </r>
  <r>
    <n v="1"/>
    <x v="2"/>
    <x v="3"/>
    <x v="8"/>
    <s v="Percent change"/>
    <s v="Units"/>
    <x v="0"/>
    <n v="-0.40200000000000002"/>
  </r>
  <r>
    <n v="1"/>
    <x v="2"/>
    <x v="3"/>
    <x v="8"/>
    <s v="Percent change"/>
    <s v="Units"/>
    <x v="1"/>
    <n v="-4.1470000000000002"/>
  </r>
  <r>
    <n v="1"/>
    <x v="2"/>
    <x v="3"/>
    <x v="8"/>
    <s v="Percent change"/>
    <s v="Units"/>
    <x v="2"/>
    <n v="2.5590000000000002"/>
  </r>
  <r>
    <n v="1"/>
    <x v="2"/>
    <x v="3"/>
    <x v="8"/>
    <s v="Percent change"/>
    <s v="Units"/>
    <x v="3"/>
    <n v="0.95699999999999996"/>
  </r>
  <r>
    <n v="1"/>
    <x v="2"/>
    <x v="3"/>
    <x v="8"/>
    <s v="Percent change"/>
    <s v="Units"/>
    <x v="4"/>
    <n v="1.923"/>
  </r>
  <r>
    <n v="1"/>
    <x v="2"/>
    <x v="3"/>
    <x v="8"/>
    <s v="Percent change"/>
    <s v="Units"/>
    <x v="5"/>
    <n v="0.85499999999999998"/>
  </r>
  <r>
    <n v="1"/>
    <x v="2"/>
    <x v="3"/>
    <x v="8"/>
    <s v="Percent change"/>
    <s v="Units"/>
    <x v="6"/>
    <n v="1.0069999999999999"/>
  </r>
  <r>
    <n v="110"/>
    <x v="0"/>
    <x v="3"/>
    <x v="8"/>
    <s v="Percent change"/>
    <s v="Units"/>
    <x v="0"/>
    <n v="-0.40200000000000002"/>
  </r>
  <r>
    <n v="110"/>
    <x v="0"/>
    <x v="3"/>
    <x v="8"/>
    <s v="Percent change"/>
    <s v="Units"/>
    <x v="1"/>
    <n v="-4.1470000000000002"/>
  </r>
  <r>
    <n v="110"/>
    <x v="0"/>
    <x v="3"/>
    <x v="8"/>
    <s v="Percent change"/>
    <s v="Units"/>
    <x v="2"/>
    <n v="2.5590000000000002"/>
  </r>
  <r>
    <n v="110"/>
    <x v="0"/>
    <x v="3"/>
    <x v="8"/>
    <s v="Percent change"/>
    <s v="Units"/>
    <x v="3"/>
    <n v="0.95699999999999996"/>
  </r>
  <r>
    <n v="110"/>
    <x v="0"/>
    <x v="3"/>
    <x v="8"/>
    <s v="Percent change"/>
    <s v="Units"/>
    <x v="4"/>
    <n v="1.923"/>
  </r>
  <r>
    <n v="110"/>
    <x v="0"/>
    <x v="3"/>
    <x v="8"/>
    <s v="Percent change"/>
    <s v="Units"/>
    <x v="5"/>
    <n v="0.85499999999999998"/>
  </r>
  <r>
    <n v="110"/>
    <x v="0"/>
    <x v="3"/>
    <x v="8"/>
    <s v="Percent change"/>
    <s v="Units"/>
    <x v="6"/>
    <n v="1.0069999999999999"/>
  </r>
  <r>
    <n v="119"/>
    <x v="1"/>
    <x v="3"/>
    <x v="8"/>
    <s v="Percent change"/>
    <s v="Units"/>
    <x v="0"/>
    <n v="-0.40200000000000002"/>
  </r>
  <r>
    <n v="119"/>
    <x v="1"/>
    <x v="3"/>
    <x v="8"/>
    <s v="Percent change"/>
    <s v="Units"/>
    <x v="1"/>
    <n v="-4.1470000000000002"/>
  </r>
  <r>
    <n v="119"/>
    <x v="1"/>
    <x v="3"/>
    <x v="8"/>
    <s v="Percent change"/>
    <s v="Units"/>
    <x v="2"/>
    <n v="2.5590000000000002"/>
  </r>
  <r>
    <n v="119"/>
    <x v="1"/>
    <x v="3"/>
    <x v="8"/>
    <s v="Percent change"/>
    <s v="Units"/>
    <x v="3"/>
    <n v="0.95699999999999996"/>
  </r>
  <r>
    <n v="119"/>
    <x v="1"/>
    <x v="3"/>
    <x v="8"/>
    <s v="Percent change"/>
    <s v="Units"/>
    <x v="4"/>
    <n v="1.923"/>
  </r>
  <r>
    <n v="119"/>
    <x v="1"/>
    <x v="3"/>
    <x v="8"/>
    <s v="Percent change"/>
    <s v="Units"/>
    <x v="5"/>
    <n v="0.85499999999999998"/>
  </r>
  <r>
    <n v="119"/>
    <x v="1"/>
    <x v="3"/>
    <x v="8"/>
    <s v="Percent change"/>
    <s v="Units"/>
    <x v="6"/>
    <n v="1.0069999999999999"/>
  </r>
  <r>
    <n v="505"/>
    <x v="4"/>
    <x v="33"/>
    <x v="10"/>
    <s v="Percent"/>
    <s v="Units"/>
    <x v="0"/>
    <n v="0.752"/>
  </r>
  <r>
    <n v="505"/>
    <x v="4"/>
    <x v="33"/>
    <x v="10"/>
    <s v="Percent"/>
    <s v="Units"/>
    <x v="1"/>
    <n v="0.79700000000000004"/>
  </r>
  <r>
    <n v="505"/>
    <x v="4"/>
    <x v="33"/>
    <x v="10"/>
    <s v="Percent"/>
    <s v="Units"/>
    <x v="2"/>
    <n v="0.76800000000000002"/>
  </r>
  <r>
    <n v="505"/>
    <x v="4"/>
    <x v="33"/>
    <x v="10"/>
    <s v="Percent"/>
    <s v="Units"/>
    <x v="3"/>
    <n v="0.80300000000000005"/>
  </r>
  <r>
    <n v="505"/>
    <x v="4"/>
    <x v="33"/>
    <x v="10"/>
    <s v="Percent"/>
    <s v="Units"/>
    <x v="4"/>
    <n v="0.81799999999999995"/>
  </r>
  <r>
    <n v="505"/>
    <x v="4"/>
    <x v="33"/>
    <x v="10"/>
    <s v="Percent"/>
    <s v="Units"/>
    <x v="5"/>
    <n v="0.84"/>
  </r>
  <r>
    <n v="505"/>
    <x v="4"/>
    <x v="33"/>
    <x v="10"/>
    <s v="Percent"/>
    <s v="Units"/>
    <x v="6"/>
    <n v="0.86599999999999999"/>
  </r>
  <r>
    <n v="200"/>
    <x v="3"/>
    <x v="33"/>
    <x v="10"/>
    <s v="Percent"/>
    <s v="Units"/>
    <x v="0"/>
    <n v="0.752"/>
  </r>
  <r>
    <n v="200"/>
    <x v="3"/>
    <x v="33"/>
    <x v="10"/>
    <s v="Percent"/>
    <s v="Units"/>
    <x v="1"/>
    <n v="0.79700000000000004"/>
  </r>
  <r>
    <n v="200"/>
    <x v="3"/>
    <x v="33"/>
    <x v="10"/>
    <s v="Percent"/>
    <s v="Units"/>
    <x v="2"/>
    <n v="0.76800000000000002"/>
  </r>
  <r>
    <n v="200"/>
    <x v="3"/>
    <x v="33"/>
    <x v="10"/>
    <s v="Percent"/>
    <s v="Units"/>
    <x v="3"/>
    <n v="0.80300000000000005"/>
  </r>
  <r>
    <n v="200"/>
    <x v="3"/>
    <x v="33"/>
    <x v="10"/>
    <s v="Percent"/>
    <s v="Units"/>
    <x v="4"/>
    <n v="0.81799999999999995"/>
  </r>
  <r>
    <n v="200"/>
    <x v="3"/>
    <x v="33"/>
    <x v="10"/>
    <s v="Percent"/>
    <s v="Units"/>
    <x v="5"/>
    <n v="0.84"/>
  </r>
  <r>
    <n v="200"/>
    <x v="3"/>
    <x v="33"/>
    <x v="10"/>
    <s v="Percent"/>
    <s v="Units"/>
    <x v="6"/>
    <n v="0.86599999999999999"/>
  </r>
  <r>
    <n v="119"/>
    <x v="1"/>
    <x v="8"/>
    <x v="4"/>
    <s v="Percent change"/>
    <s v="Units"/>
    <x v="0"/>
    <n v="1.573"/>
  </r>
  <r>
    <n v="119"/>
    <x v="1"/>
    <x v="8"/>
    <x v="4"/>
    <s v="Percent change"/>
    <s v="Units"/>
    <x v="1"/>
    <n v="-13.507999999999999"/>
  </r>
  <r>
    <n v="119"/>
    <x v="1"/>
    <x v="8"/>
    <x v="4"/>
    <s v="Percent change"/>
    <s v="Units"/>
    <x v="2"/>
    <n v="14.065"/>
  </r>
  <r>
    <n v="119"/>
    <x v="1"/>
    <x v="8"/>
    <x v="4"/>
    <s v="Percent change"/>
    <s v="Units"/>
    <x v="3"/>
    <n v="10.241"/>
  </r>
  <r>
    <n v="119"/>
    <x v="1"/>
    <x v="8"/>
    <x v="4"/>
    <s v="Percent change"/>
    <s v="Units"/>
    <x v="4"/>
    <n v="0.17899999999999999"/>
  </r>
  <r>
    <n v="119"/>
    <x v="1"/>
    <x v="8"/>
    <x v="4"/>
    <s v="Percent change"/>
    <s v="Units"/>
    <x v="5"/>
    <n v="0.83"/>
  </r>
  <r>
    <n v="119"/>
    <x v="1"/>
    <x v="8"/>
    <x v="4"/>
    <s v="Percent change"/>
    <s v="Units"/>
    <x v="6"/>
    <n v="1.375"/>
  </r>
  <r>
    <n v="1"/>
    <x v="2"/>
    <x v="8"/>
    <x v="4"/>
    <s v="Percent change"/>
    <s v="Units"/>
    <x v="0"/>
    <n v="1.573"/>
  </r>
  <r>
    <n v="1"/>
    <x v="2"/>
    <x v="8"/>
    <x v="4"/>
    <s v="Percent change"/>
    <s v="Units"/>
    <x v="1"/>
    <n v="-13.507999999999999"/>
  </r>
  <r>
    <n v="1"/>
    <x v="2"/>
    <x v="8"/>
    <x v="4"/>
    <s v="Percent change"/>
    <s v="Units"/>
    <x v="2"/>
    <n v="14.065"/>
  </r>
  <r>
    <n v="1"/>
    <x v="2"/>
    <x v="8"/>
    <x v="4"/>
    <s v="Percent change"/>
    <s v="Units"/>
    <x v="3"/>
    <n v="10.241"/>
  </r>
  <r>
    <n v="1"/>
    <x v="2"/>
    <x v="8"/>
    <x v="4"/>
    <s v="Percent change"/>
    <s v="Units"/>
    <x v="4"/>
    <n v="0.17899999999999999"/>
  </r>
  <r>
    <n v="1"/>
    <x v="2"/>
    <x v="8"/>
    <x v="4"/>
    <s v="Percent change"/>
    <s v="Units"/>
    <x v="5"/>
    <n v="0.83"/>
  </r>
  <r>
    <n v="1"/>
    <x v="2"/>
    <x v="8"/>
    <x v="4"/>
    <s v="Percent change"/>
    <s v="Units"/>
    <x v="6"/>
    <n v="1.375"/>
  </r>
  <r>
    <n v="110"/>
    <x v="0"/>
    <x v="8"/>
    <x v="4"/>
    <s v="Percent change"/>
    <s v="Units"/>
    <x v="0"/>
    <n v="1.573"/>
  </r>
  <r>
    <n v="110"/>
    <x v="0"/>
    <x v="8"/>
    <x v="4"/>
    <s v="Percent change"/>
    <s v="Units"/>
    <x v="1"/>
    <n v="-13.507999999999999"/>
  </r>
  <r>
    <n v="110"/>
    <x v="0"/>
    <x v="8"/>
    <x v="4"/>
    <s v="Percent change"/>
    <s v="Units"/>
    <x v="2"/>
    <n v="14.065"/>
  </r>
  <r>
    <n v="110"/>
    <x v="0"/>
    <x v="8"/>
    <x v="4"/>
    <s v="Percent change"/>
    <s v="Units"/>
    <x v="3"/>
    <n v="10.241"/>
  </r>
  <r>
    <n v="110"/>
    <x v="0"/>
    <x v="8"/>
    <x v="4"/>
    <s v="Percent change"/>
    <s v="Units"/>
    <x v="4"/>
    <n v="0.17899999999999999"/>
  </r>
  <r>
    <n v="110"/>
    <x v="0"/>
    <x v="8"/>
    <x v="4"/>
    <s v="Percent change"/>
    <s v="Units"/>
    <x v="5"/>
    <n v="0.83"/>
  </r>
  <r>
    <n v="110"/>
    <x v="0"/>
    <x v="8"/>
    <x v="4"/>
    <s v="Percent change"/>
    <s v="Units"/>
    <x v="6"/>
    <n v="1.375"/>
  </r>
  <r>
    <n v="163"/>
    <x v="5"/>
    <x v="8"/>
    <x v="4"/>
    <s v="Percent change"/>
    <s v="Units"/>
    <x v="0"/>
    <n v="1.573"/>
  </r>
  <r>
    <n v="163"/>
    <x v="5"/>
    <x v="8"/>
    <x v="4"/>
    <s v="Percent change"/>
    <s v="Units"/>
    <x v="1"/>
    <n v="-13.507999999999999"/>
  </r>
  <r>
    <n v="163"/>
    <x v="5"/>
    <x v="8"/>
    <x v="4"/>
    <s v="Percent change"/>
    <s v="Units"/>
    <x v="2"/>
    <n v="14.065"/>
  </r>
  <r>
    <n v="163"/>
    <x v="5"/>
    <x v="8"/>
    <x v="4"/>
    <s v="Percent change"/>
    <s v="Units"/>
    <x v="3"/>
    <n v="10.241"/>
  </r>
  <r>
    <n v="163"/>
    <x v="5"/>
    <x v="8"/>
    <x v="4"/>
    <s v="Percent change"/>
    <s v="Units"/>
    <x v="4"/>
    <n v="0.17899999999999999"/>
  </r>
  <r>
    <n v="163"/>
    <x v="5"/>
    <x v="8"/>
    <x v="4"/>
    <s v="Percent change"/>
    <s v="Units"/>
    <x v="5"/>
    <n v="0.83"/>
  </r>
  <r>
    <n v="163"/>
    <x v="5"/>
    <x v="8"/>
    <x v="4"/>
    <s v="Percent change"/>
    <s v="Units"/>
    <x v="6"/>
    <n v="1.375"/>
  </r>
  <r>
    <n v="110"/>
    <x v="0"/>
    <x v="37"/>
    <x v="12"/>
    <s v="Percent of potential GDP"/>
    <s v="Units"/>
    <x v="0"/>
    <n v="1.3680000000000001"/>
  </r>
  <r>
    <n v="110"/>
    <x v="0"/>
    <x v="37"/>
    <x v="12"/>
    <s v="Percent of potential GDP"/>
    <s v="Units"/>
    <x v="1"/>
    <n v="1.45"/>
  </r>
  <r>
    <n v="110"/>
    <x v="0"/>
    <x v="37"/>
    <x v="12"/>
    <s v="Percent of potential GDP"/>
    <s v="Units"/>
    <x v="2"/>
    <n v="-7.5999999999999998E-2"/>
  </r>
  <r>
    <n v="110"/>
    <x v="0"/>
    <x v="37"/>
    <x v="12"/>
    <s v="Percent of potential GDP"/>
    <s v="Units"/>
    <x v="3"/>
    <n v="1.028"/>
  </r>
  <r>
    <n v="110"/>
    <x v="0"/>
    <x v="37"/>
    <x v="12"/>
    <s v="Percent of potential GDP"/>
    <s v="Units"/>
    <x v="4"/>
    <n v="0.85099999999999998"/>
  </r>
  <r>
    <n v="110"/>
    <x v="0"/>
    <x v="37"/>
    <x v="12"/>
    <s v="Percent of potential GDP"/>
    <s v="Units"/>
    <x v="5"/>
    <n v="0.79500000000000004"/>
  </r>
  <r>
    <n v="110"/>
    <x v="0"/>
    <x v="37"/>
    <x v="12"/>
    <s v="Percent of potential GDP"/>
    <s v="Units"/>
    <x v="6"/>
    <n v="0.53"/>
  </r>
  <r>
    <n v="123"/>
    <x v="9"/>
    <x v="37"/>
    <x v="12"/>
    <s v="Percent of potential GDP"/>
    <s v="Units"/>
    <x v="0"/>
    <n v="1.3680000000000001"/>
  </r>
  <r>
    <n v="123"/>
    <x v="9"/>
    <x v="37"/>
    <x v="12"/>
    <s v="Percent of potential GDP"/>
    <s v="Units"/>
    <x v="1"/>
    <n v="1.45"/>
  </r>
  <r>
    <n v="123"/>
    <x v="9"/>
    <x v="37"/>
    <x v="12"/>
    <s v="Percent of potential GDP"/>
    <s v="Units"/>
    <x v="2"/>
    <n v="-7.5999999999999998E-2"/>
  </r>
  <r>
    <n v="123"/>
    <x v="9"/>
    <x v="37"/>
    <x v="12"/>
    <s v="Percent of potential GDP"/>
    <s v="Units"/>
    <x v="3"/>
    <n v="1.028"/>
  </r>
  <r>
    <n v="123"/>
    <x v="9"/>
    <x v="37"/>
    <x v="12"/>
    <s v="Percent of potential GDP"/>
    <s v="Units"/>
    <x v="4"/>
    <n v="0.85099999999999998"/>
  </r>
  <r>
    <n v="123"/>
    <x v="9"/>
    <x v="37"/>
    <x v="12"/>
    <s v="Percent of potential GDP"/>
    <s v="Units"/>
    <x v="5"/>
    <n v="0.79500000000000004"/>
  </r>
  <r>
    <n v="123"/>
    <x v="9"/>
    <x v="37"/>
    <x v="12"/>
    <s v="Percent of potential GDP"/>
    <s v="Units"/>
    <x v="6"/>
    <n v="0.53"/>
  </r>
  <r>
    <n v="200"/>
    <x v="3"/>
    <x v="167"/>
    <x v="9"/>
    <s v="Percent of GDP"/>
    <s v="Units"/>
    <x v="0"/>
    <n v="-0.26100000000000001"/>
  </r>
  <r>
    <n v="200"/>
    <x v="3"/>
    <x v="167"/>
    <x v="9"/>
    <s v="Percent of GDP"/>
    <s v="Units"/>
    <x v="1"/>
    <n v="-2.5619999999999998"/>
  </r>
  <r>
    <n v="200"/>
    <x v="3"/>
    <x v="167"/>
    <x v="9"/>
    <s v="Percent of GDP"/>
    <s v="Units"/>
    <x v="2"/>
    <n v="-1.3520000000000001"/>
  </r>
  <r>
    <n v="200"/>
    <x v="3"/>
    <x v="167"/>
    <x v="9"/>
    <s v="Percent of GDP"/>
    <s v="Units"/>
    <x v="3"/>
    <n v="0.34200000000000003"/>
  </r>
  <r>
    <n v="200"/>
    <x v="3"/>
    <x v="167"/>
    <x v="9"/>
    <s v="Percent of GDP"/>
    <s v="Units"/>
    <x v="4"/>
    <n v="0.70399999999999996"/>
  </r>
  <r>
    <n v="200"/>
    <x v="3"/>
    <x v="167"/>
    <x v="9"/>
    <s v="Percent of GDP"/>
    <s v="Units"/>
    <x v="5"/>
    <n v="0.79300000000000004"/>
  </r>
  <r>
    <n v="200"/>
    <x v="3"/>
    <x v="167"/>
    <x v="9"/>
    <s v="Percent of GDP"/>
    <s v="Units"/>
    <x v="6"/>
    <n v="1.2689999999999999"/>
  </r>
  <r>
    <n v="205"/>
    <x v="7"/>
    <x v="167"/>
    <x v="9"/>
    <s v="Percent of GDP"/>
    <s v="Units"/>
    <x v="0"/>
    <n v="-0.26100000000000001"/>
  </r>
  <r>
    <n v="205"/>
    <x v="7"/>
    <x v="167"/>
    <x v="9"/>
    <s v="Percent of GDP"/>
    <s v="Units"/>
    <x v="1"/>
    <n v="-2.5619999999999998"/>
  </r>
  <r>
    <n v="205"/>
    <x v="7"/>
    <x v="167"/>
    <x v="9"/>
    <s v="Percent of GDP"/>
    <s v="Units"/>
    <x v="2"/>
    <n v="-1.3520000000000001"/>
  </r>
  <r>
    <n v="205"/>
    <x v="7"/>
    <x v="167"/>
    <x v="9"/>
    <s v="Percent of GDP"/>
    <s v="Units"/>
    <x v="3"/>
    <n v="0.34200000000000003"/>
  </r>
  <r>
    <n v="205"/>
    <x v="7"/>
    <x v="167"/>
    <x v="9"/>
    <s v="Percent of GDP"/>
    <s v="Units"/>
    <x v="4"/>
    <n v="0.70399999999999996"/>
  </r>
  <r>
    <n v="205"/>
    <x v="7"/>
    <x v="167"/>
    <x v="9"/>
    <s v="Percent of GDP"/>
    <s v="Units"/>
    <x v="5"/>
    <n v="0.79300000000000004"/>
  </r>
  <r>
    <n v="205"/>
    <x v="7"/>
    <x v="167"/>
    <x v="9"/>
    <s v="Percent of GDP"/>
    <s v="Units"/>
    <x v="6"/>
    <n v="1.2689999999999999"/>
  </r>
  <r>
    <n v="603"/>
    <x v="12"/>
    <x v="52"/>
    <x v="10"/>
    <s v="Percent"/>
    <s v="Units"/>
    <x v="0"/>
    <n v="0.79"/>
  </r>
  <r>
    <n v="603"/>
    <x v="12"/>
    <x v="52"/>
    <x v="10"/>
    <s v="Percent"/>
    <s v="Units"/>
    <x v="1"/>
    <n v="0.79900000000000004"/>
  </r>
  <r>
    <n v="603"/>
    <x v="12"/>
    <x v="52"/>
    <x v="10"/>
    <s v="Percent"/>
    <s v="Units"/>
    <x v="2"/>
    <n v="0.77900000000000003"/>
  </r>
  <r>
    <n v="603"/>
    <x v="12"/>
    <x v="52"/>
    <x v="10"/>
    <s v="Percent"/>
    <s v="Units"/>
    <x v="3"/>
    <n v="0.77800000000000002"/>
  </r>
  <r>
    <n v="603"/>
    <x v="12"/>
    <x v="52"/>
    <x v="10"/>
    <s v="Percent"/>
    <s v="Units"/>
    <x v="4"/>
    <n v="0.77600000000000002"/>
  </r>
  <r>
    <n v="603"/>
    <x v="12"/>
    <x v="52"/>
    <x v="10"/>
    <s v="Percent"/>
    <s v="Units"/>
    <x v="5"/>
    <n v="0.77800000000000002"/>
  </r>
  <r>
    <n v="603"/>
    <x v="12"/>
    <x v="52"/>
    <x v="10"/>
    <s v="Percent"/>
    <s v="Units"/>
    <x v="6"/>
    <n v="0.77600000000000002"/>
  </r>
  <r>
    <n v="200"/>
    <x v="3"/>
    <x v="52"/>
    <x v="10"/>
    <s v="Percent"/>
    <s v="Units"/>
    <x v="0"/>
    <n v="0.79"/>
  </r>
  <r>
    <n v="200"/>
    <x v="3"/>
    <x v="52"/>
    <x v="10"/>
    <s v="Percent"/>
    <s v="Units"/>
    <x v="1"/>
    <n v="0.79900000000000004"/>
  </r>
  <r>
    <n v="200"/>
    <x v="3"/>
    <x v="52"/>
    <x v="10"/>
    <s v="Percent"/>
    <s v="Units"/>
    <x v="2"/>
    <n v="0.77900000000000003"/>
  </r>
  <r>
    <n v="200"/>
    <x v="3"/>
    <x v="52"/>
    <x v="10"/>
    <s v="Percent"/>
    <s v="Units"/>
    <x v="3"/>
    <n v="0.77800000000000002"/>
  </r>
  <r>
    <n v="200"/>
    <x v="3"/>
    <x v="52"/>
    <x v="10"/>
    <s v="Percent"/>
    <s v="Units"/>
    <x v="4"/>
    <n v="0.77600000000000002"/>
  </r>
  <r>
    <n v="200"/>
    <x v="3"/>
    <x v="52"/>
    <x v="10"/>
    <s v="Percent"/>
    <s v="Units"/>
    <x v="5"/>
    <n v="0.77800000000000002"/>
  </r>
  <r>
    <n v="200"/>
    <x v="3"/>
    <x v="52"/>
    <x v="10"/>
    <s v="Percent"/>
    <s v="Units"/>
    <x v="6"/>
    <n v="0.77600000000000002"/>
  </r>
  <r>
    <n v="603"/>
    <x v="12"/>
    <x v="165"/>
    <x v="0"/>
    <s v="U.S. dollars"/>
    <s v="Billions"/>
    <x v="0"/>
    <n v="0.41599999999999998"/>
  </r>
  <r>
    <n v="603"/>
    <x v="12"/>
    <x v="165"/>
    <x v="0"/>
    <s v="U.S. dollars"/>
    <s v="Billions"/>
    <x v="1"/>
    <n v="0.47599999999999998"/>
  </r>
  <r>
    <n v="603"/>
    <x v="12"/>
    <x v="165"/>
    <x v="0"/>
    <s v="U.S. dollars"/>
    <s v="Billions"/>
    <x v="2"/>
    <n v="0.52900000000000003"/>
  </r>
  <r>
    <n v="603"/>
    <x v="12"/>
    <x v="165"/>
    <x v="0"/>
    <s v="U.S. dollars"/>
    <s v="Billions"/>
    <x v="3"/>
    <n v="0.54800000000000004"/>
  </r>
  <r>
    <n v="603"/>
    <x v="12"/>
    <x v="165"/>
    <x v="0"/>
    <s v="U.S. dollars"/>
    <s v="Billions"/>
    <x v="4"/>
    <n v="0.65600000000000003"/>
  </r>
  <r>
    <n v="603"/>
    <x v="12"/>
    <x v="165"/>
    <x v="0"/>
    <s v="U.S. dollars"/>
    <s v="Billions"/>
    <x v="5"/>
    <n v="0.751"/>
  </r>
  <r>
    <n v="603"/>
    <x v="12"/>
    <x v="165"/>
    <x v="0"/>
    <s v="U.S. dollars"/>
    <s v="Billions"/>
    <x v="6"/>
    <n v="0.82099999999999995"/>
  </r>
  <r>
    <n v="200"/>
    <x v="3"/>
    <x v="165"/>
    <x v="0"/>
    <s v="U.S. dollars"/>
    <s v="Billions"/>
    <x v="0"/>
    <n v="0.41599999999999998"/>
  </r>
  <r>
    <n v="200"/>
    <x v="3"/>
    <x v="165"/>
    <x v="0"/>
    <s v="U.S. dollars"/>
    <s v="Billions"/>
    <x v="1"/>
    <n v="0.47599999999999998"/>
  </r>
  <r>
    <n v="200"/>
    <x v="3"/>
    <x v="165"/>
    <x v="0"/>
    <s v="U.S. dollars"/>
    <s v="Billions"/>
    <x v="2"/>
    <n v="0.52900000000000003"/>
  </r>
  <r>
    <n v="200"/>
    <x v="3"/>
    <x v="165"/>
    <x v="0"/>
    <s v="U.S. dollars"/>
    <s v="Billions"/>
    <x v="3"/>
    <n v="0.54800000000000004"/>
  </r>
  <r>
    <n v="200"/>
    <x v="3"/>
    <x v="165"/>
    <x v="0"/>
    <s v="U.S. dollars"/>
    <s v="Billions"/>
    <x v="4"/>
    <n v="0.65600000000000003"/>
  </r>
  <r>
    <n v="200"/>
    <x v="3"/>
    <x v="165"/>
    <x v="0"/>
    <s v="U.S. dollars"/>
    <s v="Billions"/>
    <x v="5"/>
    <n v="0.751"/>
  </r>
  <r>
    <n v="200"/>
    <x v="3"/>
    <x v="165"/>
    <x v="0"/>
    <s v="U.S. dollars"/>
    <s v="Billions"/>
    <x v="6"/>
    <n v="0.82099999999999995"/>
  </r>
  <r>
    <n v="1"/>
    <x v="2"/>
    <x v="165"/>
    <x v="0"/>
    <s v="U.S. dollars"/>
    <s v="Billions"/>
    <x v="0"/>
    <n v="0.41599999999999998"/>
  </r>
  <r>
    <n v="1"/>
    <x v="2"/>
    <x v="165"/>
    <x v="0"/>
    <s v="U.S. dollars"/>
    <s v="Billions"/>
    <x v="1"/>
    <n v="0.47599999999999998"/>
  </r>
  <r>
    <n v="1"/>
    <x v="2"/>
    <x v="165"/>
    <x v="0"/>
    <s v="U.S. dollars"/>
    <s v="Billions"/>
    <x v="2"/>
    <n v="0.52900000000000003"/>
  </r>
  <r>
    <n v="1"/>
    <x v="2"/>
    <x v="165"/>
    <x v="0"/>
    <s v="U.S. dollars"/>
    <s v="Billions"/>
    <x v="3"/>
    <n v="0.54800000000000004"/>
  </r>
  <r>
    <n v="1"/>
    <x v="2"/>
    <x v="165"/>
    <x v="0"/>
    <s v="U.S. dollars"/>
    <s v="Billions"/>
    <x v="4"/>
    <n v="0.65600000000000003"/>
  </r>
  <r>
    <n v="1"/>
    <x v="2"/>
    <x v="165"/>
    <x v="0"/>
    <s v="U.S. dollars"/>
    <s v="Billions"/>
    <x v="5"/>
    <n v="0.751"/>
  </r>
  <r>
    <n v="1"/>
    <x v="2"/>
    <x v="165"/>
    <x v="0"/>
    <s v="U.S. dollars"/>
    <s v="Billions"/>
    <x v="6"/>
    <n v="0.82099999999999995"/>
  </r>
  <r>
    <n v="200"/>
    <x v="3"/>
    <x v="32"/>
    <x v="10"/>
    <s v="Percent"/>
    <s v="Units"/>
    <x v="0"/>
    <n v="0.73799999999999999"/>
  </r>
  <r>
    <n v="200"/>
    <x v="3"/>
    <x v="32"/>
    <x v="10"/>
    <s v="Percent"/>
    <s v="Units"/>
    <x v="1"/>
    <n v="0.68799999999999994"/>
  </r>
  <r>
    <n v="200"/>
    <x v="3"/>
    <x v="32"/>
    <x v="10"/>
    <s v="Percent"/>
    <s v="Units"/>
    <x v="2"/>
    <n v="0.68300000000000005"/>
  </r>
  <r>
    <n v="200"/>
    <x v="3"/>
    <x v="32"/>
    <x v="10"/>
    <s v="Percent"/>
    <s v="Units"/>
    <x v="3"/>
    <n v="0.71099999999999997"/>
  </r>
  <r>
    <n v="200"/>
    <x v="3"/>
    <x v="32"/>
    <x v="10"/>
    <s v="Percent"/>
    <s v="Units"/>
    <x v="4"/>
    <n v="0.72799999999999998"/>
  </r>
  <r>
    <n v="200"/>
    <x v="3"/>
    <x v="32"/>
    <x v="10"/>
    <s v="Percent"/>
    <s v="Units"/>
    <x v="5"/>
    <n v="0.75"/>
  </r>
  <r>
    <n v="200"/>
    <x v="3"/>
    <x v="32"/>
    <x v="10"/>
    <s v="Percent"/>
    <s v="Units"/>
    <x v="6"/>
    <n v="0.77100000000000002"/>
  </r>
  <r>
    <n v="505"/>
    <x v="4"/>
    <x v="32"/>
    <x v="10"/>
    <s v="Percent"/>
    <s v="Units"/>
    <x v="0"/>
    <n v="0.73799999999999999"/>
  </r>
  <r>
    <n v="505"/>
    <x v="4"/>
    <x v="32"/>
    <x v="10"/>
    <s v="Percent"/>
    <s v="Units"/>
    <x v="1"/>
    <n v="0.68799999999999994"/>
  </r>
  <r>
    <n v="505"/>
    <x v="4"/>
    <x v="32"/>
    <x v="10"/>
    <s v="Percent"/>
    <s v="Units"/>
    <x v="2"/>
    <n v="0.68300000000000005"/>
  </r>
  <r>
    <n v="505"/>
    <x v="4"/>
    <x v="32"/>
    <x v="10"/>
    <s v="Percent"/>
    <s v="Units"/>
    <x v="3"/>
    <n v="0.71099999999999997"/>
  </r>
  <r>
    <n v="505"/>
    <x v="4"/>
    <x v="32"/>
    <x v="10"/>
    <s v="Percent"/>
    <s v="Units"/>
    <x v="4"/>
    <n v="0.72799999999999998"/>
  </r>
  <r>
    <n v="505"/>
    <x v="4"/>
    <x v="32"/>
    <x v="10"/>
    <s v="Percent"/>
    <s v="Units"/>
    <x v="5"/>
    <n v="0.75"/>
  </r>
  <r>
    <n v="505"/>
    <x v="4"/>
    <x v="32"/>
    <x v="10"/>
    <s v="Percent"/>
    <s v="Units"/>
    <x v="6"/>
    <n v="0.77100000000000002"/>
  </r>
  <r>
    <n v="510"/>
    <x v="10"/>
    <x v="32"/>
    <x v="10"/>
    <s v="Percent"/>
    <s v="Units"/>
    <x v="0"/>
    <n v="0.73799999999999999"/>
  </r>
  <r>
    <n v="510"/>
    <x v="10"/>
    <x v="32"/>
    <x v="10"/>
    <s v="Percent"/>
    <s v="Units"/>
    <x v="1"/>
    <n v="0.68799999999999994"/>
  </r>
  <r>
    <n v="510"/>
    <x v="10"/>
    <x v="32"/>
    <x v="10"/>
    <s v="Percent"/>
    <s v="Units"/>
    <x v="2"/>
    <n v="0.68300000000000005"/>
  </r>
  <r>
    <n v="510"/>
    <x v="10"/>
    <x v="32"/>
    <x v="10"/>
    <s v="Percent"/>
    <s v="Units"/>
    <x v="3"/>
    <n v="0.71099999999999997"/>
  </r>
  <r>
    <n v="510"/>
    <x v="10"/>
    <x v="32"/>
    <x v="10"/>
    <s v="Percent"/>
    <s v="Units"/>
    <x v="4"/>
    <n v="0.72799999999999998"/>
  </r>
  <r>
    <n v="510"/>
    <x v="10"/>
    <x v="32"/>
    <x v="10"/>
    <s v="Percent"/>
    <s v="Units"/>
    <x v="5"/>
    <n v="0.75"/>
  </r>
  <r>
    <n v="510"/>
    <x v="10"/>
    <x v="32"/>
    <x v="10"/>
    <s v="Percent"/>
    <s v="Units"/>
    <x v="6"/>
    <n v="0.77100000000000002"/>
  </r>
  <r>
    <n v="163"/>
    <x v="5"/>
    <x v="6"/>
    <x v="8"/>
    <s v="Percent change"/>
    <s v="Units"/>
    <x v="0"/>
    <n v="1.843"/>
  </r>
  <r>
    <n v="163"/>
    <x v="5"/>
    <x v="6"/>
    <x v="8"/>
    <s v="Percent change"/>
    <s v="Units"/>
    <x v="1"/>
    <n v="-7.54"/>
  </r>
  <r>
    <n v="163"/>
    <x v="5"/>
    <x v="6"/>
    <x v="8"/>
    <s v="Percent change"/>
    <s v="Units"/>
    <x v="2"/>
    <n v="6.3209999999999997"/>
  </r>
  <r>
    <n v="163"/>
    <x v="5"/>
    <x v="6"/>
    <x v="8"/>
    <s v="Percent change"/>
    <s v="Units"/>
    <x v="3"/>
    <n v="2.5259999999999998"/>
  </r>
  <r>
    <n v="163"/>
    <x v="5"/>
    <x v="6"/>
    <x v="8"/>
    <s v="Percent change"/>
    <s v="Units"/>
    <x v="4"/>
    <n v="0.86899999999999999"/>
  </r>
  <r>
    <n v="163"/>
    <x v="5"/>
    <x v="6"/>
    <x v="8"/>
    <s v="Percent change"/>
    <s v="Units"/>
    <x v="5"/>
    <n v="0.74399999999999999"/>
  </r>
  <r>
    <n v="163"/>
    <x v="5"/>
    <x v="6"/>
    <x v="8"/>
    <s v="Percent change"/>
    <s v="Units"/>
    <x v="6"/>
    <n v="1.4419999999999999"/>
  </r>
  <r>
    <n v="119"/>
    <x v="1"/>
    <x v="6"/>
    <x v="8"/>
    <s v="Percent change"/>
    <s v="Units"/>
    <x v="0"/>
    <n v="1.843"/>
  </r>
  <r>
    <n v="119"/>
    <x v="1"/>
    <x v="6"/>
    <x v="8"/>
    <s v="Percent change"/>
    <s v="Units"/>
    <x v="1"/>
    <n v="-7.54"/>
  </r>
  <r>
    <n v="119"/>
    <x v="1"/>
    <x v="6"/>
    <x v="8"/>
    <s v="Percent change"/>
    <s v="Units"/>
    <x v="2"/>
    <n v="6.3209999999999997"/>
  </r>
  <r>
    <n v="119"/>
    <x v="1"/>
    <x v="6"/>
    <x v="8"/>
    <s v="Percent change"/>
    <s v="Units"/>
    <x v="3"/>
    <n v="2.5259999999999998"/>
  </r>
  <r>
    <n v="119"/>
    <x v="1"/>
    <x v="6"/>
    <x v="8"/>
    <s v="Percent change"/>
    <s v="Units"/>
    <x v="4"/>
    <n v="0.86899999999999999"/>
  </r>
  <r>
    <n v="119"/>
    <x v="1"/>
    <x v="6"/>
    <x v="8"/>
    <s v="Percent change"/>
    <s v="Units"/>
    <x v="5"/>
    <n v="0.74399999999999999"/>
  </r>
  <r>
    <n v="119"/>
    <x v="1"/>
    <x v="6"/>
    <x v="8"/>
    <s v="Percent change"/>
    <s v="Units"/>
    <x v="6"/>
    <n v="1.4419999999999999"/>
  </r>
  <r>
    <n v="110"/>
    <x v="0"/>
    <x v="6"/>
    <x v="8"/>
    <s v="Percent change"/>
    <s v="Units"/>
    <x v="0"/>
    <n v="1.843"/>
  </r>
  <r>
    <n v="110"/>
    <x v="0"/>
    <x v="6"/>
    <x v="8"/>
    <s v="Percent change"/>
    <s v="Units"/>
    <x v="1"/>
    <n v="-7.54"/>
  </r>
  <r>
    <n v="110"/>
    <x v="0"/>
    <x v="6"/>
    <x v="8"/>
    <s v="Percent change"/>
    <s v="Units"/>
    <x v="2"/>
    <n v="6.3209999999999997"/>
  </r>
  <r>
    <n v="110"/>
    <x v="0"/>
    <x v="6"/>
    <x v="8"/>
    <s v="Percent change"/>
    <s v="Units"/>
    <x v="3"/>
    <n v="2.5259999999999998"/>
  </r>
  <r>
    <n v="110"/>
    <x v="0"/>
    <x v="6"/>
    <x v="8"/>
    <s v="Percent change"/>
    <s v="Units"/>
    <x v="4"/>
    <n v="0.86899999999999999"/>
  </r>
  <r>
    <n v="110"/>
    <x v="0"/>
    <x v="6"/>
    <x v="8"/>
    <s v="Percent change"/>
    <s v="Units"/>
    <x v="5"/>
    <n v="0.74399999999999999"/>
  </r>
  <r>
    <n v="110"/>
    <x v="0"/>
    <x v="6"/>
    <x v="8"/>
    <s v="Percent change"/>
    <s v="Units"/>
    <x v="6"/>
    <n v="1.4419999999999999"/>
  </r>
  <r>
    <n v="1"/>
    <x v="2"/>
    <x v="6"/>
    <x v="8"/>
    <s v="Percent change"/>
    <s v="Units"/>
    <x v="0"/>
    <n v="1.843"/>
  </r>
  <r>
    <n v="1"/>
    <x v="2"/>
    <x v="6"/>
    <x v="8"/>
    <s v="Percent change"/>
    <s v="Units"/>
    <x v="1"/>
    <n v="-7.54"/>
  </r>
  <r>
    <n v="1"/>
    <x v="2"/>
    <x v="6"/>
    <x v="8"/>
    <s v="Percent change"/>
    <s v="Units"/>
    <x v="2"/>
    <n v="6.3209999999999997"/>
  </r>
  <r>
    <n v="1"/>
    <x v="2"/>
    <x v="6"/>
    <x v="8"/>
    <s v="Percent change"/>
    <s v="Units"/>
    <x v="3"/>
    <n v="2.5259999999999998"/>
  </r>
  <r>
    <n v="1"/>
    <x v="2"/>
    <x v="6"/>
    <x v="8"/>
    <s v="Percent change"/>
    <s v="Units"/>
    <x v="4"/>
    <n v="0.86899999999999999"/>
  </r>
  <r>
    <n v="1"/>
    <x v="2"/>
    <x v="6"/>
    <x v="8"/>
    <s v="Percent change"/>
    <s v="Units"/>
    <x v="5"/>
    <n v="0.74399999999999999"/>
  </r>
  <r>
    <n v="1"/>
    <x v="2"/>
    <x v="6"/>
    <x v="8"/>
    <s v="Percent change"/>
    <s v="Units"/>
    <x v="6"/>
    <n v="1.4419999999999999"/>
  </r>
  <r>
    <n v="998"/>
    <x v="6"/>
    <x v="6"/>
    <x v="8"/>
    <s v="Percent change"/>
    <s v="Units"/>
    <x v="0"/>
    <n v="1.843"/>
  </r>
  <r>
    <n v="998"/>
    <x v="6"/>
    <x v="6"/>
    <x v="8"/>
    <s v="Percent change"/>
    <s v="Units"/>
    <x v="1"/>
    <n v="-7.54"/>
  </r>
  <r>
    <n v="998"/>
    <x v="6"/>
    <x v="6"/>
    <x v="8"/>
    <s v="Percent change"/>
    <s v="Units"/>
    <x v="2"/>
    <n v="6.3209999999999997"/>
  </r>
  <r>
    <n v="998"/>
    <x v="6"/>
    <x v="6"/>
    <x v="8"/>
    <s v="Percent change"/>
    <s v="Units"/>
    <x v="3"/>
    <n v="2.5259999999999998"/>
  </r>
  <r>
    <n v="998"/>
    <x v="6"/>
    <x v="6"/>
    <x v="8"/>
    <s v="Percent change"/>
    <s v="Units"/>
    <x v="4"/>
    <n v="0.86899999999999999"/>
  </r>
  <r>
    <n v="998"/>
    <x v="6"/>
    <x v="6"/>
    <x v="8"/>
    <s v="Percent change"/>
    <s v="Units"/>
    <x v="5"/>
    <n v="0.74399999999999999"/>
  </r>
  <r>
    <n v="998"/>
    <x v="6"/>
    <x v="6"/>
    <x v="8"/>
    <s v="Percent change"/>
    <s v="Units"/>
    <x v="6"/>
    <n v="1.4419999999999999"/>
  </r>
  <r>
    <n v="110"/>
    <x v="0"/>
    <x v="8"/>
    <x v="8"/>
    <s v="Percent change"/>
    <s v="Units"/>
    <x v="0"/>
    <n v="0.48299999999999998"/>
  </r>
  <r>
    <n v="110"/>
    <x v="0"/>
    <x v="8"/>
    <x v="8"/>
    <s v="Percent change"/>
    <s v="Units"/>
    <x v="1"/>
    <n v="-8.9740000000000002"/>
  </r>
  <r>
    <n v="110"/>
    <x v="0"/>
    <x v="8"/>
    <x v="8"/>
    <s v="Percent change"/>
    <s v="Units"/>
    <x v="2"/>
    <n v="8.31"/>
  </r>
  <r>
    <n v="110"/>
    <x v="0"/>
    <x v="8"/>
    <x v="8"/>
    <s v="Percent change"/>
    <s v="Units"/>
    <x v="3"/>
    <n v="3.9860000000000002"/>
  </r>
  <r>
    <n v="110"/>
    <x v="0"/>
    <x v="8"/>
    <x v="8"/>
    <s v="Percent change"/>
    <s v="Units"/>
    <x v="4"/>
    <n v="0.92100000000000004"/>
  </r>
  <r>
    <n v="110"/>
    <x v="0"/>
    <x v="8"/>
    <x v="8"/>
    <s v="Percent change"/>
    <s v="Units"/>
    <x v="5"/>
    <n v="0.70899999999999996"/>
  </r>
  <r>
    <n v="110"/>
    <x v="0"/>
    <x v="8"/>
    <x v="8"/>
    <s v="Percent change"/>
    <s v="Units"/>
    <x v="6"/>
    <n v="0.71399999999999997"/>
  </r>
  <r>
    <n v="119"/>
    <x v="1"/>
    <x v="8"/>
    <x v="8"/>
    <s v="Percent change"/>
    <s v="Units"/>
    <x v="0"/>
    <n v="0.48299999999999998"/>
  </r>
  <r>
    <n v="119"/>
    <x v="1"/>
    <x v="8"/>
    <x v="8"/>
    <s v="Percent change"/>
    <s v="Units"/>
    <x v="1"/>
    <n v="-8.9740000000000002"/>
  </r>
  <r>
    <n v="119"/>
    <x v="1"/>
    <x v="8"/>
    <x v="8"/>
    <s v="Percent change"/>
    <s v="Units"/>
    <x v="2"/>
    <n v="8.31"/>
  </r>
  <r>
    <n v="119"/>
    <x v="1"/>
    <x v="8"/>
    <x v="8"/>
    <s v="Percent change"/>
    <s v="Units"/>
    <x v="3"/>
    <n v="3.9860000000000002"/>
  </r>
  <r>
    <n v="119"/>
    <x v="1"/>
    <x v="8"/>
    <x v="8"/>
    <s v="Percent change"/>
    <s v="Units"/>
    <x v="4"/>
    <n v="0.92100000000000004"/>
  </r>
  <r>
    <n v="119"/>
    <x v="1"/>
    <x v="8"/>
    <x v="8"/>
    <s v="Percent change"/>
    <s v="Units"/>
    <x v="5"/>
    <n v="0.70899999999999996"/>
  </r>
  <r>
    <n v="119"/>
    <x v="1"/>
    <x v="8"/>
    <x v="8"/>
    <s v="Percent change"/>
    <s v="Units"/>
    <x v="6"/>
    <n v="0.71399999999999997"/>
  </r>
  <r>
    <n v="1"/>
    <x v="2"/>
    <x v="8"/>
    <x v="8"/>
    <s v="Percent change"/>
    <s v="Units"/>
    <x v="0"/>
    <n v="0.48299999999999998"/>
  </r>
  <r>
    <n v="1"/>
    <x v="2"/>
    <x v="8"/>
    <x v="8"/>
    <s v="Percent change"/>
    <s v="Units"/>
    <x v="1"/>
    <n v="-8.9740000000000002"/>
  </r>
  <r>
    <n v="1"/>
    <x v="2"/>
    <x v="8"/>
    <x v="8"/>
    <s v="Percent change"/>
    <s v="Units"/>
    <x v="2"/>
    <n v="8.31"/>
  </r>
  <r>
    <n v="1"/>
    <x v="2"/>
    <x v="8"/>
    <x v="8"/>
    <s v="Percent change"/>
    <s v="Units"/>
    <x v="3"/>
    <n v="3.9860000000000002"/>
  </r>
  <r>
    <n v="1"/>
    <x v="2"/>
    <x v="8"/>
    <x v="8"/>
    <s v="Percent change"/>
    <s v="Units"/>
    <x v="4"/>
    <n v="0.92100000000000004"/>
  </r>
  <r>
    <n v="1"/>
    <x v="2"/>
    <x v="8"/>
    <x v="8"/>
    <s v="Percent change"/>
    <s v="Units"/>
    <x v="5"/>
    <n v="0.70899999999999996"/>
  </r>
  <r>
    <n v="1"/>
    <x v="2"/>
    <x v="8"/>
    <x v="8"/>
    <s v="Percent change"/>
    <s v="Units"/>
    <x v="6"/>
    <n v="0.71399999999999997"/>
  </r>
  <r>
    <n v="998"/>
    <x v="6"/>
    <x v="8"/>
    <x v="8"/>
    <s v="Percent change"/>
    <s v="Units"/>
    <x v="0"/>
    <n v="0.48299999999999998"/>
  </r>
  <r>
    <n v="998"/>
    <x v="6"/>
    <x v="8"/>
    <x v="8"/>
    <s v="Percent change"/>
    <s v="Units"/>
    <x v="1"/>
    <n v="-8.9740000000000002"/>
  </r>
  <r>
    <n v="998"/>
    <x v="6"/>
    <x v="8"/>
    <x v="8"/>
    <s v="Percent change"/>
    <s v="Units"/>
    <x v="2"/>
    <n v="8.31"/>
  </r>
  <r>
    <n v="998"/>
    <x v="6"/>
    <x v="8"/>
    <x v="8"/>
    <s v="Percent change"/>
    <s v="Units"/>
    <x v="3"/>
    <n v="3.9860000000000002"/>
  </r>
  <r>
    <n v="998"/>
    <x v="6"/>
    <x v="8"/>
    <x v="8"/>
    <s v="Percent change"/>
    <s v="Units"/>
    <x v="4"/>
    <n v="0.92100000000000004"/>
  </r>
  <r>
    <n v="998"/>
    <x v="6"/>
    <x v="8"/>
    <x v="8"/>
    <s v="Percent change"/>
    <s v="Units"/>
    <x v="5"/>
    <n v="0.70899999999999996"/>
  </r>
  <r>
    <n v="998"/>
    <x v="6"/>
    <x v="8"/>
    <x v="8"/>
    <s v="Percent change"/>
    <s v="Units"/>
    <x v="6"/>
    <n v="0.71399999999999997"/>
  </r>
  <r>
    <n v="163"/>
    <x v="5"/>
    <x v="8"/>
    <x v="8"/>
    <s v="Percent change"/>
    <s v="Units"/>
    <x v="0"/>
    <n v="0.48299999999999998"/>
  </r>
  <r>
    <n v="163"/>
    <x v="5"/>
    <x v="8"/>
    <x v="8"/>
    <s v="Percent change"/>
    <s v="Units"/>
    <x v="1"/>
    <n v="-8.9740000000000002"/>
  </r>
  <r>
    <n v="163"/>
    <x v="5"/>
    <x v="8"/>
    <x v="8"/>
    <s v="Percent change"/>
    <s v="Units"/>
    <x v="2"/>
    <n v="8.31"/>
  </r>
  <r>
    <n v="163"/>
    <x v="5"/>
    <x v="8"/>
    <x v="8"/>
    <s v="Percent change"/>
    <s v="Units"/>
    <x v="3"/>
    <n v="3.9860000000000002"/>
  </r>
  <r>
    <n v="163"/>
    <x v="5"/>
    <x v="8"/>
    <x v="8"/>
    <s v="Percent change"/>
    <s v="Units"/>
    <x v="4"/>
    <n v="0.92100000000000004"/>
  </r>
  <r>
    <n v="163"/>
    <x v="5"/>
    <x v="8"/>
    <x v="8"/>
    <s v="Percent change"/>
    <s v="Units"/>
    <x v="5"/>
    <n v="0.70899999999999996"/>
  </r>
  <r>
    <n v="163"/>
    <x v="5"/>
    <x v="8"/>
    <x v="8"/>
    <s v="Percent change"/>
    <s v="Units"/>
    <x v="6"/>
    <n v="0.71399999999999997"/>
  </r>
  <r>
    <n v="200"/>
    <x v="3"/>
    <x v="114"/>
    <x v="0"/>
    <s v="U.S. dollars"/>
    <s v="Billions"/>
    <x v="0"/>
    <n v="0.61199999999999999"/>
  </r>
  <r>
    <n v="200"/>
    <x v="3"/>
    <x v="114"/>
    <x v="0"/>
    <s v="U.S. dollars"/>
    <s v="Billions"/>
    <x v="1"/>
    <n v="0.504"/>
  </r>
  <r>
    <n v="200"/>
    <x v="3"/>
    <x v="114"/>
    <x v="0"/>
    <s v="U.S. dollars"/>
    <s v="Billions"/>
    <x v="2"/>
    <n v="0.55500000000000005"/>
  </r>
  <r>
    <n v="200"/>
    <x v="3"/>
    <x v="114"/>
    <x v="0"/>
    <s v="U.S. dollars"/>
    <s v="Billions"/>
    <x v="3"/>
    <n v="0.60699999999999998"/>
  </r>
  <r>
    <n v="200"/>
    <x v="3"/>
    <x v="114"/>
    <x v="0"/>
    <s v="U.S. dollars"/>
    <s v="Billions"/>
    <x v="4"/>
    <n v="0.65800000000000003"/>
  </r>
  <r>
    <n v="200"/>
    <x v="3"/>
    <x v="114"/>
    <x v="0"/>
    <s v="U.S. dollars"/>
    <s v="Billions"/>
    <x v="5"/>
    <n v="0.70799999999999996"/>
  </r>
  <r>
    <n v="200"/>
    <x v="3"/>
    <x v="114"/>
    <x v="0"/>
    <s v="U.S. dollars"/>
    <s v="Billions"/>
    <x v="6"/>
    <n v="0.753"/>
  </r>
  <r>
    <n v="1"/>
    <x v="2"/>
    <x v="114"/>
    <x v="0"/>
    <s v="U.S. dollars"/>
    <s v="Billions"/>
    <x v="0"/>
    <n v="0.61199999999999999"/>
  </r>
  <r>
    <n v="1"/>
    <x v="2"/>
    <x v="114"/>
    <x v="0"/>
    <s v="U.S. dollars"/>
    <s v="Billions"/>
    <x v="1"/>
    <n v="0.504"/>
  </r>
  <r>
    <n v="1"/>
    <x v="2"/>
    <x v="114"/>
    <x v="0"/>
    <s v="U.S. dollars"/>
    <s v="Billions"/>
    <x v="2"/>
    <n v="0.55500000000000005"/>
  </r>
  <r>
    <n v="1"/>
    <x v="2"/>
    <x v="114"/>
    <x v="0"/>
    <s v="U.S. dollars"/>
    <s v="Billions"/>
    <x v="3"/>
    <n v="0.60699999999999998"/>
  </r>
  <r>
    <n v="1"/>
    <x v="2"/>
    <x v="114"/>
    <x v="0"/>
    <s v="U.S. dollars"/>
    <s v="Billions"/>
    <x v="4"/>
    <n v="0.65800000000000003"/>
  </r>
  <r>
    <n v="1"/>
    <x v="2"/>
    <x v="114"/>
    <x v="0"/>
    <s v="U.S. dollars"/>
    <s v="Billions"/>
    <x v="5"/>
    <n v="0.70799999999999996"/>
  </r>
  <r>
    <n v="1"/>
    <x v="2"/>
    <x v="114"/>
    <x v="0"/>
    <s v="U.S. dollars"/>
    <s v="Billions"/>
    <x v="6"/>
    <n v="0.753"/>
  </r>
  <r>
    <n v="205"/>
    <x v="7"/>
    <x v="114"/>
    <x v="0"/>
    <s v="U.S. dollars"/>
    <s v="Billions"/>
    <x v="0"/>
    <n v="0.61199999999999999"/>
  </r>
  <r>
    <n v="205"/>
    <x v="7"/>
    <x v="114"/>
    <x v="0"/>
    <s v="U.S. dollars"/>
    <s v="Billions"/>
    <x v="1"/>
    <n v="0.504"/>
  </r>
  <r>
    <n v="205"/>
    <x v="7"/>
    <x v="114"/>
    <x v="0"/>
    <s v="U.S. dollars"/>
    <s v="Billions"/>
    <x v="2"/>
    <n v="0.55500000000000005"/>
  </r>
  <r>
    <n v="205"/>
    <x v="7"/>
    <x v="114"/>
    <x v="0"/>
    <s v="U.S. dollars"/>
    <s v="Billions"/>
    <x v="3"/>
    <n v="0.60699999999999998"/>
  </r>
  <r>
    <n v="205"/>
    <x v="7"/>
    <x v="114"/>
    <x v="0"/>
    <s v="U.S. dollars"/>
    <s v="Billions"/>
    <x v="4"/>
    <n v="0.65800000000000003"/>
  </r>
  <r>
    <n v="205"/>
    <x v="7"/>
    <x v="114"/>
    <x v="0"/>
    <s v="U.S. dollars"/>
    <s v="Billions"/>
    <x v="5"/>
    <n v="0.70799999999999996"/>
  </r>
  <r>
    <n v="205"/>
    <x v="7"/>
    <x v="114"/>
    <x v="0"/>
    <s v="U.S. dollars"/>
    <s v="Billions"/>
    <x v="6"/>
    <n v="0.753"/>
  </r>
  <r>
    <n v="110"/>
    <x v="0"/>
    <x v="118"/>
    <x v="4"/>
    <s v="Percent change"/>
    <s v="Units"/>
    <x v="0"/>
    <n v="8.7240000000000002"/>
  </r>
  <r>
    <n v="110"/>
    <x v="0"/>
    <x v="118"/>
    <x v="4"/>
    <s v="Percent change"/>
    <s v="Units"/>
    <x v="1"/>
    <n v="1.6359999999999999"/>
  </r>
  <r>
    <n v="110"/>
    <x v="0"/>
    <x v="118"/>
    <x v="4"/>
    <s v="Percent change"/>
    <s v="Units"/>
    <x v="2"/>
    <n v="21.638999999999999"/>
  </r>
  <r>
    <n v="110"/>
    <x v="0"/>
    <x v="118"/>
    <x v="4"/>
    <s v="Percent change"/>
    <s v="Units"/>
    <x v="3"/>
    <n v="13.618"/>
  </r>
  <r>
    <n v="110"/>
    <x v="0"/>
    <x v="118"/>
    <x v="4"/>
    <s v="Percent change"/>
    <s v="Units"/>
    <x v="4"/>
    <n v="-1.494"/>
  </r>
  <r>
    <n v="110"/>
    <x v="0"/>
    <x v="118"/>
    <x v="4"/>
    <s v="Percent change"/>
    <s v="Units"/>
    <x v="5"/>
    <n v="0.70499999999999996"/>
  </r>
  <r>
    <n v="110"/>
    <x v="0"/>
    <x v="118"/>
    <x v="4"/>
    <s v="Percent change"/>
    <s v="Units"/>
    <x v="6"/>
    <n v="1.804"/>
  </r>
  <r>
    <n v="1"/>
    <x v="2"/>
    <x v="118"/>
    <x v="4"/>
    <s v="Percent change"/>
    <s v="Units"/>
    <x v="0"/>
    <n v="8.7240000000000002"/>
  </r>
  <r>
    <n v="1"/>
    <x v="2"/>
    <x v="118"/>
    <x v="4"/>
    <s v="Percent change"/>
    <s v="Units"/>
    <x v="1"/>
    <n v="1.6359999999999999"/>
  </r>
  <r>
    <n v="1"/>
    <x v="2"/>
    <x v="118"/>
    <x v="4"/>
    <s v="Percent change"/>
    <s v="Units"/>
    <x v="2"/>
    <n v="21.638999999999999"/>
  </r>
  <r>
    <n v="1"/>
    <x v="2"/>
    <x v="118"/>
    <x v="4"/>
    <s v="Percent change"/>
    <s v="Units"/>
    <x v="3"/>
    <n v="13.618"/>
  </r>
  <r>
    <n v="1"/>
    <x v="2"/>
    <x v="118"/>
    <x v="4"/>
    <s v="Percent change"/>
    <s v="Units"/>
    <x v="4"/>
    <n v="-1.494"/>
  </r>
  <r>
    <n v="1"/>
    <x v="2"/>
    <x v="118"/>
    <x v="4"/>
    <s v="Percent change"/>
    <s v="Units"/>
    <x v="5"/>
    <n v="0.70499999999999996"/>
  </r>
  <r>
    <n v="1"/>
    <x v="2"/>
    <x v="118"/>
    <x v="4"/>
    <s v="Percent change"/>
    <s v="Units"/>
    <x v="6"/>
    <n v="1.804"/>
  </r>
  <r>
    <n v="163"/>
    <x v="5"/>
    <x v="118"/>
    <x v="4"/>
    <s v="Percent change"/>
    <s v="Units"/>
    <x v="0"/>
    <n v="8.7240000000000002"/>
  </r>
  <r>
    <n v="163"/>
    <x v="5"/>
    <x v="118"/>
    <x v="4"/>
    <s v="Percent change"/>
    <s v="Units"/>
    <x v="1"/>
    <n v="1.6359999999999999"/>
  </r>
  <r>
    <n v="163"/>
    <x v="5"/>
    <x v="118"/>
    <x v="4"/>
    <s v="Percent change"/>
    <s v="Units"/>
    <x v="2"/>
    <n v="21.638999999999999"/>
  </r>
  <r>
    <n v="163"/>
    <x v="5"/>
    <x v="118"/>
    <x v="4"/>
    <s v="Percent change"/>
    <s v="Units"/>
    <x v="3"/>
    <n v="13.618"/>
  </r>
  <r>
    <n v="163"/>
    <x v="5"/>
    <x v="118"/>
    <x v="4"/>
    <s v="Percent change"/>
    <s v="Units"/>
    <x v="4"/>
    <n v="-1.494"/>
  </r>
  <r>
    <n v="163"/>
    <x v="5"/>
    <x v="118"/>
    <x v="4"/>
    <s v="Percent change"/>
    <s v="Units"/>
    <x v="5"/>
    <n v="0.70499999999999996"/>
  </r>
  <r>
    <n v="163"/>
    <x v="5"/>
    <x v="118"/>
    <x v="4"/>
    <s v="Percent change"/>
    <s v="Units"/>
    <x v="6"/>
    <n v="1.804"/>
  </r>
  <r>
    <n v="505"/>
    <x v="4"/>
    <x v="36"/>
    <x v="10"/>
    <s v="Percent"/>
    <s v="Units"/>
    <x v="0"/>
    <n v="0.69499999999999995"/>
  </r>
  <r>
    <n v="505"/>
    <x v="4"/>
    <x v="36"/>
    <x v="10"/>
    <s v="Percent"/>
    <s v="Units"/>
    <x v="1"/>
    <n v="0.67700000000000005"/>
  </r>
  <r>
    <n v="505"/>
    <x v="4"/>
    <x v="36"/>
    <x v="10"/>
    <s v="Percent"/>
    <s v="Units"/>
    <x v="2"/>
    <n v="0.65700000000000003"/>
  </r>
  <r>
    <n v="505"/>
    <x v="4"/>
    <x v="36"/>
    <x v="10"/>
    <s v="Percent"/>
    <s v="Units"/>
    <x v="3"/>
    <n v="0.69099999999999995"/>
  </r>
  <r>
    <n v="505"/>
    <x v="4"/>
    <x v="36"/>
    <x v="10"/>
    <s v="Percent"/>
    <s v="Units"/>
    <x v="4"/>
    <n v="0.69499999999999995"/>
  </r>
  <r>
    <n v="505"/>
    <x v="4"/>
    <x v="36"/>
    <x v="10"/>
    <s v="Percent"/>
    <s v="Units"/>
    <x v="5"/>
    <n v="0.70299999999999996"/>
  </r>
  <r>
    <n v="505"/>
    <x v="4"/>
    <x v="36"/>
    <x v="10"/>
    <s v="Percent"/>
    <s v="Units"/>
    <x v="6"/>
    <n v="0.71099999999999997"/>
  </r>
  <r>
    <n v="510"/>
    <x v="10"/>
    <x v="36"/>
    <x v="10"/>
    <s v="Percent"/>
    <s v="Units"/>
    <x v="0"/>
    <n v="0.69499999999999995"/>
  </r>
  <r>
    <n v="510"/>
    <x v="10"/>
    <x v="36"/>
    <x v="10"/>
    <s v="Percent"/>
    <s v="Units"/>
    <x v="1"/>
    <n v="0.67700000000000005"/>
  </r>
  <r>
    <n v="510"/>
    <x v="10"/>
    <x v="36"/>
    <x v="10"/>
    <s v="Percent"/>
    <s v="Units"/>
    <x v="2"/>
    <n v="0.65700000000000003"/>
  </r>
  <r>
    <n v="510"/>
    <x v="10"/>
    <x v="36"/>
    <x v="10"/>
    <s v="Percent"/>
    <s v="Units"/>
    <x v="3"/>
    <n v="0.69099999999999995"/>
  </r>
  <r>
    <n v="510"/>
    <x v="10"/>
    <x v="36"/>
    <x v="10"/>
    <s v="Percent"/>
    <s v="Units"/>
    <x v="4"/>
    <n v="0.69499999999999995"/>
  </r>
  <r>
    <n v="510"/>
    <x v="10"/>
    <x v="36"/>
    <x v="10"/>
    <s v="Percent"/>
    <s v="Units"/>
    <x v="5"/>
    <n v="0.70299999999999996"/>
  </r>
  <r>
    <n v="510"/>
    <x v="10"/>
    <x v="36"/>
    <x v="10"/>
    <s v="Percent"/>
    <s v="Units"/>
    <x v="6"/>
    <n v="0.71099999999999997"/>
  </r>
  <r>
    <n v="200"/>
    <x v="3"/>
    <x v="36"/>
    <x v="10"/>
    <s v="Percent"/>
    <s v="Units"/>
    <x v="0"/>
    <n v="0.69499999999999995"/>
  </r>
  <r>
    <n v="200"/>
    <x v="3"/>
    <x v="36"/>
    <x v="10"/>
    <s v="Percent"/>
    <s v="Units"/>
    <x v="1"/>
    <n v="0.67700000000000005"/>
  </r>
  <r>
    <n v="200"/>
    <x v="3"/>
    <x v="36"/>
    <x v="10"/>
    <s v="Percent"/>
    <s v="Units"/>
    <x v="2"/>
    <n v="0.65700000000000003"/>
  </r>
  <r>
    <n v="200"/>
    <x v="3"/>
    <x v="36"/>
    <x v="10"/>
    <s v="Percent"/>
    <s v="Units"/>
    <x v="3"/>
    <n v="0.69099999999999995"/>
  </r>
  <r>
    <n v="200"/>
    <x v="3"/>
    <x v="36"/>
    <x v="10"/>
    <s v="Percent"/>
    <s v="Units"/>
    <x v="4"/>
    <n v="0.69499999999999995"/>
  </r>
  <r>
    <n v="200"/>
    <x v="3"/>
    <x v="36"/>
    <x v="10"/>
    <s v="Percent"/>
    <s v="Units"/>
    <x v="5"/>
    <n v="0.70299999999999996"/>
  </r>
  <r>
    <n v="200"/>
    <x v="3"/>
    <x v="36"/>
    <x v="10"/>
    <s v="Percent"/>
    <s v="Units"/>
    <x v="6"/>
    <n v="0.71099999999999997"/>
  </r>
  <r>
    <n v="1"/>
    <x v="2"/>
    <x v="26"/>
    <x v="1"/>
    <s v="Percent change"/>
    <s v="Units"/>
    <x v="0"/>
    <n v="0.70599999999999996"/>
  </r>
  <r>
    <n v="1"/>
    <x v="2"/>
    <x v="26"/>
    <x v="1"/>
    <s v="Percent change"/>
    <s v="Units"/>
    <x v="1"/>
    <n v="-0.84699999999999998"/>
  </r>
  <r>
    <n v="1"/>
    <x v="2"/>
    <x v="26"/>
    <x v="1"/>
    <s v="Percent change"/>
    <s v="Units"/>
    <x v="2"/>
    <n v="1.2310000000000001"/>
  </r>
  <r>
    <n v="1"/>
    <x v="2"/>
    <x v="26"/>
    <x v="1"/>
    <s v="Percent change"/>
    <s v="Units"/>
    <x v="3"/>
    <n v="6.077"/>
  </r>
  <r>
    <n v="1"/>
    <x v="2"/>
    <x v="26"/>
    <x v="1"/>
    <s v="Percent change"/>
    <s v="Units"/>
    <x v="4"/>
    <n v="1.228"/>
  </r>
  <r>
    <n v="1"/>
    <x v="2"/>
    <x v="26"/>
    <x v="1"/>
    <s v="Percent change"/>
    <s v="Units"/>
    <x v="5"/>
    <n v="0.7"/>
  </r>
  <r>
    <n v="1"/>
    <x v="2"/>
    <x v="26"/>
    <x v="1"/>
    <s v="Percent change"/>
    <s v="Units"/>
    <x v="6"/>
    <n v="1.2090000000000001"/>
  </r>
  <r>
    <n v="510"/>
    <x v="10"/>
    <x v="26"/>
    <x v="1"/>
    <s v="Percent change"/>
    <s v="Units"/>
    <x v="0"/>
    <n v="0.70599999999999996"/>
  </r>
  <r>
    <n v="510"/>
    <x v="10"/>
    <x v="26"/>
    <x v="1"/>
    <s v="Percent change"/>
    <s v="Units"/>
    <x v="1"/>
    <n v="-0.84699999999999998"/>
  </r>
  <r>
    <n v="510"/>
    <x v="10"/>
    <x v="26"/>
    <x v="1"/>
    <s v="Percent change"/>
    <s v="Units"/>
    <x v="2"/>
    <n v="1.2310000000000001"/>
  </r>
  <r>
    <n v="510"/>
    <x v="10"/>
    <x v="26"/>
    <x v="1"/>
    <s v="Percent change"/>
    <s v="Units"/>
    <x v="3"/>
    <n v="6.077"/>
  </r>
  <r>
    <n v="510"/>
    <x v="10"/>
    <x v="26"/>
    <x v="1"/>
    <s v="Percent change"/>
    <s v="Units"/>
    <x v="4"/>
    <n v="1.228"/>
  </r>
  <r>
    <n v="510"/>
    <x v="10"/>
    <x v="26"/>
    <x v="1"/>
    <s v="Percent change"/>
    <s v="Units"/>
    <x v="5"/>
    <n v="0.7"/>
  </r>
  <r>
    <n v="510"/>
    <x v="10"/>
    <x v="26"/>
    <x v="1"/>
    <s v="Percent change"/>
    <s v="Units"/>
    <x v="6"/>
    <n v="1.2090000000000001"/>
  </r>
  <r>
    <n v="505"/>
    <x v="4"/>
    <x v="26"/>
    <x v="1"/>
    <s v="Percent change"/>
    <s v="Units"/>
    <x v="0"/>
    <n v="0.70599999999999996"/>
  </r>
  <r>
    <n v="505"/>
    <x v="4"/>
    <x v="26"/>
    <x v="1"/>
    <s v="Percent change"/>
    <s v="Units"/>
    <x v="1"/>
    <n v="-0.84699999999999998"/>
  </r>
  <r>
    <n v="505"/>
    <x v="4"/>
    <x v="26"/>
    <x v="1"/>
    <s v="Percent change"/>
    <s v="Units"/>
    <x v="2"/>
    <n v="1.2310000000000001"/>
  </r>
  <r>
    <n v="505"/>
    <x v="4"/>
    <x v="26"/>
    <x v="1"/>
    <s v="Percent change"/>
    <s v="Units"/>
    <x v="3"/>
    <n v="6.077"/>
  </r>
  <r>
    <n v="505"/>
    <x v="4"/>
    <x v="26"/>
    <x v="1"/>
    <s v="Percent change"/>
    <s v="Units"/>
    <x v="4"/>
    <n v="1.228"/>
  </r>
  <r>
    <n v="505"/>
    <x v="4"/>
    <x v="26"/>
    <x v="1"/>
    <s v="Percent change"/>
    <s v="Units"/>
    <x v="5"/>
    <n v="0.7"/>
  </r>
  <r>
    <n v="505"/>
    <x v="4"/>
    <x v="26"/>
    <x v="1"/>
    <s v="Percent change"/>
    <s v="Units"/>
    <x v="6"/>
    <n v="1.2090000000000001"/>
  </r>
  <r>
    <n v="200"/>
    <x v="3"/>
    <x v="26"/>
    <x v="1"/>
    <s v="Percent change"/>
    <s v="Units"/>
    <x v="0"/>
    <n v="0.70599999999999996"/>
  </r>
  <r>
    <n v="200"/>
    <x v="3"/>
    <x v="26"/>
    <x v="1"/>
    <s v="Percent change"/>
    <s v="Units"/>
    <x v="1"/>
    <n v="-0.84699999999999998"/>
  </r>
  <r>
    <n v="200"/>
    <x v="3"/>
    <x v="26"/>
    <x v="1"/>
    <s v="Percent change"/>
    <s v="Units"/>
    <x v="2"/>
    <n v="1.2310000000000001"/>
  </r>
  <r>
    <n v="200"/>
    <x v="3"/>
    <x v="26"/>
    <x v="1"/>
    <s v="Percent change"/>
    <s v="Units"/>
    <x v="3"/>
    <n v="6.077"/>
  </r>
  <r>
    <n v="200"/>
    <x v="3"/>
    <x v="26"/>
    <x v="1"/>
    <s v="Percent change"/>
    <s v="Units"/>
    <x v="4"/>
    <n v="1.228"/>
  </r>
  <r>
    <n v="200"/>
    <x v="3"/>
    <x v="26"/>
    <x v="1"/>
    <s v="Percent change"/>
    <s v="Units"/>
    <x v="5"/>
    <n v="0.7"/>
  </r>
  <r>
    <n v="200"/>
    <x v="3"/>
    <x v="26"/>
    <x v="1"/>
    <s v="Percent change"/>
    <s v="Units"/>
    <x v="6"/>
    <n v="1.2090000000000001"/>
  </r>
  <r>
    <n v="205"/>
    <x v="7"/>
    <x v="23"/>
    <x v="10"/>
    <s v="Percent"/>
    <s v="Units"/>
    <x v="0"/>
    <n v="0.76"/>
  </r>
  <r>
    <n v="205"/>
    <x v="7"/>
    <x v="23"/>
    <x v="10"/>
    <s v="Percent"/>
    <s v="Units"/>
    <x v="1"/>
    <n v="0.70499999999999996"/>
  </r>
  <r>
    <n v="205"/>
    <x v="7"/>
    <x v="23"/>
    <x v="10"/>
    <s v="Percent"/>
    <s v="Units"/>
    <x v="2"/>
    <n v="0.73299999999999998"/>
  </r>
  <r>
    <n v="205"/>
    <x v="7"/>
    <x v="23"/>
    <x v="10"/>
    <s v="Percent"/>
    <s v="Units"/>
    <x v="3"/>
    <n v="0.745"/>
  </r>
  <r>
    <n v="205"/>
    <x v="7"/>
    <x v="23"/>
    <x v="10"/>
    <s v="Percent"/>
    <s v="Units"/>
    <x v="4"/>
    <n v="0.71099999999999997"/>
  </r>
  <r>
    <n v="205"/>
    <x v="7"/>
    <x v="23"/>
    <x v="10"/>
    <s v="Percent"/>
    <s v="Units"/>
    <x v="5"/>
    <n v="0.67"/>
  </r>
  <r>
    <n v="205"/>
    <x v="7"/>
    <x v="23"/>
    <x v="10"/>
    <s v="Percent"/>
    <s v="Units"/>
    <x v="6"/>
    <n v="0.68200000000000005"/>
  </r>
  <r>
    <n v="200"/>
    <x v="3"/>
    <x v="23"/>
    <x v="10"/>
    <s v="Percent"/>
    <s v="Units"/>
    <x v="0"/>
    <n v="0.76"/>
  </r>
  <r>
    <n v="200"/>
    <x v="3"/>
    <x v="23"/>
    <x v="10"/>
    <s v="Percent"/>
    <s v="Units"/>
    <x v="1"/>
    <n v="0.70499999999999996"/>
  </r>
  <r>
    <n v="200"/>
    <x v="3"/>
    <x v="23"/>
    <x v="10"/>
    <s v="Percent"/>
    <s v="Units"/>
    <x v="2"/>
    <n v="0.73299999999999998"/>
  </r>
  <r>
    <n v="200"/>
    <x v="3"/>
    <x v="23"/>
    <x v="10"/>
    <s v="Percent"/>
    <s v="Units"/>
    <x v="3"/>
    <n v="0.745"/>
  </r>
  <r>
    <n v="200"/>
    <x v="3"/>
    <x v="23"/>
    <x v="10"/>
    <s v="Percent"/>
    <s v="Units"/>
    <x v="4"/>
    <n v="0.71099999999999997"/>
  </r>
  <r>
    <n v="200"/>
    <x v="3"/>
    <x v="23"/>
    <x v="10"/>
    <s v="Percent"/>
    <s v="Units"/>
    <x v="5"/>
    <n v="0.67"/>
  </r>
  <r>
    <n v="200"/>
    <x v="3"/>
    <x v="23"/>
    <x v="10"/>
    <s v="Percent"/>
    <s v="Units"/>
    <x v="6"/>
    <n v="0.68200000000000005"/>
  </r>
  <r>
    <n v="110"/>
    <x v="0"/>
    <x v="44"/>
    <x v="8"/>
    <s v="Percent change"/>
    <s v="Units"/>
    <x v="0"/>
    <n v="3.03"/>
  </r>
  <r>
    <n v="110"/>
    <x v="0"/>
    <x v="44"/>
    <x v="8"/>
    <s v="Percent change"/>
    <s v="Units"/>
    <x v="1"/>
    <n v="-5.5030000000000001"/>
  </r>
  <r>
    <n v="110"/>
    <x v="0"/>
    <x v="44"/>
    <x v="8"/>
    <s v="Percent change"/>
    <s v="Units"/>
    <x v="2"/>
    <n v="3.5529999999999999"/>
  </r>
  <r>
    <n v="110"/>
    <x v="0"/>
    <x v="44"/>
    <x v="8"/>
    <s v="Percent change"/>
    <s v="Units"/>
    <x v="3"/>
    <n v="2.3279999999999998"/>
  </r>
  <r>
    <n v="110"/>
    <x v="0"/>
    <x v="44"/>
    <x v="8"/>
    <s v="Percent change"/>
    <s v="Units"/>
    <x v="4"/>
    <n v="-0.40500000000000003"/>
  </r>
  <r>
    <n v="110"/>
    <x v="0"/>
    <x v="44"/>
    <x v="8"/>
    <s v="Percent change"/>
    <s v="Units"/>
    <x v="5"/>
    <n v="0.65600000000000003"/>
  </r>
  <r>
    <n v="110"/>
    <x v="0"/>
    <x v="44"/>
    <x v="8"/>
    <s v="Percent change"/>
    <s v="Units"/>
    <x v="6"/>
    <n v="2.0139999999999998"/>
  </r>
  <r>
    <n v="123"/>
    <x v="9"/>
    <x v="44"/>
    <x v="8"/>
    <s v="Percent change"/>
    <s v="Units"/>
    <x v="0"/>
    <n v="3.03"/>
  </r>
  <r>
    <n v="123"/>
    <x v="9"/>
    <x v="44"/>
    <x v="8"/>
    <s v="Percent change"/>
    <s v="Units"/>
    <x v="1"/>
    <n v="-5.5030000000000001"/>
  </r>
  <r>
    <n v="123"/>
    <x v="9"/>
    <x v="44"/>
    <x v="8"/>
    <s v="Percent change"/>
    <s v="Units"/>
    <x v="2"/>
    <n v="3.5529999999999999"/>
  </r>
  <r>
    <n v="123"/>
    <x v="9"/>
    <x v="44"/>
    <x v="8"/>
    <s v="Percent change"/>
    <s v="Units"/>
    <x v="3"/>
    <n v="2.3279999999999998"/>
  </r>
  <r>
    <n v="123"/>
    <x v="9"/>
    <x v="44"/>
    <x v="8"/>
    <s v="Percent change"/>
    <s v="Units"/>
    <x v="4"/>
    <n v="-0.40500000000000003"/>
  </r>
  <r>
    <n v="123"/>
    <x v="9"/>
    <x v="44"/>
    <x v="8"/>
    <s v="Percent change"/>
    <s v="Units"/>
    <x v="5"/>
    <n v="0.65600000000000003"/>
  </r>
  <r>
    <n v="123"/>
    <x v="9"/>
    <x v="44"/>
    <x v="8"/>
    <s v="Percent change"/>
    <s v="Units"/>
    <x v="6"/>
    <n v="2.0139999999999998"/>
  </r>
  <r>
    <n v="998"/>
    <x v="6"/>
    <x v="44"/>
    <x v="8"/>
    <s v="Percent change"/>
    <s v="Units"/>
    <x v="0"/>
    <n v="3.03"/>
  </r>
  <r>
    <n v="998"/>
    <x v="6"/>
    <x v="44"/>
    <x v="8"/>
    <s v="Percent change"/>
    <s v="Units"/>
    <x v="1"/>
    <n v="-5.5030000000000001"/>
  </r>
  <r>
    <n v="998"/>
    <x v="6"/>
    <x v="44"/>
    <x v="8"/>
    <s v="Percent change"/>
    <s v="Units"/>
    <x v="2"/>
    <n v="3.5529999999999999"/>
  </r>
  <r>
    <n v="998"/>
    <x v="6"/>
    <x v="44"/>
    <x v="8"/>
    <s v="Percent change"/>
    <s v="Units"/>
    <x v="3"/>
    <n v="2.3279999999999998"/>
  </r>
  <r>
    <n v="998"/>
    <x v="6"/>
    <x v="44"/>
    <x v="8"/>
    <s v="Percent change"/>
    <s v="Units"/>
    <x v="4"/>
    <n v="-0.40500000000000003"/>
  </r>
  <r>
    <n v="998"/>
    <x v="6"/>
    <x v="44"/>
    <x v="8"/>
    <s v="Percent change"/>
    <s v="Units"/>
    <x v="5"/>
    <n v="0.65600000000000003"/>
  </r>
  <r>
    <n v="998"/>
    <x v="6"/>
    <x v="44"/>
    <x v="8"/>
    <s v="Percent change"/>
    <s v="Units"/>
    <x v="6"/>
    <n v="2.0139999999999998"/>
  </r>
  <r>
    <n v="1"/>
    <x v="2"/>
    <x v="44"/>
    <x v="8"/>
    <s v="Percent change"/>
    <s v="Units"/>
    <x v="0"/>
    <n v="3.03"/>
  </r>
  <r>
    <n v="1"/>
    <x v="2"/>
    <x v="44"/>
    <x v="8"/>
    <s v="Percent change"/>
    <s v="Units"/>
    <x v="1"/>
    <n v="-5.5030000000000001"/>
  </r>
  <r>
    <n v="1"/>
    <x v="2"/>
    <x v="44"/>
    <x v="8"/>
    <s v="Percent change"/>
    <s v="Units"/>
    <x v="2"/>
    <n v="3.5529999999999999"/>
  </r>
  <r>
    <n v="1"/>
    <x v="2"/>
    <x v="44"/>
    <x v="8"/>
    <s v="Percent change"/>
    <s v="Units"/>
    <x v="3"/>
    <n v="2.3279999999999998"/>
  </r>
  <r>
    <n v="1"/>
    <x v="2"/>
    <x v="44"/>
    <x v="8"/>
    <s v="Percent change"/>
    <s v="Units"/>
    <x v="4"/>
    <n v="-0.40500000000000003"/>
  </r>
  <r>
    <n v="1"/>
    <x v="2"/>
    <x v="44"/>
    <x v="8"/>
    <s v="Percent change"/>
    <s v="Units"/>
    <x v="5"/>
    <n v="0.65600000000000003"/>
  </r>
  <r>
    <n v="1"/>
    <x v="2"/>
    <x v="44"/>
    <x v="8"/>
    <s v="Percent change"/>
    <s v="Units"/>
    <x v="6"/>
    <n v="2.0139999999999998"/>
  </r>
  <r>
    <n v="1"/>
    <x v="2"/>
    <x v="95"/>
    <x v="4"/>
    <s v="Percent change"/>
    <s v="Units"/>
    <x v="0"/>
    <n v="-9.8949999999999996"/>
  </r>
  <r>
    <n v="1"/>
    <x v="2"/>
    <x v="95"/>
    <x v="4"/>
    <s v="Percent change"/>
    <s v="Units"/>
    <x v="1"/>
    <n v="-68.888000000000005"/>
  </r>
  <r>
    <n v="1"/>
    <x v="2"/>
    <x v="95"/>
    <x v="4"/>
    <s v="Percent change"/>
    <s v="Units"/>
    <x v="2"/>
    <n v="231.001"/>
  </r>
  <r>
    <n v="1"/>
    <x v="2"/>
    <x v="95"/>
    <x v="4"/>
    <s v="Percent change"/>
    <s v="Units"/>
    <x v="3"/>
    <n v="15.967000000000001"/>
  </r>
  <r>
    <n v="1"/>
    <x v="2"/>
    <x v="95"/>
    <x v="4"/>
    <s v="Percent change"/>
    <s v="Units"/>
    <x v="4"/>
    <n v="-16.37"/>
  </r>
  <r>
    <n v="1"/>
    <x v="2"/>
    <x v="95"/>
    <x v="4"/>
    <s v="Percent change"/>
    <s v="Units"/>
    <x v="5"/>
    <n v="0.64700000000000002"/>
  </r>
  <r>
    <n v="1"/>
    <x v="2"/>
    <x v="95"/>
    <x v="4"/>
    <s v="Percent change"/>
    <s v="Units"/>
    <x v="6"/>
    <n v="1.696"/>
  </r>
  <r>
    <n v="400"/>
    <x v="11"/>
    <x v="95"/>
    <x v="4"/>
    <s v="Percent change"/>
    <s v="Units"/>
    <x v="0"/>
    <n v="-9.8949999999999996"/>
  </r>
  <r>
    <n v="400"/>
    <x v="11"/>
    <x v="95"/>
    <x v="4"/>
    <s v="Percent change"/>
    <s v="Units"/>
    <x v="1"/>
    <n v="-68.888000000000005"/>
  </r>
  <r>
    <n v="400"/>
    <x v="11"/>
    <x v="95"/>
    <x v="4"/>
    <s v="Percent change"/>
    <s v="Units"/>
    <x v="2"/>
    <n v="231.001"/>
  </r>
  <r>
    <n v="400"/>
    <x v="11"/>
    <x v="95"/>
    <x v="4"/>
    <s v="Percent change"/>
    <s v="Units"/>
    <x v="3"/>
    <n v="15.967000000000001"/>
  </r>
  <r>
    <n v="400"/>
    <x v="11"/>
    <x v="95"/>
    <x v="4"/>
    <s v="Percent change"/>
    <s v="Units"/>
    <x v="4"/>
    <n v="-16.37"/>
  </r>
  <r>
    <n v="400"/>
    <x v="11"/>
    <x v="95"/>
    <x v="4"/>
    <s v="Percent change"/>
    <s v="Units"/>
    <x v="5"/>
    <n v="0.64700000000000002"/>
  </r>
  <r>
    <n v="400"/>
    <x v="11"/>
    <x v="95"/>
    <x v="4"/>
    <s v="Percent change"/>
    <s v="Units"/>
    <x v="6"/>
    <n v="1.696"/>
  </r>
  <r>
    <n v="200"/>
    <x v="3"/>
    <x v="95"/>
    <x v="4"/>
    <s v="Percent change"/>
    <s v="Units"/>
    <x v="0"/>
    <n v="-9.8949999999999996"/>
  </r>
  <r>
    <n v="200"/>
    <x v="3"/>
    <x v="95"/>
    <x v="4"/>
    <s v="Percent change"/>
    <s v="Units"/>
    <x v="1"/>
    <n v="-68.888000000000005"/>
  </r>
  <r>
    <n v="200"/>
    <x v="3"/>
    <x v="95"/>
    <x v="4"/>
    <s v="Percent change"/>
    <s v="Units"/>
    <x v="2"/>
    <n v="231.001"/>
  </r>
  <r>
    <n v="200"/>
    <x v="3"/>
    <x v="95"/>
    <x v="4"/>
    <s v="Percent change"/>
    <s v="Units"/>
    <x v="3"/>
    <n v="15.967000000000001"/>
  </r>
  <r>
    <n v="200"/>
    <x v="3"/>
    <x v="95"/>
    <x v="4"/>
    <s v="Percent change"/>
    <s v="Units"/>
    <x v="4"/>
    <n v="-16.37"/>
  </r>
  <r>
    <n v="200"/>
    <x v="3"/>
    <x v="95"/>
    <x v="4"/>
    <s v="Percent change"/>
    <s v="Units"/>
    <x v="5"/>
    <n v="0.64700000000000002"/>
  </r>
  <r>
    <n v="200"/>
    <x v="3"/>
    <x v="95"/>
    <x v="4"/>
    <s v="Percent change"/>
    <s v="Units"/>
    <x v="6"/>
    <n v="1.696"/>
  </r>
  <r>
    <n v="1"/>
    <x v="2"/>
    <x v="123"/>
    <x v="5"/>
    <s v="Percent of GDP"/>
    <s v="Units"/>
    <x v="0"/>
    <n v="-6.6130000000000004"/>
  </r>
  <r>
    <n v="1"/>
    <x v="2"/>
    <x v="123"/>
    <x v="5"/>
    <s v="Percent of GDP"/>
    <s v="Units"/>
    <x v="1"/>
    <n v="-14.756"/>
  </r>
  <r>
    <n v="1"/>
    <x v="2"/>
    <x v="123"/>
    <x v="5"/>
    <s v="Percent of GDP"/>
    <s v="Units"/>
    <x v="2"/>
    <n v="11.590999999999999"/>
  </r>
  <r>
    <n v="1"/>
    <x v="2"/>
    <x v="123"/>
    <x v="5"/>
    <s v="Percent of GDP"/>
    <s v="Units"/>
    <x v="3"/>
    <n v="3.911"/>
  </r>
  <r>
    <n v="1"/>
    <x v="2"/>
    <x v="123"/>
    <x v="5"/>
    <s v="Percent of GDP"/>
    <s v="Units"/>
    <x v="4"/>
    <n v="-2.8159999999999998"/>
  </r>
  <r>
    <n v="1"/>
    <x v="2"/>
    <x v="123"/>
    <x v="5"/>
    <s v="Percent of GDP"/>
    <s v="Units"/>
    <x v="5"/>
    <n v="0.64300000000000002"/>
  </r>
  <r>
    <n v="1"/>
    <x v="2"/>
    <x v="123"/>
    <x v="5"/>
    <s v="Percent of GDP"/>
    <s v="Units"/>
    <x v="6"/>
    <n v="6.0620000000000003"/>
  </r>
  <r>
    <n v="505"/>
    <x v="4"/>
    <x v="123"/>
    <x v="5"/>
    <s v="Percent of GDP"/>
    <s v="Units"/>
    <x v="0"/>
    <n v="-6.6130000000000004"/>
  </r>
  <r>
    <n v="505"/>
    <x v="4"/>
    <x v="123"/>
    <x v="5"/>
    <s v="Percent of GDP"/>
    <s v="Units"/>
    <x v="1"/>
    <n v="-14.756"/>
  </r>
  <r>
    <n v="505"/>
    <x v="4"/>
    <x v="123"/>
    <x v="5"/>
    <s v="Percent of GDP"/>
    <s v="Units"/>
    <x v="2"/>
    <n v="11.590999999999999"/>
  </r>
  <r>
    <n v="505"/>
    <x v="4"/>
    <x v="123"/>
    <x v="5"/>
    <s v="Percent of GDP"/>
    <s v="Units"/>
    <x v="3"/>
    <n v="3.911"/>
  </r>
  <r>
    <n v="505"/>
    <x v="4"/>
    <x v="123"/>
    <x v="5"/>
    <s v="Percent of GDP"/>
    <s v="Units"/>
    <x v="4"/>
    <n v="-2.8159999999999998"/>
  </r>
  <r>
    <n v="505"/>
    <x v="4"/>
    <x v="123"/>
    <x v="5"/>
    <s v="Percent of GDP"/>
    <s v="Units"/>
    <x v="5"/>
    <n v="0.64300000000000002"/>
  </r>
  <r>
    <n v="505"/>
    <x v="4"/>
    <x v="123"/>
    <x v="5"/>
    <s v="Percent of GDP"/>
    <s v="Units"/>
    <x v="6"/>
    <n v="6.0620000000000003"/>
  </r>
  <r>
    <n v="200"/>
    <x v="3"/>
    <x v="123"/>
    <x v="5"/>
    <s v="Percent of GDP"/>
    <s v="Units"/>
    <x v="0"/>
    <n v="-6.6130000000000004"/>
  </r>
  <r>
    <n v="200"/>
    <x v="3"/>
    <x v="123"/>
    <x v="5"/>
    <s v="Percent of GDP"/>
    <s v="Units"/>
    <x v="1"/>
    <n v="-14.756"/>
  </r>
  <r>
    <n v="200"/>
    <x v="3"/>
    <x v="123"/>
    <x v="5"/>
    <s v="Percent of GDP"/>
    <s v="Units"/>
    <x v="2"/>
    <n v="11.590999999999999"/>
  </r>
  <r>
    <n v="200"/>
    <x v="3"/>
    <x v="123"/>
    <x v="5"/>
    <s v="Percent of GDP"/>
    <s v="Units"/>
    <x v="3"/>
    <n v="3.911"/>
  </r>
  <r>
    <n v="200"/>
    <x v="3"/>
    <x v="123"/>
    <x v="5"/>
    <s v="Percent of GDP"/>
    <s v="Units"/>
    <x v="4"/>
    <n v="-2.8159999999999998"/>
  </r>
  <r>
    <n v="200"/>
    <x v="3"/>
    <x v="123"/>
    <x v="5"/>
    <s v="Percent of GDP"/>
    <s v="Units"/>
    <x v="5"/>
    <n v="0.64300000000000002"/>
  </r>
  <r>
    <n v="200"/>
    <x v="3"/>
    <x v="123"/>
    <x v="5"/>
    <s v="Percent of GDP"/>
    <s v="Units"/>
    <x v="6"/>
    <n v="6.0620000000000003"/>
  </r>
  <r>
    <n v="200"/>
    <x v="3"/>
    <x v="101"/>
    <x v="4"/>
    <s v="Percent change"/>
    <s v="Units"/>
    <x v="0"/>
    <n v="11.986000000000001"/>
  </r>
  <r>
    <n v="200"/>
    <x v="3"/>
    <x v="101"/>
    <x v="4"/>
    <s v="Percent change"/>
    <s v="Units"/>
    <x v="1"/>
    <n v="-15.805999999999999"/>
  </r>
  <r>
    <n v="200"/>
    <x v="3"/>
    <x v="101"/>
    <x v="4"/>
    <s v="Percent change"/>
    <s v="Units"/>
    <x v="2"/>
    <n v="7.7759999999999998"/>
  </r>
  <r>
    <n v="200"/>
    <x v="3"/>
    <x v="101"/>
    <x v="4"/>
    <s v="Percent change"/>
    <s v="Units"/>
    <x v="3"/>
    <n v="18.437000000000001"/>
  </r>
  <r>
    <n v="200"/>
    <x v="3"/>
    <x v="101"/>
    <x v="4"/>
    <s v="Percent change"/>
    <s v="Units"/>
    <x v="4"/>
    <n v="4.8310000000000004"/>
  </r>
  <r>
    <n v="200"/>
    <x v="3"/>
    <x v="101"/>
    <x v="4"/>
    <s v="Percent change"/>
    <s v="Units"/>
    <x v="5"/>
    <n v="0.623"/>
  </r>
  <r>
    <n v="200"/>
    <x v="3"/>
    <x v="101"/>
    <x v="4"/>
    <s v="Percent change"/>
    <s v="Units"/>
    <x v="6"/>
    <n v="4.6130000000000004"/>
  </r>
  <r>
    <n v="1"/>
    <x v="2"/>
    <x v="101"/>
    <x v="4"/>
    <s v="Percent change"/>
    <s v="Units"/>
    <x v="0"/>
    <n v="11.986000000000001"/>
  </r>
  <r>
    <n v="1"/>
    <x v="2"/>
    <x v="101"/>
    <x v="4"/>
    <s v="Percent change"/>
    <s v="Units"/>
    <x v="1"/>
    <n v="-15.805999999999999"/>
  </r>
  <r>
    <n v="1"/>
    <x v="2"/>
    <x v="101"/>
    <x v="4"/>
    <s v="Percent change"/>
    <s v="Units"/>
    <x v="2"/>
    <n v="7.7759999999999998"/>
  </r>
  <r>
    <n v="1"/>
    <x v="2"/>
    <x v="101"/>
    <x v="4"/>
    <s v="Percent change"/>
    <s v="Units"/>
    <x v="3"/>
    <n v="18.437000000000001"/>
  </r>
  <r>
    <n v="1"/>
    <x v="2"/>
    <x v="101"/>
    <x v="4"/>
    <s v="Percent change"/>
    <s v="Units"/>
    <x v="4"/>
    <n v="4.8310000000000004"/>
  </r>
  <r>
    <n v="1"/>
    <x v="2"/>
    <x v="101"/>
    <x v="4"/>
    <s v="Percent change"/>
    <s v="Units"/>
    <x v="5"/>
    <n v="0.623"/>
  </r>
  <r>
    <n v="1"/>
    <x v="2"/>
    <x v="101"/>
    <x v="4"/>
    <s v="Percent change"/>
    <s v="Units"/>
    <x v="6"/>
    <n v="4.6130000000000004"/>
  </r>
  <r>
    <n v="400"/>
    <x v="11"/>
    <x v="101"/>
    <x v="4"/>
    <s v="Percent change"/>
    <s v="Units"/>
    <x v="0"/>
    <n v="11.986000000000001"/>
  </r>
  <r>
    <n v="400"/>
    <x v="11"/>
    <x v="101"/>
    <x v="4"/>
    <s v="Percent change"/>
    <s v="Units"/>
    <x v="1"/>
    <n v="-15.805999999999999"/>
  </r>
  <r>
    <n v="400"/>
    <x v="11"/>
    <x v="101"/>
    <x v="4"/>
    <s v="Percent change"/>
    <s v="Units"/>
    <x v="2"/>
    <n v="7.7759999999999998"/>
  </r>
  <r>
    <n v="400"/>
    <x v="11"/>
    <x v="101"/>
    <x v="4"/>
    <s v="Percent change"/>
    <s v="Units"/>
    <x v="3"/>
    <n v="18.437000000000001"/>
  </r>
  <r>
    <n v="400"/>
    <x v="11"/>
    <x v="101"/>
    <x v="4"/>
    <s v="Percent change"/>
    <s v="Units"/>
    <x v="4"/>
    <n v="4.8310000000000004"/>
  </r>
  <r>
    <n v="400"/>
    <x v="11"/>
    <x v="101"/>
    <x v="4"/>
    <s v="Percent change"/>
    <s v="Units"/>
    <x v="5"/>
    <n v="0.623"/>
  </r>
  <r>
    <n v="400"/>
    <x v="11"/>
    <x v="101"/>
    <x v="4"/>
    <s v="Percent change"/>
    <s v="Units"/>
    <x v="6"/>
    <n v="4.6130000000000004"/>
  </r>
  <r>
    <n v="163"/>
    <x v="5"/>
    <x v="118"/>
    <x v="13"/>
    <s v="Percent of potential GDP"/>
    <s v="Units"/>
    <x v="0"/>
    <n v="-0.2"/>
  </r>
  <r>
    <n v="163"/>
    <x v="5"/>
    <x v="118"/>
    <x v="13"/>
    <s v="Percent of potential GDP"/>
    <s v="Units"/>
    <x v="1"/>
    <n v="-3.22"/>
  </r>
  <r>
    <n v="163"/>
    <x v="5"/>
    <x v="118"/>
    <x v="13"/>
    <s v="Percent of potential GDP"/>
    <s v="Units"/>
    <x v="2"/>
    <n v="1.36"/>
  </r>
  <r>
    <n v="163"/>
    <x v="5"/>
    <x v="118"/>
    <x v="13"/>
    <s v="Percent of potential GDP"/>
    <s v="Units"/>
    <x v="3"/>
    <n v="1.8919999999999999"/>
  </r>
  <r>
    <n v="163"/>
    <x v="5"/>
    <x v="118"/>
    <x v="13"/>
    <s v="Percent of potential GDP"/>
    <s v="Units"/>
    <x v="4"/>
    <n v="1.06"/>
  </r>
  <r>
    <n v="163"/>
    <x v="5"/>
    <x v="118"/>
    <x v="13"/>
    <s v="Percent of potential GDP"/>
    <s v="Units"/>
    <x v="5"/>
    <n v="0.60899999999999999"/>
  </r>
  <r>
    <n v="163"/>
    <x v="5"/>
    <x v="118"/>
    <x v="13"/>
    <s v="Percent of potential GDP"/>
    <s v="Units"/>
    <x v="6"/>
    <n v="0.40300000000000002"/>
  </r>
  <r>
    <n v="110"/>
    <x v="0"/>
    <x v="118"/>
    <x v="13"/>
    <s v="Percent of potential GDP"/>
    <s v="Units"/>
    <x v="0"/>
    <n v="-0.2"/>
  </r>
  <r>
    <n v="110"/>
    <x v="0"/>
    <x v="118"/>
    <x v="13"/>
    <s v="Percent of potential GDP"/>
    <s v="Units"/>
    <x v="1"/>
    <n v="-3.22"/>
  </r>
  <r>
    <n v="110"/>
    <x v="0"/>
    <x v="118"/>
    <x v="13"/>
    <s v="Percent of potential GDP"/>
    <s v="Units"/>
    <x v="2"/>
    <n v="1.36"/>
  </r>
  <r>
    <n v="110"/>
    <x v="0"/>
    <x v="118"/>
    <x v="13"/>
    <s v="Percent of potential GDP"/>
    <s v="Units"/>
    <x v="3"/>
    <n v="1.8919999999999999"/>
  </r>
  <r>
    <n v="110"/>
    <x v="0"/>
    <x v="118"/>
    <x v="13"/>
    <s v="Percent of potential GDP"/>
    <s v="Units"/>
    <x v="4"/>
    <n v="1.06"/>
  </r>
  <r>
    <n v="110"/>
    <x v="0"/>
    <x v="118"/>
    <x v="13"/>
    <s v="Percent of potential GDP"/>
    <s v="Units"/>
    <x v="5"/>
    <n v="0.60899999999999999"/>
  </r>
  <r>
    <n v="110"/>
    <x v="0"/>
    <x v="118"/>
    <x v="13"/>
    <s v="Percent of potential GDP"/>
    <s v="Units"/>
    <x v="6"/>
    <n v="0.40300000000000002"/>
  </r>
  <r>
    <n v="110"/>
    <x v="0"/>
    <x v="18"/>
    <x v="12"/>
    <s v="Percent of potential GDP"/>
    <s v="Units"/>
    <x v="0"/>
    <n v="1.208"/>
  </r>
  <r>
    <n v="110"/>
    <x v="0"/>
    <x v="18"/>
    <x v="12"/>
    <s v="Percent of potential GDP"/>
    <s v="Units"/>
    <x v="1"/>
    <n v="-2.347"/>
  </r>
  <r>
    <n v="110"/>
    <x v="0"/>
    <x v="18"/>
    <x v="12"/>
    <s v="Percent of potential GDP"/>
    <s v="Units"/>
    <x v="2"/>
    <n v="-0.152"/>
  </r>
  <r>
    <n v="110"/>
    <x v="0"/>
    <x v="18"/>
    <x v="12"/>
    <s v="Percent of potential GDP"/>
    <s v="Units"/>
    <x v="3"/>
    <n v="1.0409999999999999"/>
  </r>
  <r>
    <n v="110"/>
    <x v="0"/>
    <x v="18"/>
    <x v="12"/>
    <s v="Percent of potential GDP"/>
    <s v="Units"/>
    <x v="4"/>
    <n v="0.50700000000000001"/>
  </r>
  <r>
    <n v="110"/>
    <x v="0"/>
    <x v="18"/>
    <x v="12"/>
    <s v="Percent of potential GDP"/>
    <s v="Units"/>
    <x v="5"/>
    <n v="0.60299999999999998"/>
  </r>
  <r>
    <n v="110"/>
    <x v="0"/>
    <x v="18"/>
    <x v="12"/>
    <s v="Percent of potential GDP"/>
    <s v="Units"/>
    <x v="6"/>
    <n v="0.253"/>
  </r>
  <r>
    <n v="123"/>
    <x v="9"/>
    <x v="18"/>
    <x v="12"/>
    <s v="Percent of potential GDP"/>
    <s v="Units"/>
    <x v="0"/>
    <n v="1.208"/>
  </r>
  <r>
    <n v="123"/>
    <x v="9"/>
    <x v="18"/>
    <x v="12"/>
    <s v="Percent of potential GDP"/>
    <s v="Units"/>
    <x v="1"/>
    <n v="-2.347"/>
  </r>
  <r>
    <n v="123"/>
    <x v="9"/>
    <x v="18"/>
    <x v="12"/>
    <s v="Percent of potential GDP"/>
    <s v="Units"/>
    <x v="2"/>
    <n v="-0.152"/>
  </r>
  <r>
    <n v="123"/>
    <x v="9"/>
    <x v="18"/>
    <x v="12"/>
    <s v="Percent of potential GDP"/>
    <s v="Units"/>
    <x v="3"/>
    <n v="1.0409999999999999"/>
  </r>
  <r>
    <n v="123"/>
    <x v="9"/>
    <x v="18"/>
    <x v="12"/>
    <s v="Percent of potential GDP"/>
    <s v="Units"/>
    <x v="4"/>
    <n v="0.50700000000000001"/>
  </r>
  <r>
    <n v="123"/>
    <x v="9"/>
    <x v="18"/>
    <x v="12"/>
    <s v="Percent of potential GDP"/>
    <s v="Units"/>
    <x v="5"/>
    <n v="0.60299999999999998"/>
  </r>
  <r>
    <n v="123"/>
    <x v="9"/>
    <x v="18"/>
    <x v="12"/>
    <s v="Percent of potential GDP"/>
    <s v="Units"/>
    <x v="6"/>
    <n v="0.253"/>
  </r>
  <r>
    <n v="163"/>
    <x v="5"/>
    <x v="53"/>
    <x v="13"/>
    <s v="Percent of potential GDP"/>
    <s v="Units"/>
    <x v="0"/>
    <n v="-6.2140000000000004"/>
  </r>
  <r>
    <n v="163"/>
    <x v="5"/>
    <x v="53"/>
    <x v="13"/>
    <s v="Percent of potential GDP"/>
    <s v="Units"/>
    <x v="1"/>
    <n v="-14.096"/>
  </r>
  <r>
    <n v="163"/>
    <x v="5"/>
    <x v="53"/>
    <x v="13"/>
    <s v="Percent of potential GDP"/>
    <s v="Units"/>
    <x v="2"/>
    <n v="-6.5069999999999997"/>
  </r>
  <r>
    <n v="163"/>
    <x v="5"/>
    <x v="53"/>
    <x v="13"/>
    <s v="Percent of potential GDP"/>
    <s v="Units"/>
    <x v="3"/>
    <n v="-1.272"/>
  </r>
  <r>
    <n v="163"/>
    <x v="5"/>
    <x v="53"/>
    <x v="13"/>
    <s v="Percent of potential GDP"/>
    <s v="Units"/>
    <x v="4"/>
    <n v="-2.5000000000000001E-2"/>
  </r>
  <r>
    <n v="163"/>
    <x v="5"/>
    <x v="53"/>
    <x v="13"/>
    <s v="Percent of potential GDP"/>
    <s v="Units"/>
    <x v="5"/>
    <n v="0.59699999999999998"/>
  </r>
  <r>
    <n v="163"/>
    <x v="5"/>
    <x v="53"/>
    <x v="13"/>
    <s v="Percent of potential GDP"/>
    <s v="Units"/>
    <x v="6"/>
    <n v="0.78100000000000003"/>
  </r>
  <r>
    <n v="110"/>
    <x v="0"/>
    <x v="53"/>
    <x v="13"/>
    <s v="Percent of potential GDP"/>
    <s v="Units"/>
    <x v="0"/>
    <n v="-6.2140000000000004"/>
  </r>
  <r>
    <n v="110"/>
    <x v="0"/>
    <x v="53"/>
    <x v="13"/>
    <s v="Percent of potential GDP"/>
    <s v="Units"/>
    <x v="1"/>
    <n v="-14.096"/>
  </r>
  <r>
    <n v="110"/>
    <x v="0"/>
    <x v="53"/>
    <x v="13"/>
    <s v="Percent of potential GDP"/>
    <s v="Units"/>
    <x v="2"/>
    <n v="-6.5069999999999997"/>
  </r>
  <r>
    <n v="110"/>
    <x v="0"/>
    <x v="53"/>
    <x v="13"/>
    <s v="Percent of potential GDP"/>
    <s v="Units"/>
    <x v="3"/>
    <n v="-1.272"/>
  </r>
  <r>
    <n v="110"/>
    <x v="0"/>
    <x v="53"/>
    <x v="13"/>
    <s v="Percent of potential GDP"/>
    <s v="Units"/>
    <x v="4"/>
    <n v="-2.5000000000000001E-2"/>
  </r>
  <r>
    <n v="110"/>
    <x v="0"/>
    <x v="53"/>
    <x v="13"/>
    <s v="Percent of potential GDP"/>
    <s v="Units"/>
    <x v="5"/>
    <n v="0.59699999999999998"/>
  </r>
  <r>
    <n v="110"/>
    <x v="0"/>
    <x v="53"/>
    <x v="13"/>
    <s v="Percent of potential GDP"/>
    <s v="Units"/>
    <x v="6"/>
    <n v="0.78100000000000003"/>
  </r>
  <r>
    <n v="200"/>
    <x v="3"/>
    <x v="107"/>
    <x v="0"/>
    <s v="U.S. dollars"/>
    <s v="Billions"/>
    <x v="0"/>
    <n v="0.51100000000000001"/>
  </r>
  <r>
    <n v="200"/>
    <x v="3"/>
    <x v="107"/>
    <x v="0"/>
    <s v="U.S. dollars"/>
    <s v="Billions"/>
    <x v="1"/>
    <n v="0.49"/>
  </r>
  <r>
    <n v="200"/>
    <x v="3"/>
    <x v="107"/>
    <x v="0"/>
    <s v="U.S. dollars"/>
    <s v="Billions"/>
    <x v="2"/>
    <n v="0.47"/>
  </r>
  <r>
    <n v="200"/>
    <x v="3"/>
    <x v="107"/>
    <x v="0"/>
    <s v="U.S. dollars"/>
    <s v="Billions"/>
    <x v="3"/>
    <n v="0.498"/>
  </r>
  <r>
    <n v="200"/>
    <x v="3"/>
    <x v="107"/>
    <x v="0"/>
    <s v="U.S. dollars"/>
    <s v="Billions"/>
    <x v="4"/>
    <n v="0.54700000000000004"/>
  </r>
  <r>
    <n v="200"/>
    <x v="3"/>
    <x v="107"/>
    <x v="0"/>
    <s v="U.S. dollars"/>
    <s v="Billions"/>
    <x v="5"/>
    <n v="0.58099999999999996"/>
  </r>
  <r>
    <n v="200"/>
    <x v="3"/>
    <x v="107"/>
    <x v="0"/>
    <s v="U.S. dollars"/>
    <s v="Billions"/>
    <x v="6"/>
    <n v="0.60599999999999998"/>
  </r>
  <r>
    <n v="1"/>
    <x v="2"/>
    <x v="107"/>
    <x v="0"/>
    <s v="U.S. dollars"/>
    <s v="Billions"/>
    <x v="0"/>
    <n v="0.51100000000000001"/>
  </r>
  <r>
    <n v="1"/>
    <x v="2"/>
    <x v="107"/>
    <x v="0"/>
    <s v="U.S. dollars"/>
    <s v="Billions"/>
    <x v="1"/>
    <n v="0.49"/>
  </r>
  <r>
    <n v="1"/>
    <x v="2"/>
    <x v="107"/>
    <x v="0"/>
    <s v="U.S. dollars"/>
    <s v="Billions"/>
    <x v="2"/>
    <n v="0.47"/>
  </r>
  <r>
    <n v="1"/>
    <x v="2"/>
    <x v="107"/>
    <x v="0"/>
    <s v="U.S. dollars"/>
    <s v="Billions"/>
    <x v="3"/>
    <n v="0.498"/>
  </r>
  <r>
    <n v="1"/>
    <x v="2"/>
    <x v="107"/>
    <x v="0"/>
    <s v="U.S. dollars"/>
    <s v="Billions"/>
    <x v="4"/>
    <n v="0.54700000000000004"/>
  </r>
  <r>
    <n v="1"/>
    <x v="2"/>
    <x v="107"/>
    <x v="0"/>
    <s v="U.S. dollars"/>
    <s v="Billions"/>
    <x v="5"/>
    <n v="0.58099999999999996"/>
  </r>
  <r>
    <n v="1"/>
    <x v="2"/>
    <x v="107"/>
    <x v="0"/>
    <s v="U.S. dollars"/>
    <s v="Billions"/>
    <x v="6"/>
    <n v="0.60599999999999998"/>
  </r>
  <r>
    <n v="505"/>
    <x v="4"/>
    <x v="107"/>
    <x v="0"/>
    <s v="U.S. dollars"/>
    <s v="Billions"/>
    <x v="0"/>
    <n v="0.51100000000000001"/>
  </r>
  <r>
    <n v="505"/>
    <x v="4"/>
    <x v="107"/>
    <x v="0"/>
    <s v="U.S. dollars"/>
    <s v="Billions"/>
    <x v="1"/>
    <n v="0.49"/>
  </r>
  <r>
    <n v="505"/>
    <x v="4"/>
    <x v="107"/>
    <x v="0"/>
    <s v="U.S. dollars"/>
    <s v="Billions"/>
    <x v="2"/>
    <n v="0.47"/>
  </r>
  <r>
    <n v="505"/>
    <x v="4"/>
    <x v="107"/>
    <x v="0"/>
    <s v="U.S. dollars"/>
    <s v="Billions"/>
    <x v="3"/>
    <n v="0.498"/>
  </r>
  <r>
    <n v="505"/>
    <x v="4"/>
    <x v="107"/>
    <x v="0"/>
    <s v="U.S. dollars"/>
    <s v="Billions"/>
    <x v="4"/>
    <n v="0.54700000000000004"/>
  </r>
  <r>
    <n v="505"/>
    <x v="4"/>
    <x v="107"/>
    <x v="0"/>
    <s v="U.S. dollars"/>
    <s v="Billions"/>
    <x v="5"/>
    <n v="0.58099999999999996"/>
  </r>
  <r>
    <n v="505"/>
    <x v="4"/>
    <x v="107"/>
    <x v="0"/>
    <s v="U.S. dollars"/>
    <s v="Billions"/>
    <x v="6"/>
    <n v="0.60599999999999998"/>
  </r>
  <r>
    <n v="200"/>
    <x v="3"/>
    <x v="182"/>
    <x v="5"/>
    <s v="Percent of GDP"/>
    <s v="Units"/>
    <x v="0"/>
    <n v="13.018000000000001"/>
  </r>
  <r>
    <n v="200"/>
    <x v="3"/>
    <x v="182"/>
    <x v="5"/>
    <s v="Percent of GDP"/>
    <s v="Units"/>
    <x v="1"/>
    <n v="16.106999999999999"/>
  </r>
  <r>
    <n v="200"/>
    <x v="3"/>
    <x v="182"/>
    <x v="5"/>
    <s v="Percent of GDP"/>
    <s v="Units"/>
    <x v="2"/>
    <n v="15.992000000000001"/>
  </r>
  <r>
    <n v="200"/>
    <x v="3"/>
    <x v="182"/>
    <x v="5"/>
    <s v="Percent of GDP"/>
    <s v="Units"/>
    <x v="3"/>
    <n v="12.087999999999999"/>
  </r>
  <r>
    <n v="200"/>
    <x v="3"/>
    <x v="182"/>
    <x v="5"/>
    <s v="Percent of GDP"/>
    <s v="Units"/>
    <x v="4"/>
    <n v="1.694"/>
  </r>
  <r>
    <n v="200"/>
    <x v="3"/>
    <x v="182"/>
    <x v="5"/>
    <s v="Percent of GDP"/>
    <s v="Units"/>
    <x v="5"/>
    <n v="0.57799999999999996"/>
  </r>
  <r>
    <n v="200"/>
    <x v="3"/>
    <x v="182"/>
    <x v="5"/>
    <s v="Percent of GDP"/>
    <s v="Units"/>
    <x v="6"/>
    <n v="-1.4079999999999999"/>
  </r>
  <r>
    <n v="603"/>
    <x v="12"/>
    <x v="182"/>
    <x v="5"/>
    <s v="Percent of GDP"/>
    <s v="Units"/>
    <x v="0"/>
    <n v="13.018000000000001"/>
  </r>
  <r>
    <n v="603"/>
    <x v="12"/>
    <x v="182"/>
    <x v="5"/>
    <s v="Percent of GDP"/>
    <s v="Units"/>
    <x v="1"/>
    <n v="16.106999999999999"/>
  </r>
  <r>
    <n v="603"/>
    <x v="12"/>
    <x v="182"/>
    <x v="5"/>
    <s v="Percent of GDP"/>
    <s v="Units"/>
    <x v="2"/>
    <n v="15.992000000000001"/>
  </r>
  <r>
    <n v="603"/>
    <x v="12"/>
    <x v="182"/>
    <x v="5"/>
    <s v="Percent of GDP"/>
    <s v="Units"/>
    <x v="3"/>
    <n v="12.087999999999999"/>
  </r>
  <r>
    <n v="603"/>
    <x v="12"/>
    <x v="182"/>
    <x v="5"/>
    <s v="Percent of GDP"/>
    <s v="Units"/>
    <x v="4"/>
    <n v="1.694"/>
  </r>
  <r>
    <n v="603"/>
    <x v="12"/>
    <x v="182"/>
    <x v="5"/>
    <s v="Percent of GDP"/>
    <s v="Units"/>
    <x v="5"/>
    <n v="0.57799999999999996"/>
  </r>
  <r>
    <n v="603"/>
    <x v="12"/>
    <x v="182"/>
    <x v="5"/>
    <s v="Percent of GDP"/>
    <s v="Units"/>
    <x v="6"/>
    <n v="-1.4079999999999999"/>
  </r>
  <r>
    <n v="1"/>
    <x v="2"/>
    <x v="182"/>
    <x v="5"/>
    <s v="Percent of GDP"/>
    <s v="Units"/>
    <x v="0"/>
    <n v="13.018000000000001"/>
  </r>
  <r>
    <n v="1"/>
    <x v="2"/>
    <x v="182"/>
    <x v="5"/>
    <s v="Percent of GDP"/>
    <s v="Units"/>
    <x v="1"/>
    <n v="16.106999999999999"/>
  </r>
  <r>
    <n v="1"/>
    <x v="2"/>
    <x v="182"/>
    <x v="5"/>
    <s v="Percent of GDP"/>
    <s v="Units"/>
    <x v="2"/>
    <n v="15.992000000000001"/>
  </r>
  <r>
    <n v="1"/>
    <x v="2"/>
    <x v="182"/>
    <x v="5"/>
    <s v="Percent of GDP"/>
    <s v="Units"/>
    <x v="3"/>
    <n v="12.087999999999999"/>
  </r>
  <r>
    <n v="1"/>
    <x v="2"/>
    <x v="182"/>
    <x v="5"/>
    <s v="Percent of GDP"/>
    <s v="Units"/>
    <x v="4"/>
    <n v="1.694"/>
  </r>
  <r>
    <n v="1"/>
    <x v="2"/>
    <x v="182"/>
    <x v="5"/>
    <s v="Percent of GDP"/>
    <s v="Units"/>
    <x v="5"/>
    <n v="0.57799999999999996"/>
  </r>
  <r>
    <n v="1"/>
    <x v="2"/>
    <x v="182"/>
    <x v="5"/>
    <s v="Percent of GDP"/>
    <s v="Units"/>
    <x v="6"/>
    <n v="-1.4079999999999999"/>
  </r>
  <r>
    <n v="205"/>
    <x v="7"/>
    <x v="39"/>
    <x v="10"/>
    <s v="Percent"/>
    <s v="Units"/>
    <x v="0"/>
    <n v="0.56699999999999995"/>
  </r>
  <r>
    <n v="205"/>
    <x v="7"/>
    <x v="39"/>
    <x v="10"/>
    <s v="Percent"/>
    <s v="Units"/>
    <x v="1"/>
    <n v="0.54200000000000004"/>
  </r>
  <r>
    <n v="205"/>
    <x v="7"/>
    <x v="39"/>
    <x v="10"/>
    <s v="Percent"/>
    <s v="Units"/>
    <x v="2"/>
    <n v="0.56499999999999995"/>
  </r>
  <r>
    <n v="205"/>
    <x v="7"/>
    <x v="39"/>
    <x v="10"/>
    <s v="Percent"/>
    <s v="Units"/>
    <x v="3"/>
    <n v="0.58599999999999997"/>
  </r>
  <r>
    <n v="205"/>
    <x v="7"/>
    <x v="39"/>
    <x v="10"/>
    <s v="Percent"/>
    <s v="Units"/>
    <x v="4"/>
    <n v="0.57199999999999995"/>
  </r>
  <r>
    <n v="205"/>
    <x v="7"/>
    <x v="39"/>
    <x v="10"/>
    <s v="Percent"/>
    <s v="Units"/>
    <x v="5"/>
    <n v="0.56100000000000005"/>
  </r>
  <r>
    <n v="205"/>
    <x v="7"/>
    <x v="39"/>
    <x v="10"/>
    <s v="Percent"/>
    <s v="Units"/>
    <x v="6"/>
    <n v="0.55700000000000005"/>
  </r>
  <r>
    <n v="200"/>
    <x v="3"/>
    <x v="39"/>
    <x v="10"/>
    <s v="Percent"/>
    <s v="Units"/>
    <x v="0"/>
    <n v="0.56699999999999995"/>
  </r>
  <r>
    <n v="200"/>
    <x v="3"/>
    <x v="39"/>
    <x v="10"/>
    <s v="Percent"/>
    <s v="Units"/>
    <x v="1"/>
    <n v="0.54200000000000004"/>
  </r>
  <r>
    <n v="200"/>
    <x v="3"/>
    <x v="39"/>
    <x v="10"/>
    <s v="Percent"/>
    <s v="Units"/>
    <x v="2"/>
    <n v="0.56499999999999995"/>
  </r>
  <r>
    <n v="200"/>
    <x v="3"/>
    <x v="39"/>
    <x v="10"/>
    <s v="Percent"/>
    <s v="Units"/>
    <x v="3"/>
    <n v="0.58599999999999997"/>
  </r>
  <r>
    <n v="200"/>
    <x v="3"/>
    <x v="39"/>
    <x v="10"/>
    <s v="Percent"/>
    <s v="Units"/>
    <x v="4"/>
    <n v="0.57199999999999995"/>
  </r>
  <r>
    <n v="200"/>
    <x v="3"/>
    <x v="39"/>
    <x v="10"/>
    <s v="Percent"/>
    <s v="Units"/>
    <x v="5"/>
    <n v="0.56100000000000005"/>
  </r>
  <r>
    <n v="200"/>
    <x v="3"/>
    <x v="39"/>
    <x v="10"/>
    <s v="Percent"/>
    <s v="Units"/>
    <x v="6"/>
    <n v="0.55700000000000005"/>
  </r>
  <r>
    <n v="200"/>
    <x v="3"/>
    <x v="40"/>
    <x v="10"/>
    <s v="Percent"/>
    <s v="Units"/>
    <x v="0"/>
    <n v="0.61599999999999999"/>
  </r>
  <r>
    <n v="200"/>
    <x v="3"/>
    <x v="40"/>
    <x v="10"/>
    <s v="Percent"/>
    <s v="Units"/>
    <x v="1"/>
    <n v="0.59699999999999998"/>
  </r>
  <r>
    <n v="200"/>
    <x v="3"/>
    <x v="40"/>
    <x v="10"/>
    <s v="Percent"/>
    <s v="Units"/>
    <x v="2"/>
    <n v="0.58699999999999997"/>
  </r>
  <r>
    <n v="200"/>
    <x v="3"/>
    <x v="40"/>
    <x v="10"/>
    <s v="Percent"/>
    <s v="Units"/>
    <x v="3"/>
    <n v="0.57899999999999996"/>
  </r>
  <r>
    <n v="200"/>
    <x v="3"/>
    <x v="40"/>
    <x v="10"/>
    <s v="Percent"/>
    <s v="Units"/>
    <x v="4"/>
    <n v="0.56499999999999995"/>
  </r>
  <r>
    <n v="200"/>
    <x v="3"/>
    <x v="40"/>
    <x v="10"/>
    <s v="Percent"/>
    <s v="Units"/>
    <x v="5"/>
    <n v="0.55300000000000005"/>
  </r>
  <r>
    <n v="200"/>
    <x v="3"/>
    <x v="40"/>
    <x v="10"/>
    <s v="Percent"/>
    <s v="Units"/>
    <x v="6"/>
    <n v="0.54200000000000004"/>
  </r>
  <r>
    <n v="603"/>
    <x v="12"/>
    <x v="40"/>
    <x v="10"/>
    <s v="Percent"/>
    <s v="Units"/>
    <x v="0"/>
    <n v="0.61599999999999999"/>
  </r>
  <r>
    <n v="603"/>
    <x v="12"/>
    <x v="40"/>
    <x v="10"/>
    <s v="Percent"/>
    <s v="Units"/>
    <x v="1"/>
    <n v="0.59699999999999998"/>
  </r>
  <r>
    <n v="603"/>
    <x v="12"/>
    <x v="40"/>
    <x v="10"/>
    <s v="Percent"/>
    <s v="Units"/>
    <x v="2"/>
    <n v="0.58699999999999997"/>
  </r>
  <r>
    <n v="603"/>
    <x v="12"/>
    <x v="40"/>
    <x v="10"/>
    <s v="Percent"/>
    <s v="Units"/>
    <x v="3"/>
    <n v="0.57899999999999996"/>
  </r>
  <r>
    <n v="603"/>
    <x v="12"/>
    <x v="40"/>
    <x v="10"/>
    <s v="Percent"/>
    <s v="Units"/>
    <x v="4"/>
    <n v="0.56499999999999995"/>
  </r>
  <r>
    <n v="603"/>
    <x v="12"/>
    <x v="40"/>
    <x v="10"/>
    <s v="Percent"/>
    <s v="Units"/>
    <x v="5"/>
    <n v="0.55300000000000005"/>
  </r>
  <r>
    <n v="603"/>
    <x v="12"/>
    <x v="40"/>
    <x v="10"/>
    <s v="Percent"/>
    <s v="Units"/>
    <x v="6"/>
    <n v="0.54200000000000004"/>
  </r>
  <r>
    <n v="1"/>
    <x v="2"/>
    <x v="171"/>
    <x v="6"/>
    <s v="Percent change"/>
    <s v="Units"/>
    <x v="0"/>
    <n v="-11.239000000000001"/>
  </r>
  <r>
    <n v="1"/>
    <x v="2"/>
    <x v="171"/>
    <x v="6"/>
    <s v="Percent change"/>
    <s v="Units"/>
    <x v="1"/>
    <n v="-10.829000000000001"/>
  </r>
  <r>
    <n v="1"/>
    <x v="2"/>
    <x v="171"/>
    <x v="6"/>
    <s v="Percent change"/>
    <s v="Units"/>
    <x v="2"/>
    <n v="12.54"/>
  </r>
  <r>
    <n v="1"/>
    <x v="2"/>
    <x v="171"/>
    <x v="6"/>
    <s v="Percent change"/>
    <s v="Units"/>
    <x v="3"/>
    <n v="-52.6"/>
  </r>
  <r>
    <n v="1"/>
    <x v="2"/>
    <x v="171"/>
    <x v="6"/>
    <s v="Percent change"/>
    <s v="Units"/>
    <x v="4"/>
    <n v="-21.507000000000001"/>
  </r>
  <r>
    <n v="1"/>
    <x v="2"/>
    <x v="171"/>
    <x v="6"/>
    <s v="Percent change"/>
    <s v="Units"/>
    <x v="5"/>
    <n v="0.53400000000000003"/>
  </r>
  <r>
    <n v="1"/>
    <x v="2"/>
    <x v="171"/>
    <x v="6"/>
    <s v="Percent change"/>
    <s v="Units"/>
    <x v="6"/>
    <n v="8.6219999999999999"/>
  </r>
  <r>
    <n v="200"/>
    <x v="3"/>
    <x v="171"/>
    <x v="6"/>
    <s v="Percent change"/>
    <s v="Units"/>
    <x v="0"/>
    <n v="-11.239000000000001"/>
  </r>
  <r>
    <n v="200"/>
    <x v="3"/>
    <x v="171"/>
    <x v="6"/>
    <s v="Percent change"/>
    <s v="Units"/>
    <x v="1"/>
    <n v="-10.829000000000001"/>
  </r>
  <r>
    <n v="200"/>
    <x v="3"/>
    <x v="171"/>
    <x v="6"/>
    <s v="Percent change"/>
    <s v="Units"/>
    <x v="2"/>
    <n v="12.54"/>
  </r>
  <r>
    <n v="200"/>
    <x v="3"/>
    <x v="171"/>
    <x v="6"/>
    <s v="Percent change"/>
    <s v="Units"/>
    <x v="3"/>
    <n v="-52.6"/>
  </r>
  <r>
    <n v="200"/>
    <x v="3"/>
    <x v="171"/>
    <x v="6"/>
    <s v="Percent change"/>
    <s v="Units"/>
    <x v="4"/>
    <n v="-21.507000000000001"/>
  </r>
  <r>
    <n v="200"/>
    <x v="3"/>
    <x v="171"/>
    <x v="6"/>
    <s v="Percent change"/>
    <s v="Units"/>
    <x v="5"/>
    <n v="0.53400000000000003"/>
  </r>
  <r>
    <n v="200"/>
    <x v="3"/>
    <x v="171"/>
    <x v="6"/>
    <s v="Percent change"/>
    <s v="Units"/>
    <x v="6"/>
    <n v="8.6219999999999999"/>
  </r>
  <r>
    <n v="603"/>
    <x v="12"/>
    <x v="171"/>
    <x v="6"/>
    <s v="Percent change"/>
    <s v="Units"/>
    <x v="0"/>
    <n v="-11.239000000000001"/>
  </r>
  <r>
    <n v="603"/>
    <x v="12"/>
    <x v="171"/>
    <x v="6"/>
    <s v="Percent change"/>
    <s v="Units"/>
    <x v="1"/>
    <n v="-10.829000000000001"/>
  </r>
  <r>
    <n v="603"/>
    <x v="12"/>
    <x v="171"/>
    <x v="6"/>
    <s v="Percent change"/>
    <s v="Units"/>
    <x v="2"/>
    <n v="12.54"/>
  </r>
  <r>
    <n v="603"/>
    <x v="12"/>
    <x v="171"/>
    <x v="6"/>
    <s v="Percent change"/>
    <s v="Units"/>
    <x v="3"/>
    <n v="-52.6"/>
  </r>
  <r>
    <n v="603"/>
    <x v="12"/>
    <x v="171"/>
    <x v="6"/>
    <s v="Percent change"/>
    <s v="Units"/>
    <x v="4"/>
    <n v="-21.507000000000001"/>
  </r>
  <r>
    <n v="603"/>
    <x v="12"/>
    <x v="171"/>
    <x v="6"/>
    <s v="Percent change"/>
    <s v="Units"/>
    <x v="5"/>
    <n v="0.53400000000000003"/>
  </r>
  <r>
    <n v="603"/>
    <x v="12"/>
    <x v="171"/>
    <x v="6"/>
    <s v="Percent change"/>
    <s v="Units"/>
    <x v="6"/>
    <n v="8.6219999999999999"/>
  </r>
  <r>
    <n v="400"/>
    <x v="11"/>
    <x v="99"/>
    <x v="4"/>
    <s v="Percent change"/>
    <s v="Units"/>
    <x v="0"/>
    <n v="-5.056"/>
  </r>
  <r>
    <n v="400"/>
    <x v="11"/>
    <x v="99"/>
    <x v="4"/>
    <s v="Percent change"/>
    <s v="Units"/>
    <x v="1"/>
    <n v="-10.958"/>
  </r>
  <r>
    <n v="400"/>
    <x v="11"/>
    <x v="99"/>
    <x v="4"/>
    <s v="Percent change"/>
    <s v="Units"/>
    <x v="2"/>
    <n v="12.38"/>
  </r>
  <r>
    <n v="400"/>
    <x v="11"/>
    <x v="99"/>
    <x v="4"/>
    <s v="Percent change"/>
    <s v="Units"/>
    <x v="3"/>
    <n v="13.896000000000001"/>
  </r>
  <r>
    <n v="400"/>
    <x v="11"/>
    <x v="99"/>
    <x v="4"/>
    <s v="Percent change"/>
    <s v="Units"/>
    <x v="4"/>
    <n v="9.23"/>
  </r>
  <r>
    <n v="400"/>
    <x v="11"/>
    <x v="99"/>
    <x v="4"/>
    <s v="Percent change"/>
    <s v="Units"/>
    <x v="5"/>
    <n v="0.52300000000000002"/>
  </r>
  <r>
    <n v="400"/>
    <x v="11"/>
    <x v="99"/>
    <x v="4"/>
    <s v="Percent change"/>
    <s v="Units"/>
    <x v="6"/>
    <n v="1.417"/>
  </r>
  <r>
    <n v="200"/>
    <x v="3"/>
    <x v="99"/>
    <x v="4"/>
    <s v="Percent change"/>
    <s v="Units"/>
    <x v="0"/>
    <n v="-5.056"/>
  </r>
  <r>
    <n v="200"/>
    <x v="3"/>
    <x v="99"/>
    <x v="4"/>
    <s v="Percent change"/>
    <s v="Units"/>
    <x v="1"/>
    <n v="-10.958"/>
  </r>
  <r>
    <n v="200"/>
    <x v="3"/>
    <x v="99"/>
    <x v="4"/>
    <s v="Percent change"/>
    <s v="Units"/>
    <x v="2"/>
    <n v="12.38"/>
  </r>
  <r>
    <n v="200"/>
    <x v="3"/>
    <x v="99"/>
    <x v="4"/>
    <s v="Percent change"/>
    <s v="Units"/>
    <x v="3"/>
    <n v="13.896000000000001"/>
  </r>
  <r>
    <n v="200"/>
    <x v="3"/>
    <x v="99"/>
    <x v="4"/>
    <s v="Percent change"/>
    <s v="Units"/>
    <x v="4"/>
    <n v="9.23"/>
  </r>
  <r>
    <n v="200"/>
    <x v="3"/>
    <x v="99"/>
    <x v="4"/>
    <s v="Percent change"/>
    <s v="Units"/>
    <x v="5"/>
    <n v="0.52300000000000002"/>
  </r>
  <r>
    <n v="200"/>
    <x v="3"/>
    <x v="99"/>
    <x v="4"/>
    <s v="Percent change"/>
    <s v="Units"/>
    <x v="6"/>
    <n v="1.417"/>
  </r>
  <r>
    <n v="1"/>
    <x v="2"/>
    <x v="99"/>
    <x v="4"/>
    <s v="Percent change"/>
    <s v="Units"/>
    <x v="0"/>
    <n v="-5.056"/>
  </r>
  <r>
    <n v="1"/>
    <x v="2"/>
    <x v="99"/>
    <x v="4"/>
    <s v="Percent change"/>
    <s v="Units"/>
    <x v="1"/>
    <n v="-10.958"/>
  </r>
  <r>
    <n v="1"/>
    <x v="2"/>
    <x v="99"/>
    <x v="4"/>
    <s v="Percent change"/>
    <s v="Units"/>
    <x v="2"/>
    <n v="12.38"/>
  </r>
  <r>
    <n v="1"/>
    <x v="2"/>
    <x v="99"/>
    <x v="4"/>
    <s v="Percent change"/>
    <s v="Units"/>
    <x v="3"/>
    <n v="13.896000000000001"/>
  </r>
  <r>
    <n v="1"/>
    <x v="2"/>
    <x v="99"/>
    <x v="4"/>
    <s v="Percent change"/>
    <s v="Units"/>
    <x v="4"/>
    <n v="9.23"/>
  </r>
  <r>
    <n v="1"/>
    <x v="2"/>
    <x v="99"/>
    <x v="4"/>
    <s v="Percent change"/>
    <s v="Units"/>
    <x v="5"/>
    <n v="0.52300000000000002"/>
  </r>
  <r>
    <n v="1"/>
    <x v="2"/>
    <x v="99"/>
    <x v="4"/>
    <s v="Percent change"/>
    <s v="Units"/>
    <x v="6"/>
    <n v="1.417"/>
  </r>
  <r>
    <n v="200"/>
    <x v="3"/>
    <x v="29"/>
    <x v="10"/>
    <s v="Percent"/>
    <s v="Units"/>
    <x v="0"/>
    <n v="0.50600000000000001"/>
  </r>
  <r>
    <n v="200"/>
    <x v="3"/>
    <x v="29"/>
    <x v="10"/>
    <s v="Percent"/>
    <s v="Units"/>
    <x v="1"/>
    <n v="0.496"/>
  </r>
  <r>
    <n v="200"/>
    <x v="3"/>
    <x v="29"/>
    <x v="10"/>
    <s v="Percent"/>
    <s v="Units"/>
    <x v="2"/>
    <n v="0.48599999999999999"/>
  </r>
  <r>
    <n v="200"/>
    <x v="3"/>
    <x v="29"/>
    <x v="10"/>
    <s v="Percent"/>
    <s v="Units"/>
    <x v="3"/>
    <n v="0.50700000000000001"/>
  </r>
  <r>
    <n v="200"/>
    <x v="3"/>
    <x v="29"/>
    <x v="10"/>
    <s v="Percent"/>
    <s v="Units"/>
    <x v="4"/>
    <n v="0.50900000000000001"/>
  </r>
  <r>
    <n v="200"/>
    <x v="3"/>
    <x v="29"/>
    <x v="10"/>
    <s v="Percent"/>
    <s v="Units"/>
    <x v="5"/>
    <n v="0.51100000000000001"/>
  </r>
  <r>
    <n v="200"/>
    <x v="3"/>
    <x v="29"/>
    <x v="10"/>
    <s v="Percent"/>
    <s v="Units"/>
    <x v="6"/>
    <n v="0.51500000000000001"/>
  </r>
  <r>
    <n v="400"/>
    <x v="11"/>
    <x v="29"/>
    <x v="10"/>
    <s v="Percent"/>
    <s v="Units"/>
    <x v="0"/>
    <n v="0.50600000000000001"/>
  </r>
  <r>
    <n v="400"/>
    <x v="11"/>
    <x v="29"/>
    <x v="10"/>
    <s v="Percent"/>
    <s v="Units"/>
    <x v="1"/>
    <n v="0.496"/>
  </r>
  <r>
    <n v="400"/>
    <x v="11"/>
    <x v="29"/>
    <x v="10"/>
    <s v="Percent"/>
    <s v="Units"/>
    <x v="2"/>
    <n v="0.48599999999999999"/>
  </r>
  <r>
    <n v="400"/>
    <x v="11"/>
    <x v="29"/>
    <x v="10"/>
    <s v="Percent"/>
    <s v="Units"/>
    <x v="3"/>
    <n v="0.50700000000000001"/>
  </r>
  <r>
    <n v="400"/>
    <x v="11"/>
    <x v="29"/>
    <x v="10"/>
    <s v="Percent"/>
    <s v="Units"/>
    <x v="4"/>
    <n v="0.50900000000000001"/>
  </r>
  <r>
    <n v="400"/>
    <x v="11"/>
    <x v="29"/>
    <x v="10"/>
    <s v="Percent"/>
    <s v="Units"/>
    <x v="5"/>
    <n v="0.51100000000000001"/>
  </r>
  <r>
    <n v="400"/>
    <x v="11"/>
    <x v="29"/>
    <x v="10"/>
    <s v="Percent"/>
    <s v="Units"/>
    <x v="6"/>
    <n v="0.51500000000000001"/>
  </r>
  <r>
    <n v="123"/>
    <x v="9"/>
    <x v="18"/>
    <x v="9"/>
    <s v="Percent of GDP"/>
    <s v="Units"/>
    <x v="0"/>
    <n v="1.341"/>
  </r>
  <r>
    <n v="123"/>
    <x v="9"/>
    <x v="18"/>
    <x v="9"/>
    <s v="Percent of GDP"/>
    <s v="Units"/>
    <x v="1"/>
    <n v="-3.0150000000000001"/>
  </r>
  <r>
    <n v="123"/>
    <x v="9"/>
    <x v="18"/>
    <x v="9"/>
    <s v="Percent of GDP"/>
    <s v="Units"/>
    <x v="2"/>
    <n v="-0.28999999999999998"/>
  </r>
  <r>
    <n v="123"/>
    <x v="9"/>
    <x v="18"/>
    <x v="9"/>
    <s v="Percent of GDP"/>
    <s v="Units"/>
    <x v="3"/>
    <n v="1.206"/>
  </r>
  <r>
    <n v="123"/>
    <x v="9"/>
    <x v="18"/>
    <x v="9"/>
    <s v="Percent of GDP"/>
    <s v="Units"/>
    <x v="4"/>
    <n v="0.53300000000000003"/>
  </r>
  <r>
    <n v="123"/>
    <x v="9"/>
    <x v="18"/>
    <x v="9"/>
    <s v="Percent of GDP"/>
    <s v="Units"/>
    <x v="5"/>
    <n v="0.504"/>
  </r>
  <r>
    <n v="123"/>
    <x v="9"/>
    <x v="18"/>
    <x v="9"/>
    <s v="Percent of GDP"/>
    <s v="Units"/>
    <x v="6"/>
    <n v="0.22900000000000001"/>
  </r>
  <r>
    <n v="110"/>
    <x v="0"/>
    <x v="18"/>
    <x v="9"/>
    <s v="Percent of GDP"/>
    <s v="Units"/>
    <x v="0"/>
    <n v="1.341"/>
  </r>
  <r>
    <n v="110"/>
    <x v="0"/>
    <x v="18"/>
    <x v="9"/>
    <s v="Percent of GDP"/>
    <s v="Units"/>
    <x v="1"/>
    <n v="-3.0150000000000001"/>
  </r>
  <r>
    <n v="110"/>
    <x v="0"/>
    <x v="18"/>
    <x v="9"/>
    <s v="Percent of GDP"/>
    <s v="Units"/>
    <x v="2"/>
    <n v="-0.28999999999999998"/>
  </r>
  <r>
    <n v="110"/>
    <x v="0"/>
    <x v="18"/>
    <x v="9"/>
    <s v="Percent of GDP"/>
    <s v="Units"/>
    <x v="3"/>
    <n v="1.206"/>
  </r>
  <r>
    <n v="110"/>
    <x v="0"/>
    <x v="18"/>
    <x v="9"/>
    <s v="Percent of GDP"/>
    <s v="Units"/>
    <x v="4"/>
    <n v="0.53300000000000003"/>
  </r>
  <r>
    <n v="110"/>
    <x v="0"/>
    <x v="18"/>
    <x v="9"/>
    <s v="Percent of GDP"/>
    <s v="Units"/>
    <x v="5"/>
    <n v="0.504"/>
  </r>
  <r>
    <n v="110"/>
    <x v="0"/>
    <x v="18"/>
    <x v="9"/>
    <s v="Percent of GDP"/>
    <s v="Units"/>
    <x v="6"/>
    <n v="0.22900000000000001"/>
  </r>
  <r>
    <n v="163"/>
    <x v="5"/>
    <x v="46"/>
    <x v="13"/>
    <s v="Percent of potential GDP"/>
    <s v="Units"/>
    <x v="0"/>
    <n v="1.397"/>
  </r>
  <r>
    <n v="163"/>
    <x v="5"/>
    <x v="46"/>
    <x v="13"/>
    <s v="Percent of potential GDP"/>
    <s v="Units"/>
    <x v="1"/>
    <n v="-4.7569999999999997"/>
  </r>
  <r>
    <n v="163"/>
    <x v="5"/>
    <x v="46"/>
    <x v="13"/>
    <s v="Percent of potential GDP"/>
    <s v="Units"/>
    <x v="2"/>
    <n v="-2.2709999999999999"/>
  </r>
  <r>
    <n v="163"/>
    <x v="5"/>
    <x v="46"/>
    <x v="13"/>
    <s v="Percent of potential GDP"/>
    <s v="Units"/>
    <x v="3"/>
    <n v="1.7909999999999999"/>
  </r>
  <r>
    <n v="163"/>
    <x v="5"/>
    <x v="46"/>
    <x v="13"/>
    <s v="Percent of potential GDP"/>
    <s v="Units"/>
    <x v="4"/>
    <n v="1.5149999999999999"/>
  </r>
  <r>
    <n v="163"/>
    <x v="5"/>
    <x v="46"/>
    <x v="13"/>
    <s v="Percent of potential GDP"/>
    <s v="Units"/>
    <x v="5"/>
    <n v="0.501"/>
  </r>
  <r>
    <n v="163"/>
    <x v="5"/>
    <x v="46"/>
    <x v="13"/>
    <s v="Percent of potential GDP"/>
    <s v="Units"/>
    <x v="6"/>
    <n v="0.311"/>
  </r>
  <r>
    <n v="110"/>
    <x v="0"/>
    <x v="46"/>
    <x v="13"/>
    <s v="Percent of potential GDP"/>
    <s v="Units"/>
    <x v="0"/>
    <n v="1.397"/>
  </r>
  <r>
    <n v="110"/>
    <x v="0"/>
    <x v="46"/>
    <x v="13"/>
    <s v="Percent of potential GDP"/>
    <s v="Units"/>
    <x v="1"/>
    <n v="-4.7569999999999997"/>
  </r>
  <r>
    <n v="110"/>
    <x v="0"/>
    <x v="46"/>
    <x v="13"/>
    <s v="Percent of potential GDP"/>
    <s v="Units"/>
    <x v="2"/>
    <n v="-2.2709999999999999"/>
  </r>
  <r>
    <n v="110"/>
    <x v="0"/>
    <x v="46"/>
    <x v="13"/>
    <s v="Percent of potential GDP"/>
    <s v="Units"/>
    <x v="3"/>
    <n v="1.7909999999999999"/>
  </r>
  <r>
    <n v="110"/>
    <x v="0"/>
    <x v="46"/>
    <x v="13"/>
    <s v="Percent of potential GDP"/>
    <s v="Units"/>
    <x v="4"/>
    <n v="1.5149999999999999"/>
  </r>
  <r>
    <n v="110"/>
    <x v="0"/>
    <x v="46"/>
    <x v="13"/>
    <s v="Percent of potential GDP"/>
    <s v="Units"/>
    <x v="5"/>
    <n v="0.501"/>
  </r>
  <r>
    <n v="110"/>
    <x v="0"/>
    <x v="46"/>
    <x v="13"/>
    <s v="Percent of potential GDP"/>
    <s v="Units"/>
    <x v="6"/>
    <n v="0.311"/>
  </r>
  <r>
    <n v="505"/>
    <x v="4"/>
    <x v="96"/>
    <x v="0"/>
    <s v="U.S. dollars"/>
    <s v="Billions"/>
    <x v="0"/>
    <n v="0.39400000000000002"/>
  </r>
  <r>
    <n v="505"/>
    <x v="4"/>
    <x v="96"/>
    <x v="0"/>
    <s v="U.S. dollars"/>
    <s v="Billions"/>
    <x v="1"/>
    <n v="0.372"/>
  </r>
  <r>
    <n v="505"/>
    <x v="4"/>
    <x v="96"/>
    <x v="0"/>
    <s v="U.S. dollars"/>
    <s v="Billions"/>
    <x v="2"/>
    <n v="0.39"/>
  </r>
  <r>
    <n v="505"/>
    <x v="4"/>
    <x v="96"/>
    <x v="0"/>
    <s v="U.S. dollars"/>
    <s v="Billions"/>
    <x v="3"/>
    <n v="0.43"/>
  </r>
  <r>
    <n v="505"/>
    <x v="4"/>
    <x v="96"/>
    <x v="0"/>
    <s v="U.S. dollars"/>
    <s v="Billions"/>
    <x v="4"/>
    <n v="0.46"/>
  </r>
  <r>
    <n v="505"/>
    <x v="4"/>
    <x v="96"/>
    <x v="0"/>
    <s v="U.S. dollars"/>
    <s v="Billions"/>
    <x v="5"/>
    <n v="0.48399999999999999"/>
  </r>
  <r>
    <n v="505"/>
    <x v="4"/>
    <x v="96"/>
    <x v="0"/>
    <s v="U.S. dollars"/>
    <s v="Billions"/>
    <x v="6"/>
    <n v="0.50700000000000001"/>
  </r>
  <r>
    <n v="200"/>
    <x v="3"/>
    <x v="96"/>
    <x v="0"/>
    <s v="U.S. dollars"/>
    <s v="Billions"/>
    <x v="0"/>
    <n v="0.39400000000000002"/>
  </r>
  <r>
    <n v="200"/>
    <x v="3"/>
    <x v="96"/>
    <x v="0"/>
    <s v="U.S. dollars"/>
    <s v="Billions"/>
    <x v="1"/>
    <n v="0.372"/>
  </r>
  <r>
    <n v="200"/>
    <x v="3"/>
    <x v="96"/>
    <x v="0"/>
    <s v="U.S. dollars"/>
    <s v="Billions"/>
    <x v="2"/>
    <n v="0.39"/>
  </r>
  <r>
    <n v="200"/>
    <x v="3"/>
    <x v="96"/>
    <x v="0"/>
    <s v="U.S. dollars"/>
    <s v="Billions"/>
    <x v="3"/>
    <n v="0.43"/>
  </r>
  <r>
    <n v="200"/>
    <x v="3"/>
    <x v="96"/>
    <x v="0"/>
    <s v="U.S. dollars"/>
    <s v="Billions"/>
    <x v="4"/>
    <n v="0.46"/>
  </r>
  <r>
    <n v="200"/>
    <x v="3"/>
    <x v="96"/>
    <x v="0"/>
    <s v="U.S. dollars"/>
    <s v="Billions"/>
    <x v="5"/>
    <n v="0.48399999999999999"/>
  </r>
  <r>
    <n v="200"/>
    <x v="3"/>
    <x v="96"/>
    <x v="0"/>
    <s v="U.S. dollars"/>
    <s v="Billions"/>
    <x v="6"/>
    <n v="0.50700000000000001"/>
  </r>
  <r>
    <n v="1"/>
    <x v="2"/>
    <x v="96"/>
    <x v="0"/>
    <s v="U.S. dollars"/>
    <s v="Billions"/>
    <x v="0"/>
    <n v="0.39400000000000002"/>
  </r>
  <r>
    <n v="1"/>
    <x v="2"/>
    <x v="96"/>
    <x v="0"/>
    <s v="U.S. dollars"/>
    <s v="Billions"/>
    <x v="1"/>
    <n v="0.372"/>
  </r>
  <r>
    <n v="1"/>
    <x v="2"/>
    <x v="96"/>
    <x v="0"/>
    <s v="U.S. dollars"/>
    <s v="Billions"/>
    <x v="2"/>
    <n v="0.39"/>
  </r>
  <r>
    <n v="1"/>
    <x v="2"/>
    <x v="96"/>
    <x v="0"/>
    <s v="U.S. dollars"/>
    <s v="Billions"/>
    <x v="3"/>
    <n v="0.43"/>
  </r>
  <r>
    <n v="1"/>
    <x v="2"/>
    <x v="96"/>
    <x v="0"/>
    <s v="U.S. dollars"/>
    <s v="Billions"/>
    <x v="4"/>
    <n v="0.46"/>
  </r>
  <r>
    <n v="1"/>
    <x v="2"/>
    <x v="96"/>
    <x v="0"/>
    <s v="U.S. dollars"/>
    <s v="Billions"/>
    <x v="5"/>
    <n v="0.48399999999999999"/>
  </r>
  <r>
    <n v="1"/>
    <x v="2"/>
    <x v="96"/>
    <x v="0"/>
    <s v="U.S. dollars"/>
    <s v="Billions"/>
    <x v="6"/>
    <n v="0.50700000000000001"/>
  </r>
  <r>
    <n v="1"/>
    <x v="2"/>
    <x v="171"/>
    <x v="8"/>
    <s v="Percent change"/>
    <s v="Units"/>
    <x v="0"/>
    <n v="-5.4820000000000002"/>
  </r>
  <r>
    <n v="1"/>
    <x v="2"/>
    <x v="171"/>
    <x v="8"/>
    <s v="Percent change"/>
    <s v="Units"/>
    <x v="1"/>
    <n v="-4.7880000000000003"/>
  </r>
  <r>
    <n v="1"/>
    <x v="2"/>
    <x v="171"/>
    <x v="8"/>
    <s v="Percent change"/>
    <s v="Units"/>
    <x v="2"/>
    <n v="-0.377"/>
  </r>
  <r>
    <n v="1"/>
    <x v="2"/>
    <x v="171"/>
    <x v="8"/>
    <s v="Percent change"/>
    <s v="Units"/>
    <x v="3"/>
    <n v="3.246"/>
  </r>
  <r>
    <n v="1"/>
    <x v="2"/>
    <x v="171"/>
    <x v="8"/>
    <s v="Percent change"/>
    <s v="Units"/>
    <x v="4"/>
    <n v="-5.9470000000000001"/>
  </r>
  <r>
    <n v="1"/>
    <x v="2"/>
    <x v="171"/>
    <x v="8"/>
    <s v="Percent change"/>
    <s v="Units"/>
    <x v="5"/>
    <n v="0.46700000000000003"/>
  </r>
  <r>
    <n v="1"/>
    <x v="2"/>
    <x v="171"/>
    <x v="8"/>
    <s v="Percent change"/>
    <s v="Units"/>
    <x v="6"/>
    <n v="-4.5830000000000002"/>
  </r>
  <r>
    <n v="603"/>
    <x v="12"/>
    <x v="171"/>
    <x v="8"/>
    <s v="Percent change"/>
    <s v="Units"/>
    <x v="0"/>
    <n v="-5.4820000000000002"/>
  </r>
  <r>
    <n v="603"/>
    <x v="12"/>
    <x v="171"/>
    <x v="8"/>
    <s v="Percent change"/>
    <s v="Units"/>
    <x v="1"/>
    <n v="-4.7880000000000003"/>
  </r>
  <r>
    <n v="603"/>
    <x v="12"/>
    <x v="171"/>
    <x v="8"/>
    <s v="Percent change"/>
    <s v="Units"/>
    <x v="2"/>
    <n v="-0.377"/>
  </r>
  <r>
    <n v="603"/>
    <x v="12"/>
    <x v="171"/>
    <x v="8"/>
    <s v="Percent change"/>
    <s v="Units"/>
    <x v="3"/>
    <n v="3.246"/>
  </r>
  <r>
    <n v="603"/>
    <x v="12"/>
    <x v="171"/>
    <x v="8"/>
    <s v="Percent change"/>
    <s v="Units"/>
    <x v="4"/>
    <n v="-5.9470000000000001"/>
  </r>
  <r>
    <n v="603"/>
    <x v="12"/>
    <x v="171"/>
    <x v="8"/>
    <s v="Percent change"/>
    <s v="Units"/>
    <x v="5"/>
    <n v="0.46700000000000003"/>
  </r>
  <r>
    <n v="603"/>
    <x v="12"/>
    <x v="171"/>
    <x v="8"/>
    <s v="Percent change"/>
    <s v="Units"/>
    <x v="6"/>
    <n v="-4.5830000000000002"/>
  </r>
  <r>
    <n v="200"/>
    <x v="3"/>
    <x v="171"/>
    <x v="8"/>
    <s v="Percent change"/>
    <s v="Units"/>
    <x v="0"/>
    <n v="-5.4820000000000002"/>
  </r>
  <r>
    <n v="200"/>
    <x v="3"/>
    <x v="171"/>
    <x v="8"/>
    <s v="Percent change"/>
    <s v="Units"/>
    <x v="1"/>
    <n v="-4.7880000000000003"/>
  </r>
  <r>
    <n v="200"/>
    <x v="3"/>
    <x v="171"/>
    <x v="8"/>
    <s v="Percent change"/>
    <s v="Units"/>
    <x v="2"/>
    <n v="-0.377"/>
  </r>
  <r>
    <n v="200"/>
    <x v="3"/>
    <x v="171"/>
    <x v="8"/>
    <s v="Percent change"/>
    <s v="Units"/>
    <x v="3"/>
    <n v="3.246"/>
  </r>
  <r>
    <n v="200"/>
    <x v="3"/>
    <x v="171"/>
    <x v="8"/>
    <s v="Percent change"/>
    <s v="Units"/>
    <x v="4"/>
    <n v="-5.9470000000000001"/>
  </r>
  <r>
    <n v="200"/>
    <x v="3"/>
    <x v="171"/>
    <x v="8"/>
    <s v="Percent change"/>
    <s v="Units"/>
    <x v="5"/>
    <n v="0.46700000000000003"/>
  </r>
  <r>
    <n v="200"/>
    <x v="3"/>
    <x v="171"/>
    <x v="8"/>
    <s v="Percent change"/>
    <s v="Units"/>
    <x v="6"/>
    <n v="-4.5830000000000002"/>
  </r>
  <r>
    <n v="1"/>
    <x v="2"/>
    <x v="5"/>
    <x v="8"/>
    <s v="Percent change"/>
    <s v="Units"/>
    <x v="0"/>
    <n v="1.6419999999999999"/>
  </r>
  <r>
    <n v="1"/>
    <x v="2"/>
    <x v="5"/>
    <x v="8"/>
    <s v="Percent change"/>
    <s v="Units"/>
    <x v="1"/>
    <n v="-10.36"/>
  </r>
  <r>
    <n v="1"/>
    <x v="2"/>
    <x v="5"/>
    <x v="8"/>
    <s v="Percent change"/>
    <s v="Units"/>
    <x v="2"/>
    <n v="8.6750000000000007"/>
  </r>
  <r>
    <n v="1"/>
    <x v="2"/>
    <x v="5"/>
    <x v="8"/>
    <s v="Percent change"/>
    <s v="Units"/>
    <x v="3"/>
    <n v="4.3449999999999998"/>
  </r>
  <r>
    <n v="1"/>
    <x v="2"/>
    <x v="5"/>
    <x v="8"/>
    <s v="Percent change"/>
    <s v="Units"/>
    <x v="4"/>
    <n v="0.14499999999999999"/>
  </r>
  <r>
    <n v="1"/>
    <x v="2"/>
    <x v="5"/>
    <x v="8"/>
    <s v="Percent change"/>
    <s v="Units"/>
    <x v="5"/>
    <n v="0.46"/>
  </r>
  <r>
    <n v="1"/>
    <x v="2"/>
    <x v="5"/>
    <x v="8"/>
    <s v="Percent change"/>
    <s v="Units"/>
    <x v="6"/>
    <n v="1.54"/>
  </r>
  <r>
    <n v="110"/>
    <x v="0"/>
    <x v="5"/>
    <x v="8"/>
    <s v="Percent change"/>
    <s v="Units"/>
    <x v="0"/>
    <n v="1.6419999999999999"/>
  </r>
  <r>
    <n v="110"/>
    <x v="0"/>
    <x v="5"/>
    <x v="8"/>
    <s v="Percent change"/>
    <s v="Units"/>
    <x v="1"/>
    <n v="-10.36"/>
  </r>
  <r>
    <n v="110"/>
    <x v="0"/>
    <x v="5"/>
    <x v="8"/>
    <s v="Percent change"/>
    <s v="Units"/>
    <x v="2"/>
    <n v="8.6750000000000007"/>
  </r>
  <r>
    <n v="110"/>
    <x v="0"/>
    <x v="5"/>
    <x v="8"/>
    <s v="Percent change"/>
    <s v="Units"/>
    <x v="3"/>
    <n v="4.3449999999999998"/>
  </r>
  <r>
    <n v="110"/>
    <x v="0"/>
    <x v="5"/>
    <x v="8"/>
    <s v="Percent change"/>
    <s v="Units"/>
    <x v="4"/>
    <n v="0.14499999999999999"/>
  </r>
  <r>
    <n v="110"/>
    <x v="0"/>
    <x v="5"/>
    <x v="8"/>
    <s v="Percent change"/>
    <s v="Units"/>
    <x v="5"/>
    <n v="0.46"/>
  </r>
  <r>
    <n v="110"/>
    <x v="0"/>
    <x v="5"/>
    <x v="8"/>
    <s v="Percent change"/>
    <s v="Units"/>
    <x v="6"/>
    <n v="1.54"/>
  </r>
  <r>
    <n v="119"/>
    <x v="1"/>
    <x v="5"/>
    <x v="8"/>
    <s v="Percent change"/>
    <s v="Units"/>
    <x v="0"/>
    <n v="1.6419999999999999"/>
  </r>
  <r>
    <n v="119"/>
    <x v="1"/>
    <x v="5"/>
    <x v="8"/>
    <s v="Percent change"/>
    <s v="Units"/>
    <x v="1"/>
    <n v="-10.36"/>
  </r>
  <r>
    <n v="119"/>
    <x v="1"/>
    <x v="5"/>
    <x v="8"/>
    <s v="Percent change"/>
    <s v="Units"/>
    <x v="2"/>
    <n v="8.6750000000000007"/>
  </r>
  <r>
    <n v="119"/>
    <x v="1"/>
    <x v="5"/>
    <x v="8"/>
    <s v="Percent change"/>
    <s v="Units"/>
    <x v="3"/>
    <n v="4.3449999999999998"/>
  </r>
  <r>
    <n v="119"/>
    <x v="1"/>
    <x v="5"/>
    <x v="8"/>
    <s v="Percent change"/>
    <s v="Units"/>
    <x v="4"/>
    <n v="0.14499999999999999"/>
  </r>
  <r>
    <n v="119"/>
    <x v="1"/>
    <x v="5"/>
    <x v="8"/>
    <s v="Percent change"/>
    <s v="Units"/>
    <x v="5"/>
    <n v="0.46"/>
  </r>
  <r>
    <n v="119"/>
    <x v="1"/>
    <x v="5"/>
    <x v="8"/>
    <s v="Percent change"/>
    <s v="Units"/>
    <x v="6"/>
    <n v="1.54"/>
  </r>
  <r>
    <n v="200"/>
    <x v="3"/>
    <x v="41"/>
    <x v="10"/>
    <s v="Percent"/>
    <s v="Units"/>
    <x v="0"/>
    <n v="0.44800000000000001"/>
  </r>
  <r>
    <n v="200"/>
    <x v="3"/>
    <x v="41"/>
    <x v="10"/>
    <s v="Percent"/>
    <s v="Units"/>
    <x v="1"/>
    <n v="0.44400000000000001"/>
  </r>
  <r>
    <n v="200"/>
    <x v="3"/>
    <x v="41"/>
    <x v="10"/>
    <s v="Percent"/>
    <s v="Units"/>
    <x v="2"/>
    <n v="0.441"/>
  </r>
  <r>
    <n v="200"/>
    <x v="3"/>
    <x v="41"/>
    <x v="10"/>
    <s v="Percent"/>
    <s v="Units"/>
    <x v="3"/>
    <n v="0.44600000000000001"/>
  </r>
  <r>
    <n v="200"/>
    <x v="3"/>
    <x v="41"/>
    <x v="10"/>
    <s v="Percent"/>
    <s v="Units"/>
    <x v="4"/>
    <n v="0.442"/>
  </r>
  <r>
    <n v="200"/>
    <x v="3"/>
    <x v="41"/>
    <x v="10"/>
    <s v="Percent"/>
    <s v="Units"/>
    <x v="5"/>
    <n v="0.441"/>
  </r>
  <r>
    <n v="200"/>
    <x v="3"/>
    <x v="41"/>
    <x v="10"/>
    <s v="Percent"/>
    <s v="Units"/>
    <x v="6"/>
    <n v="0.442"/>
  </r>
  <r>
    <n v="998"/>
    <x v="6"/>
    <x v="41"/>
    <x v="10"/>
    <s v="Percent"/>
    <s v="Units"/>
    <x v="0"/>
    <n v="0.44800000000000001"/>
  </r>
  <r>
    <n v="998"/>
    <x v="6"/>
    <x v="41"/>
    <x v="10"/>
    <s v="Percent"/>
    <s v="Units"/>
    <x v="1"/>
    <n v="0.44400000000000001"/>
  </r>
  <r>
    <n v="998"/>
    <x v="6"/>
    <x v="41"/>
    <x v="10"/>
    <s v="Percent"/>
    <s v="Units"/>
    <x v="2"/>
    <n v="0.441"/>
  </r>
  <r>
    <n v="998"/>
    <x v="6"/>
    <x v="41"/>
    <x v="10"/>
    <s v="Percent"/>
    <s v="Units"/>
    <x v="3"/>
    <n v="0.44600000000000001"/>
  </r>
  <r>
    <n v="998"/>
    <x v="6"/>
    <x v="41"/>
    <x v="10"/>
    <s v="Percent"/>
    <s v="Units"/>
    <x v="4"/>
    <n v="0.442"/>
  </r>
  <r>
    <n v="998"/>
    <x v="6"/>
    <x v="41"/>
    <x v="10"/>
    <s v="Percent"/>
    <s v="Units"/>
    <x v="5"/>
    <n v="0.441"/>
  </r>
  <r>
    <n v="998"/>
    <x v="6"/>
    <x v="41"/>
    <x v="10"/>
    <s v="Percent"/>
    <s v="Units"/>
    <x v="6"/>
    <n v="0.442"/>
  </r>
  <r>
    <n v="903"/>
    <x v="8"/>
    <x v="41"/>
    <x v="10"/>
    <s v="Percent"/>
    <s v="Units"/>
    <x v="0"/>
    <n v="0.44800000000000001"/>
  </r>
  <r>
    <n v="903"/>
    <x v="8"/>
    <x v="41"/>
    <x v="10"/>
    <s v="Percent"/>
    <s v="Units"/>
    <x v="1"/>
    <n v="0.44400000000000001"/>
  </r>
  <r>
    <n v="903"/>
    <x v="8"/>
    <x v="41"/>
    <x v="10"/>
    <s v="Percent"/>
    <s v="Units"/>
    <x v="2"/>
    <n v="0.441"/>
  </r>
  <r>
    <n v="903"/>
    <x v="8"/>
    <x v="41"/>
    <x v="10"/>
    <s v="Percent"/>
    <s v="Units"/>
    <x v="3"/>
    <n v="0.44600000000000001"/>
  </r>
  <r>
    <n v="903"/>
    <x v="8"/>
    <x v="41"/>
    <x v="10"/>
    <s v="Percent"/>
    <s v="Units"/>
    <x v="4"/>
    <n v="0.442"/>
  </r>
  <r>
    <n v="903"/>
    <x v="8"/>
    <x v="41"/>
    <x v="10"/>
    <s v="Percent"/>
    <s v="Units"/>
    <x v="5"/>
    <n v="0.441"/>
  </r>
  <r>
    <n v="903"/>
    <x v="8"/>
    <x v="41"/>
    <x v="10"/>
    <s v="Percent"/>
    <s v="Units"/>
    <x v="6"/>
    <n v="0.442"/>
  </r>
  <r>
    <n v="110"/>
    <x v="0"/>
    <x v="18"/>
    <x v="10"/>
    <s v="Percent"/>
    <s v="Units"/>
    <x v="0"/>
    <n v="0.46200000000000002"/>
  </r>
  <r>
    <n v="110"/>
    <x v="0"/>
    <x v="18"/>
    <x v="10"/>
    <s v="Percent"/>
    <s v="Units"/>
    <x v="1"/>
    <n v="0.46500000000000002"/>
  </r>
  <r>
    <n v="110"/>
    <x v="0"/>
    <x v="18"/>
    <x v="10"/>
    <s v="Percent"/>
    <s v="Units"/>
    <x v="2"/>
    <n v="0.46100000000000002"/>
  </r>
  <r>
    <n v="110"/>
    <x v="0"/>
    <x v="18"/>
    <x v="10"/>
    <s v="Percent"/>
    <s v="Units"/>
    <x v="3"/>
    <n v="0.45800000000000002"/>
  </r>
  <r>
    <n v="110"/>
    <x v="0"/>
    <x v="18"/>
    <x v="10"/>
    <s v="Percent"/>
    <s v="Units"/>
    <x v="4"/>
    <n v="0.44800000000000001"/>
  </r>
  <r>
    <n v="110"/>
    <x v="0"/>
    <x v="18"/>
    <x v="10"/>
    <s v="Percent"/>
    <s v="Units"/>
    <x v="5"/>
    <n v="0.44"/>
  </r>
  <r>
    <n v="110"/>
    <x v="0"/>
    <x v="18"/>
    <x v="10"/>
    <s v="Percent"/>
    <s v="Units"/>
    <x v="6"/>
    <n v="0.432"/>
  </r>
  <r>
    <n v="123"/>
    <x v="9"/>
    <x v="18"/>
    <x v="10"/>
    <s v="Percent"/>
    <s v="Units"/>
    <x v="0"/>
    <n v="0.46200000000000002"/>
  </r>
  <r>
    <n v="123"/>
    <x v="9"/>
    <x v="18"/>
    <x v="10"/>
    <s v="Percent"/>
    <s v="Units"/>
    <x v="1"/>
    <n v="0.46500000000000002"/>
  </r>
  <r>
    <n v="123"/>
    <x v="9"/>
    <x v="18"/>
    <x v="10"/>
    <s v="Percent"/>
    <s v="Units"/>
    <x v="2"/>
    <n v="0.46100000000000002"/>
  </r>
  <r>
    <n v="123"/>
    <x v="9"/>
    <x v="18"/>
    <x v="10"/>
    <s v="Percent"/>
    <s v="Units"/>
    <x v="3"/>
    <n v="0.45800000000000002"/>
  </r>
  <r>
    <n v="123"/>
    <x v="9"/>
    <x v="18"/>
    <x v="10"/>
    <s v="Percent"/>
    <s v="Units"/>
    <x v="4"/>
    <n v="0.44800000000000001"/>
  </r>
  <r>
    <n v="123"/>
    <x v="9"/>
    <x v="18"/>
    <x v="10"/>
    <s v="Percent"/>
    <s v="Units"/>
    <x v="5"/>
    <n v="0.44"/>
  </r>
  <r>
    <n v="123"/>
    <x v="9"/>
    <x v="18"/>
    <x v="10"/>
    <s v="Percent"/>
    <s v="Units"/>
    <x v="6"/>
    <n v="0.432"/>
  </r>
  <r>
    <n v="110"/>
    <x v="0"/>
    <x v="27"/>
    <x v="8"/>
    <s v="Percent change"/>
    <s v="Units"/>
    <x v="0"/>
    <n v="1.4510000000000001"/>
  </r>
  <r>
    <n v="110"/>
    <x v="0"/>
    <x v="27"/>
    <x v="8"/>
    <s v="Percent change"/>
    <s v="Units"/>
    <x v="1"/>
    <n v="-6.633"/>
  </r>
  <r>
    <n v="110"/>
    <x v="0"/>
    <x v="27"/>
    <x v="8"/>
    <s v="Percent change"/>
    <s v="Units"/>
    <x v="2"/>
    <n v="4.2380000000000004"/>
  </r>
  <r>
    <n v="110"/>
    <x v="0"/>
    <x v="27"/>
    <x v="8"/>
    <s v="Percent change"/>
    <s v="Units"/>
    <x v="3"/>
    <n v="4.806"/>
  </r>
  <r>
    <n v="110"/>
    <x v="0"/>
    <x v="27"/>
    <x v="8"/>
    <s v="Percent change"/>
    <s v="Units"/>
    <x v="4"/>
    <n v="-0.746"/>
  </r>
  <r>
    <n v="110"/>
    <x v="0"/>
    <x v="27"/>
    <x v="8"/>
    <s v="Percent change"/>
    <s v="Units"/>
    <x v="5"/>
    <n v="0.435"/>
  </r>
  <r>
    <n v="110"/>
    <x v="0"/>
    <x v="27"/>
    <x v="8"/>
    <s v="Percent change"/>
    <s v="Units"/>
    <x v="6"/>
    <n v="1.5840000000000001"/>
  </r>
  <r>
    <n v="998"/>
    <x v="6"/>
    <x v="27"/>
    <x v="8"/>
    <s v="Percent change"/>
    <s v="Units"/>
    <x v="0"/>
    <n v="1.4510000000000001"/>
  </r>
  <r>
    <n v="998"/>
    <x v="6"/>
    <x v="27"/>
    <x v="8"/>
    <s v="Percent change"/>
    <s v="Units"/>
    <x v="1"/>
    <n v="-6.633"/>
  </r>
  <r>
    <n v="998"/>
    <x v="6"/>
    <x v="27"/>
    <x v="8"/>
    <s v="Percent change"/>
    <s v="Units"/>
    <x v="2"/>
    <n v="4.2380000000000004"/>
  </r>
  <r>
    <n v="998"/>
    <x v="6"/>
    <x v="27"/>
    <x v="8"/>
    <s v="Percent change"/>
    <s v="Units"/>
    <x v="3"/>
    <n v="4.806"/>
  </r>
  <r>
    <n v="998"/>
    <x v="6"/>
    <x v="27"/>
    <x v="8"/>
    <s v="Percent change"/>
    <s v="Units"/>
    <x v="4"/>
    <n v="-0.746"/>
  </r>
  <r>
    <n v="998"/>
    <x v="6"/>
    <x v="27"/>
    <x v="8"/>
    <s v="Percent change"/>
    <s v="Units"/>
    <x v="5"/>
    <n v="0.435"/>
  </r>
  <r>
    <n v="998"/>
    <x v="6"/>
    <x v="27"/>
    <x v="8"/>
    <s v="Percent change"/>
    <s v="Units"/>
    <x v="6"/>
    <n v="1.5840000000000001"/>
  </r>
  <r>
    <n v="163"/>
    <x v="5"/>
    <x v="27"/>
    <x v="8"/>
    <s v="Percent change"/>
    <s v="Units"/>
    <x v="0"/>
    <n v="1.4510000000000001"/>
  </r>
  <r>
    <n v="163"/>
    <x v="5"/>
    <x v="27"/>
    <x v="8"/>
    <s v="Percent change"/>
    <s v="Units"/>
    <x v="1"/>
    <n v="-6.633"/>
  </r>
  <r>
    <n v="163"/>
    <x v="5"/>
    <x v="27"/>
    <x v="8"/>
    <s v="Percent change"/>
    <s v="Units"/>
    <x v="2"/>
    <n v="4.2380000000000004"/>
  </r>
  <r>
    <n v="163"/>
    <x v="5"/>
    <x v="27"/>
    <x v="8"/>
    <s v="Percent change"/>
    <s v="Units"/>
    <x v="3"/>
    <n v="4.806"/>
  </r>
  <r>
    <n v="163"/>
    <x v="5"/>
    <x v="27"/>
    <x v="8"/>
    <s v="Percent change"/>
    <s v="Units"/>
    <x v="4"/>
    <n v="-0.746"/>
  </r>
  <r>
    <n v="163"/>
    <x v="5"/>
    <x v="27"/>
    <x v="8"/>
    <s v="Percent change"/>
    <s v="Units"/>
    <x v="5"/>
    <n v="0.435"/>
  </r>
  <r>
    <n v="163"/>
    <x v="5"/>
    <x v="27"/>
    <x v="8"/>
    <s v="Percent change"/>
    <s v="Units"/>
    <x v="6"/>
    <n v="1.5840000000000001"/>
  </r>
  <r>
    <n v="1"/>
    <x v="2"/>
    <x v="27"/>
    <x v="8"/>
    <s v="Percent change"/>
    <s v="Units"/>
    <x v="0"/>
    <n v="1.4510000000000001"/>
  </r>
  <r>
    <n v="1"/>
    <x v="2"/>
    <x v="27"/>
    <x v="8"/>
    <s v="Percent change"/>
    <s v="Units"/>
    <x v="1"/>
    <n v="-6.633"/>
  </r>
  <r>
    <n v="1"/>
    <x v="2"/>
    <x v="27"/>
    <x v="8"/>
    <s v="Percent change"/>
    <s v="Units"/>
    <x v="2"/>
    <n v="4.2380000000000004"/>
  </r>
  <r>
    <n v="1"/>
    <x v="2"/>
    <x v="27"/>
    <x v="8"/>
    <s v="Percent change"/>
    <s v="Units"/>
    <x v="3"/>
    <n v="4.806"/>
  </r>
  <r>
    <n v="1"/>
    <x v="2"/>
    <x v="27"/>
    <x v="8"/>
    <s v="Percent change"/>
    <s v="Units"/>
    <x v="4"/>
    <n v="-0.746"/>
  </r>
  <r>
    <n v="1"/>
    <x v="2"/>
    <x v="27"/>
    <x v="8"/>
    <s v="Percent change"/>
    <s v="Units"/>
    <x v="5"/>
    <n v="0.435"/>
  </r>
  <r>
    <n v="1"/>
    <x v="2"/>
    <x v="27"/>
    <x v="8"/>
    <s v="Percent change"/>
    <s v="Units"/>
    <x v="6"/>
    <n v="1.5840000000000001"/>
  </r>
  <r>
    <n v="110"/>
    <x v="0"/>
    <x v="21"/>
    <x v="10"/>
    <s v="Percent"/>
    <s v="Units"/>
    <x v="0"/>
    <n v="0.45900000000000002"/>
  </r>
  <r>
    <n v="110"/>
    <x v="0"/>
    <x v="21"/>
    <x v="10"/>
    <s v="Percent"/>
    <s v="Units"/>
    <x v="1"/>
    <n v="0.44800000000000001"/>
  </r>
  <r>
    <n v="110"/>
    <x v="0"/>
    <x v="21"/>
    <x v="10"/>
    <s v="Percent"/>
    <s v="Units"/>
    <x v="2"/>
    <n v="0.45"/>
  </r>
  <r>
    <n v="110"/>
    <x v="0"/>
    <x v="21"/>
    <x v="10"/>
    <s v="Percent"/>
    <s v="Units"/>
    <x v="3"/>
    <n v="0.44800000000000001"/>
  </r>
  <r>
    <n v="110"/>
    <x v="0"/>
    <x v="21"/>
    <x v="10"/>
    <s v="Percent"/>
    <s v="Units"/>
    <x v="4"/>
    <n v="0.441"/>
  </r>
  <r>
    <n v="110"/>
    <x v="0"/>
    <x v="21"/>
    <x v="10"/>
    <s v="Percent"/>
    <s v="Units"/>
    <x v="5"/>
    <n v="0.433"/>
  </r>
  <r>
    <n v="110"/>
    <x v="0"/>
    <x v="21"/>
    <x v="10"/>
    <s v="Percent"/>
    <s v="Units"/>
    <x v="6"/>
    <n v="0.42399999999999999"/>
  </r>
  <r>
    <n v="998"/>
    <x v="6"/>
    <x v="21"/>
    <x v="10"/>
    <s v="Percent"/>
    <s v="Units"/>
    <x v="0"/>
    <n v="0.45900000000000002"/>
  </r>
  <r>
    <n v="998"/>
    <x v="6"/>
    <x v="21"/>
    <x v="10"/>
    <s v="Percent"/>
    <s v="Units"/>
    <x v="1"/>
    <n v="0.44800000000000001"/>
  </r>
  <r>
    <n v="998"/>
    <x v="6"/>
    <x v="21"/>
    <x v="10"/>
    <s v="Percent"/>
    <s v="Units"/>
    <x v="2"/>
    <n v="0.45"/>
  </r>
  <r>
    <n v="998"/>
    <x v="6"/>
    <x v="21"/>
    <x v="10"/>
    <s v="Percent"/>
    <s v="Units"/>
    <x v="3"/>
    <n v="0.44800000000000001"/>
  </r>
  <r>
    <n v="998"/>
    <x v="6"/>
    <x v="21"/>
    <x v="10"/>
    <s v="Percent"/>
    <s v="Units"/>
    <x v="4"/>
    <n v="0.441"/>
  </r>
  <r>
    <n v="998"/>
    <x v="6"/>
    <x v="21"/>
    <x v="10"/>
    <s v="Percent"/>
    <s v="Units"/>
    <x v="5"/>
    <n v="0.433"/>
  </r>
  <r>
    <n v="998"/>
    <x v="6"/>
    <x v="21"/>
    <x v="10"/>
    <s v="Percent"/>
    <s v="Units"/>
    <x v="6"/>
    <n v="0.42399999999999999"/>
  </r>
  <r>
    <n v="123"/>
    <x v="9"/>
    <x v="31"/>
    <x v="10"/>
    <s v="Percent"/>
    <s v="Units"/>
    <x v="0"/>
    <n v="0.43"/>
  </r>
  <r>
    <n v="123"/>
    <x v="9"/>
    <x v="31"/>
    <x v="10"/>
    <s v="Percent"/>
    <s v="Units"/>
    <x v="1"/>
    <n v="0.42599999999999999"/>
  </r>
  <r>
    <n v="123"/>
    <x v="9"/>
    <x v="31"/>
    <x v="10"/>
    <s v="Percent"/>
    <s v="Units"/>
    <x v="2"/>
    <n v="0.439"/>
  </r>
  <r>
    <n v="123"/>
    <x v="9"/>
    <x v="31"/>
    <x v="10"/>
    <s v="Percent"/>
    <s v="Units"/>
    <x v="3"/>
    <n v="0.441"/>
  </r>
  <r>
    <n v="123"/>
    <x v="9"/>
    <x v="31"/>
    <x v="10"/>
    <s v="Percent"/>
    <s v="Units"/>
    <x v="4"/>
    <n v="0.432"/>
  </r>
  <r>
    <n v="123"/>
    <x v="9"/>
    <x v="31"/>
    <x v="10"/>
    <s v="Percent"/>
    <s v="Units"/>
    <x v="5"/>
    <n v="0.42799999999999999"/>
  </r>
  <r>
    <n v="123"/>
    <x v="9"/>
    <x v="31"/>
    <x v="10"/>
    <s v="Percent"/>
    <s v="Units"/>
    <x v="6"/>
    <n v="0.42399999999999999"/>
  </r>
  <r>
    <n v="110"/>
    <x v="0"/>
    <x v="31"/>
    <x v="10"/>
    <s v="Percent"/>
    <s v="Units"/>
    <x v="0"/>
    <n v="0.43"/>
  </r>
  <r>
    <n v="110"/>
    <x v="0"/>
    <x v="31"/>
    <x v="10"/>
    <s v="Percent"/>
    <s v="Units"/>
    <x v="1"/>
    <n v="0.42599999999999999"/>
  </r>
  <r>
    <n v="110"/>
    <x v="0"/>
    <x v="31"/>
    <x v="10"/>
    <s v="Percent"/>
    <s v="Units"/>
    <x v="2"/>
    <n v="0.439"/>
  </r>
  <r>
    <n v="110"/>
    <x v="0"/>
    <x v="31"/>
    <x v="10"/>
    <s v="Percent"/>
    <s v="Units"/>
    <x v="3"/>
    <n v="0.441"/>
  </r>
  <r>
    <n v="110"/>
    <x v="0"/>
    <x v="31"/>
    <x v="10"/>
    <s v="Percent"/>
    <s v="Units"/>
    <x v="4"/>
    <n v="0.432"/>
  </r>
  <r>
    <n v="110"/>
    <x v="0"/>
    <x v="31"/>
    <x v="10"/>
    <s v="Percent"/>
    <s v="Units"/>
    <x v="5"/>
    <n v="0.42799999999999999"/>
  </r>
  <r>
    <n v="110"/>
    <x v="0"/>
    <x v="31"/>
    <x v="10"/>
    <s v="Percent"/>
    <s v="Units"/>
    <x v="6"/>
    <n v="0.42399999999999999"/>
  </r>
  <r>
    <n v="510"/>
    <x v="10"/>
    <x v="31"/>
    <x v="10"/>
    <s v="Percent"/>
    <s v="Units"/>
    <x v="0"/>
    <n v="0.43"/>
  </r>
  <r>
    <n v="510"/>
    <x v="10"/>
    <x v="31"/>
    <x v="10"/>
    <s v="Percent"/>
    <s v="Units"/>
    <x v="1"/>
    <n v="0.42599999999999999"/>
  </r>
  <r>
    <n v="510"/>
    <x v="10"/>
    <x v="31"/>
    <x v="10"/>
    <s v="Percent"/>
    <s v="Units"/>
    <x v="2"/>
    <n v="0.439"/>
  </r>
  <r>
    <n v="510"/>
    <x v="10"/>
    <x v="31"/>
    <x v="10"/>
    <s v="Percent"/>
    <s v="Units"/>
    <x v="3"/>
    <n v="0.441"/>
  </r>
  <r>
    <n v="510"/>
    <x v="10"/>
    <x v="31"/>
    <x v="10"/>
    <s v="Percent"/>
    <s v="Units"/>
    <x v="4"/>
    <n v="0.432"/>
  </r>
  <r>
    <n v="510"/>
    <x v="10"/>
    <x v="31"/>
    <x v="10"/>
    <s v="Percent"/>
    <s v="Units"/>
    <x v="5"/>
    <n v="0.42799999999999999"/>
  </r>
  <r>
    <n v="510"/>
    <x v="10"/>
    <x v="31"/>
    <x v="10"/>
    <s v="Percent"/>
    <s v="Units"/>
    <x v="6"/>
    <n v="0.42399999999999999"/>
  </r>
  <r>
    <n v="1"/>
    <x v="2"/>
    <x v="45"/>
    <x v="8"/>
    <s v="Percent change"/>
    <s v="Units"/>
    <x v="0"/>
    <n v="1.224"/>
  </r>
  <r>
    <n v="1"/>
    <x v="2"/>
    <x v="45"/>
    <x v="8"/>
    <s v="Percent change"/>
    <s v="Units"/>
    <x v="1"/>
    <n v="-2.355"/>
  </r>
  <r>
    <n v="1"/>
    <x v="2"/>
    <x v="45"/>
    <x v="8"/>
    <s v="Percent change"/>
    <s v="Units"/>
    <x v="2"/>
    <n v="2.8380000000000001"/>
  </r>
  <r>
    <n v="1"/>
    <x v="2"/>
    <x v="45"/>
    <x v="8"/>
    <s v="Percent change"/>
    <s v="Units"/>
    <x v="3"/>
    <n v="1.335"/>
  </r>
  <r>
    <n v="1"/>
    <x v="2"/>
    <x v="45"/>
    <x v="8"/>
    <s v="Percent change"/>
    <s v="Units"/>
    <x v="4"/>
    <n v="-0.95699999999999996"/>
  </r>
  <r>
    <n v="1"/>
    <x v="2"/>
    <x v="45"/>
    <x v="8"/>
    <s v="Percent change"/>
    <s v="Units"/>
    <x v="5"/>
    <n v="0.42199999999999999"/>
  </r>
  <r>
    <n v="1"/>
    <x v="2"/>
    <x v="45"/>
    <x v="8"/>
    <s v="Percent change"/>
    <s v="Units"/>
    <x v="6"/>
    <n v="1.8540000000000001"/>
  </r>
  <r>
    <n v="163"/>
    <x v="5"/>
    <x v="45"/>
    <x v="8"/>
    <s v="Percent change"/>
    <s v="Units"/>
    <x v="0"/>
    <n v="1.224"/>
  </r>
  <r>
    <n v="163"/>
    <x v="5"/>
    <x v="45"/>
    <x v="8"/>
    <s v="Percent change"/>
    <s v="Units"/>
    <x v="1"/>
    <n v="-2.355"/>
  </r>
  <r>
    <n v="163"/>
    <x v="5"/>
    <x v="45"/>
    <x v="8"/>
    <s v="Percent change"/>
    <s v="Units"/>
    <x v="2"/>
    <n v="2.8380000000000001"/>
  </r>
  <r>
    <n v="163"/>
    <x v="5"/>
    <x v="45"/>
    <x v="8"/>
    <s v="Percent change"/>
    <s v="Units"/>
    <x v="3"/>
    <n v="1.335"/>
  </r>
  <r>
    <n v="163"/>
    <x v="5"/>
    <x v="45"/>
    <x v="8"/>
    <s v="Percent change"/>
    <s v="Units"/>
    <x v="4"/>
    <n v="-0.95699999999999996"/>
  </r>
  <r>
    <n v="163"/>
    <x v="5"/>
    <x v="45"/>
    <x v="8"/>
    <s v="Percent change"/>
    <s v="Units"/>
    <x v="5"/>
    <n v="0.42199999999999999"/>
  </r>
  <r>
    <n v="163"/>
    <x v="5"/>
    <x v="45"/>
    <x v="8"/>
    <s v="Percent change"/>
    <s v="Units"/>
    <x v="6"/>
    <n v="1.8540000000000001"/>
  </r>
  <r>
    <n v="998"/>
    <x v="6"/>
    <x v="45"/>
    <x v="8"/>
    <s v="Percent change"/>
    <s v="Units"/>
    <x v="0"/>
    <n v="1.224"/>
  </r>
  <r>
    <n v="998"/>
    <x v="6"/>
    <x v="45"/>
    <x v="8"/>
    <s v="Percent change"/>
    <s v="Units"/>
    <x v="1"/>
    <n v="-2.355"/>
  </r>
  <r>
    <n v="998"/>
    <x v="6"/>
    <x v="45"/>
    <x v="8"/>
    <s v="Percent change"/>
    <s v="Units"/>
    <x v="2"/>
    <n v="2.8380000000000001"/>
  </r>
  <r>
    <n v="998"/>
    <x v="6"/>
    <x v="45"/>
    <x v="8"/>
    <s v="Percent change"/>
    <s v="Units"/>
    <x v="3"/>
    <n v="1.335"/>
  </r>
  <r>
    <n v="998"/>
    <x v="6"/>
    <x v="45"/>
    <x v="8"/>
    <s v="Percent change"/>
    <s v="Units"/>
    <x v="4"/>
    <n v="-0.95699999999999996"/>
  </r>
  <r>
    <n v="998"/>
    <x v="6"/>
    <x v="45"/>
    <x v="8"/>
    <s v="Percent change"/>
    <s v="Units"/>
    <x v="5"/>
    <n v="0.42199999999999999"/>
  </r>
  <r>
    <n v="998"/>
    <x v="6"/>
    <x v="45"/>
    <x v="8"/>
    <s v="Percent change"/>
    <s v="Units"/>
    <x v="6"/>
    <n v="1.8540000000000001"/>
  </r>
  <r>
    <n v="110"/>
    <x v="0"/>
    <x v="45"/>
    <x v="8"/>
    <s v="Percent change"/>
    <s v="Units"/>
    <x v="0"/>
    <n v="1.224"/>
  </r>
  <r>
    <n v="110"/>
    <x v="0"/>
    <x v="45"/>
    <x v="8"/>
    <s v="Percent change"/>
    <s v="Units"/>
    <x v="1"/>
    <n v="-2.355"/>
  </r>
  <r>
    <n v="110"/>
    <x v="0"/>
    <x v="45"/>
    <x v="8"/>
    <s v="Percent change"/>
    <s v="Units"/>
    <x v="2"/>
    <n v="2.8380000000000001"/>
  </r>
  <r>
    <n v="110"/>
    <x v="0"/>
    <x v="45"/>
    <x v="8"/>
    <s v="Percent change"/>
    <s v="Units"/>
    <x v="3"/>
    <n v="1.335"/>
  </r>
  <r>
    <n v="110"/>
    <x v="0"/>
    <x v="45"/>
    <x v="8"/>
    <s v="Percent change"/>
    <s v="Units"/>
    <x v="4"/>
    <n v="-0.95699999999999996"/>
  </r>
  <r>
    <n v="110"/>
    <x v="0"/>
    <x v="45"/>
    <x v="8"/>
    <s v="Percent change"/>
    <s v="Units"/>
    <x v="5"/>
    <n v="0.42199999999999999"/>
  </r>
  <r>
    <n v="110"/>
    <x v="0"/>
    <x v="45"/>
    <x v="8"/>
    <s v="Percent change"/>
    <s v="Units"/>
    <x v="6"/>
    <n v="1.8540000000000001"/>
  </r>
  <r>
    <n v="400"/>
    <x v="11"/>
    <x v="49"/>
    <x v="10"/>
    <s v="Percent"/>
    <s v="Units"/>
    <x v="0"/>
    <n v="0.42499999999999999"/>
  </r>
  <r>
    <n v="400"/>
    <x v="11"/>
    <x v="49"/>
    <x v="10"/>
    <s v="Percent"/>
    <s v="Units"/>
    <x v="1"/>
    <n v="0.41599999999999998"/>
  </r>
  <r>
    <n v="400"/>
    <x v="11"/>
    <x v="49"/>
    <x v="10"/>
    <s v="Percent"/>
    <s v="Units"/>
    <x v="2"/>
    <n v="0.40600000000000003"/>
  </r>
  <r>
    <n v="400"/>
    <x v="11"/>
    <x v="49"/>
    <x v="10"/>
    <s v="Percent"/>
    <s v="Units"/>
    <x v="3"/>
    <n v="0.40699999999999997"/>
  </r>
  <r>
    <n v="400"/>
    <x v="11"/>
    <x v="49"/>
    <x v="10"/>
    <s v="Percent"/>
    <s v="Units"/>
    <x v="4"/>
    <n v="0.41099999999999998"/>
  </r>
  <r>
    <n v="400"/>
    <x v="11"/>
    <x v="49"/>
    <x v="10"/>
    <s v="Percent"/>
    <s v="Units"/>
    <x v="5"/>
    <n v="0.41399999999999998"/>
  </r>
  <r>
    <n v="400"/>
    <x v="11"/>
    <x v="49"/>
    <x v="10"/>
    <s v="Percent"/>
    <s v="Units"/>
    <x v="6"/>
    <n v="0.41299999999999998"/>
  </r>
  <r>
    <n v="200"/>
    <x v="3"/>
    <x v="49"/>
    <x v="10"/>
    <s v="Percent"/>
    <s v="Units"/>
    <x v="0"/>
    <n v="0.42499999999999999"/>
  </r>
  <r>
    <n v="200"/>
    <x v="3"/>
    <x v="49"/>
    <x v="10"/>
    <s v="Percent"/>
    <s v="Units"/>
    <x v="1"/>
    <n v="0.41599999999999998"/>
  </r>
  <r>
    <n v="200"/>
    <x v="3"/>
    <x v="49"/>
    <x v="10"/>
    <s v="Percent"/>
    <s v="Units"/>
    <x v="2"/>
    <n v="0.40600000000000003"/>
  </r>
  <r>
    <n v="200"/>
    <x v="3"/>
    <x v="49"/>
    <x v="10"/>
    <s v="Percent"/>
    <s v="Units"/>
    <x v="3"/>
    <n v="0.40699999999999997"/>
  </r>
  <r>
    <n v="200"/>
    <x v="3"/>
    <x v="49"/>
    <x v="10"/>
    <s v="Percent"/>
    <s v="Units"/>
    <x v="4"/>
    <n v="0.41099999999999998"/>
  </r>
  <r>
    <n v="200"/>
    <x v="3"/>
    <x v="49"/>
    <x v="10"/>
    <s v="Percent"/>
    <s v="Units"/>
    <x v="5"/>
    <n v="0.41399999999999998"/>
  </r>
  <r>
    <n v="200"/>
    <x v="3"/>
    <x v="49"/>
    <x v="10"/>
    <s v="Percent"/>
    <s v="Units"/>
    <x v="6"/>
    <n v="0.41299999999999998"/>
  </r>
  <r>
    <n v="110"/>
    <x v="0"/>
    <x v="12"/>
    <x v="13"/>
    <s v="Percent of potential GDP"/>
    <s v="Units"/>
    <x v="0"/>
    <n v="-1.0009999999999999"/>
  </r>
  <r>
    <n v="110"/>
    <x v="0"/>
    <x v="12"/>
    <x v="13"/>
    <s v="Percent of potential GDP"/>
    <s v="Units"/>
    <x v="1"/>
    <n v="-3.8050000000000002"/>
  </r>
  <r>
    <n v="110"/>
    <x v="0"/>
    <x v="12"/>
    <x v="13"/>
    <s v="Percent of potential GDP"/>
    <s v="Units"/>
    <x v="2"/>
    <n v="-0.51700000000000002"/>
  </r>
  <r>
    <n v="110"/>
    <x v="0"/>
    <x v="12"/>
    <x v="13"/>
    <s v="Percent of potential GDP"/>
    <s v="Units"/>
    <x v="3"/>
    <n v="1.25"/>
  </r>
  <r>
    <n v="110"/>
    <x v="0"/>
    <x v="12"/>
    <x v="13"/>
    <s v="Percent of potential GDP"/>
    <s v="Units"/>
    <x v="4"/>
    <n v="1.2430000000000001"/>
  </r>
  <r>
    <n v="110"/>
    <x v="0"/>
    <x v="12"/>
    <x v="13"/>
    <s v="Percent of potential GDP"/>
    <s v="Units"/>
    <x v="5"/>
    <n v="0.40799999999999997"/>
  </r>
  <r>
    <n v="110"/>
    <x v="0"/>
    <x v="12"/>
    <x v="13"/>
    <s v="Percent of potential GDP"/>
    <s v="Units"/>
    <x v="6"/>
    <n v="1.7999999999999999E-2"/>
  </r>
  <r>
    <n v="123"/>
    <x v="9"/>
    <x v="44"/>
    <x v="6"/>
    <s v="Percent change"/>
    <s v="Units"/>
    <x v="0"/>
    <n v="1.5449999999999999"/>
  </r>
  <r>
    <n v="123"/>
    <x v="9"/>
    <x v="44"/>
    <x v="6"/>
    <s v="Percent change"/>
    <s v="Units"/>
    <x v="1"/>
    <n v="-8.1959999999999997"/>
  </r>
  <r>
    <n v="123"/>
    <x v="9"/>
    <x v="44"/>
    <x v="6"/>
    <s v="Percent change"/>
    <s v="Units"/>
    <x v="2"/>
    <n v="13.323"/>
  </r>
  <r>
    <n v="123"/>
    <x v="9"/>
    <x v="44"/>
    <x v="6"/>
    <s v="Percent change"/>
    <s v="Units"/>
    <x v="3"/>
    <n v="6.2830000000000004"/>
  </r>
  <r>
    <n v="123"/>
    <x v="9"/>
    <x v="44"/>
    <x v="6"/>
    <s v="Percent change"/>
    <s v="Units"/>
    <x v="4"/>
    <n v="-0.28000000000000003"/>
  </r>
  <r>
    <n v="123"/>
    <x v="9"/>
    <x v="44"/>
    <x v="6"/>
    <s v="Percent change"/>
    <s v="Units"/>
    <x v="5"/>
    <n v="0.40400000000000003"/>
  </r>
  <r>
    <n v="123"/>
    <x v="9"/>
    <x v="44"/>
    <x v="6"/>
    <s v="Percent change"/>
    <s v="Units"/>
    <x v="6"/>
    <n v="3.8"/>
  </r>
  <r>
    <n v="110"/>
    <x v="0"/>
    <x v="44"/>
    <x v="6"/>
    <s v="Percent change"/>
    <s v="Units"/>
    <x v="0"/>
    <n v="1.5449999999999999"/>
  </r>
  <r>
    <n v="110"/>
    <x v="0"/>
    <x v="44"/>
    <x v="6"/>
    <s v="Percent change"/>
    <s v="Units"/>
    <x v="1"/>
    <n v="-8.1959999999999997"/>
  </r>
  <r>
    <n v="110"/>
    <x v="0"/>
    <x v="44"/>
    <x v="6"/>
    <s v="Percent change"/>
    <s v="Units"/>
    <x v="2"/>
    <n v="13.323"/>
  </r>
  <r>
    <n v="110"/>
    <x v="0"/>
    <x v="44"/>
    <x v="6"/>
    <s v="Percent change"/>
    <s v="Units"/>
    <x v="3"/>
    <n v="6.2830000000000004"/>
  </r>
  <r>
    <n v="110"/>
    <x v="0"/>
    <x v="44"/>
    <x v="6"/>
    <s v="Percent change"/>
    <s v="Units"/>
    <x v="4"/>
    <n v="-0.28000000000000003"/>
  </r>
  <r>
    <n v="110"/>
    <x v="0"/>
    <x v="44"/>
    <x v="6"/>
    <s v="Percent change"/>
    <s v="Units"/>
    <x v="5"/>
    <n v="0.40400000000000003"/>
  </r>
  <r>
    <n v="110"/>
    <x v="0"/>
    <x v="44"/>
    <x v="6"/>
    <s v="Percent change"/>
    <s v="Units"/>
    <x v="6"/>
    <n v="3.8"/>
  </r>
  <r>
    <n v="1"/>
    <x v="2"/>
    <x v="44"/>
    <x v="6"/>
    <s v="Percent change"/>
    <s v="Units"/>
    <x v="0"/>
    <n v="1.5449999999999999"/>
  </r>
  <r>
    <n v="1"/>
    <x v="2"/>
    <x v="44"/>
    <x v="6"/>
    <s v="Percent change"/>
    <s v="Units"/>
    <x v="1"/>
    <n v="-8.1959999999999997"/>
  </r>
  <r>
    <n v="1"/>
    <x v="2"/>
    <x v="44"/>
    <x v="6"/>
    <s v="Percent change"/>
    <s v="Units"/>
    <x v="2"/>
    <n v="13.323"/>
  </r>
  <r>
    <n v="1"/>
    <x v="2"/>
    <x v="44"/>
    <x v="6"/>
    <s v="Percent change"/>
    <s v="Units"/>
    <x v="3"/>
    <n v="6.2830000000000004"/>
  </r>
  <r>
    <n v="1"/>
    <x v="2"/>
    <x v="44"/>
    <x v="6"/>
    <s v="Percent change"/>
    <s v="Units"/>
    <x v="4"/>
    <n v="-0.28000000000000003"/>
  </r>
  <r>
    <n v="1"/>
    <x v="2"/>
    <x v="44"/>
    <x v="6"/>
    <s v="Percent change"/>
    <s v="Units"/>
    <x v="5"/>
    <n v="0.40400000000000003"/>
  </r>
  <r>
    <n v="1"/>
    <x v="2"/>
    <x v="44"/>
    <x v="6"/>
    <s v="Percent change"/>
    <s v="Units"/>
    <x v="6"/>
    <n v="3.8"/>
  </r>
  <r>
    <n v="123"/>
    <x v="9"/>
    <x v="22"/>
    <x v="10"/>
    <s v="Percent"/>
    <s v="Units"/>
    <x v="0"/>
    <n v="0.42199999999999999"/>
  </r>
  <r>
    <n v="123"/>
    <x v="9"/>
    <x v="22"/>
    <x v="10"/>
    <s v="Percent"/>
    <s v="Units"/>
    <x v="1"/>
    <n v="0.42499999999999999"/>
  </r>
  <r>
    <n v="123"/>
    <x v="9"/>
    <x v="22"/>
    <x v="10"/>
    <s v="Percent"/>
    <s v="Units"/>
    <x v="2"/>
    <n v="0.42399999999999999"/>
  </r>
  <r>
    <n v="123"/>
    <x v="9"/>
    <x v="22"/>
    <x v="10"/>
    <s v="Percent"/>
    <s v="Units"/>
    <x v="3"/>
    <n v="0.42199999999999999"/>
  </r>
  <r>
    <n v="123"/>
    <x v="9"/>
    <x v="22"/>
    <x v="10"/>
    <s v="Percent"/>
    <s v="Units"/>
    <x v="4"/>
    <n v="0.40799999999999997"/>
  </r>
  <r>
    <n v="123"/>
    <x v="9"/>
    <x v="22"/>
    <x v="10"/>
    <s v="Percent"/>
    <s v="Units"/>
    <x v="5"/>
    <n v="0.39700000000000002"/>
  </r>
  <r>
    <n v="123"/>
    <x v="9"/>
    <x v="22"/>
    <x v="10"/>
    <s v="Percent"/>
    <s v="Units"/>
    <x v="6"/>
    <n v="0.39300000000000002"/>
  </r>
  <r>
    <n v="110"/>
    <x v="0"/>
    <x v="22"/>
    <x v="10"/>
    <s v="Percent"/>
    <s v="Units"/>
    <x v="0"/>
    <n v="0.42199999999999999"/>
  </r>
  <r>
    <n v="110"/>
    <x v="0"/>
    <x v="22"/>
    <x v="10"/>
    <s v="Percent"/>
    <s v="Units"/>
    <x v="1"/>
    <n v="0.42499999999999999"/>
  </r>
  <r>
    <n v="110"/>
    <x v="0"/>
    <x v="22"/>
    <x v="10"/>
    <s v="Percent"/>
    <s v="Units"/>
    <x v="2"/>
    <n v="0.42399999999999999"/>
  </r>
  <r>
    <n v="110"/>
    <x v="0"/>
    <x v="22"/>
    <x v="10"/>
    <s v="Percent"/>
    <s v="Units"/>
    <x v="3"/>
    <n v="0.42199999999999999"/>
  </r>
  <r>
    <n v="110"/>
    <x v="0"/>
    <x v="22"/>
    <x v="10"/>
    <s v="Percent"/>
    <s v="Units"/>
    <x v="4"/>
    <n v="0.40799999999999997"/>
  </r>
  <r>
    <n v="110"/>
    <x v="0"/>
    <x v="22"/>
    <x v="10"/>
    <s v="Percent"/>
    <s v="Units"/>
    <x v="5"/>
    <n v="0.39700000000000002"/>
  </r>
  <r>
    <n v="110"/>
    <x v="0"/>
    <x v="22"/>
    <x v="10"/>
    <s v="Percent"/>
    <s v="Units"/>
    <x v="6"/>
    <n v="0.39300000000000002"/>
  </r>
  <r>
    <n v="998"/>
    <x v="6"/>
    <x v="22"/>
    <x v="10"/>
    <s v="Percent"/>
    <s v="Units"/>
    <x v="0"/>
    <n v="0.42199999999999999"/>
  </r>
  <r>
    <n v="998"/>
    <x v="6"/>
    <x v="22"/>
    <x v="10"/>
    <s v="Percent"/>
    <s v="Units"/>
    <x v="1"/>
    <n v="0.42499999999999999"/>
  </r>
  <r>
    <n v="998"/>
    <x v="6"/>
    <x v="22"/>
    <x v="10"/>
    <s v="Percent"/>
    <s v="Units"/>
    <x v="2"/>
    <n v="0.42399999999999999"/>
  </r>
  <r>
    <n v="998"/>
    <x v="6"/>
    <x v="22"/>
    <x v="10"/>
    <s v="Percent"/>
    <s v="Units"/>
    <x v="3"/>
    <n v="0.42199999999999999"/>
  </r>
  <r>
    <n v="998"/>
    <x v="6"/>
    <x v="22"/>
    <x v="10"/>
    <s v="Percent"/>
    <s v="Units"/>
    <x v="4"/>
    <n v="0.40799999999999997"/>
  </r>
  <r>
    <n v="998"/>
    <x v="6"/>
    <x v="22"/>
    <x v="10"/>
    <s v="Percent"/>
    <s v="Units"/>
    <x v="5"/>
    <n v="0.39700000000000002"/>
  </r>
  <r>
    <n v="998"/>
    <x v="6"/>
    <x v="22"/>
    <x v="10"/>
    <s v="Percent"/>
    <s v="Units"/>
    <x v="6"/>
    <n v="0.39300000000000002"/>
  </r>
  <r>
    <n v="110"/>
    <x v="0"/>
    <x v="24"/>
    <x v="10"/>
    <s v="Percent"/>
    <s v="Units"/>
    <x v="0"/>
    <n v="0.33"/>
  </r>
  <r>
    <n v="110"/>
    <x v="0"/>
    <x v="24"/>
    <x v="10"/>
    <s v="Percent"/>
    <s v="Units"/>
    <x v="1"/>
    <n v="0.36199999999999999"/>
  </r>
  <r>
    <n v="110"/>
    <x v="0"/>
    <x v="24"/>
    <x v="10"/>
    <s v="Percent"/>
    <s v="Units"/>
    <x v="2"/>
    <n v="0.39200000000000002"/>
  </r>
  <r>
    <n v="110"/>
    <x v="0"/>
    <x v="24"/>
    <x v="10"/>
    <s v="Percent"/>
    <s v="Units"/>
    <x v="3"/>
    <n v="0.41499999999999998"/>
  </r>
  <r>
    <n v="110"/>
    <x v="0"/>
    <x v="24"/>
    <x v="10"/>
    <s v="Percent"/>
    <s v="Units"/>
    <x v="4"/>
    <n v="0.39"/>
  </r>
  <r>
    <n v="110"/>
    <x v="0"/>
    <x v="24"/>
    <x v="10"/>
    <s v="Percent"/>
    <s v="Units"/>
    <x v="5"/>
    <n v="0.38300000000000001"/>
  </r>
  <r>
    <n v="110"/>
    <x v="0"/>
    <x v="24"/>
    <x v="10"/>
    <s v="Percent"/>
    <s v="Units"/>
    <x v="6"/>
    <n v="0.38100000000000001"/>
  </r>
  <r>
    <n v="163"/>
    <x v="5"/>
    <x v="21"/>
    <x v="13"/>
    <s v="Percent of potential GDP"/>
    <s v="Units"/>
    <x v="0"/>
    <n v="1.645"/>
  </r>
  <r>
    <n v="163"/>
    <x v="5"/>
    <x v="21"/>
    <x v="13"/>
    <s v="Percent of potential GDP"/>
    <s v="Units"/>
    <x v="1"/>
    <n v="-4.7480000000000002"/>
  </r>
  <r>
    <n v="163"/>
    <x v="5"/>
    <x v="21"/>
    <x v="13"/>
    <s v="Percent of potential GDP"/>
    <s v="Units"/>
    <x v="2"/>
    <n v="-9.6000000000000002E-2"/>
  </r>
  <r>
    <n v="163"/>
    <x v="5"/>
    <x v="21"/>
    <x v="13"/>
    <s v="Percent of potential GDP"/>
    <s v="Units"/>
    <x v="3"/>
    <n v="1.075"/>
  </r>
  <r>
    <n v="163"/>
    <x v="5"/>
    <x v="21"/>
    <x v="13"/>
    <s v="Percent of potential GDP"/>
    <s v="Units"/>
    <x v="4"/>
    <n v="0.76300000000000001"/>
  </r>
  <r>
    <n v="163"/>
    <x v="5"/>
    <x v="21"/>
    <x v="13"/>
    <s v="Percent of potential GDP"/>
    <s v="Units"/>
    <x v="5"/>
    <n v="0.38300000000000001"/>
  </r>
  <r>
    <n v="163"/>
    <x v="5"/>
    <x v="21"/>
    <x v="13"/>
    <s v="Percent of potential GDP"/>
    <s v="Units"/>
    <x v="6"/>
    <n v="0.23599999999999999"/>
  </r>
  <r>
    <n v="998"/>
    <x v="6"/>
    <x v="24"/>
    <x v="10"/>
    <s v="Percent"/>
    <s v="Units"/>
    <x v="0"/>
    <n v="0.33"/>
  </r>
  <r>
    <n v="998"/>
    <x v="6"/>
    <x v="24"/>
    <x v="10"/>
    <s v="Percent"/>
    <s v="Units"/>
    <x v="1"/>
    <n v="0.36199999999999999"/>
  </r>
  <r>
    <n v="998"/>
    <x v="6"/>
    <x v="24"/>
    <x v="10"/>
    <s v="Percent"/>
    <s v="Units"/>
    <x v="2"/>
    <n v="0.39200000000000002"/>
  </r>
  <r>
    <n v="998"/>
    <x v="6"/>
    <x v="24"/>
    <x v="10"/>
    <s v="Percent"/>
    <s v="Units"/>
    <x v="3"/>
    <n v="0.41499999999999998"/>
  </r>
  <r>
    <n v="998"/>
    <x v="6"/>
    <x v="24"/>
    <x v="10"/>
    <s v="Percent"/>
    <s v="Units"/>
    <x v="4"/>
    <n v="0.39"/>
  </r>
  <r>
    <n v="998"/>
    <x v="6"/>
    <x v="24"/>
    <x v="10"/>
    <s v="Percent"/>
    <s v="Units"/>
    <x v="5"/>
    <n v="0.38300000000000001"/>
  </r>
  <r>
    <n v="998"/>
    <x v="6"/>
    <x v="24"/>
    <x v="10"/>
    <s v="Percent"/>
    <s v="Units"/>
    <x v="6"/>
    <n v="0.38100000000000001"/>
  </r>
  <r>
    <n v="110"/>
    <x v="0"/>
    <x v="21"/>
    <x v="13"/>
    <s v="Percent of potential GDP"/>
    <s v="Units"/>
    <x v="0"/>
    <n v="1.645"/>
  </r>
  <r>
    <n v="110"/>
    <x v="0"/>
    <x v="21"/>
    <x v="13"/>
    <s v="Percent of potential GDP"/>
    <s v="Units"/>
    <x v="1"/>
    <n v="-4.7480000000000002"/>
  </r>
  <r>
    <n v="110"/>
    <x v="0"/>
    <x v="21"/>
    <x v="13"/>
    <s v="Percent of potential GDP"/>
    <s v="Units"/>
    <x v="2"/>
    <n v="-9.6000000000000002E-2"/>
  </r>
  <r>
    <n v="110"/>
    <x v="0"/>
    <x v="21"/>
    <x v="13"/>
    <s v="Percent of potential GDP"/>
    <s v="Units"/>
    <x v="3"/>
    <n v="1.075"/>
  </r>
  <r>
    <n v="110"/>
    <x v="0"/>
    <x v="21"/>
    <x v="13"/>
    <s v="Percent of potential GDP"/>
    <s v="Units"/>
    <x v="4"/>
    <n v="0.76300000000000001"/>
  </r>
  <r>
    <n v="110"/>
    <x v="0"/>
    <x v="21"/>
    <x v="13"/>
    <s v="Percent of potential GDP"/>
    <s v="Units"/>
    <x v="5"/>
    <n v="0.38300000000000001"/>
  </r>
  <r>
    <n v="110"/>
    <x v="0"/>
    <x v="21"/>
    <x v="13"/>
    <s v="Percent of potential GDP"/>
    <s v="Units"/>
    <x v="6"/>
    <n v="0.23599999999999999"/>
  </r>
  <r>
    <n v="200"/>
    <x v="3"/>
    <x v="47"/>
    <x v="10"/>
    <s v="Percent"/>
    <s v="Units"/>
    <x v="0"/>
    <n v="0.374"/>
  </r>
  <r>
    <n v="200"/>
    <x v="3"/>
    <x v="47"/>
    <x v="10"/>
    <s v="Percent"/>
    <s v="Units"/>
    <x v="1"/>
    <n v="0.375"/>
  </r>
  <r>
    <n v="200"/>
    <x v="3"/>
    <x v="47"/>
    <x v="10"/>
    <s v="Percent"/>
    <s v="Units"/>
    <x v="2"/>
    <n v="0.36699999999999999"/>
  </r>
  <r>
    <n v="200"/>
    <x v="3"/>
    <x v="47"/>
    <x v="10"/>
    <s v="Percent"/>
    <s v="Units"/>
    <x v="3"/>
    <n v="0.36599999999999999"/>
  </r>
  <r>
    <n v="200"/>
    <x v="3"/>
    <x v="47"/>
    <x v="10"/>
    <s v="Percent"/>
    <s v="Units"/>
    <x v="4"/>
    <n v="0.374"/>
  </r>
  <r>
    <n v="200"/>
    <x v="3"/>
    <x v="47"/>
    <x v="10"/>
    <s v="Percent"/>
    <s v="Units"/>
    <x v="5"/>
    <n v="0.373"/>
  </r>
  <r>
    <n v="200"/>
    <x v="3"/>
    <x v="47"/>
    <x v="10"/>
    <s v="Percent"/>
    <s v="Units"/>
    <x v="6"/>
    <n v="0.38200000000000001"/>
  </r>
  <r>
    <n v="400"/>
    <x v="11"/>
    <x v="47"/>
    <x v="10"/>
    <s v="Percent"/>
    <s v="Units"/>
    <x v="0"/>
    <n v="0.374"/>
  </r>
  <r>
    <n v="400"/>
    <x v="11"/>
    <x v="47"/>
    <x v="10"/>
    <s v="Percent"/>
    <s v="Units"/>
    <x v="1"/>
    <n v="0.375"/>
  </r>
  <r>
    <n v="400"/>
    <x v="11"/>
    <x v="47"/>
    <x v="10"/>
    <s v="Percent"/>
    <s v="Units"/>
    <x v="2"/>
    <n v="0.36699999999999999"/>
  </r>
  <r>
    <n v="400"/>
    <x v="11"/>
    <x v="47"/>
    <x v="10"/>
    <s v="Percent"/>
    <s v="Units"/>
    <x v="3"/>
    <n v="0.36599999999999999"/>
  </r>
  <r>
    <n v="400"/>
    <x v="11"/>
    <x v="47"/>
    <x v="10"/>
    <s v="Percent"/>
    <s v="Units"/>
    <x v="4"/>
    <n v="0.374"/>
  </r>
  <r>
    <n v="400"/>
    <x v="11"/>
    <x v="47"/>
    <x v="10"/>
    <s v="Percent"/>
    <s v="Units"/>
    <x v="5"/>
    <n v="0.373"/>
  </r>
  <r>
    <n v="400"/>
    <x v="11"/>
    <x v="47"/>
    <x v="10"/>
    <s v="Percent"/>
    <s v="Units"/>
    <x v="6"/>
    <n v="0.38200000000000001"/>
  </r>
  <r>
    <n v="110"/>
    <x v="0"/>
    <x v="0"/>
    <x v="13"/>
    <s v="Percent of potential GDP"/>
    <s v="Units"/>
    <x v="0"/>
    <n v="0.67400000000000004"/>
  </r>
  <r>
    <n v="110"/>
    <x v="0"/>
    <x v="0"/>
    <x v="13"/>
    <s v="Percent of potential GDP"/>
    <s v="Units"/>
    <x v="1"/>
    <n v="-2.5110000000000001"/>
  </r>
  <r>
    <n v="110"/>
    <x v="0"/>
    <x v="0"/>
    <x v="13"/>
    <s v="Percent of potential GDP"/>
    <s v="Units"/>
    <x v="2"/>
    <n v="1.466"/>
  </r>
  <r>
    <n v="110"/>
    <x v="0"/>
    <x v="0"/>
    <x v="13"/>
    <s v="Percent of potential GDP"/>
    <s v="Units"/>
    <x v="3"/>
    <n v="1.2509999999999999"/>
  </r>
  <r>
    <n v="110"/>
    <x v="0"/>
    <x v="0"/>
    <x v="13"/>
    <s v="Percent of potential GDP"/>
    <s v="Units"/>
    <x v="4"/>
    <n v="0.71299999999999997"/>
  </r>
  <r>
    <n v="110"/>
    <x v="0"/>
    <x v="0"/>
    <x v="13"/>
    <s v="Percent of potential GDP"/>
    <s v="Units"/>
    <x v="5"/>
    <n v="0.372"/>
  </r>
  <r>
    <n v="110"/>
    <x v="0"/>
    <x v="0"/>
    <x v="13"/>
    <s v="Percent of potential GDP"/>
    <s v="Units"/>
    <x v="6"/>
    <n v="6.8000000000000005E-2"/>
  </r>
  <r>
    <n v="119"/>
    <x v="1"/>
    <x v="0"/>
    <x v="13"/>
    <s v="Percent of potential GDP"/>
    <s v="Units"/>
    <x v="0"/>
    <n v="0.67400000000000004"/>
  </r>
  <r>
    <n v="119"/>
    <x v="1"/>
    <x v="0"/>
    <x v="13"/>
    <s v="Percent of potential GDP"/>
    <s v="Units"/>
    <x v="1"/>
    <n v="-2.5110000000000001"/>
  </r>
  <r>
    <n v="119"/>
    <x v="1"/>
    <x v="0"/>
    <x v="13"/>
    <s v="Percent of potential GDP"/>
    <s v="Units"/>
    <x v="2"/>
    <n v="1.466"/>
  </r>
  <r>
    <n v="119"/>
    <x v="1"/>
    <x v="0"/>
    <x v="13"/>
    <s v="Percent of potential GDP"/>
    <s v="Units"/>
    <x v="3"/>
    <n v="1.2509999999999999"/>
  </r>
  <r>
    <n v="119"/>
    <x v="1"/>
    <x v="0"/>
    <x v="13"/>
    <s v="Percent of potential GDP"/>
    <s v="Units"/>
    <x v="4"/>
    <n v="0.71299999999999997"/>
  </r>
  <r>
    <n v="119"/>
    <x v="1"/>
    <x v="0"/>
    <x v="13"/>
    <s v="Percent of potential GDP"/>
    <s v="Units"/>
    <x v="5"/>
    <n v="0.372"/>
  </r>
  <r>
    <n v="119"/>
    <x v="1"/>
    <x v="0"/>
    <x v="13"/>
    <s v="Percent of potential GDP"/>
    <s v="Units"/>
    <x v="6"/>
    <n v="6.8000000000000005E-2"/>
  </r>
  <r>
    <n v="110"/>
    <x v="0"/>
    <x v="27"/>
    <x v="10"/>
    <s v="Percent"/>
    <s v="Units"/>
    <x v="0"/>
    <n v="0.38200000000000001"/>
  </r>
  <r>
    <n v="110"/>
    <x v="0"/>
    <x v="27"/>
    <x v="10"/>
    <s v="Percent"/>
    <s v="Units"/>
    <x v="1"/>
    <n v="0.36699999999999999"/>
  </r>
  <r>
    <n v="110"/>
    <x v="0"/>
    <x v="27"/>
    <x v="10"/>
    <s v="Percent"/>
    <s v="Units"/>
    <x v="2"/>
    <n v="0.35899999999999999"/>
  </r>
  <r>
    <n v="110"/>
    <x v="0"/>
    <x v="27"/>
    <x v="10"/>
    <s v="Percent"/>
    <s v="Units"/>
    <x v="3"/>
    <n v="0.36399999999999999"/>
  </r>
  <r>
    <n v="110"/>
    <x v="0"/>
    <x v="27"/>
    <x v="10"/>
    <s v="Percent"/>
    <s v="Units"/>
    <x v="4"/>
    <n v="0.35099999999999998"/>
  </r>
  <r>
    <n v="110"/>
    <x v="0"/>
    <x v="27"/>
    <x v="10"/>
    <s v="Percent"/>
    <s v="Units"/>
    <x v="5"/>
    <n v="0.34200000000000003"/>
  </r>
  <r>
    <n v="110"/>
    <x v="0"/>
    <x v="27"/>
    <x v="10"/>
    <s v="Percent"/>
    <s v="Units"/>
    <x v="6"/>
    <n v="0.33600000000000002"/>
  </r>
  <r>
    <n v="998"/>
    <x v="6"/>
    <x v="27"/>
    <x v="10"/>
    <s v="Percent"/>
    <s v="Units"/>
    <x v="0"/>
    <n v="0.38200000000000001"/>
  </r>
  <r>
    <n v="998"/>
    <x v="6"/>
    <x v="27"/>
    <x v="10"/>
    <s v="Percent"/>
    <s v="Units"/>
    <x v="1"/>
    <n v="0.36699999999999999"/>
  </r>
  <r>
    <n v="998"/>
    <x v="6"/>
    <x v="27"/>
    <x v="10"/>
    <s v="Percent"/>
    <s v="Units"/>
    <x v="2"/>
    <n v="0.35899999999999999"/>
  </r>
  <r>
    <n v="998"/>
    <x v="6"/>
    <x v="27"/>
    <x v="10"/>
    <s v="Percent"/>
    <s v="Units"/>
    <x v="3"/>
    <n v="0.36399999999999999"/>
  </r>
  <r>
    <n v="998"/>
    <x v="6"/>
    <x v="27"/>
    <x v="10"/>
    <s v="Percent"/>
    <s v="Units"/>
    <x v="4"/>
    <n v="0.35099999999999998"/>
  </r>
  <r>
    <n v="998"/>
    <x v="6"/>
    <x v="27"/>
    <x v="10"/>
    <s v="Percent"/>
    <s v="Units"/>
    <x v="5"/>
    <n v="0.34200000000000003"/>
  </r>
  <r>
    <n v="998"/>
    <x v="6"/>
    <x v="27"/>
    <x v="10"/>
    <s v="Percent"/>
    <s v="Units"/>
    <x v="6"/>
    <n v="0.33600000000000002"/>
  </r>
  <r>
    <n v="200"/>
    <x v="3"/>
    <x v="43"/>
    <x v="10"/>
    <s v="Percent"/>
    <s v="Units"/>
    <x v="0"/>
    <n v="0.34899999999999998"/>
  </r>
  <r>
    <n v="200"/>
    <x v="3"/>
    <x v="43"/>
    <x v="10"/>
    <s v="Percent"/>
    <s v="Units"/>
    <x v="1"/>
    <n v="0.33800000000000002"/>
  </r>
  <r>
    <n v="200"/>
    <x v="3"/>
    <x v="43"/>
    <x v="10"/>
    <s v="Percent"/>
    <s v="Units"/>
    <x v="2"/>
    <n v="0.35299999999999998"/>
  </r>
  <r>
    <n v="200"/>
    <x v="3"/>
    <x v="43"/>
    <x v="10"/>
    <s v="Percent"/>
    <s v="Units"/>
    <x v="3"/>
    <n v="0.34899999999999998"/>
  </r>
  <r>
    <n v="200"/>
    <x v="3"/>
    <x v="43"/>
    <x v="10"/>
    <s v="Percent"/>
    <s v="Units"/>
    <x v="4"/>
    <n v="0.33900000000000002"/>
  </r>
  <r>
    <n v="200"/>
    <x v="3"/>
    <x v="43"/>
    <x v="10"/>
    <s v="Percent"/>
    <s v="Units"/>
    <x v="5"/>
    <n v="0.33500000000000002"/>
  </r>
  <r>
    <n v="200"/>
    <x v="3"/>
    <x v="43"/>
    <x v="10"/>
    <s v="Percent"/>
    <s v="Units"/>
    <x v="6"/>
    <n v="0.33300000000000002"/>
  </r>
  <r>
    <n v="205"/>
    <x v="7"/>
    <x v="43"/>
    <x v="10"/>
    <s v="Percent"/>
    <s v="Units"/>
    <x v="0"/>
    <n v="0.34899999999999998"/>
  </r>
  <r>
    <n v="205"/>
    <x v="7"/>
    <x v="43"/>
    <x v="10"/>
    <s v="Percent"/>
    <s v="Units"/>
    <x v="1"/>
    <n v="0.33800000000000002"/>
  </r>
  <r>
    <n v="205"/>
    <x v="7"/>
    <x v="43"/>
    <x v="10"/>
    <s v="Percent"/>
    <s v="Units"/>
    <x v="2"/>
    <n v="0.35299999999999998"/>
  </r>
  <r>
    <n v="205"/>
    <x v="7"/>
    <x v="43"/>
    <x v="10"/>
    <s v="Percent"/>
    <s v="Units"/>
    <x v="3"/>
    <n v="0.34899999999999998"/>
  </r>
  <r>
    <n v="205"/>
    <x v="7"/>
    <x v="43"/>
    <x v="10"/>
    <s v="Percent"/>
    <s v="Units"/>
    <x v="4"/>
    <n v="0.33900000000000002"/>
  </r>
  <r>
    <n v="205"/>
    <x v="7"/>
    <x v="43"/>
    <x v="10"/>
    <s v="Percent"/>
    <s v="Units"/>
    <x v="5"/>
    <n v="0.33500000000000002"/>
  </r>
  <r>
    <n v="205"/>
    <x v="7"/>
    <x v="43"/>
    <x v="10"/>
    <s v="Percent"/>
    <s v="Units"/>
    <x v="6"/>
    <n v="0.33300000000000002"/>
  </r>
  <r>
    <n v="200"/>
    <x v="3"/>
    <x v="64"/>
    <x v="0"/>
    <s v="U.S. dollars"/>
    <s v="Billions"/>
    <x v="0"/>
    <n v="0.217"/>
  </r>
  <r>
    <n v="200"/>
    <x v="3"/>
    <x v="64"/>
    <x v="0"/>
    <s v="U.S. dollars"/>
    <s v="Billions"/>
    <x v="1"/>
    <n v="0.224"/>
  </r>
  <r>
    <n v="200"/>
    <x v="3"/>
    <x v="64"/>
    <x v="0"/>
    <s v="U.S. dollars"/>
    <s v="Billions"/>
    <x v="2"/>
    <n v="0.28999999999999998"/>
  </r>
  <r>
    <n v="200"/>
    <x v="3"/>
    <x v="64"/>
    <x v="0"/>
    <s v="U.S. dollars"/>
    <s v="Billions"/>
    <x v="3"/>
    <n v="0.27100000000000002"/>
  </r>
  <r>
    <n v="200"/>
    <x v="3"/>
    <x v="64"/>
    <x v="0"/>
    <s v="U.S. dollars"/>
    <s v="Billions"/>
    <x v="4"/>
    <n v="0.27900000000000003"/>
  </r>
  <r>
    <n v="200"/>
    <x v="3"/>
    <x v="64"/>
    <x v="0"/>
    <s v="U.S. dollars"/>
    <s v="Billions"/>
    <x v="5"/>
    <n v="0.311"/>
  </r>
  <r>
    <n v="200"/>
    <x v="3"/>
    <x v="64"/>
    <x v="0"/>
    <s v="U.S. dollars"/>
    <s v="Billions"/>
    <x v="6"/>
    <n v="0.33200000000000002"/>
  </r>
  <r>
    <n v="1"/>
    <x v="2"/>
    <x v="64"/>
    <x v="0"/>
    <s v="U.S. dollars"/>
    <s v="Billions"/>
    <x v="0"/>
    <n v="0.217"/>
  </r>
  <r>
    <n v="1"/>
    <x v="2"/>
    <x v="64"/>
    <x v="0"/>
    <s v="U.S. dollars"/>
    <s v="Billions"/>
    <x v="1"/>
    <n v="0.224"/>
  </r>
  <r>
    <n v="1"/>
    <x v="2"/>
    <x v="64"/>
    <x v="0"/>
    <s v="U.S. dollars"/>
    <s v="Billions"/>
    <x v="2"/>
    <n v="0.28999999999999998"/>
  </r>
  <r>
    <n v="1"/>
    <x v="2"/>
    <x v="64"/>
    <x v="0"/>
    <s v="U.S. dollars"/>
    <s v="Billions"/>
    <x v="3"/>
    <n v="0.27100000000000002"/>
  </r>
  <r>
    <n v="1"/>
    <x v="2"/>
    <x v="64"/>
    <x v="0"/>
    <s v="U.S. dollars"/>
    <s v="Billions"/>
    <x v="4"/>
    <n v="0.27900000000000003"/>
  </r>
  <r>
    <n v="1"/>
    <x v="2"/>
    <x v="64"/>
    <x v="0"/>
    <s v="U.S. dollars"/>
    <s v="Billions"/>
    <x v="5"/>
    <n v="0.311"/>
  </r>
  <r>
    <n v="1"/>
    <x v="2"/>
    <x v="64"/>
    <x v="0"/>
    <s v="U.S. dollars"/>
    <s v="Billions"/>
    <x v="6"/>
    <n v="0.33200000000000002"/>
  </r>
  <r>
    <n v="505"/>
    <x v="4"/>
    <x v="64"/>
    <x v="0"/>
    <s v="U.S. dollars"/>
    <s v="Billions"/>
    <x v="0"/>
    <n v="0.217"/>
  </r>
  <r>
    <n v="505"/>
    <x v="4"/>
    <x v="64"/>
    <x v="0"/>
    <s v="U.S. dollars"/>
    <s v="Billions"/>
    <x v="1"/>
    <n v="0.224"/>
  </r>
  <r>
    <n v="505"/>
    <x v="4"/>
    <x v="64"/>
    <x v="0"/>
    <s v="U.S. dollars"/>
    <s v="Billions"/>
    <x v="2"/>
    <n v="0.28999999999999998"/>
  </r>
  <r>
    <n v="505"/>
    <x v="4"/>
    <x v="64"/>
    <x v="0"/>
    <s v="U.S. dollars"/>
    <s v="Billions"/>
    <x v="3"/>
    <n v="0.27100000000000002"/>
  </r>
  <r>
    <n v="505"/>
    <x v="4"/>
    <x v="64"/>
    <x v="0"/>
    <s v="U.S. dollars"/>
    <s v="Billions"/>
    <x v="4"/>
    <n v="0.27900000000000003"/>
  </r>
  <r>
    <n v="505"/>
    <x v="4"/>
    <x v="64"/>
    <x v="0"/>
    <s v="U.S. dollars"/>
    <s v="Billions"/>
    <x v="5"/>
    <n v="0.311"/>
  </r>
  <r>
    <n v="505"/>
    <x v="4"/>
    <x v="64"/>
    <x v="0"/>
    <s v="U.S. dollars"/>
    <s v="Billions"/>
    <x v="6"/>
    <n v="0.33200000000000002"/>
  </r>
  <r>
    <n v="1"/>
    <x v="2"/>
    <x v="88"/>
    <x v="0"/>
    <s v="U.S. dollars"/>
    <s v="Billions"/>
    <x v="0"/>
    <n v="0.28199999999999997"/>
  </r>
  <r>
    <n v="1"/>
    <x v="2"/>
    <x v="88"/>
    <x v="0"/>
    <s v="U.S. dollars"/>
    <s v="Billions"/>
    <x v="1"/>
    <n v="0.25800000000000001"/>
  </r>
  <r>
    <n v="1"/>
    <x v="2"/>
    <x v="88"/>
    <x v="0"/>
    <s v="U.S. dollars"/>
    <s v="Billions"/>
    <x v="2"/>
    <n v="0.23300000000000001"/>
  </r>
  <r>
    <n v="1"/>
    <x v="2"/>
    <x v="88"/>
    <x v="0"/>
    <s v="U.S. dollars"/>
    <s v="Billions"/>
    <x v="3"/>
    <n v="0.246"/>
  </r>
  <r>
    <n v="1"/>
    <x v="2"/>
    <x v="88"/>
    <x v="0"/>
    <s v="U.S. dollars"/>
    <s v="Billions"/>
    <x v="4"/>
    <n v="0.26700000000000002"/>
  </r>
  <r>
    <n v="1"/>
    <x v="2"/>
    <x v="88"/>
    <x v="0"/>
    <s v="U.S. dollars"/>
    <s v="Billions"/>
    <x v="5"/>
    <n v="0.308"/>
  </r>
  <r>
    <n v="1"/>
    <x v="2"/>
    <x v="88"/>
    <x v="0"/>
    <s v="U.S. dollars"/>
    <s v="Billions"/>
    <x v="6"/>
    <n v="0.35099999999999998"/>
  </r>
  <r>
    <n v="200"/>
    <x v="3"/>
    <x v="88"/>
    <x v="0"/>
    <s v="U.S. dollars"/>
    <s v="Billions"/>
    <x v="0"/>
    <n v="0.28199999999999997"/>
  </r>
  <r>
    <n v="200"/>
    <x v="3"/>
    <x v="88"/>
    <x v="0"/>
    <s v="U.S. dollars"/>
    <s v="Billions"/>
    <x v="1"/>
    <n v="0.25800000000000001"/>
  </r>
  <r>
    <n v="200"/>
    <x v="3"/>
    <x v="88"/>
    <x v="0"/>
    <s v="U.S. dollars"/>
    <s v="Billions"/>
    <x v="2"/>
    <n v="0.23300000000000001"/>
  </r>
  <r>
    <n v="200"/>
    <x v="3"/>
    <x v="88"/>
    <x v="0"/>
    <s v="U.S. dollars"/>
    <s v="Billions"/>
    <x v="3"/>
    <n v="0.246"/>
  </r>
  <r>
    <n v="200"/>
    <x v="3"/>
    <x v="88"/>
    <x v="0"/>
    <s v="U.S. dollars"/>
    <s v="Billions"/>
    <x v="4"/>
    <n v="0.26700000000000002"/>
  </r>
  <r>
    <n v="200"/>
    <x v="3"/>
    <x v="88"/>
    <x v="0"/>
    <s v="U.S. dollars"/>
    <s v="Billions"/>
    <x v="5"/>
    <n v="0.308"/>
  </r>
  <r>
    <n v="200"/>
    <x v="3"/>
    <x v="88"/>
    <x v="0"/>
    <s v="U.S. dollars"/>
    <s v="Billions"/>
    <x v="6"/>
    <n v="0.35099999999999998"/>
  </r>
  <r>
    <n v="505"/>
    <x v="4"/>
    <x v="88"/>
    <x v="0"/>
    <s v="U.S. dollars"/>
    <s v="Billions"/>
    <x v="0"/>
    <n v="0.28199999999999997"/>
  </r>
  <r>
    <n v="505"/>
    <x v="4"/>
    <x v="88"/>
    <x v="0"/>
    <s v="U.S. dollars"/>
    <s v="Billions"/>
    <x v="1"/>
    <n v="0.25800000000000001"/>
  </r>
  <r>
    <n v="505"/>
    <x v="4"/>
    <x v="88"/>
    <x v="0"/>
    <s v="U.S. dollars"/>
    <s v="Billions"/>
    <x v="2"/>
    <n v="0.23300000000000001"/>
  </r>
  <r>
    <n v="505"/>
    <x v="4"/>
    <x v="88"/>
    <x v="0"/>
    <s v="U.S. dollars"/>
    <s v="Billions"/>
    <x v="3"/>
    <n v="0.246"/>
  </r>
  <r>
    <n v="505"/>
    <x v="4"/>
    <x v="88"/>
    <x v="0"/>
    <s v="U.S. dollars"/>
    <s v="Billions"/>
    <x v="4"/>
    <n v="0.26700000000000002"/>
  </r>
  <r>
    <n v="505"/>
    <x v="4"/>
    <x v="88"/>
    <x v="0"/>
    <s v="U.S. dollars"/>
    <s v="Billions"/>
    <x v="5"/>
    <n v="0.308"/>
  </r>
  <r>
    <n v="505"/>
    <x v="4"/>
    <x v="88"/>
    <x v="0"/>
    <s v="U.S. dollars"/>
    <s v="Billions"/>
    <x v="6"/>
    <n v="0.35099999999999998"/>
  </r>
  <r>
    <n v="123"/>
    <x v="9"/>
    <x v="38"/>
    <x v="10"/>
    <s v="Percent"/>
    <s v="Units"/>
    <x v="0"/>
    <n v="0.34300000000000003"/>
  </r>
  <r>
    <n v="123"/>
    <x v="9"/>
    <x v="38"/>
    <x v="10"/>
    <s v="Percent"/>
    <s v="Units"/>
    <x v="1"/>
    <n v="0.33"/>
  </r>
  <r>
    <n v="123"/>
    <x v="9"/>
    <x v="38"/>
    <x v="10"/>
    <s v="Percent"/>
    <s v="Units"/>
    <x v="2"/>
    <n v="0.33"/>
  </r>
  <r>
    <n v="123"/>
    <x v="9"/>
    <x v="38"/>
    <x v="10"/>
    <s v="Percent"/>
    <s v="Units"/>
    <x v="3"/>
    <n v="0.307"/>
  </r>
  <r>
    <n v="123"/>
    <x v="9"/>
    <x v="38"/>
    <x v="10"/>
    <s v="Percent"/>
    <s v="Units"/>
    <x v="4"/>
    <n v="0.308"/>
  </r>
  <r>
    <n v="123"/>
    <x v="9"/>
    <x v="38"/>
    <x v="10"/>
    <s v="Percent"/>
    <s v="Units"/>
    <x v="5"/>
    <n v="0.307"/>
  </r>
  <r>
    <n v="123"/>
    <x v="9"/>
    <x v="38"/>
    <x v="10"/>
    <s v="Percent"/>
    <s v="Units"/>
    <x v="6"/>
    <n v="0.30599999999999999"/>
  </r>
  <r>
    <n v="110"/>
    <x v="0"/>
    <x v="38"/>
    <x v="10"/>
    <s v="Percent"/>
    <s v="Units"/>
    <x v="0"/>
    <n v="0.34300000000000003"/>
  </r>
  <r>
    <n v="110"/>
    <x v="0"/>
    <x v="38"/>
    <x v="10"/>
    <s v="Percent"/>
    <s v="Units"/>
    <x v="1"/>
    <n v="0.33"/>
  </r>
  <r>
    <n v="110"/>
    <x v="0"/>
    <x v="38"/>
    <x v="10"/>
    <s v="Percent"/>
    <s v="Units"/>
    <x v="2"/>
    <n v="0.33"/>
  </r>
  <r>
    <n v="110"/>
    <x v="0"/>
    <x v="38"/>
    <x v="10"/>
    <s v="Percent"/>
    <s v="Units"/>
    <x v="3"/>
    <n v="0.307"/>
  </r>
  <r>
    <n v="110"/>
    <x v="0"/>
    <x v="38"/>
    <x v="10"/>
    <s v="Percent"/>
    <s v="Units"/>
    <x v="4"/>
    <n v="0.308"/>
  </r>
  <r>
    <n v="110"/>
    <x v="0"/>
    <x v="38"/>
    <x v="10"/>
    <s v="Percent"/>
    <s v="Units"/>
    <x v="5"/>
    <n v="0.307"/>
  </r>
  <r>
    <n v="110"/>
    <x v="0"/>
    <x v="38"/>
    <x v="10"/>
    <s v="Percent"/>
    <s v="Units"/>
    <x v="6"/>
    <n v="0.30599999999999999"/>
  </r>
  <r>
    <n v="505"/>
    <x v="4"/>
    <x v="92"/>
    <x v="0"/>
    <s v="U.S. dollars"/>
    <s v="Billions"/>
    <x v="0"/>
    <n v="0.23200000000000001"/>
  </r>
  <r>
    <n v="505"/>
    <x v="4"/>
    <x v="92"/>
    <x v="0"/>
    <s v="U.S. dollars"/>
    <s v="Billions"/>
    <x v="1"/>
    <n v="0.24099999999999999"/>
  </r>
  <r>
    <n v="505"/>
    <x v="4"/>
    <x v="92"/>
    <x v="0"/>
    <s v="U.S. dollars"/>
    <s v="Billions"/>
    <x v="2"/>
    <n v="0.25800000000000001"/>
  </r>
  <r>
    <n v="505"/>
    <x v="4"/>
    <x v="92"/>
    <x v="0"/>
    <s v="U.S. dollars"/>
    <s v="Billions"/>
    <x v="3"/>
    <n v="0.25900000000000001"/>
  </r>
  <r>
    <n v="505"/>
    <x v="4"/>
    <x v="92"/>
    <x v="0"/>
    <s v="U.S. dollars"/>
    <s v="Billions"/>
    <x v="4"/>
    <n v="0.28399999999999997"/>
  </r>
  <r>
    <n v="505"/>
    <x v="4"/>
    <x v="92"/>
    <x v="0"/>
    <s v="U.S. dollars"/>
    <s v="Billions"/>
    <x v="5"/>
    <n v="0.30499999999999999"/>
  </r>
  <r>
    <n v="505"/>
    <x v="4"/>
    <x v="92"/>
    <x v="0"/>
    <s v="U.S. dollars"/>
    <s v="Billions"/>
    <x v="6"/>
    <n v="0.318"/>
  </r>
  <r>
    <n v="200"/>
    <x v="3"/>
    <x v="48"/>
    <x v="10"/>
    <s v="Percent"/>
    <s v="Units"/>
    <x v="0"/>
    <n v="0.32700000000000001"/>
  </r>
  <r>
    <n v="200"/>
    <x v="3"/>
    <x v="48"/>
    <x v="10"/>
    <s v="Percent"/>
    <s v="Units"/>
    <x v="1"/>
    <n v="0.3"/>
  </r>
  <r>
    <n v="200"/>
    <x v="3"/>
    <x v="48"/>
    <x v="10"/>
    <s v="Percent"/>
    <s v="Units"/>
    <x v="2"/>
    <n v="0.32"/>
  </r>
  <r>
    <n v="200"/>
    <x v="3"/>
    <x v="48"/>
    <x v="10"/>
    <s v="Percent"/>
    <s v="Units"/>
    <x v="3"/>
    <n v="0.318"/>
  </r>
  <r>
    <n v="200"/>
    <x v="3"/>
    <x v="48"/>
    <x v="10"/>
    <s v="Percent"/>
    <s v="Units"/>
    <x v="4"/>
    <n v="0.307"/>
  </r>
  <r>
    <n v="200"/>
    <x v="3"/>
    <x v="48"/>
    <x v="10"/>
    <s v="Percent"/>
    <s v="Units"/>
    <x v="5"/>
    <n v="0.30499999999999999"/>
  </r>
  <r>
    <n v="200"/>
    <x v="3"/>
    <x v="48"/>
    <x v="10"/>
    <s v="Percent"/>
    <s v="Units"/>
    <x v="6"/>
    <n v="0.30399999999999999"/>
  </r>
  <r>
    <n v="200"/>
    <x v="3"/>
    <x v="92"/>
    <x v="0"/>
    <s v="U.S. dollars"/>
    <s v="Billions"/>
    <x v="0"/>
    <n v="0.23200000000000001"/>
  </r>
  <r>
    <n v="200"/>
    <x v="3"/>
    <x v="92"/>
    <x v="0"/>
    <s v="U.S. dollars"/>
    <s v="Billions"/>
    <x v="1"/>
    <n v="0.24099999999999999"/>
  </r>
  <r>
    <n v="200"/>
    <x v="3"/>
    <x v="92"/>
    <x v="0"/>
    <s v="U.S. dollars"/>
    <s v="Billions"/>
    <x v="2"/>
    <n v="0.25800000000000001"/>
  </r>
  <r>
    <n v="200"/>
    <x v="3"/>
    <x v="92"/>
    <x v="0"/>
    <s v="U.S. dollars"/>
    <s v="Billions"/>
    <x v="3"/>
    <n v="0.25900000000000001"/>
  </r>
  <r>
    <n v="200"/>
    <x v="3"/>
    <x v="92"/>
    <x v="0"/>
    <s v="U.S. dollars"/>
    <s v="Billions"/>
    <x v="4"/>
    <n v="0.28399999999999997"/>
  </r>
  <r>
    <n v="200"/>
    <x v="3"/>
    <x v="92"/>
    <x v="0"/>
    <s v="U.S. dollars"/>
    <s v="Billions"/>
    <x v="5"/>
    <n v="0.30499999999999999"/>
  </r>
  <r>
    <n v="200"/>
    <x v="3"/>
    <x v="92"/>
    <x v="0"/>
    <s v="U.S. dollars"/>
    <s v="Billions"/>
    <x v="6"/>
    <n v="0.318"/>
  </r>
  <r>
    <n v="1"/>
    <x v="2"/>
    <x v="92"/>
    <x v="0"/>
    <s v="U.S. dollars"/>
    <s v="Billions"/>
    <x v="0"/>
    <n v="0.23200000000000001"/>
  </r>
  <r>
    <n v="1"/>
    <x v="2"/>
    <x v="92"/>
    <x v="0"/>
    <s v="U.S. dollars"/>
    <s v="Billions"/>
    <x v="1"/>
    <n v="0.24099999999999999"/>
  </r>
  <r>
    <n v="1"/>
    <x v="2"/>
    <x v="92"/>
    <x v="0"/>
    <s v="U.S. dollars"/>
    <s v="Billions"/>
    <x v="2"/>
    <n v="0.25800000000000001"/>
  </r>
  <r>
    <n v="1"/>
    <x v="2"/>
    <x v="92"/>
    <x v="0"/>
    <s v="U.S. dollars"/>
    <s v="Billions"/>
    <x v="3"/>
    <n v="0.25900000000000001"/>
  </r>
  <r>
    <n v="1"/>
    <x v="2"/>
    <x v="92"/>
    <x v="0"/>
    <s v="U.S. dollars"/>
    <s v="Billions"/>
    <x v="4"/>
    <n v="0.28399999999999997"/>
  </r>
  <r>
    <n v="1"/>
    <x v="2"/>
    <x v="92"/>
    <x v="0"/>
    <s v="U.S. dollars"/>
    <s v="Billions"/>
    <x v="5"/>
    <n v="0.30499999999999999"/>
  </r>
  <r>
    <n v="1"/>
    <x v="2"/>
    <x v="92"/>
    <x v="0"/>
    <s v="U.S. dollars"/>
    <s v="Billions"/>
    <x v="6"/>
    <n v="0.318"/>
  </r>
  <r>
    <n v="205"/>
    <x v="7"/>
    <x v="48"/>
    <x v="10"/>
    <s v="Percent"/>
    <s v="Units"/>
    <x v="0"/>
    <n v="0.32700000000000001"/>
  </r>
  <r>
    <n v="205"/>
    <x v="7"/>
    <x v="48"/>
    <x v="10"/>
    <s v="Percent"/>
    <s v="Units"/>
    <x v="1"/>
    <n v="0.3"/>
  </r>
  <r>
    <n v="205"/>
    <x v="7"/>
    <x v="48"/>
    <x v="10"/>
    <s v="Percent"/>
    <s v="Units"/>
    <x v="2"/>
    <n v="0.32"/>
  </r>
  <r>
    <n v="205"/>
    <x v="7"/>
    <x v="48"/>
    <x v="10"/>
    <s v="Percent"/>
    <s v="Units"/>
    <x v="3"/>
    <n v="0.318"/>
  </r>
  <r>
    <n v="205"/>
    <x v="7"/>
    <x v="48"/>
    <x v="10"/>
    <s v="Percent"/>
    <s v="Units"/>
    <x v="4"/>
    <n v="0.307"/>
  </r>
  <r>
    <n v="205"/>
    <x v="7"/>
    <x v="48"/>
    <x v="10"/>
    <s v="Percent"/>
    <s v="Units"/>
    <x v="5"/>
    <n v="0.30499999999999999"/>
  </r>
  <r>
    <n v="205"/>
    <x v="7"/>
    <x v="48"/>
    <x v="10"/>
    <s v="Percent"/>
    <s v="Units"/>
    <x v="6"/>
    <n v="0.30399999999999999"/>
  </r>
  <r>
    <n v="123"/>
    <x v="9"/>
    <x v="28"/>
    <x v="10"/>
    <s v="Percent"/>
    <s v="Units"/>
    <x v="0"/>
    <n v="0.28399999999999997"/>
  </r>
  <r>
    <n v="123"/>
    <x v="9"/>
    <x v="28"/>
    <x v="10"/>
    <s v="Percent"/>
    <s v="Units"/>
    <x v="1"/>
    <n v="0.28799999999999998"/>
  </r>
  <r>
    <n v="123"/>
    <x v="9"/>
    <x v="28"/>
    <x v="10"/>
    <s v="Percent"/>
    <s v="Units"/>
    <x v="2"/>
    <n v="0.29599999999999999"/>
  </r>
  <r>
    <n v="123"/>
    <x v="9"/>
    <x v="28"/>
    <x v="10"/>
    <s v="Percent"/>
    <s v="Units"/>
    <x v="3"/>
    <n v="0.30499999999999999"/>
  </r>
  <r>
    <n v="123"/>
    <x v="9"/>
    <x v="28"/>
    <x v="10"/>
    <s v="Percent"/>
    <s v="Units"/>
    <x v="4"/>
    <n v="0.30199999999999999"/>
  </r>
  <r>
    <n v="123"/>
    <x v="9"/>
    <x v="28"/>
    <x v="10"/>
    <s v="Percent"/>
    <s v="Units"/>
    <x v="5"/>
    <n v="0.29699999999999999"/>
  </r>
  <r>
    <n v="123"/>
    <x v="9"/>
    <x v="28"/>
    <x v="10"/>
    <s v="Percent"/>
    <s v="Units"/>
    <x v="6"/>
    <n v="0.30399999999999999"/>
  </r>
  <r>
    <n v="110"/>
    <x v="0"/>
    <x v="44"/>
    <x v="10"/>
    <s v="Percent"/>
    <s v="Units"/>
    <x v="0"/>
    <n v="0.33600000000000002"/>
  </r>
  <r>
    <n v="110"/>
    <x v="0"/>
    <x v="44"/>
    <x v="10"/>
    <s v="Percent"/>
    <s v="Units"/>
    <x v="1"/>
    <n v="0.32700000000000001"/>
  </r>
  <r>
    <n v="110"/>
    <x v="0"/>
    <x v="44"/>
    <x v="10"/>
    <s v="Percent"/>
    <s v="Units"/>
    <x v="2"/>
    <n v="0.318"/>
  </r>
  <r>
    <n v="110"/>
    <x v="0"/>
    <x v="44"/>
    <x v="10"/>
    <s v="Percent"/>
    <s v="Units"/>
    <x v="3"/>
    <n v="0.315"/>
  </r>
  <r>
    <n v="110"/>
    <x v="0"/>
    <x v="44"/>
    <x v="10"/>
    <s v="Percent"/>
    <s v="Units"/>
    <x v="4"/>
    <n v="0.30499999999999999"/>
  </r>
  <r>
    <n v="110"/>
    <x v="0"/>
    <x v="44"/>
    <x v="10"/>
    <s v="Percent"/>
    <s v="Units"/>
    <x v="5"/>
    <n v="0.29699999999999999"/>
  </r>
  <r>
    <n v="110"/>
    <x v="0"/>
    <x v="44"/>
    <x v="10"/>
    <s v="Percent"/>
    <s v="Units"/>
    <x v="6"/>
    <n v="0.29399999999999998"/>
  </r>
  <r>
    <n v="110"/>
    <x v="0"/>
    <x v="28"/>
    <x v="10"/>
    <s v="Percent"/>
    <s v="Units"/>
    <x v="0"/>
    <n v="0.28399999999999997"/>
  </r>
  <r>
    <n v="110"/>
    <x v="0"/>
    <x v="28"/>
    <x v="10"/>
    <s v="Percent"/>
    <s v="Units"/>
    <x v="1"/>
    <n v="0.28799999999999998"/>
  </r>
  <r>
    <n v="110"/>
    <x v="0"/>
    <x v="28"/>
    <x v="10"/>
    <s v="Percent"/>
    <s v="Units"/>
    <x v="2"/>
    <n v="0.29599999999999999"/>
  </r>
  <r>
    <n v="110"/>
    <x v="0"/>
    <x v="28"/>
    <x v="10"/>
    <s v="Percent"/>
    <s v="Units"/>
    <x v="3"/>
    <n v="0.30499999999999999"/>
  </r>
  <r>
    <n v="110"/>
    <x v="0"/>
    <x v="28"/>
    <x v="10"/>
    <s v="Percent"/>
    <s v="Units"/>
    <x v="4"/>
    <n v="0.30199999999999999"/>
  </r>
  <r>
    <n v="110"/>
    <x v="0"/>
    <x v="28"/>
    <x v="10"/>
    <s v="Percent"/>
    <s v="Units"/>
    <x v="5"/>
    <n v="0.29699999999999999"/>
  </r>
  <r>
    <n v="110"/>
    <x v="0"/>
    <x v="28"/>
    <x v="10"/>
    <s v="Percent"/>
    <s v="Units"/>
    <x v="6"/>
    <n v="0.30399999999999999"/>
  </r>
  <r>
    <n v="123"/>
    <x v="9"/>
    <x v="44"/>
    <x v="10"/>
    <s v="Percent"/>
    <s v="Units"/>
    <x v="0"/>
    <n v="0.33600000000000002"/>
  </r>
  <r>
    <n v="123"/>
    <x v="9"/>
    <x v="44"/>
    <x v="10"/>
    <s v="Percent"/>
    <s v="Units"/>
    <x v="1"/>
    <n v="0.32700000000000001"/>
  </r>
  <r>
    <n v="123"/>
    <x v="9"/>
    <x v="44"/>
    <x v="10"/>
    <s v="Percent"/>
    <s v="Units"/>
    <x v="2"/>
    <n v="0.318"/>
  </r>
  <r>
    <n v="123"/>
    <x v="9"/>
    <x v="44"/>
    <x v="10"/>
    <s v="Percent"/>
    <s v="Units"/>
    <x v="3"/>
    <n v="0.315"/>
  </r>
  <r>
    <n v="123"/>
    <x v="9"/>
    <x v="44"/>
    <x v="10"/>
    <s v="Percent"/>
    <s v="Units"/>
    <x v="4"/>
    <n v="0.30499999999999999"/>
  </r>
  <r>
    <n v="123"/>
    <x v="9"/>
    <x v="44"/>
    <x v="10"/>
    <s v="Percent"/>
    <s v="Units"/>
    <x v="5"/>
    <n v="0.29699999999999999"/>
  </r>
  <r>
    <n v="123"/>
    <x v="9"/>
    <x v="44"/>
    <x v="10"/>
    <s v="Percent"/>
    <s v="Units"/>
    <x v="6"/>
    <n v="0.29399999999999998"/>
  </r>
  <r>
    <n v="998"/>
    <x v="6"/>
    <x v="44"/>
    <x v="10"/>
    <s v="Percent"/>
    <s v="Units"/>
    <x v="0"/>
    <n v="0.33600000000000002"/>
  </r>
  <r>
    <n v="998"/>
    <x v="6"/>
    <x v="44"/>
    <x v="10"/>
    <s v="Percent"/>
    <s v="Units"/>
    <x v="1"/>
    <n v="0.32700000000000001"/>
  </r>
  <r>
    <n v="998"/>
    <x v="6"/>
    <x v="44"/>
    <x v="10"/>
    <s v="Percent"/>
    <s v="Units"/>
    <x v="2"/>
    <n v="0.318"/>
  </r>
  <r>
    <n v="998"/>
    <x v="6"/>
    <x v="44"/>
    <x v="10"/>
    <s v="Percent"/>
    <s v="Units"/>
    <x v="3"/>
    <n v="0.315"/>
  </r>
  <r>
    <n v="998"/>
    <x v="6"/>
    <x v="44"/>
    <x v="10"/>
    <s v="Percent"/>
    <s v="Units"/>
    <x v="4"/>
    <n v="0.30499999999999999"/>
  </r>
  <r>
    <n v="998"/>
    <x v="6"/>
    <x v="44"/>
    <x v="10"/>
    <s v="Percent"/>
    <s v="Units"/>
    <x v="5"/>
    <n v="0.29699999999999999"/>
  </r>
  <r>
    <n v="998"/>
    <x v="6"/>
    <x v="44"/>
    <x v="10"/>
    <s v="Percent"/>
    <s v="Units"/>
    <x v="6"/>
    <n v="0.29399999999999998"/>
  </r>
  <r>
    <n v="1"/>
    <x v="2"/>
    <x v="74"/>
    <x v="1"/>
    <s v="Percent change"/>
    <s v="Units"/>
    <x v="0"/>
    <n v="2.0960000000000001"/>
  </r>
  <r>
    <n v="1"/>
    <x v="2"/>
    <x v="74"/>
    <x v="1"/>
    <s v="Percent change"/>
    <s v="Units"/>
    <x v="1"/>
    <n v="0.72499999999999998"/>
  </r>
  <r>
    <n v="1"/>
    <x v="2"/>
    <x v="74"/>
    <x v="1"/>
    <s v="Percent change"/>
    <s v="Units"/>
    <x v="2"/>
    <n v="1.7270000000000001"/>
  </r>
  <r>
    <n v="1"/>
    <x v="2"/>
    <x v="74"/>
    <x v="1"/>
    <s v="Percent change"/>
    <s v="Units"/>
    <x v="3"/>
    <n v="8.2750000000000004"/>
  </r>
  <r>
    <n v="1"/>
    <x v="2"/>
    <x v="74"/>
    <x v="1"/>
    <s v="Percent change"/>
    <s v="Units"/>
    <x v="4"/>
    <n v="0.52500000000000002"/>
  </r>
  <r>
    <n v="1"/>
    <x v="2"/>
    <x v="74"/>
    <x v="1"/>
    <s v="Percent change"/>
    <s v="Units"/>
    <x v="5"/>
    <n v="0.28599999999999998"/>
  </r>
  <r>
    <n v="1"/>
    <x v="2"/>
    <x v="74"/>
    <x v="1"/>
    <s v="Percent change"/>
    <s v="Units"/>
    <x v="6"/>
    <n v="2.9169999999999998"/>
  </r>
  <r>
    <n v="205"/>
    <x v="7"/>
    <x v="74"/>
    <x v="1"/>
    <s v="Percent change"/>
    <s v="Units"/>
    <x v="0"/>
    <n v="2.0960000000000001"/>
  </r>
  <r>
    <n v="205"/>
    <x v="7"/>
    <x v="74"/>
    <x v="1"/>
    <s v="Percent change"/>
    <s v="Units"/>
    <x v="1"/>
    <n v="0.72499999999999998"/>
  </r>
  <r>
    <n v="205"/>
    <x v="7"/>
    <x v="74"/>
    <x v="1"/>
    <s v="Percent change"/>
    <s v="Units"/>
    <x v="2"/>
    <n v="1.7270000000000001"/>
  </r>
  <r>
    <n v="205"/>
    <x v="7"/>
    <x v="74"/>
    <x v="1"/>
    <s v="Percent change"/>
    <s v="Units"/>
    <x v="3"/>
    <n v="8.2750000000000004"/>
  </r>
  <r>
    <n v="205"/>
    <x v="7"/>
    <x v="74"/>
    <x v="1"/>
    <s v="Percent change"/>
    <s v="Units"/>
    <x v="4"/>
    <n v="0.52500000000000002"/>
  </r>
  <r>
    <n v="205"/>
    <x v="7"/>
    <x v="74"/>
    <x v="1"/>
    <s v="Percent change"/>
    <s v="Units"/>
    <x v="5"/>
    <n v="0.28599999999999998"/>
  </r>
  <r>
    <n v="205"/>
    <x v="7"/>
    <x v="74"/>
    <x v="1"/>
    <s v="Percent change"/>
    <s v="Units"/>
    <x v="6"/>
    <n v="2.9169999999999998"/>
  </r>
  <r>
    <n v="400"/>
    <x v="11"/>
    <x v="50"/>
    <x v="10"/>
    <s v="Percent"/>
    <s v="Units"/>
    <x v="0"/>
    <n v="0.34300000000000003"/>
  </r>
  <r>
    <n v="400"/>
    <x v="11"/>
    <x v="50"/>
    <x v="10"/>
    <s v="Percent"/>
    <s v="Units"/>
    <x v="1"/>
    <n v="0.31"/>
  </r>
  <r>
    <n v="400"/>
    <x v="11"/>
    <x v="50"/>
    <x v="10"/>
    <s v="Percent"/>
    <s v="Units"/>
    <x v="2"/>
    <n v="0.29599999999999999"/>
  </r>
  <r>
    <n v="400"/>
    <x v="11"/>
    <x v="50"/>
    <x v="10"/>
    <s v="Percent"/>
    <s v="Units"/>
    <x v="3"/>
    <n v="0.307"/>
  </r>
  <r>
    <n v="400"/>
    <x v="11"/>
    <x v="50"/>
    <x v="10"/>
    <s v="Percent"/>
    <s v="Units"/>
    <x v="4"/>
    <n v="0.29099999999999998"/>
  </r>
  <r>
    <n v="400"/>
    <x v="11"/>
    <x v="50"/>
    <x v="10"/>
    <s v="Percent"/>
    <s v="Units"/>
    <x v="5"/>
    <n v="0.28599999999999998"/>
  </r>
  <r>
    <n v="400"/>
    <x v="11"/>
    <x v="50"/>
    <x v="10"/>
    <s v="Percent"/>
    <s v="Units"/>
    <x v="6"/>
    <n v="0.29199999999999998"/>
  </r>
  <r>
    <n v="200"/>
    <x v="3"/>
    <x v="50"/>
    <x v="10"/>
    <s v="Percent"/>
    <s v="Units"/>
    <x v="0"/>
    <n v="0.34300000000000003"/>
  </r>
  <r>
    <n v="200"/>
    <x v="3"/>
    <x v="50"/>
    <x v="10"/>
    <s v="Percent"/>
    <s v="Units"/>
    <x v="1"/>
    <n v="0.31"/>
  </r>
  <r>
    <n v="200"/>
    <x v="3"/>
    <x v="50"/>
    <x v="10"/>
    <s v="Percent"/>
    <s v="Units"/>
    <x v="2"/>
    <n v="0.29599999999999999"/>
  </r>
  <r>
    <n v="200"/>
    <x v="3"/>
    <x v="50"/>
    <x v="10"/>
    <s v="Percent"/>
    <s v="Units"/>
    <x v="3"/>
    <n v="0.307"/>
  </r>
  <r>
    <n v="200"/>
    <x v="3"/>
    <x v="50"/>
    <x v="10"/>
    <s v="Percent"/>
    <s v="Units"/>
    <x v="4"/>
    <n v="0.29099999999999998"/>
  </r>
  <r>
    <n v="200"/>
    <x v="3"/>
    <x v="50"/>
    <x v="10"/>
    <s v="Percent"/>
    <s v="Units"/>
    <x v="5"/>
    <n v="0.28599999999999998"/>
  </r>
  <r>
    <n v="200"/>
    <x v="3"/>
    <x v="50"/>
    <x v="10"/>
    <s v="Percent"/>
    <s v="Units"/>
    <x v="6"/>
    <n v="0.29199999999999998"/>
  </r>
  <r>
    <n v="200"/>
    <x v="3"/>
    <x v="74"/>
    <x v="1"/>
    <s v="Percent change"/>
    <s v="Units"/>
    <x v="0"/>
    <n v="2.0960000000000001"/>
  </r>
  <r>
    <n v="200"/>
    <x v="3"/>
    <x v="74"/>
    <x v="1"/>
    <s v="Percent change"/>
    <s v="Units"/>
    <x v="1"/>
    <n v="0.72499999999999998"/>
  </r>
  <r>
    <n v="200"/>
    <x v="3"/>
    <x v="74"/>
    <x v="1"/>
    <s v="Percent change"/>
    <s v="Units"/>
    <x v="2"/>
    <n v="1.7270000000000001"/>
  </r>
  <r>
    <n v="200"/>
    <x v="3"/>
    <x v="74"/>
    <x v="1"/>
    <s v="Percent change"/>
    <s v="Units"/>
    <x v="3"/>
    <n v="8.2750000000000004"/>
  </r>
  <r>
    <n v="200"/>
    <x v="3"/>
    <x v="74"/>
    <x v="1"/>
    <s v="Percent change"/>
    <s v="Units"/>
    <x v="4"/>
    <n v="0.52500000000000002"/>
  </r>
  <r>
    <n v="200"/>
    <x v="3"/>
    <x v="74"/>
    <x v="1"/>
    <s v="Percent change"/>
    <s v="Units"/>
    <x v="5"/>
    <n v="0.28599999999999998"/>
  </r>
  <r>
    <n v="200"/>
    <x v="3"/>
    <x v="74"/>
    <x v="1"/>
    <s v="Percent change"/>
    <s v="Units"/>
    <x v="6"/>
    <n v="2.9169999999999998"/>
  </r>
  <r>
    <n v="110"/>
    <x v="0"/>
    <x v="8"/>
    <x v="13"/>
    <s v="Percent of potential GDP"/>
    <s v="Units"/>
    <x v="0"/>
    <n v="-1.25"/>
  </r>
  <r>
    <n v="110"/>
    <x v="0"/>
    <x v="8"/>
    <x v="13"/>
    <s v="Percent of potential GDP"/>
    <s v="Units"/>
    <x v="1"/>
    <n v="-5.8890000000000002"/>
  </r>
  <r>
    <n v="110"/>
    <x v="0"/>
    <x v="8"/>
    <x v="13"/>
    <s v="Percent of potential GDP"/>
    <s v="Units"/>
    <x v="2"/>
    <n v="-3.0630000000000002"/>
  </r>
  <r>
    <n v="110"/>
    <x v="0"/>
    <x v="8"/>
    <x v="13"/>
    <s v="Percent of potential GDP"/>
    <s v="Units"/>
    <x v="3"/>
    <n v="0.10100000000000001"/>
  </r>
  <r>
    <n v="110"/>
    <x v="0"/>
    <x v="8"/>
    <x v="13"/>
    <s v="Percent of potential GDP"/>
    <s v="Units"/>
    <x v="4"/>
    <n v="0.32"/>
  </r>
  <r>
    <n v="110"/>
    <x v="0"/>
    <x v="8"/>
    <x v="13"/>
    <s v="Percent of potential GDP"/>
    <s v="Units"/>
    <x v="5"/>
    <n v="0.27900000000000003"/>
  </r>
  <r>
    <n v="110"/>
    <x v="0"/>
    <x v="8"/>
    <x v="13"/>
    <s v="Percent of potential GDP"/>
    <s v="Units"/>
    <x v="6"/>
    <n v="0.23400000000000001"/>
  </r>
  <r>
    <n v="163"/>
    <x v="5"/>
    <x v="8"/>
    <x v="13"/>
    <s v="Percent of potential GDP"/>
    <s v="Units"/>
    <x v="0"/>
    <n v="-1.25"/>
  </r>
  <r>
    <n v="163"/>
    <x v="5"/>
    <x v="8"/>
    <x v="13"/>
    <s v="Percent of potential GDP"/>
    <s v="Units"/>
    <x v="1"/>
    <n v="-5.8890000000000002"/>
  </r>
  <r>
    <n v="163"/>
    <x v="5"/>
    <x v="8"/>
    <x v="13"/>
    <s v="Percent of potential GDP"/>
    <s v="Units"/>
    <x v="2"/>
    <n v="-3.0630000000000002"/>
  </r>
  <r>
    <n v="163"/>
    <x v="5"/>
    <x v="8"/>
    <x v="13"/>
    <s v="Percent of potential GDP"/>
    <s v="Units"/>
    <x v="3"/>
    <n v="0.10100000000000001"/>
  </r>
  <r>
    <n v="163"/>
    <x v="5"/>
    <x v="8"/>
    <x v="13"/>
    <s v="Percent of potential GDP"/>
    <s v="Units"/>
    <x v="4"/>
    <n v="0.32"/>
  </r>
  <r>
    <n v="163"/>
    <x v="5"/>
    <x v="8"/>
    <x v="13"/>
    <s v="Percent of potential GDP"/>
    <s v="Units"/>
    <x v="5"/>
    <n v="0.27900000000000003"/>
  </r>
  <r>
    <n v="163"/>
    <x v="5"/>
    <x v="8"/>
    <x v="13"/>
    <s v="Percent of potential GDP"/>
    <s v="Units"/>
    <x v="6"/>
    <n v="0.23400000000000001"/>
  </r>
  <r>
    <n v="119"/>
    <x v="1"/>
    <x v="8"/>
    <x v="13"/>
    <s v="Percent of potential GDP"/>
    <s v="Units"/>
    <x v="0"/>
    <n v="-1.25"/>
  </r>
  <r>
    <n v="119"/>
    <x v="1"/>
    <x v="8"/>
    <x v="13"/>
    <s v="Percent of potential GDP"/>
    <s v="Units"/>
    <x v="1"/>
    <n v="-5.8890000000000002"/>
  </r>
  <r>
    <n v="119"/>
    <x v="1"/>
    <x v="8"/>
    <x v="13"/>
    <s v="Percent of potential GDP"/>
    <s v="Units"/>
    <x v="2"/>
    <n v="-3.0630000000000002"/>
  </r>
  <r>
    <n v="119"/>
    <x v="1"/>
    <x v="8"/>
    <x v="13"/>
    <s v="Percent of potential GDP"/>
    <s v="Units"/>
    <x v="3"/>
    <n v="0.10100000000000001"/>
  </r>
  <r>
    <n v="119"/>
    <x v="1"/>
    <x v="8"/>
    <x v="13"/>
    <s v="Percent of potential GDP"/>
    <s v="Units"/>
    <x v="4"/>
    <n v="0.32"/>
  </r>
  <r>
    <n v="119"/>
    <x v="1"/>
    <x v="8"/>
    <x v="13"/>
    <s v="Percent of potential GDP"/>
    <s v="Units"/>
    <x v="5"/>
    <n v="0.27900000000000003"/>
  </r>
  <r>
    <n v="119"/>
    <x v="1"/>
    <x v="8"/>
    <x v="13"/>
    <s v="Percent of potential GDP"/>
    <s v="Units"/>
    <x v="6"/>
    <n v="0.23400000000000001"/>
  </r>
  <r>
    <n v="200"/>
    <x v="3"/>
    <x v="57"/>
    <x v="10"/>
    <s v="Percent"/>
    <s v="Units"/>
    <x v="0"/>
    <n v="0.41199999999999998"/>
  </r>
  <r>
    <n v="200"/>
    <x v="3"/>
    <x v="57"/>
    <x v="10"/>
    <s v="Percent"/>
    <s v="Units"/>
    <x v="1"/>
    <n v="0.40899999999999997"/>
  </r>
  <r>
    <n v="200"/>
    <x v="3"/>
    <x v="57"/>
    <x v="10"/>
    <s v="Percent"/>
    <s v="Units"/>
    <x v="2"/>
    <n v="0.39700000000000002"/>
  </r>
  <r>
    <n v="200"/>
    <x v="3"/>
    <x v="57"/>
    <x v="10"/>
    <s v="Percent"/>
    <s v="Units"/>
    <x v="3"/>
    <n v="0.27300000000000002"/>
  </r>
  <r>
    <n v="200"/>
    <x v="3"/>
    <x v="57"/>
    <x v="10"/>
    <s v="Percent"/>
    <s v="Units"/>
    <x v="4"/>
    <n v="0.27800000000000002"/>
  </r>
  <r>
    <n v="200"/>
    <x v="3"/>
    <x v="57"/>
    <x v="10"/>
    <s v="Percent"/>
    <s v="Units"/>
    <x v="5"/>
    <n v="0.27800000000000002"/>
  </r>
  <r>
    <n v="200"/>
    <x v="3"/>
    <x v="57"/>
    <x v="10"/>
    <s v="Percent"/>
    <s v="Units"/>
    <x v="6"/>
    <n v="0.28699999999999998"/>
  </r>
  <r>
    <n v="903"/>
    <x v="8"/>
    <x v="57"/>
    <x v="10"/>
    <s v="Percent"/>
    <s v="Units"/>
    <x v="0"/>
    <n v="0.41199999999999998"/>
  </r>
  <r>
    <n v="903"/>
    <x v="8"/>
    <x v="57"/>
    <x v="10"/>
    <s v="Percent"/>
    <s v="Units"/>
    <x v="1"/>
    <n v="0.40899999999999997"/>
  </r>
  <r>
    <n v="903"/>
    <x v="8"/>
    <x v="57"/>
    <x v="10"/>
    <s v="Percent"/>
    <s v="Units"/>
    <x v="2"/>
    <n v="0.39700000000000002"/>
  </r>
  <r>
    <n v="903"/>
    <x v="8"/>
    <x v="57"/>
    <x v="10"/>
    <s v="Percent"/>
    <s v="Units"/>
    <x v="3"/>
    <n v="0.27300000000000002"/>
  </r>
  <r>
    <n v="903"/>
    <x v="8"/>
    <x v="57"/>
    <x v="10"/>
    <s v="Percent"/>
    <s v="Units"/>
    <x v="4"/>
    <n v="0.27800000000000002"/>
  </r>
  <r>
    <n v="903"/>
    <x v="8"/>
    <x v="57"/>
    <x v="10"/>
    <s v="Percent"/>
    <s v="Units"/>
    <x v="5"/>
    <n v="0.27800000000000002"/>
  </r>
  <r>
    <n v="903"/>
    <x v="8"/>
    <x v="57"/>
    <x v="10"/>
    <s v="Percent"/>
    <s v="Units"/>
    <x v="6"/>
    <n v="0.28699999999999998"/>
  </r>
  <r>
    <n v="200"/>
    <x v="3"/>
    <x v="151"/>
    <x v="9"/>
    <s v="Percent of GDP"/>
    <s v="Units"/>
    <x v="0"/>
    <n v="0.91500000000000004"/>
  </r>
  <r>
    <n v="200"/>
    <x v="3"/>
    <x v="151"/>
    <x v="9"/>
    <s v="Percent of GDP"/>
    <s v="Units"/>
    <x v="1"/>
    <n v="-3.105"/>
  </r>
  <r>
    <n v="200"/>
    <x v="3"/>
    <x v="151"/>
    <x v="9"/>
    <s v="Percent of GDP"/>
    <s v="Units"/>
    <x v="2"/>
    <n v="0.91800000000000004"/>
  </r>
  <r>
    <n v="200"/>
    <x v="3"/>
    <x v="151"/>
    <x v="9"/>
    <s v="Percent of GDP"/>
    <s v="Units"/>
    <x v="3"/>
    <n v="0.28299999999999997"/>
  </r>
  <r>
    <n v="200"/>
    <x v="3"/>
    <x v="151"/>
    <x v="9"/>
    <s v="Percent of GDP"/>
    <s v="Units"/>
    <x v="4"/>
    <n v="0.27600000000000002"/>
  </r>
  <r>
    <n v="200"/>
    <x v="3"/>
    <x v="151"/>
    <x v="9"/>
    <s v="Percent of GDP"/>
    <s v="Units"/>
    <x v="5"/>
    <n v="0.26500000000000001"/>
  </r>
  <r>
    <n v="200"/>
    <x v="3"/>
    <x v="151"/>
    <x v="9"/>
    <s v="Percent of GDP"/>
    <s v="Units"/>
    <x v="6"/>
    <n v="0.42099999999999999"/>
  </r>
  <r>
    <n v="205"/>
    <x v="7"/>
    <x v="151"/>
    <x v="9"/>
    <s v="Percent of GDP"/>
    <s v="Units"/>
    <x v="0"/>
    <n v="0.91500000000000004"/>
  </r>
  <r>
    <n v="205"/>
    <x v="7"/>
    <x v="151"/>
    <x v="9"/>
    <s v="Percent of GDP"/>
    <s v="Units"/>
    <x v="1"/>
    <n v="-3.105"/>
  </r>
  <r>
    <n v="205"/>
    <x v="7"/>
    <x v="151"/>
    <x v="9"/>
    <s v="Percent of GDP"/>
    <s v="Units"/>
    <x v="2"/>
    <n v="0.91800000000000004"/>
  </r>
  <r>
    <n v="205"/>
    <x v="7"/>
    <x v="151"/>
    <x v="9"/>
    <s v="Percent of GDP"/>
    <s v="Units"/>
    <x v="3"/>
    <n v="0.28299999999999997"/>
  </r>
  <r>
    <n v="205"/>
    <x v="7"/>
    <x v="151"/>
    <x v="9"/>
    <s v="Percent of GDP"/>
    <s v="Units"/>
    <x v="4"/>
    <n v="0.27600000000000002"/>
  </r>
  <r>
    <n v="205"/>
    <x v="7"/>
    <x v="151"/>
    <x v="9"/>
    <s v="Percent of GDP"/>
    <s v="Units"/>
    <x v="5"/>
    <n v="0.26500000000000001"/>
  </r>
  <r>
    <n v="205"/>
    <x v="7"/>
    <x v="151"/>
    <x v="9"/>
    <s v="Percent of GDP"/>
    <s v="Units"/>
    <x v="6"/>
    <n v="0.42099999999999999"/>
  </r>
  <r>
    <n v="110"/>
    <x v="0"/>
    <x v="46"/>
    <x v="10"/>
    <s v="Percent"/>
    <s v="Units"/>
    <x v="0"/>
    <n v="0.27600000000000002"/>
  </r>
  <r>
    <n v="110"/>
    <x v="0"/>
    <x v="46"/>
    <x v="10"/>
    <s v="Percent"/>
    <s v="Units"/>
    <x v="1"/>
    <n v="0.26"/>
  </r>
  <r>
    <n v="110"/>
    <x v="0"/>
    <x v="46"/>
    <x v="10"/>
    <s v="Percent"/>
    <s v="Units"/>
    <x v="2"/>
    <n v="0.25900000000000001"/>
  </r>
  <r>
    <n v="110"/>
    <x v="0"/>
    <x v="46"/>
    <x v="10"/>
    <s v="Percent"/>
    <s v="Units"/>
    <x v="3"/>
    <n v="0.26700000000000002"/>
  </r>
  <r>
    <n v="110"/>
    <x v="0"/>
    <x v="46"/>
    <x v="10"/>
    <s v="Percent"/>
    <s v="Units"/>
    <x v="4"/>
    <n v="0.26500000000000001"/>
  </r>
  <r>
    <n v="110"/>
    <x v="0"/>
    <x v="46"/>
    <x v="10"/>
    <s v="Percent"/>
    <s v="Units"/>
    <x v="5"/>
    <n v="0.26200000000000001"/>
  </r>
  <r>
    <n v="110"/>
    <x v="0"/>
    <x v="46"/>
    <x v="10"/>
    <s v="Percent"/>
    <s v="Units"/>
    <x v="6"/>
    <n v="0.25900000000000001"/>
  </r>
  <r>
    <n v="998"/>
    <x v="6"/>
    <x v="46"/>
    <x v="10"/>
    <s v="Percent"/>
    <s v="Units"/>
    <x v="0"/>
    <n v="0.27600000000000002"/>
  </r>
  <r>
    <n v="998"/>
    <x v="6"/>
    <x v="46"/>
    <x v="10"/>
    <s v="Percent"/>
    <s v="Units"/>
    <x v="1"/>
    <n v="0.26"/>
  </r>
  <r>
    <n v="998"/>
    <x v="6"/>
    <x v="46"/>
    <x v="10"/>
    <s v="Percent"/>
    <s v="Units"/>
    <x v="2"/>
    <n v="0.25900000000000001"/>
  </r>
  <r>
    <n v="998"/>
    <x v="6"/>
    <x v="46"/>
    <x v="10"/>
    <s v="Percent"/>
    <s v="Units"/>
    <x v="3"/>
    <n v="0.26700000000000002"/>
  </r>
  <r>
    <n v="998"/>
    <x v="6"/>
    <x v="46"/>
    <x v="10"/>
    <s v="Percent"/>
    <s v="Units"/>
    <x v="4"/>
    <n v="0.26500000000000001"/>
  </r>
  <r>
    <n v="998"/>
    <x v="6"/>
    <x v="46"/>
    <x v="10"/>
    <s v="Percent"/>
    <s v="Units"/>
    <x v="5"/>
    <n v="0.26200000000000001"/>
  </r>
  <r>
    <n v="998"/>
    <x v="6"/>
    <x v="46"/>
    <x v="10"/>
    <s v="Percent"/>
    <s v="Units"/>
    <x v="6"/>
    <n v="0.25900000000000001"/>
  </r>
  <r>
    <n v="998"/>
    <x v="6"/>
    <x v="37"/>
    <x v="10"/>
    <s v="Percent"/>
    <s v="Units"/>
    <x v="0"/>
    <n v="0.254"/>
  </r>
  <r>
    <n v="998"/>
    <x v="6"/>
    <x v="37"/>
    <x v="10"/>
    <s v="Percent"/>
    <s v="Units"/>
    <x v="1"/>
    <n v="0.255"/>
  </r>
  <r>
    <n v="998"/>
    <x v="6"/>
    <x v="37"/>
    <x v="10"/>
    <s v="Percent"/>
    <s v="Units"/>
    <x v="2"/>
    <n v="0.25600000000000001"/>
  </r>
  <r>
    <n v="998"/>
    <x v="6"/>
    <x v="37"/>
    <x v="10"/>
    <s v="Percent"/>
    <s v="Units"/>
    <x v="3"/>
    <n v="0.254"/>
  </r>
  <r>
    <n v="998"/>
    <x v="6"/>
    <x v="37"/>
    <x v="10"/>
    <s v="Percent"/>
    <s v="Units"/>
    <x v="4"/>
    <n v="0.251"/>
  </r>
  <r>
    <n v="998"/>
    <x v="6"/>
    <x v="37"/>
    <x v="10"/>
    <s v="Percent"/>
    <s v="Units"/>
    <x v="5"/>
    <n v="0.249"/>
  </r>
  <r>
    <n v="998"/>
    <x v="6"/>
    <x v="37"/>
    <x v="10"/>
    <s v="Percent"/>
    <s v="Units"/>
    <x v="6"/>
    <n v="0.245"/>
  </r>
  <r>
    <n v="123"/>
    <x v="9"/>
    <x v="37"/>
    <x v="10"/>
    <s v="Percent"/>
    <s v="Units"/>
    <x v="0"/>
    <n v="0.254"/>
  </r>
  <r>
    <n v="123"/>
    <x v="9"/>
    <x v="37"/>
    <x v="10"/>
    <s v="Percent"/>
    <s v="Units"/>
    <x v="1"/>
    <n v="0.255"/>
  </r>
  <r>
    <n v="123"/>
    <x v="9"/>
    <x v="37"/>
    <x v="10"/>
    <s v="Percent"/>
    <s v="Units"/>
    <x v="2"/>
    <n v="0.25600000000000001"/>
  </r>
  <r>
    <n v="123"/>
    <x v="9"/>
    <x v="37"/>
    <x v="10"/>
    <s v="Percent"/>
    <s v="Units"/>
    <x v="3"/>
    <n v="0.254"/>
  </r>
  <r>
    <n v="123"/>
    <x v="9"/>
    <x v="37"/>
    <x v="10"/>
    <s v="Percent"/>
    <s v="Units"/>
    <x v="4"/>
    <n v="0.251"/>
  </r>
  <r>
    <n v="123"/>
    <x v="9"/>
    <x v="37"/>
    <x v="10"/>
    <s v="Percent"/>
    <s v="Units"/>
    <x v="5"/>
    <n v="0.249"/>
  </r>
  <r>
    <n v="123"/>
    <x v="9"/>
    <x v="37"/>
    <x v="10"/>
    <s v="Percent"/>
    <s v="Units"/>
    <x v="6"/>
    <n v="0.245"/>
  </r>
  <r>
    <n v="110"/>
    <x v="0"/>
    <x v="37"/>
    <x v="10"/>
    <s v="Percent"/>
    <s v="Units"/>
    <x v="0"/>
    <n v="0.254"/>
  </r>
  <r>
    <n v="110"/>
    <x v="0"/>
    <x v="37"/>
    <x v="10"/>
    <s v="Percent"/>
    <s v="Units"/>
    <x v="1"/>
    <n v="0.255"/>
  </r>
  <r>
    <n v="110"/>
    <x v="0"/>
    <x v="37"/>
    <x v="10"/>
    <s v="Percent"/>
    <s v="Units"/>
    <x v="2"/>
    <n v="0.25600000000000001"/>
  </r>
  <r>
    <n v="110"/>
    <x v="0"/>
    <x v="37"/>
    <x v="10"/>
    <s v="Percent"/>
    <s v="Units"/>
    <x v="3"/>
    <n v="0.254"/>
  </r>
  <r>
    <n v="110"/>
    <x v="0"/>
    <x v="37"/>
    <x v="10"/>
    <s v="Percent"/>
    <s v="Units"/>
    <x v="4"/>
    <n v="0.251"/>
  </r>
  <r>
    <n v="110"/>
    <x v="0"/>
    <x v="37"/>
    <x v="10"/>
    <s v="Percent"/>
    <s v="Units"/>
    <x v="5"/>
    <n v="0.249"/>
  </r>
  <r>
    <n v="110"/>
    <x v="0"/>
    <x v="37"/>
    <x v="10"/>
    <s v="Percent"/>
    <s v="Units"/>
    <x v="6"/>
    <n v="0.245"/>
  </r>
  <r>
    <n v="123"/>
    <x v="9"/>
    <x v="30"/>
    <x v="10"/>
    <s v="Percent"/>
    <s v="Units"/>
    <x v="0"/>
    <n v="0.26200000000000001"/>
  </r>
  <r>
    <n v="123"/>
    <x v="9"/>
    <x v="30"/>
    <x v="10"/>
    <s v="Percent"/>
    <s v="Units"/>
    <x v="1"/>
    <n v="0.26600000000000001"/>
  </r>
  <r>
    <n v="123"/>
    <x v="9"/>
    <x v="30"/>
    <x v="10"/>
    <s v="Percent"/>
    <s v="Units"/>
    <x v="2"/>
    <n v="0.26"/>
  </r>
  <r>
    <n v="123"/>
    <x v="9"/>
    <x v="30"/>
    <x v="10"/>
    <s v="Percent"/>
    <s v="Units"/>
    <x v="3"/>
    <n v="0.25900000000000001"/>
  </r>
  <r>
    <n v="123"/>
    <x v="9"/>
    <x v="30"/>
    <x v="10"/>
    <s v="Percent"/>
    <s v="Units"/>
    <x v="4"/>
    <n v="0.252"/>
  </r>
  <r>
    <n v="123"/>
    <x v="9"/>
    <x v="30"/>
    <x v="10"/>
    <s v="Percent"/>
    <s v="Units"/>
    <x v="5"/>
    <n v="0.248"/>
  </r>
  <r>
    <n v="123"/>
    <x v="9"/>
    <x v="30"/>
    <x v="10"/>
    <s v="Percent"/>
    <s v="Units"/>
    <x v="6"/>
    <n v="0.245"/>
  </r>
  <r>
    <n v="110"/>
    <x v="0"/>
    <x v="30"/>
    <x v="10"/>
    <s v="Percent"/>
    <s v="Units"/>
    <x v="0"/>
    <n v="0.26200000000000001"/>
  </r>
  <r>
    <n v="110"/>
    <x v="0"/>
    <x v="30"/>
    <x v="10"/>
    <s v="Percent"/>
    <s v="Units"/>
    <x v="1"/>
    <n v="0.26600000000000001"/>
  </r>
  <r>
    <n v="110"/>
    <x v="0"/>
    <x v="30"/>
    <x v="10"/>
    <s v="Percent"/>
    <s v="Units"/>
    <x v="2"/>
    <n v="0.26"/>
  </r>
  <r>
    <n v="110"/>
    <x v="0"/>
    <x v="30"/>
    <x v="10"/>
    <s v="Percent"/>
    <s v="Units"/>
    <x v="3"/>
    <n v="0.25900000000000001"/>
  </r>
  <r>
    <n v="110"/>
    <x v="0"/>
    <x v="30"/>
    <x v="10"/>
    <s v="Percent"/>
    <s v="Units"/>
    <x v="4"/>
    <n v="0.252"/>
  </r>
  <r>
    <n v="110"/>
    <x v="0"/>
    <x v="30"/>
    <x v="10"/>
    <s v="Percent"/>
    <s v="Units"/>
    <x v="5"/>
    <n v="0.248"/>
  </r>
  <r>
    <n v="110"/>
    <x v="0"/>
    <x v="30"/>
    <x v="10"/>
    <s v="Percent"/>
    <s v="Units"/>
    <x v="6"/>
    <n v="0.245"/>
  </r>
  <r>
    <n v="998"/>
    <x v="6"/>
    <x v="46"/>
    <x v="9"/>
    <s v="Percent of GDP"/>
    <s v="Units"/>
    <x v="0"/>
    <n v="8.3000000000000004E-2"/>
  </r>
  <r>
    <n v="998"/>
    <x v="6"/>
    <x v="46"/>
    <x v="9"/>
    <s v="Percent of GDP"/>
    <s v="Units"/>
    <x v="1"/>
    <n v="-5.827"/>
  </r>
  <r>
    <n v="998"/>
    <x v="6"/>
    <x v="46"/>
    <x v="9"/>
    <s v="Percent of GDP"/>
    <s v="Units"/>
    <x v="2"/>
    <n v="-2.8769999999999998"/>
  </r>
  <r>
    <n v="998"/>
    <x v="6"/>
    <x v="46"/>
    <x v="9"/>
    <s v="Percent of GDP"/>
    <s v="Units"/>
    <x v="3"/>
    <n v="-0.32200000000000001"/>
  </r>
  <r>
    <n v="998"/>
    <x v="6"/>
    <x v="46"/>
    <x v="9"/>
    <s v="Percent of GDP"/>
    <s v="Units"/>
    <x v="4"/>
    <n v="0.95799999999999996"/>
  </r>
  <r>
    <n v="998"/>
    <x v="6"/>
    <x v="46"/>
    <x v="9"/>
    <s v="Percent of GDP"/>
    <s v="Units"/>
    <x v="5"/>
    <n v="0.24099999999999999"/>
  </r>
  <r>
    <n v="998"/>
    <x v="6"/>
    <x v="46"/>
    <x v="9"/>
    <s v="Percent of GDP"/>
    <s v="Units"/>
    <x v="6"/>
    <n v="0.223"/>
  </r>
  <r>
    <n v="163"/>
    <x v="5"/>
    <x v="46"/>
    <x v="9"/>
    <s v="Percent of GDP"/>
    <s v="Units"/>
    <x v="0"/>
    <n v="8.3000000000000004E-2"/>
  </r>
  <r>
    <n v="163"/>
    <x v="5"/>
    <x v="46"/>
    <x v="9"/>
    <s v="Percent of GDP"/>
    <s v="Units"/>
    <x v="1"/>
    <n v="-5.827"/>
  </r>
  <r>
    <n v="163"/>
    <x v="5"/>
    <x v="46"/>
    <x v="9"/>
    <s v="Percent of GDP"/>
    <s v="Units"/>
    <x v="2"/>
    <n v="-2.8769999999999998"/>
  </r>
  <r>
    <n v="163"/>
    <x v="5"/>
    <x v="46"/>
    <x v="9"/>
    <s v="Percent of GDP"/>
    <s v="Units"/>
    <x v="3"/>
    <n v="-0.32200000000000001"/>
  </r>
  <r>
    <n v="163"/>
    <x v="5"/>
    <x v="46"/>
    <x v="9"/>
    <s v="Percent of GDP"/>
    <s v="Units"/>
    <x v="4"/>
    <n v="0.95799999999999996"/>
  </r>
  <r>
    <n v="163"/>
    <x v="5"/>
    <x v="46"/>
    <x v="9"/>
    <s v="Percent of GDP"/>
    <s v="Units"/>
    <x v="5"/>
    <n v="0.24099999999999999"/>
  </r>
  <r>
    <n v="163"/>
    <x v="5"/>
    <x v="46"/>
    <x v="9"/>
    <s v="Percent of GDP"/>
    <s v="Units"/>
    <x v="6"/>
    <n v="0.223"/>
  </r>
  <r>
    <n v="110"/>
    <x v="0"/>
    <x v="46"/>
    <x v="9"/>
    <s v="Percent of GDP"/>
    <s v="Units"/>
    <x v="0"/>
    <n v="8.3000000000000004E-2"/>
  </r>
  <r>
    <n v="110"/>
    <x v="0"/>
    <x v="46"/>
    <x v="9"/>
    <s v="Percent of GDP"/>
    <s v="Units"/>
    <x v="1"/>
    <n v="-5.827"/>
  </r>
  <r>
    <n v="110"/>
    <x v="0"/>
    <x v="46"/>
    <x v="9"/>
    <s v="Percent of GDP"/>
    <s v="Units"/>
    <x v="2"/>
    <n v="-2.8769999999999998"/>
  </r>
  <r>
    <n v="110"/>
    <x v="0"/>
    <x v="46"/>
    <x v="9"/>
    <s v="Percent of GDP"/>
    <s v="Units"/>
    <x v="3"/>
    <n v="-0.32200000000000001"/>
  </r>
  <r>
    <n v="110"/>
    <x v="0"/>
    <x v="46"/>
    <x v="9"/>
    <s v="Percent of GDP"/>
    <s v="Units"/>
    <x v="4"/>
    <n v="0.95799999999999996"/>
  </r>
  <r>
    <n v="110"/>
    <x v="0"/>
    <x v="46"/>
    <x v="9"/>
    <s v="Percent of GDP"/>
    <s v="Units"/>
    <x v="5"/>
    <n v="0.24099999999999999"/>
  </r>
  <r>
    <n v="110"/>
    <x v="0"/>
    <x v="46"/>
    <x v="9"/>
    <s v="Percent of GDP"/>
    <s v="Units"/>
    <x v="6"/>
    <n v="0.223"/>
  </r>
  <r>
    <n v="998"/>
    <x v="6"/>
    <x v="55"/>
    <x v="10"/>
    <s v="Percent"/>
    <s v="Units"/>
    <x v="0"/>
    <n v="0.247"/>
  </r>
  <r>
    <n v="998"/>
    <x v="6"/>
    <x v="55"/>
    <x v="10"/>
    <s v="Percent"/>
    <s v="Units"/>
    <x v="1"/>
    <n v="0.24299999999999999"/>
  </r>
  <r>
    <n v="998"/>
    <x v="6"/>
    <x v="55"/>
    <x v="10"/>
    <s v="Percent"/>
    <s v="Units"/>
    <x v="2"/>
    <n v="0.245"/>
  </r>
  <r>
    <n v="998"/>
    <x v="6"/>
    <x v="55"/>
    <x v="10"/>
    <s v="Percent"/>
    <s v="Units"/>
    <x v="3"/>
    <n v="0.248"/>
  </r>
  <r>
    <n v="998"/>
    <x v="6"/>
    <x v="55"/>
    <x v="10"/>
    <s v="Percent"/>
    <s v="Units"/>
    <x v="4"/>
    <n v="0.23799999999999999"/>
  </r>
  <r>
    <n v="998"/>
    <x v="6"/>
    <x v="55"/>
    <x v="10"/>
    <s v="Percent"/>
    <s v="Units"/>
    <x v="5"/>
    <n v="0.23599999999999999"/>
  </r>
  <r>
    <n v="998"/>
    <x v="6"/>
    <x v="55"/>
    <x v="10"/>
    <s v="Percent"/>
    <s v="Units"/>
    <x v="6"/>
    <n v="0.23599999999999999"/>
  </r>
  <r>
    <n v="903"/>
    <x v="8"/>
    <x v="55"/>
    <x v="10"/>
    <s v="Percent"/>
    <s v="Units"/>
    <x v="0"/>
    <n v="0.247"/>
  </r>
  <r>
    <n v="903"/>
    <x v="8"/>
    <x v="55"/>
    <x v="10"/>
    <s v="Percent"/>
    <s v="Units"/>
    <x v="1"/>
    <n v="0.24299999999999999"/>
  </r>
  <r>
    <n v="903"/>
    <x v="8"/>
    <x v="55"/>
    <x v="10"/>
    <s v="Percent"/>
    <s v="Units"/>
    <x v="2"/>
    <n v="0.245"/>
  </r>
  <r>
    <n v="903"/>
    <x v="8"/>
    <x v="55"/>
    <x v="10"/>
    <s v="Percent"/>
    <s v="Units"/>
    <x v="3"/>
    <n v="0.248"/>
  </r>
  <r>
    <n v="903"/>
    <x v="8"/>
    <x v="55"/>
    <x v="10"/>
    <s v="Percent"/>
    <s v="Units"/>
    <x v="4"/>
    <n v="0.23799999999999999"/>
  </r>
  <r>
    <n v="903"/>
    <x v="8"/>
    <x v="55"/>
    <x v="10"/>
    <s v="Percent"/>
    <s v="Units"/>
    <x v="5"/>
    <n v="0.23599999999999999"/>
  </r>
  <r>
    <n v="903"/>
    <x v="8"/>
    <x v="55"/>
    <x v="10"/>
    <s v="Percent"/>
    <s v="Units"/>
    <x v="6"/>
    <n v="0.23599999999999999"/>
  </r>
  <r>
    <n v="200"/>
    <x v="3"/>
    <x v="55"/>
    <x v="10"/>
    <s v="Percent"/>
    <s v="Units"/>
    <x v="0"/>
    <n v="0.247"/>
  </r>
  <r>
    <n v="200"/>
    <x v="3"/>
    <x v="55"/>
    <x v="10"/>
    <s v="Percent"/>
    <s v="Units"/>
    <x v="1"/>
    <n v="0.24299999999999999"/>
  </r>
  <r>
    <n v="200"/>
    <x v="3"/>
    <x v="55"/>
    <x v="10"/>
    <s v="Percent"/>
    <s v="Units"/>
    <x v="2"/>
    <n v="0.245"/>
  </r>
  <r>
    <n v="200"/>
    <x v="3"/>
    <x v="55"/>
    <x v="10"/>
    <s v="Percent"/>
    <s v="Units"/>
    <x v="3"/>
    <n v="0.248"/>
  </r>
  <r>
    <n v="200"/>
    <x v="3"/>
    <x v="55"/>
    <x v="10"/>
    <s v="Percent"/>
    <s v="Units"/>
    <x v="4"/>
    <n v="0.23799999999999999"/>
  </r>
  <r>
    <n v="200"/>
    <x v="3"/>
    <x v="55"/>
    <x v="10"/>
    <s v="Percent"/>
    <s v="Units"/>
    <x v="5"/>
    <n v="0.23599999999999999"/>
  </r>
  <r>
    <n v="200"/>
    <x v="3"/>
    <x v="55"/>
    <x v="10"/>
    <s v="Percent"/>
    <s v="Units"/>
    <x v="6"/>
    <n v="0.23599999999999999"/>
  </r>
  <r>
    <n v="603"/>
    <x v="12"/>
    <x v="56"/>
    <x v="10"/>
    <s v="Percent"/>
    <s v="Units"/>
    <x v="0"/>
    <n v="0.193"/>
  </r>
  <r>
    <n v="603"/>
    <x v="12"/>
    <x v="56"/>
    <x v="10"/>
    <s v="Percent"/>
    <s v="Units"/>
    <x v="1"/>
    <n v="0.21099999999999999"/>
  </r>
  <r>
    <n v="603"/>
    <x v="12"/>
    <x v="56"/>
    <x v="10"/>
    <s v="Percent"/>
    <s v="Units"/>
    <x v="2"/>
    <n v="0.21099999999999999"/>
  </r>
  <r>
    <n v="603"/>
    <x v="12"/>
    <x v="56"/>
    <x v="10"/>
    <s v="Percent"/>
    <s v="Units"/>
    <x v="3"/>
    <n v="0.217"/>
  </r>
  <r>
    <n v="603"/>
    <x v="12"/>
    <x v="56"/>
    <x v="10"/>
    <s v="Percent"/>
    <s v="Units"/>
    <x v="4"/>
    <n v="0.22600000000000001"/>
  </r>
  <r>
    <n v="603"/>
    <x v="12"/>
    <x v="56"/>
    <x v="10"/>
    <s v="Percent"/>
    <s v="Units"/>
    <x v="5"/>
    <n v="0.23200000000000001"/>
  </r>
  <r>
    <n v="603"/>
    <x v="12"/>
    <x v="56"/>
    <x v="10"/>
    <s v="Percent"/>
    <s v="Units"/>
    <x v="6"/>
    <n v="0.24"/>
  </r>
  <r>
    <n v="110"/>
    <x v="0"/>
    <x v="53"/>
    <x v="10"/>
    <s v="Percent"/>
    <s v="Units"/>
    <x v="0"/>
    <n v="0.24399999999999999"/>
  </r>
  <r>
    <n v="110"/>
    <x v="0"/>
    <x v="53"/>
    <x v="10"/>
    <s v="Percent"/>
    <s v="Units"/>
    <x v="1"/>
    <n v="0.22700000000000001"/>
  </r>
  <r>
    <n v="110"/>
    <x v="0"/>
    <x v="53"/>
    <x v="10"/>
    <s v="Percent"/>
    <s v="Units"/>
    <x v="2"/>
    <n v="0.23200000000000001"/>
  </r>
  <r>
    <n v="110"/>
    <x v="0"/>
    <x v="53"/>
    <x v="10"/>
    <s v="Percent"/>
    <s v="Units"/>
    <x v="3"/>
    <n v="0.23699999999999999"/>
  </r>
  <r>
    <n v="110"/>
    <x v="0"/>
    <x v="53"/>
    <x v="10"/>
    <s v="Percent"/>
    <s v="Units"/>
    <x v="4"/>
    <n v="0.23400000000000001"/>
  </r>
  <r>
    <n v="110"/>
    <x v="0"/>
    <x v="53"/>
    <x v="10"/>
    <s v="Percent"/>
    <s v="Units"/>
    <x v="5"/>
    <n v="0.23200000000000001"/>
  </r>
  <r>
    <n v="110"/>
    <x v="0"/>
    <x v="53"/>
    <x v="10"/>
    <s v="Percent"/>
    <s v="Units"/>
    <x v="6"/>
    <n v="0.22900000000000001"/>
  </r>
  <r>
    <n v="998"/>
    <x v="6"/>
    <x v="53"/>
    <x v="10"/>
    <s v="Percent"/>
    <s v="Units"/>
    <x v="0"/>
    <n v="0.24399999999999999"/>
  </r>
  <r>
    <n v="998"/>
    <x v="6"/>
    <x v="53"/>
    <x v="10"/>
    <s v="Percent"/>
    <s v="Units"/>
    <x v="1"/>
    <n v="0.22700000000000001"/>
  </r>
  <r>
    <n v="998"/>
    <x v="6"/>
    <x v="53"/>
    <x v="10"/>
    <s v="Percent"/>
    <s v="Units"/>
    <x v="2"/>
    <n v="0.23200000000000001"/>
  </r>
  <r>
    <n v="998"/>
    <x v="6"/>
    <x v="53"/>
    <x v="10"/>
    <s v="Percent"/>
    <s v="Units"/>
    <x v="3"/>
    <n v="0.23699999999999999"/>
  </r>
  <r>
    <n v="998"/>
    <x v="6"/>
    <x v="53"/>
    <x v="10"/>
    <s v="Percent"/>
    <s v="Units"/>
    <x v="4"/>
    <n v="0.23400000000000001"/>
  </r>
  <r>
    <n v="998"/>
    <x v="6"/>
    <x v="53"/>
    <x v="10"/>
    <s v="Percent"/>
    <s v="Units"/>
    <x v="5"/>
    <n v="0.23200000000000001"/>
  </r>
  <r>
    <n v="998"/>
    <x v="6"/>
    <x v="53"/>
    <x v="10"/>
    <s v="Percent"/>
    <s v="Units"/>
    <x v="6"/>
    <n v="0.22900000000000001"/>
  </r>
  <r>
    <n v="200"/>
    <x v="3"/>
    <x v="56"/>
    <x v="10"/>
    <s v="Percent"/>
    <s v="Units"/>
    <x v="0"/>
    <n v="0.193"/>
  </r>
  <r>
    <n v="200"/>
    <x v="3"/>
    <x v="56"/>
    <x v="10"/>
    <s v="Percent"/>
    <s v="Units"/>
    <x v="1"/>
    <n v="0.21099999999999999"/>
  </r>
  <r>
    <n v="200"/>
    <x v="3"/>
    <x v="56"/>
    <x v="10"/>
    <s v="Percent"/>
    <s v="Units"/>
    <x v="2"/>
    <n v="0.21099999999999999"/>
  </r>
  <r>
    <n v="200"/>
    <x v="3"/>
    <x v="56"/>
    <x v="10"/>
    <s v="Percent"/>
    <s v="Units"/>
    <x v="3"/>
    <n v="0.217"/>
  </r>
  <r>
    <n v="200"/>
    <x v="3"/>
    <x v="56"/>
    <x v="10"/>
    <s v="Percent"/>
    <s v="Units"/>
    <x v="4"/>
    <n v="0.22600000000000001"/>
  </r>
  <r>
    <n v="200"/>
    <x v="3"/>
    <x v="56"/>
    <x v="10"/>
    <s v="Percent"/>
    <s v="Units"/>
    <x v="5"/>
    <n v="0.23200000000000001"/>
  </r>
  <r>
    <n v="200"/>
    <x v="3"/>
    <x v="56"/>
    <x v="10"/>
    <s v="Percent"/>
    <s v="Units"/>
    <x v="6"/>
    <n v="0.24"/>
  </r>
  <r>
    <n v="400"/>
    <x v="11"/>
    <x v="59"/>
    <x v="10"/>
    <s v="Percent"/>
    <s v="Units"/>
    <x v="0"/>
    <n v="0.23200000000000001"/>
  </r>
  <r>
    <n v="400"/>
    <x v="11"/>
    <x v="59"/>
    <x v="10"/>
    <s v="Percent"/>
    <s v="Units"/>
    <x v="1"/>
    <n v="0.222"/>
  </r>
  <r>
    <n v="400"/>
    <x v="11"/>
    <x v="59"/>
    <x v="10"/>
    <s v="Percent"/>
    <s v="Units"/>
    <x v="2"/>
    <n v="0.22500000000000001"/>
  </r>
  <r>
    <n v="400"/>
    <x v="11"/>
    <x v="59"/>
    <x v="10"/>
    <s v="Percent"/>
    <s v="Units"/>
    <x v="3"/>
    <n v="0.22"/>
  </r>
  <r>
    <n v="400"/>
    <x v="11"/>
    <x v="59"/>
    <x v="10"/>
    <s v="Percent"/>
    <s v="Units"/>
    <x v="4"/>
    <n v="0.22"/>
  </r>
  <r>
    <n v="400"/>
    <x v="11"/>
    <x v="59"/>
    <x v="10"/>
    <s v="Percent"/>
    <s v="Units"/>
    <x v="5"/>
    <n v="0.22"/>
  </r>
  <r>
    <n v="400"/>
    <x v="11"/>
    <x v="59"/>
    <x v="10"/>
    <s v="Percent"/>
    <s v="Units"/>
    <x v="6"/>
    <n v="0.221"/>
  </r>
  <r>
    <n v="200"/>
    <x v="3"/>
    <x v="59"/>
    <x v="10"/>
    <s v="Percent"/>
    <s v="Units"/>
    <x v="0"/>
    <n v="0.23200000000000001"/>
  </r>
  <r>
    <n v="200"/>
    <x v="3"/>
    <x v="59"/>
    <x v="10"/>
    <s v="Percent"/>
    <s v="Units"/>
    <x v="1"/>
    <n v="0.222"/>
  </r>
  <r>
    <n v="200"/>
    <x v="3"/>
    <x v="59"/>
    <x v="10"/>
    <s v="Percent"/>
    <s v="Units"/>
    <x v="2"/>
    <n v="0.22500000000000001"/>
  </r>
  <r>
    <n v="200"/>
    <x v="3"/>
    <x v="59"/>
    <x v="10"/>
    <s v="Percent"/>
    <s v="Units"/>
    <x v="3"/>
    <n v="0.22"/>
  </r>
  <r>
    <n v="200"/>
    <x v="3"/>
    <x v="59"/>
    <x v="10"/>
    <s v="Percent"/>
    <s v="Units"/>
    <x v="4"/>
    <n v="0.22"/>
  </r>
  <r>
    <n v="200"/>
    <x v="3"/>
    <x v="59"/>
    <x v="10"/>
    <s v="Percent"/>
    <s v="Units"/>
    <x v="5"/>
    <n v="0.22"/>
  </r>
  <r>
    <n v="200"/>
    <x v="3"/>
    <x v="59"/>
    <x v="10"/>
    <s v="Percent"/>
    <s v="Units"/>
    <x v="6"/>
    <n v="0.221"/>
  </r>
  <r>
    <n v="200"/>
    <x v="3"/>
    <x v="73"/>
    <x v="10"/>
    <s v="Percent"/>
    <s v="Units"/>
    <x v="0"/>
    <n v="0.19"/>
  </r>
  <r>
    <n v="200"/>
    <x v="3"/>
    <x v="73"/>
    <x v="10"/>
    <s v="Percent"/>
    <s v="Units"/>
    <x v="1"/>
    <n v="0.2"/>
  </r>
  <r>
    <n v="200"/>
    <x v="3"/>
    <x v="73"/>
    <x v="10"/>
    <s v="Percent"/>
    <s v="Units"/>
    <x v="2"/>
    <n v="0.20200000000000001"/>
  </r>
  <r>
    <n v="200"/>
    <x v="3"/>
    <x v="73"/>
    <x v="10"/>
    <s v="Percent"/>
    <s v="Units"/>
    <x v="3"/>
    <n v="0.20599999999999999"/>
  </r>
  <r>
    <n v="200"/>
    <x v="3"/>
    <x v="73"/>
    <x v="10"/>
    <s v="Percent"/>
    <s v="Units"/>
    <x v="4"/>
    <n v="0.21199999999999999"/>
  </r>
  <r>
    <n v="200"/>
    <x v="3"/>
    <x v="73"/>
    <x v="10"/>
    <s v="Percent"/>
    <s v="Units"/>
    <x v="5"/>
    <n v="0.216"/>
  </r>
  <r>
    <n v="200"/>
    <x v="3"/>
    <x v="73"/>
    <x v="10"/>
    <s v="Percent"/>
    <s v="Units"/>
    <x v="6"/>
    <n v="0.221"/>
  </r>
  <r>
    <n v="400"/>
    <x v="11"/>
    <x v="73"/>
    <x v="10"/>
    <s v="Percent"/>
    <s v="Units"/>
    <x v="0"/>
    <n v="0.19"/>
  </r>
  <r>
    <n v="400"/>
    <x v="11"/>
    <x v="73"/>
    <x v="10"/>
    <s v="Percent"/>
    <s v="Units"/>
    <x v="1"/>
    <n v="0.2"/>
  </r>
  <r>
    <n v="400"/>
    <x v="11"/>
    <x v="73"/>
    <x v="10"/>
    <s v="Percent"/>
    <s v="Units"/>
    <x v="2"/>
    <n v="0.20200000000000001"/>
  </r>
  <r>
    <n v="400"/>
    <x v="11"/>
    <x v="73"/>
    <x v="10"/>
    <s v="Percent"/>
    <s v="Units"/>
    <x v="3"/>
    <n v="0.20599999999999999"/>
  </r>
  <r>
    <n v="400"/>
    <x v="11"/>
    <x v="73"/>
    <x v="10"/>
    <s v="Percent"/>
    <s v="Units"/>
    <x v="4"/>
    <n v="0.21199999999999999"/>
  </r>
  <r>
    <n v="400"/>
    <x v="11"/>
    <x v="73"/>
    <x v="10"/>
    <s v="Percent"/>
    <s v="Units"/>
    <x v="5"/>
    <n v="0.216"/>
  </r>
  <r>
    <n v="400"/>
    <x v="11"/>
    <x v="73"/>
    <x v="10"/>
    <s v="Percent"/>
    <s v="Units"/>
    <x v="6"/>
    <n v="0.221"/>
  </r>
  <r>
    <n v="998"/>
    <x v="6"/>
    <x v="22"/>
    <x v="8"/>
    <s v="Percent change"/>
    <s v="Units"/>
    <x v="0"/>
    <n v="1.986"/>
  </r>
  <r>
    <n v="998"/>
    <x v="6"/>
    <x v="22"/>
    <x v="8"/>
    <s v="Percent change"/>
    <s v="Units"/>
    <x v="1"/>
    <n v="-2.17"/>
  </r>
  <r>
    <n v="998"/>
    <x v="6"/>
    <x v="22"/>
    <x v="8"/>
    <s v="Percent change"/>
    <s v="Units"/>
    <x v="2"/>
    <n v="6.1470000000000002"/>
  </r>
  <r>
    <n v="998"/>
    <x v="6"/>
    <x v="22"/>
    <x v="8"/>
    <s v="Percent change"/>
    <s v="Units"/>
    <x v="3"/>
    <n v="2.6629999999999998"/>
  </r>
  <r>
    <n v="998"/>
    <x v="6"/>
    <x v="22"/>
    <x v="8"/>
    <s v="Percent change"/>
    <s v="Units"/>
    <x v="4"/>
    <n v="-0.19600000000000001"/>
  </r>
  <r>
    <n v="998"/>
    <x v="6"/>
    <x v="22"/>
    <x v="8"/>
    <s v="Percent change"/>
    <s v="Units"/>
    <x v="5"/>
    <n v="0.215"/>
  </r>
  <r>
    <n v="998"/>
    <x v="6"/>
    <x v="22"/>
    <x v="8"/>
    <s v="Percent change"/>
    <s v="Units"/>
    <x v="6"/>
    <n v="2.2229999999999999"/>
  </r>
  <r>
    <n v="1"/>
    <x v="2"/>
    <x v="22"/>
    <x v="8"/>
    <s v="Percent change"/>
    <s v="Units"/>
    <x v="0"/>
    <n v="1.986"/>
  </r>
  <r>
    <n v="1"/>
    <x v="2"/>
    <x v="22"/>
    <x v="8"/>
    <s v="Percent change"/>
    <s v="Units"/>
    <x v="1"/>
    <n v="-2.17"/>
  </r>
  <r>
    <n v="1"/>
    <x v="2"/>
    <x v="22"/>
    <x v="8"/>
    <s v="Percent change"/>
    <s v="Units"/>
    <x v="2"/>
    <n v="6.1470000000000002"/>
  </r>
  <r>
    <n v="1"/>
    <x v="2"/>
    <x v="22"/>
    <x v="8"/>
    <s v="Percent change"/>
    <s v="Units"/>
    <x v="3"/>
    <n v="2.6629999999999998"/>
  </r>
  <r>
    <n v="1"/>
    <x v="2"/>
    <x v="22"/>
    <x v="8"/>
    <s v="Percent change"/>
    <s v="Units"/>
    <x v="4"/>
    <n v="-0.19600000000000001"/>
  </r>
  <r>
    <n v="1"/>
    <x v="2"/>
    <x v="22"/>
    <x v="8"/>
    <s v="Percent change"/>
    <s v="Units"/>
    <x v="5"/>
    <n v="0.215"/>
  </r>
  <r>
    <n v="1"/>
    <x v="2"/>
    <x v="22"/>
    <x v="8"/>
    <s v="Percent change"/>
    <s v="Units"/>
    <x v="6"/>
    <n v="2.2229999999999999"/>
  </r>
  <r>
    <n v="110"/>
    <x v="0"/>
    <x v="22"/>
    <x v="8"/>
    <s v="Percent change"/>
    <s v="Units"/>
    <x v="0"/>
    <n v="1.986"/>
  </r>
  <r>
    <n v="110"/>
    <x v="0"/>
    <x v="22"/>
    <x v="8"/>
    <s v="Percent change"/>
    <s v="Units"/>
    <x v="1"/>
    <n v="-2.17"/>
  </r>
  <r>
    <n v="110"/>
    <x v="0"/>
    <x v="22"/>
    <x v="8"/>
    <s v="Percent change"/>
    <s v="Units"/>
    <x v="2"/>
    <n v="6.1470000000000002"/>
  </r>
  <r>
    <n v="110"/>
    <x v="0"/>
    <x v="22"/>
    <x v="8"/>
    <s v="Percent change"/>
    <s v="Units"/>
    <x v="3"/>
    <n v="2.6629999999999998"/>
  </r>
  <r>
    <n v="110"/>
    <x v="0"/>
    <x v="22"/>
    <x v="8"/>
    <s v="Percent change"/>
    <s v="Units"/>
    <x v="4"/>
    <n v="-0.19600000000000001"/>
  </r>
  <r>
    <n v="110"/>
    <x v="0"/>
    <x v="22"/>
    <x v="8"/>
    <s v="Percent change"/>
    <s v="Units"/>
    <x v="5"/>
    <n v="0.215"/>
  </r>
  <r>
    <n v="110"/>
    <x v="0"/>
    <x v="22"/>
    <x v="8"/>
    <s v="Percent change"/>
    <s v="Units"/>
    <x v="6"/>
    <n v="2.2229999999999999"/>
  </r>
  <r>
    <n v="123"/>
    <x v="9"/>
    <x v="22"/>
    <x v="8"/>
    <s v="Percent change"/>
    <s v="Units"/>
    <x v="0"/>
    <n v="1.986"/>
  </r>
  <r>
    <n v="123"/>
    <x v="9"/>
    <x v="22"/>
    <x v="8"/>
    <s v="Percent change"/>
    <s v="Units"/>
    <x v="1"/>
    <n v="-2.17"/>
  </r>
  <r>
    <n v="123"/>
    <x v="9"/>
    <x v="22"/>
    <x v="8"/>
    <s v="Percent change"/>
    <s v="Units"/>
    <x v="2"/>
    <n v="6.1470000000000002"/>
  </r>
  <r>
    <n v="123"/>
    <x v="9"/>
    <x v="22"/>
    <x v="8"/>
    <s v="Percent change"/>
    <s v="Units"/>
    <x v="3"/>
    <n v="2.6629999999999998"/>
  </r>
  <r>
    <n v="123"/>
    <x v="9"/>
    <x v="22"/>
    <x v="8"/>
    <s v="Percent change"/>
    <s v="Units"/>
    <x v="4"/>
    <n v="-0.19600000000000001"/>
  </r>
  <r>
    <n v="123"/>
    <x v="9"/>
    <x v="22"/>
    <x v="8"/>
    <s v="Percent change"/>
    <s v="Units"/>
    <x v="5"/>
    <n v="0.215"/>
  </r>
  <r>
    <n v="123"/>
    <x v="9"/>
    <x v="22"/>
    <x v="8"/>
    <s v="Percent change"/>
    <s v="Units"/>
    <x v="6"/>
    <n v="2.2229999999999999"/>
  </r>
  <r>
    <n v="123"/>
    <x v="9"/>
    <x v="67"/>
    <x v="9"/>
    <s v="Percent of GDP"/>
    <s v="Units"/>
    <x v="0"/>
    <n v="1.899"/>
  </r>
  <r>
    <n v="123"/>
    <x v="9"/>
    <x v="67"/>
    <x v="9"/>
    <s v="Percent of GDP"/>
    <s v="Units"/>
    <x v="1"/>
    <n v="-0.55100000000000005"/>
  </r>
  <r>
    <n v="123"/>
    <x v="9"/>
    <x v="67"/>
    <x v="9"/>
    <s v="Percent of GDP"/>
    <s v="Units"/>
    <x v="2"/>
    <n v="-0.25800000000000001"/>
  </r>
  <r>
    <n v="123"/>
    <x v="9"/>
    <x v="67"/>
    <x v="9"/>
    <s v="Percent of GDP"/>
    <s v="Units"/>
    <x v="3"/>
    <n v="1.796"/>
  </r>
  <r>
    <n v="123"/>
    <x v="9"/>
    <x v="67"/>
    <x v="9"/>
    <s v="Percent of GDP"/>
    <s v="Units"/>
    <x v="4"/>
    <n v="0.33400000000000002"/>
  </r>
  <r>
    <n v="123"/>
    <x v="9"/>
    <x v="67"/>
    <x v="9"/>
    <s v="Percent of GDP"/>
    <s v="Units"/>
    <x v="5"/>
    <n v="0.214"/>
  </r>
  <r>
    <n v="123"/>
    <x v="9"/>
    <x v="67"/>
    <x v="9"/>
    <s v="Percent of GDP"/>
    <s v="Units"/>
    <x v="6"/>
    <n v="0.25700000000000001"/>
  </r>
  <r>
    <n v="110"/>
    <x v="0"/>
    <x v="67"/>
    <x v="9"/>
    <s v="Percent of GDP"/>
    <s v="Units"/>
    <x v="0"/>
    <n v="1.899"/>
  </r>
  <r>
    <n v="110"/>
    <x v="0"/>
    <x v="67"/>
    <x v="9"/>
    <s v="Percent of GDP"/>
    <s v="Units"/>
    <x v="1"/>
    <n v="-0.55100000000000005"/>
  </r>
  <r>
    <n v="110"/>
    <x v="0"/>
    <x v="67"/>
    <x v="9"/>
    <s v="Percent of GDP"/>
    <s v="Units"/>
    <x v="2"/>
    <n v="-0.25800000000000001"/>
  </r>
  <r>
    <n v="110"/>
    <x v="0"/>
    <x v="67"/>
    <x v="9"/>
    <s v="Percent of GDP"/>
    <s v="Units"/>
    <x v="3"/>
    <n v="1.796"/>
  </r>
  <r>
    <n v="110"/>
    <x v="0"/>
    <x v="67"/>
    <x v="9"/>
    <s v="Percent of GDP"/>
    <s v="Units"/>
    <x v="4"/>
    <n v="0.33400000000000002"/>
  </r>
  <r>
    <n v="110"/>
    <x v="0"/>
    <x v="67"/>
    <x v="9"/>
    <s v="Percent of GDP"/>
    <s v="Units"/>
    <x v="5"/>
    <n v="0.214"/>
  </r>
  <r>
    <n v="110"/>
    <x v="0"/>
    <x v="67"/>
    <x v="9"/>
    <s v="Percent of GDP"/>
    <s v="Units"/>
    <x v="6"/>
    <n v="0.25700000000000001"/>
  </r>
  <r>
    <n v="110"/>
    <x v="0"/>
    <x v="8"/>
    <x v="6"/>
    <s v="Percent change"/>
    <s v="Units"/>
    <x v="0"/>
    <n v="-0.7"/>
  </r>
  <r>
    <n v="110"/>
    <x v="0"/>
    <x v="8"/>
    <x v="6"/>
    <s v="Percent change"/>
    <s v="Units"/>
    <x v="1"/>
    <n v="-12.128"/>
  </r>
  <r>
    <n v="110"/>
    <x v="0"/>
    <x v="8"/>
    <x v="6"/>
    <s v="Percent change"/>
    <s v="Units"/>
    <x v="2"/>
    <n v="15.555"/>
  </r>
  <r>
    <n v="110"/>
    <x v="0"/>
    <x v="8"/>
    <x v="6"/>
    <s v="Percent change"/>
    <s v="Units"/>
    <x v="3"/>
    <n v="12.913"/>
  </r>
  <r>
    <n v="110"/>
    <x v="0"/>
    <x v="8"/>
    <x v="6"/>
    <s v="Percent change"/>
    <s v="Units"/>
    <x v="4"/>
    <n v="-0.53700000000000003"/>
  </r>
  <r>
    <n v="110"/>
    <x v="0"/>
    <x v="8"/>
    <x v="6"/>
    <s v="Percent change"/>
    <s v="Units"/>
    <x v="5"/>
    <n v="0.21299999999999999"/>
  </r>
  <r>
    <n v="110"/>
    <x v="0"/>
    <x v="8"/>
    <x v="6"/>
    <s v="Percent change"/>
    <s v="Units"/>
    <x v="6"/>
    <n v="0.96299999999999997"/>
  </r>
  <r>
    <n v="1"/>
    <x v="2"/>
    <x v="8"/>
    <x v="6"/>
    <s v="Percent change"/>
    <s v="Units"/>
    <x v="0"/>
    <n v="-0.7"/>
  </r>
  <r>
    <n v="1"/>
    <x v="2"/>
    <x v="8"/>
    <x v="6"/>
    <s v="Percent change"/>
    <s v="Units"/>
    <x v="1"/>
    <n v="-12.128"/>
  </r>
  <r>
    <n v="1"/>
    <x v="2"/>
    <x v="8"/>
    <x v="6"/>
    <s v="Percent change"/>
    <s v="Units"/>
    <x v="2"/>
    <n v="15.555"/>
  </r>
  <r>
    <n v="1"/>
    <x v="2"/>
    <x v="8"/>
    <x v="6"/>
    <s v="Percent change"/>
    <s v="Units"/>
    <x v="3"/>
    <n v="12.913"/>
  </r>
  <r>
    <n v="1"/>
    <x v="2"/>
    <x v="8"/>
    <x v="6"/>
    <s v="Percent change"/>
    <s v="Units"/>
    <x v="4"/>
    <n v="-0.53700000000000003"/>
  </r>
  <r>
    <n v="1"/>
    <x v="2"/>
    <x v="8"/>
    <x v="6"/>
    <s v="Percent change"/>
    <s v="Units"/>
    <x v="5"/>
    <n v="0.21299999999999999"/>
  </r>
  <r>
    <n v="1"/>
    <x v="2"/>
    <x v="8"/>
    <x v="6"/>
    <s v="Percent change"/>
    <s v="Units"/>
    <x v="6"/>
    <n v="0.96299999999999997"/>
  </r>
  <r>
    <n v="119"/>
    <x v="1"/>
    <x v="8"/>
    <x v="6"/>
    <s v="Percent change"/>
    <s v="Units"/>
    <x v="0"/>
    <n v="-0.7"/>
  </r>
  <r>
    <n v="119"/>
    <x v="1"/>
    <x v="8"/>
    <x v="6"/>
    <s v="Percent change"/>
    <s v="Units"/>
    <x v="1"/>
    <n v="-12.128"/>
  </r>
  <r>
    <n v="119"/>
    <x v="1"/>
    <x v="8"/>
    <x v="6"/>
    <s v="Percent change"/>
    <s v="Units"/>
    <x v="2"/>
    <n v="15.555"/>
  </r>
  <r>
    <n v="119"/>
    <x v="1"/>
    <x v="8"/>
    <x v="6"/>
    <s v="Percent change"/>
    <s v="Units"/>
    <x v="3"/>
    <n v="12.913"/>
  </r>
  <r>
    <n v="119"/>
    <x v="1"/>
    <x v="8"/>
    <x v="6"/>
    <s v="Percent change"/>
    <s v="Units"/>
    <x v="4"/>
    <n v="-0.53700000000000003"/>
  </r>
  <r>
    <n v="119"/>
    <x v="1"/>
    <x v="8"/>
    <x v="6"/>
    <s v="Percent change"/>
    <s v="Units"/>
    <x v="5"/>
    <n v="0.21299999999999999"/>
  </r>
  <r>
    <n v="119"/>
    <x v="1"/>
    <x v="8"/>
    <x v="6"/>
    <s v="Percent change"/>
    <s v="Units"/>
    <x v="6"/>
    <n v="0.96299999999999997"/>
  </r>
  <r>
    <n v="163"/>
    <x v="5"/>
    <x v="8"/>
    <x v="6"/>
    <s v="Percent change"/>
    <s v="Units"/>
    <x v="0"/>
    <n v="-0.7"/>
  </r>
  <r>
    <n v="163"/>
    <x v="5"/>
    <x v="8"/>
    <x v="6"/>
    <s v="Percent change"/>
    <s v="Units"/>
    <x v="1"/>
    <n v="-12.128"/>
  </r>
  <r>
    <n v="163"/>
    <x v="5"/>
    <x v="8"/>
    <x v="6"/>
    <s v="Percent change"/>
    <s v="Units"/>
    <x v="2"/>
    <n v="15.555"/>
  </r>
  <r>
    <n v="163"/>
    <x v="5"/>
    <x v="8"/>
    <x v="6"/>
    <s v="Percent change"/>
    <s v="Units"/>
    <x v="3"/>
    <n v="12.913"/>
  </r>
  <r>
    <n v="163"/>
    <x v="5"/>
    <x v="8"/>
    <x v="6"/>
    <s v="Percent change"/>
    <s v="Units"/>
    <x v="4"/>
    <n v="-0.53700000000000003"/>
  </r>
  <r>
    <n v="163"/>
    <x v="5"/>
    <x v="8"/>
    <x v="6"/>
    <s v="Percent change"/>
    <s v="Units"/>
    <x v="5"/>
    <n v="0.21299999999999999"/>
  </r>
  <r>
    <n v="163"/>
    <x v="5"/>
    <x v="8"/>
    <x v="6"/>
    <s v="Percent change"/>
    <s v="Units"/>
    <x v="6"/>
    <n v="0.96299999999999997"/>
  </r>
  <r>
    <n v="603"/>
    <x v="12"/>
    <x v="71"/>
    <x v="10"/>
    <s v="Percent"/>
    <s v="Units"/>
    <x v="0"/>
    <n v="0.18"/>
  </r>
  <r>
    <n v="603"/>
    <x v="12"/>
    <x v="71"/>
    <x v="10"/>
    <s v="Percent"/>
    <s v="Units"/>
    <x v="1"/>
    <n v="0.184"/>
  </r>
  <r>
    <n v="603"/>
    <x v="12"/>
    <x v="71"/>
    <x v="10"/>
    <s v="Percent"/>
    <s v="Units"/>
    <x v="2"/>
    <n v="0.186"/>
  </r>
  <r>
    <n v="603"/>
    <x v="12"/>
    <x v="71"/>
    <x v="10"/>
    <s v="Percent"/>
    <s v="Units"/>
    <x v="3"/>
    <n v="0.189"/>
  </r>
  <r>
    <n v="603"/>
    <x v="12"/>
    <x v="71"/>
    <x v="10"/>
    <s v="Percent"/>
    <s v="Units"/>
    <x v="4"/>
    <n v="0.19400000000000001"/>
  </r>
  <r>
    <n v="603"/>
    <x v="12"/>
    <x v="71"/>
    <x v="10"/>
    <s v="Percent"/>
    <s v="Units"/>
    <x v="5"/>
    <n v="0.19700000000000001"/>
  </r>
  <r>
    <n v="603"/>
    <x v="12"/>
    <x v="71"/>
    <x v="10"/>
    <s v="Percent"/>
    <s v="Units"/>
    <x v="6"/>
    <n v="0.20100000000000001"/>
  </r>
  <r>
    <n v="200"/>
    <x v="3"/>
    <x v="71"/>
    <x v="10"/>
    <s v="Percent"/>
    <s v="Units"/>
    <x v="0"/>
    <n v="0.18"/>
  </r>
  <r>
    <n v="200"/>
    <x v="3"/>
    <x v="71"/>
    <x v="10"/>
    <s v="Percent"/>
    <s v="Units"/>
    <x v="1"/>
    <n v="0.184"/>
  </r>
  <r>
    <n v="200"/>
    <x v="3"/>
    <x v="71"/>
    <x v="10"/>
    <s v="Percent"/>
    <s v="Units"/>
    <x v="2"/>
    <n v="0.186"/>
  </r>
  <r>
    <n v="200"/>
    <x v="3"/>
    <x v="71"/>
    <x v="10"/>
    <s v="Percent"/>
    <s v="Units"/>
    <x v="3"/>
    <n v="0.189"/>
  </r>
  <r>
    <n v="200"/>
    <x v="3"/>
    <x v="71"/>
    <x v="10"/>
    <s v="Percent"/>
    <s v="Units"/>
    <x v="4"/>
    <n v="0.19400000000000001"/>
  </r>
  <r>
    <n v="200"/>
    <x v="3"/>
    <x v="71"/>
    <x v="10"/>
    <s v="Percent"/>
    <s v="Units"/>
    <x v="5"/>
    <n v="0.19700000000000001"/>
  </r>
  <r>
    <n v="200"/>
    <x v="3"/>
    <x v="71"/>
    <x v="10"/>
    <s v="Percent"/>
    <s v="Units"/>
    <x v="6"/>
    <n v="0.20100000000000001"/>
  </r>
  <r>
    <n v="200"/>
    <x v="3"/>
    <x v="93"/>
    <x v="6"/>
    <s v="Percent change"/>
    <s v="Units"/>
    <x v="0"/>
    <n v="-10.295999999999999"/>
  </r>
  <r>
    <n v="200"/>
    <x v="3"/>
    <x v="93"/>
    <x v="6"/>
    <s v="Percent change"/>
    <s v="Units"/>
    <x v="1"/>
    <n v="4.7670000000000003"/>
  </r>
  <r>
    <n v="200"/>
    <x v="3"/>
    <x v="93"/>
    <x v="6"/>
    <s v="Percent change"/>
    <s v="Units"/>
    <x v="2"/>
    <n v="-28.452999999999999"/>
  </r>
  <r>
    <n v="200"/>
    <x v="3"/>
    <x v="93"/>
    <x v="6"/>
    <s v="Percent change"/>
    <s v="Units"/>
    <x v="3"/>
    <n v="-7.4999999999999997E-2"/>
  </r>
  <r>
    <n v="200"/>
    <x v="3"/>
    <x v="93"/>
    <x v="6"/>
    <s v="Percent change"/>
    <s v="Units"/>
    <x v="4"/>
    <n v="-3.4729999999999999"/>
  </r>
  <r>
    <n v="200"/>
    <x v="3"/>
    <x v="93"/>
    <x v="6"/>
    <s v="Percent change"/>
    <s v="Units"/>
    <x v="5"/>
    <n v="0.189"/>
  </r>
  <r>
    <n v="200"/>
    <x v="3"/>
    <x v="93"/>
    <x v="6"/>
    <s v="Percent change"/>
    <s v="Units"/>
    <x v="6"/>
    <n v="3.1389999999999998"/>
  </r>
  <r>
    <n v="1"/>
    <x v="2"/>
    <x v="93"/>
    <x v="6"/>
    <s v="Percent change"/>
    <s v="Units"/>
    <x v="0"/>
    <n v="-10.295999999999999"/>
  </r>
  <r>
    <n v="1"/>
    <x v="2"/>
    <x v="93"/>
    <x v="6"/>
    <s v="Percent change"/>
    <s v="Units"/>
    <x v="1"/>
    <n v="4.7670000000000003"/>
  </r>
  <r>
    <n v="1"/>
    <x v="2"/>
    <x v="93"/>
    <x v="6"/>
    <s v="Percent change"/>
    <s v="Units"/>
    <x v="2"/>
    <n v="-28.452999999999999"/>
  </r>
  <r>
    <n v="1"/>
    <x v="2"/>
    <x v="93"/>
    <x v="6"/>
    <s v="Percent change"/>
    <s v="Units"/>
    <x v="3"/>
    <n v="-7.4999999999999997E-2"/>
  </r>
  <r>
    <n v="1"/>
    <x v="2"/>
    <x v="93"/>
    <x v="6"/>
    <s v="Percent change"/>
    <s v="Units"/>
    <x v="4"/>
    <n v="-3.4729999999999999"/>
  </r>
  <r>
    <n v="1"/>
    <x v="2"/>
    <x v="93"/>
    <x v="6"/>
    <s v="Percent change"/>
    <s v="Units"/>
    <x v="5"/>
    <n v="0.189"/>
  </r>
  <r>
    <n v="1"/>
    <x v="2"/>
    <x v="93"/>
    <x v="6"/>
    <s v="Percent change"/>
    <s v="Units"/>
    <x v="6"/>
    <n v="3.1389999999999998"/>
  </r>
  <r>
    <n v="505"/>
    <x v="4"/>
    <x v="93"/>
    <x v="6"/>
    <s v="Percent change"/>
    <s v="Units"/>
    <x v="0"/>
    <n v="-10.295999999999999"/>
  </r>
  <r>
    <n v="505"/>
    <x v="4"/>
    <x v="93"/>
    <x v="6"/>
    <s v="Percent change"/>
    <s v="Units"/>
    <x v="1"/>
    <n v="4.7670000000000003"/>
  </r>
  <r>
    <n v="505"/>
    <x v="4"/>
    <x v="93"/>
    <x v="6"/>
    <s v="Percent change"/>
    <s v="Units"/>
    <x v="2"/>
    <n v="-28.452999999999999"/>
  </r>
  <r>
    <n v="505"/>
    <x v="4"/>
    <x v="93"/>
    <x v="6"/>
    <s v="Percent change"/>
    <s v="Units"/>
    <x v="3"/>
    <n v="-7.4999999999999997E-2"/>
  </r>
  <r>
    <n v="505"/>
    <x v="4"/>
    <x v="93"/>
    <x v="6"/>
    <s v="Percent change"/>
    <s v="Units"/>
    <x v="4"/>
    <n v="-3.4729999999999999"/>
  </r>
  <r>
    <n v="505"/>
    <x v="4"/>
    <x v="93"/>
    <x v="6"/>
    <s v="Percent change"/>
    <s v="Units"/>
    <x v="5"/>
    <n v="0.189"/>
  </r>
  <r>
    <n v="505"/>
    <x v="4"/>
    <x v="93"/>
    <x v="6"/>
    <s v="Percent change"/>
    <s v="Units"/>
    <x v="6"/>
    <n v="3.1389999999999998"/>
  </r>
  <r>
    <n v="110"/>
    <x v="0"/>
    <x v="45"/>
    <x v="10"/>
    <s v="Percent"/>
    <s v="Units"/>
    <x v="0"/>
    <n v="0.20499999999999999"/>
  </r>
  <r>
    <n v="110"/>
    <x v="0"/>
    <x v="45"/>
    <x v="10"/>
    <s v="Percent"/>
    <s v="Units"/>
    <x v="1"/>
    <n v="0.20699999999999999"/>
  </r>
  <r>
    <n v="110"/>
    <x v="0"/>
    <x v="45"/>
    <x v="10"/>
    <s v="Percent"/>
    <s v="Units"/>
    <x v="2"/>
    <n v="0.2"/>
  </r>
  <r>
    <n v="110"/>
    <x v="0"/>
    <x v="45"/>
    <x v="10"/>
    <s v="Percent"/>
    <s v="Units"/>
    <x v="3"/>
    <n v="0.19600000000000001"/>
  </r>
  <r>
    <n v="110"/>
    <x v="0"/>
    <x v="45"/>
    <x v="10"/>
    <s v="Percent"/>
    <s v="Units"/>
    <x v="4"/>
    <n v="0.188"/>
  </r>
  <r>
    <n v="110"/>
    <x v="0"/>
    <x v="45"/>
    <x v="10"/>
    <s v="Percent"/>
    <s v="Units"/>
    <x v="5"/>
    <n v="0.183"/>
  </r>
  <r>
    <n v="110"/>
    <x v="0"/>
    <x v="45"/>
    <x v="10"/>
    <s v="Percent"/>
    <s v="Units"/>
    <x v="6"/>
    <n v="0.18099999999999999"/>
  </r>
  <r>
    <n v="998"/>
    <x v="6"/>
    <x v="45"/>
    <x v="10"/>
    <s v="Percent"/>
    <s v="Units"/>
    <x v="0"/>
    <n v="0.20499999999999999"/>
  </r>
  <r>
    <n v="998"/>
    <x v="6"/>
    <x v="45"/>
    <x v="10"/>
    <s v="Percent"/>
    <s v="Units"/>
    <x v="1"/>
    <n v="0.20699999999999999"/>
  </r>
  <r>
    <n v="998"/>
    <x v="6"/>
    <x v="45"/>
    <x v="10"/>
    <s v="Percent"/>
    <s v="Units"/>
    <x v="2"/>
    <n v="0.2"/>
  </r>
  <r>
    <n v="998"/>
    <x v="6"/>
    <x v="45"/>
    <x v="10"/>
    <s v="Percent"/>
    <s v="Units"/>
    <x v="3"/>
    <n v="0.19600000000000001"/>
  </r>
  <r>
    <n v="998"/>
    <x v="6"/>
    <x v="45"/>
    <x v="10"/>
    <s v="Percent"/>
    <s v="Units"/>
    <x v="4"/>
    <n v="0.188"/>
  </r>
  <r>
    <n v="998"/>
    <x v="6"/>
    <x v="45"/>
    <x v="10"/>
    <s v="Percent"/>
    <s v="Units"/>
    <x v="5"/>
    <n v="0.183"/>
  </r>
  <r>
    <n v="998"/>
    <x v="6"/>
    <x v="45"/>
    <x v="10"/>
    <s v="Percent"/>
    <s v="Units"/>
    <x v="6"/>
    <n v="0.18099999999999999"/>
  </r>
  <r>
    <n v="200"/>
    <x v="3"/>
    <x v="54"/>
    <x v="10"/>
    <s v="Percent"/>
    <s v="Units"/>
    <x v="0"/>
    <n v="0.19500000000000001"/>
  </r>
  <r>
    <n v="200"/>
    <x v="3"/>
    <x v="54"/>
    <x v="10"/>
    <s v="Percent"/>
    <s v="Units"/>
    <x v="1"/>
    <n v="0.19400000000000001"/>
  </r>
  <r>
    <n v="200"/>
    <x v="3"/>
    <x v="54"/>
    <x v="10"/>
    <s v="Percent"/>
    <s v="Units"/>
    <x v="2"/>
    <n v="0.185"/>
  </r>
  <r>
    <n v="200"/>
    <x v="3"/>
    <x v="54"/>
    <x v="10"/>
    <s v="Percent"/>
    <s v="Units"/>
    <x v="3"/>
    <n v="0.187"/>
  </r>
  <r>
    <n v="200"/>
    <x v="3"/>
    <x v="54"/>
    <x v="10"/>
    <s v="Percent"/>
    <s v="Units"/>
    <x v="4"/>
    <n v="0.184"/>
  </r>
  <r>
    <n v="200"/>
    <x v="3"/>
    <x v="54"/>
    <x v="10"/>
    <s v="Percent"/>
    <s v="Units"/>
    <x v="5"/>
    <n v="0.182"/>
  </r>
  <r>
    <n v="200"/>
    <x v="3"/>
    <x v="54"/>
    <x v="10"/>
    <s v="Percent"/>
    <s v="Units"/>
    <x v="6"/>
    <n v="0.18"/>
  </r>
  <r>
    <n v="400"/>
    <x v="11"/>
    <x v="54"/>
    <x v="10"/>
    <s v="Percent"/>
    <s v="Units"/>
    <x v="0"/>
    <n v="0.19500000000000001"/>
  </r>
  <r>
    <n v="400"/>
    <x v="11"/>
    <x v="54"/>
    <x v="10"/>
    <s v="Percent"/>
    <s v="Units"/>
    <x v="1"/>
    <n v="0.19400000000000001"/>
  </r>
  <r>
    <n v="400"/>
    <x v="11"/>
    <x v="54"/>
    <x v="10"/>
    <s v="Percent"/>
    <s v="Units"/>
    <x v="2"/>
    <n v="0.185"/>
  </r>
  <r>
    <n v="400"/>
    <x v="11"/>
    <x v="54"/>
    <x v="10"/>
    <s v="Percent"/>
    <s v="Units"/>
    <x v="3"/>
    <n v="0.187"/>
  </r>
  <r>
    <n v="400"/>
    <x v="11"/>
    <x v="54"/>
    <x v="10"/>
    <s v="Percent"/>
    <s v="Units"/>
    <x v="4"/>
    <n v="0.184"/>
  </r>
  <r>
    <n v="400"/>
    <x v="11"/>
    <x v="54"/>
    <x v="10"/>
    <s v="Percent"/>
    <s v="Units"/>
    <x v="5"/>
    <n v="0.182"/>
  </r>
  <r>
    <n v="400"/>
    <x v="11"/>
    <x v="54"/>
    <x v="10"/>
    <s v="Percent"/>
    <s v="Units"/>
    <x v="6"/>
    <n v="0.18"/>
  </r>
  <r>
    <n v="505"/>
    <x v="4"/>
    <x v="62"/>
    <x v="0"/>
    <s v="U.S. dollars"/>
    <s v="Billions"/>
    <x v="0"/>
    <n v="0.125"/>
  </r>
  <r>
    <n v="505"/>
    <x v="4"/>
    <x v="62"/>
    <x v="0"/>
    <s v="U.S. dollars"/>
    <s v="Billions"/>
    <x v="1"/>
    <n v="0.125"/>
  </r>
  <r>
    <n v="505"/>
    <x v="4"/>
    <x v="62"/>
    <x v="0"/>
    <s v="U.S. dollars"/>
    <s v="Billions"/>
    <x v="2"/>
    <n v="0.17599999999999999"/>
  </r>
  <r>
    <n v="505"/>
    <x v="4"/>
    <x v="62"/>
    <x v="0"/>
    <s v="U.S. dollars"/>
    <s v="Billions"/>
    <x v="3"/>
    <n v="0.154"/>
  </r>
  <r>
    <n v="505"/>
    <x v="4"/>
    <x v="62"/>
    <x v="0"/>
    <s v="U.S. dollars"/>
    <s v="Billions"/>
    <x v="4"/>
    <n v="0.154"/>
  </r>
  <r>
    <n v="505"/>
    <x v="4"/>
    <x v="62"/>
    <x v="0"/>
    <s v="U.S. dollars"/>
    <s v="Billions"/>
    <x v="5"/>
    <n v="0.161"/>
  </r>
  <r>
    <n v="505"/>
    <x v="4"/>
    <x v="62"/>
    <x v="0"/>
    <s v="U.S. dollars"/>
    <s v="Billions"/>
    <x v="6"/>
    <n v="0.16400000000000001"/>
  </r>
  <r>
    <n v="200"/>
    <x v="3"/>
    <x v="62"/>
    <x v="0"/>
    <s v="U.S. dollars"/>
    <s v="Billions"/>
    <x v="0"/>
    <n v="0.125"/>
  </r>
  <r>
    <n v="200"/>
    <x v="3"/>
    <x v="62"/>
    <x v="0"/>
    <s v="U.S. dollars"/>
    <s v="Billions"/>
    <x v="1"/>
    <n v="0.125"/>
  </r>
  <r>
    <n v="200"/>
    <x v="3"/>
    <x v="62"/>
    <x v="0"/>
    <s v="U.S. dollars"/>
    <s v="Billions"/>
    <x v="2"/>
    <n v="0.17599999999999999"/>
  </r>
  <r>
    <n v="200"/>
    <x v="3"/>
    <x v="62"/>
    <x v="0"/>
    <s v="U.S. dollars"/>
    <s v="Billions"/>
    <x v="3"/>
    <n v="0.154"/>
  </r>
  <r>
    <n v="200"/>
    <x v="3"/>
    <x v="62"/>
    <x v="0"/>
    <s v="U.S. dollars"/>
    <s v="Billions"/>
    <x v="4"/>
    <n v="0.154"/>
  </r>
  <r>
    <n v="200"/>
    <x v="3"/>
    <x v="62"/>
    <x v="0"/>
    <s v="U.S. dollars"/>
    <s v="Billions"/>
    <x v="5"/>
    <n v="0.161"/>
  </r>
  <r>
    <n v="200"/>
    <x v="3"/>
    <x v="62"/>
    <x v="0"/>
    <s v="U.S. dollars"/>
    <s v="Billions"/>
    <x v="6"/>
    <n v="0.16400000000000001"/>
  </r>
  <r>
    <n v="1"/>
    <x v="2"/>
    <x v="62"/>
    <x v="0"/>
    <s v="U.S. dollars"/>
    <s v="Billions"/>
    <x v="0"/>
    <n v="0.125"/>
  </r>
  <r>
    <n v="1"/>
    <x v="2"/>
    <x v="62"/>
    <x v="0"/>
    <s v="U.S. dollars"/>
    <s v="Billions"/>
    <x v="1"/>
    <n v="0.125"/>
  </r>
  <r>
    <n v="1"/>
    <x v="2"/>
    <x v="62"/>
    <x v="0"/>
    <s v="U.S. dollars"/>
    <s v="Billions"/>
    <x v="2"/>
    <n v="0.17599999999999999"/>
  </r>
  <r>
    <n v="1"/>
    <x v="2"/>
    <x v="62"/>
    <x v="0"/>
    <s v="U.S. dollars"/>
    <s v="Billions"/>
    <x v="3"/>
    <n v="0.154"/>
  </r>
  <r>
    <n v="1"/>
    <x v="2"/>
    <x v="62"/>
    <x v="0"/>
    <s v="U.S. dollars"/>
    <s v="Billions"/>
    <x v="4"/>
    <n v="0.154"/>
  </r>
  <r>
    <n v="1"/>
    <x v="2"/>
    <x v="62"/>
    <x v="0"/>
    <s v="U.S. dollars"/>
    <s v="Billions"/>
    <x v="5"/>
    <n v="0.161"/>
  </r>
  <r>
    <n v="1"/>
    <x v="2"/>
    <x v="62"/>
    <x v="0"/>
    <s v="U.S. dollars"/>
    <s v="Billions"/>
    <x v="6"/>
    <n v="0.16400000000000001"/>
  </r>
  <r>
    <n v="200"/>
    <x v="3"/>
    <x v="63"/>
    <x v="10"/>
    <s v="Percent"/>
    <s v="Units"/>
    <x v="0"/>
    <n v="0.151"/>
  </r>
  <r>
    <n v="200"/>
    <x v="3"/>
    <x v="63"/>
    <x v="10"/>
    <s v="Percent"/>
    <s v="Units"/>
    <x v="1"/>
    <n v="0.14499999999999999"/>
  </r>
  <r>
    <n v="200"/>
    <x v="3"/>
    <x v="63"/>
    <x v="10"/>
    <s v="Percent"/>
    <s v="Units"/>
    <x v="2"/>
    <n v="0.153"/>
  </r>
  <r>
    <n v="200"/>
    <x v="3"/>
    <x v="63"/>
    <x v="10"/>
    <s v="Percent"/>
    <s v="Units"/>
    <x v="3"/>
    <n v="0.156"/>
  </r>
  <r>
    <n v="200"/>
    <x v="3"/>
    <x v="63"/>
    <x v="10"/>
    <s v="Percent"/>
    <s v="Units"/>
    <x v="4"/>
    <n v="0.155"/>
  </r>
  <r>
    <n v="200"/>
    <x v="3"/>
    <x v="63"/>
    <x v="10"/>
    <s v="Percent"/>
    <s v="Units"/>
    <x v="5"/>
    <n v="0.158"/>
  </r>
  <r>
    <n v="200"/>
    <x v="3"/>
    <x v="63"/>
    <x v="10"/>
    <s v="Percent"/>
    <s v="Units"/>
    <x v="6"/>
    <n v="0.161"/>
  </r>
  <r>
    <n v="205"/>
    <x v="7"/>
    <x v="63"/>
    <x v="10"/>
    <s v="Percent"/>
    <s v="Units"/>
    <x v="0"/>
    <n v="0.151"/>
  </r>
  <r>
    <n v="205"/>
    <x v="7"/>
    <x v="63"/>
    <x v="10"/>
    <s v="Percent"/>
    <s v="Units"/>
    <x v="1"/>
    <n v="0.14499999999999999"/>
  </r>
  <r>
    <n v="205"/>
    <x v="7"/>
    <x v="63"/>
    <x v="10"/>
    <s v="Percent"/>
    <s v="Units"/>
    <x v="2"/>
    <n v="0.153"/>
  </r>
  <r>
    <n v="205"/>
    <x v="7"/>
    <x v="63"/>
    <x v="10"/>
    <s v="Percent"/>
    <s v="Units"/>
    <x v="3"/>
    <n v="0.156"/>
  </r>
  <r>
    <n v="205"/>
    <x v="7"/>
    <x v="63"/>
    <x v="10"/>
    <s v="Percent"/>
    <s v="Units"/>
    <x v="4"/>
    <n v="0.155"/>
  </r>
  <r>
    <n v="205"/>
    <x v="7"/>
    <x v="63"/>
    <x v="10"/>
    <s v="Percent"/>
    <s v="Units"/>
    <x v="5"/>
    <n v="0.158"/>
  </r>
  <r>
    <n v="205"/>
    <x v="7"/>
    <x v="63"/>
    <x v="10"/>
    <s v="Percent"/>
    <s v="Units"/>
    <x v="6"/>
    <n v="0.161"/>
  </r>
  <r>
    <n v="123"/>
    <x v="9"/>
    <x v="51"/>
    <x v="10"/>
    <s v="Percent"/>
    <s v="Units"/>
    <x v="0"/>
    <n v="0.161"/>
  </r>
  <r>
    <n v="123"/>
    <x v="9"/>
    <x v="51"/>
    <x v="10"/>
    <s v="Percent"/>
    <s v="Units"/>
    <x v="1"/>
    <n v="0.16400000000000001"/>
  </r>
  <r>
    <n v="123"/>
    <x v="9"/>
    <x v="51"/>
    <x v="10"/>
    <s v="Percent"/>
    <s v="Units"/>
    <x v="2"/>
    <n v="0.16200000000000001"/>
  </r>
  <r>
    <n v="123"/>
    <x v="9"/>
    <x v="51"/>
    <x v="10"/>
    <s v="Percent"/>
    <s v="Units"/>
    <x v="3"/>
    <n v="0.161"/>
  </r>
  <r>
    <n v="123"/>
    <x v="9"/>
    <x v="51"/>
    <x v="10"/>
    <s v="Percent"/>
    <s v="Units"/>
    <x v="4"/>
    <n v="0.157"/>
  </r>
  <r>
    <n v="123"/>
    <x v="9"/>
    <x v="51"/>
    <x v="10"/>
    <s v="Percent"/>
    <s v="Units"/>
    <x v="5"/>
    <n v="0.154"/>
  </r>
  <r>
    <n v="123"/>
    <x v="9"/>
    <x v="51"/>
    <x v="10"/>
    <s v="Percent"/>
    <s v="Units"/>
    <x v="6"/>
    <n v="0.152"/>
  </r>
  <r>
    <n v="110"/>
    <x v="0"/>
    <x v="51"/>
    <x v="10"/>
    <s v="Percent"/>
    <s v="Units"/>
    <x v="0"/>
    <n v="0.161"/>
  </r>
  <r>
    <n v="110"/>
    <x v="0"/>
    <x v="51"/>
    <x v="10"/>
    <s v="Percent"/>
    <s v="Units"/>
    <x v="1"/>
    <n v="0.16400000000000001"/>
  </r>
  <r>
    <n v="110"/>
    <x v="0"/>
    <x v="51"/>
    <x v="10"/>
    <s v="Percent"/>
    <s v="Units"/>
    <x v="2"/>
    <n v="0.16200000000000001"/>
  </r>
  <r>
    <n v="110"/>
    <x v="0"/>
    <x v="51"/>
    <x v="10"/>
    <s v="Percent"/>
    <s v="Units"/>
    <x v="3"/>
    <n v="0.161"/>
  </r>
  <r>
    <n v="110"/>
    <x v="0"/>
    <x v="51"/>
    <x v="10"/>
    <s v="Percent"/>
    <s v="Units"/>
    <x v="4"/>
    <n v="0.157"/>
  </r>
  <r>
    <n v="110"/>
    <x v="0"/>
    <x v="51"/>
    <x v="10"/>
    <s v="Percent"/>
    <s v="Units"/>
    <x v="5"/>
    <n v="0.154"/>
  </r>
  <r>
    <n v="110"/>
    <x v="0"/>
    <x v="51"/>
    <x v="10"/>
    <s v="Percent"/>
    <s v="Units"/>
    <x v="6"/>
    <n v="0.152"/>
  </r>
  <r>
    <n v="200"/>
    <x v="3"/>
    <x v="93"/>
    <x v="10"/>
    <s v="Percent"/>
    <s v="Units"/>
    <x v="0"/>
    <n v="0.19600000000000001"/>
  </r>
  <r>
    <n v="200"/>
    <x v="3"/>
    <x v="93"/>
    <x v="10"/>
    <s v="Percent"/>
    <s v="Units"/>
    <x v="1"/>
    <n v="0.2"/>
  </r>
  <r>
    <n v="200"/>
    <x v="3"/>
    <x v="93"/>
    <x v="10"/>
    <s v="Percent"/>
    <s v="Units"/>
    <x v="2"/>
    <n v="0.16800000000000001"/>
  </r>
  <r>
    <n v="200"/>
    <x v="3"/>
    <x v="93"/>
    <x v="10"/>
    <s v="Percent"/>
    <s v="Units"/>
    <x v="3"/>
    <n v="0.156"/>
  </r>
  <r>
    <n v="200"/>
    <x v="3"/>
    <x v="93"/>
    <x v="10"/>
    <s v="Percent"/>
    <s v="Units"/>
    <x v="4"/>
    <n v="0.155"/>
  </r>
  <r>
    <n v="200"/>
    <x v="3"/>
    <x v="93"/>
    <x v="10"/>
    <s v="Percent"/>
    <s v="Units"/>
    <x v="5"/>
    <n v="0.153"/>
  </r>
  <r>
    <n v="200"/>
    <x v="3"/>
    <x v="93"/>
    <x v="10"/>
    <s v="Percent"/>
    <s v="Units"/>
    <x v="6"/>
    <n v="0.151"/>
  </r>
  <r>
    <n v="505"/>
    <x v="4"/>
    <x v="93"/>
    <x v="10"/>
    <s v="Percent"/>
    <s v="Units"/>
    <x v="0"/>
    <n v="0.19600000000000001"/>
  </r>
  <r>
    <n v="505"/>
    <x v="4"/>
    <x v="93"/>
    <x v="10"/>
    <s v="Percent"/>
    <s v="Units"/>
    <x v="1"/>
    <n v="0.2"/>
  </r>
  <r>
    <n v="505"/>
    <x v="4"/>
    <x v="93"/>
    <x v="10"/>
    <s v="Percent"/>
    <s v="Units"/>
    <x v="2"/>
    <n v="0.16800000000000001"/>
  </r>
  <r>
    <n v="505"/>
    <x v="4"/>
    <x v="93"/>
    <x v="10"/>
    <s v="Percent"/>
    <s v="Units"/>
    <x v="3"/>
    <n v="0.156"/>
  </r>
  <r>
    <n v="505"/>
    <x v="4"/>
    <x v="93"/>
    <x v="10"/>
    <s v="Percent"/>
    <s v="Units"/>
    <x v="4"/>
    <n v="0.155"/>
  </r>
  <r>
    <n v="505"/>
    <x v="4"/>
    <x v="93"/>
    <x v="10"/>
    <s v="Percent"/>
    <s v="Units"/>
    <x v="5"/>
    <n v="0.153"/>
  </r>
  <r>
    <n v="505"/>
    <x v="4"/>
    <x v="93"/>
    <x v="10"/>
    <s v="Percent"/>
    <s v="Units"/>
    <x v="6"/>
    <n v="0.151"/>
  </r>
  <r>
    <n v="119"/>
    <x v="1"/>
    <x v="2"/>
    <x v="8"/>
    <s v="Percent change"/>
    <s v="Units"/>
    <x v="0"/>
    <n v="1.071"/>
  </r>
  <r>
    <n v="119"/>
    <x v="1"/>
    <x v="2"/>
    <x v="8"/>
    <s v="Percent change"/>
    <s v="Units"/>
    <x v="1"/>
    <n v="-3.8290000000000002"/>
  </r>
  <r>
    <n v="119"/>
    <x v="1"/>
    <x v="2"/>
    <x v="8"/>
    <s v="Percent change"/>
    <s v="Units"/>
    <x v="2"/>
    <n v="3.169"/>
  </r>
  <r>
    <n v="119"/>
    <x v="1"/>
    <x v="2"/>
    <x v="8"/>
    <s v="Percent change"/>
    <s v="Units"/>
    <x v="3"/>
    <n v="1.804"/>
  </r>
  <r>
    <n v="119"/>
    <x v="1"/>
    <x v="2"/>
    <x v="8"/>
    <s v="Percent change"/>
    <s v="Units"/>
    <x v="4"/>
    <n v="-0.30499999999999999"/>
  </r>
  <r>
    <n v="119"/>
    <x v="1"/>
    <x v="2"/>
    <x v="8"/>
    <s v="Percent change"/>
    <s v="Units"/>
    <x v="5"/>
    <n v="0.15"/>
  </r>
  <r>
    <n v="119"/>
    <x v="1"/>
    <x v="2"/>
    <x v="8"/>
    <s v="Percent change"/>
    <s v="Units"/>
    <x v="6"/>
    <n v="1.3260000000000001"/>
  </r>
  <r>
    <n v="163"/>
    <x v="5"/>
    <x v="2"/>
    <x v="8"/>
    <s v="Percent change"/>
    <s v="Units"/>
    <x v="0"/>
    <n v="1.071"/>
  </r>
  <r>
    <n v="163"/>
    <x v="5"/>
    <x v="2"/>
    <x v="8"/>
    <s v="Percent change"/>
    <s v="Units"/>
    <x v="1"/>
    <n v="-3.8290000000000002"/>
  </r>
  <r>
    <n v="163"/>
    <x v="5"/>
    <x v="2"/>
    <x v="8"/>
    <s v="Percent change"/>
    <s v="Units"/>
    <x v="2"/>
    <n v="3.169"/>
  </r>
  <r>
    <n v="163"/>
    <x v="5"/>
    <x v="2"/>
    <x v="8"/>
    <s v="Percent change"/>
    <s v="Units"/>
    <x v="3"/>
    <n v="1.804"/>
  </r>
  <r>
    <n v="163"/>
    <x v="5"/>
    <x v="2"/>
    <x v="8"/>
    <s v="Percent change"/>
    <s v="Units"/>
    <x v="4"/>
    <n v="-0.30499999999999999"/>
  </r>
  <r>
    <n v="163"/>
    <x v="5"/>
    <x v="2"/>
    <x v="8"/>
    <s v="Percent change"/>
    <s v="Units"/>
    <x v="5"/>
    <n v="0.15"/>
  </r>
  <r>
    <n v="163"/>
    <x v="5"/>
    <x v="2"/>
    <x v="8"/>
    <s v="Percent change"/>
    <s v="Units"/>
    <x v="6"/>
    <n v="1.3260000000000001"/>
  </r>
  <r>
    <n v="1"/>
    <x v="2"/>
    <x v="2"/>
    <x v="8"/>
    <s v="Percent change"/>
    <s v="Units"/>
    <x v="0"/>
    <n v="1.071"/>
  </r>
  <r>
    <n v="1"/>
    <x v="2"/>
    <x v="2"/>
    <x v="8"/>
    <s v="Percent change"/>
    <s v="Units"/>
    <x v="1"/>
    <n v="-3.8290000000000002"/>
  </r>
  <r>
    <n v="1"/>
    <x v="2"/>
    <x v="2"/>
    <x v="8"/>
    <s v="Percent change"/>
    <s v="Units"/>
    <x v="2"/>
    <n v="3.169"/>
  </r>
  <r>
    <n v="1"/>
    <x v="2"/>
    <x v="2"/>
    <x v="8"/>
    <s v="Percent change"/>
    <s v="Units"/>
    <x v="3"/>
    <n v="1.804"/>
  </r>
  <r>
    <n v="1"/>
    <x v="2"/>
    <x v="2"/>
    <x v="8"/>
    <s v="Percent change"/>
    <s v="Units"/>
    <x v="4"/>
    <n v="-0.30499999999999999"/>
  </r>
  <r>
    <n v="1"/>
    <x v="2"/>
    <x v="2"/>
    <x v="8"/>
    <s v="Percent change"/>
    <s v="Units"/>
    <x v="5"/>
    <n v="0.15"/>
  </r>
  <r>
    <n v="1"/>
    <x v="2"/>
    <x v="2"/>
    <x v="8"/>
    <s v="Percent change"/>
    <s v="Units"/>
    <x v="6"/>
    <n v="1.3260000000000001"/>
  </r>
  <r>
    <n v="998"/>
    <x v="6"/>
    <x v="2"/>
    <x v="8"/>
    <s v="Percent change"/>
    <s v="Units"/>
    <x v="0"/>
    <n v="1.071"/>
  </r>
  <r>
    <n v="998"/>
    <x v="6"/>
    <x v="2"/>
    <x v="8"/>
    <s v="Percent change"/>
    <s v="Units"/>
    <x v="1"/>
    <n v="-3.8290000000000002"/>
  </r>
  <r>
    <n v="998"/>
    <x v="6"/>
    <x v="2"/>
    <x v="8"/>
    <s v="Percent change"/>
    <s v="Units"/>
    <x v="2"/>
    <n v="3.169"/>
  </r>
  <r>
    <n v="998"/>
    <x v="6"/>
    <x v="2"/>
    <x v="8"/>
    <s v="Percent change"/>
    <s v="Units"/>
    <x v="3"/>
    <n v="1.804"/>
  </r>
  <r>
    <n v="998"/>
    <x v="6"/>
    <x v="2"/>
    <x v="8"/>
    <s v="Percent change"/>
    <s v="Units"/>
    <x v="4"/>
    <n v="-0.30499999999999999"/>
  </r>
  <r>
    <n v="998"/>
    <x v="6"/>
    <x v="2"/>
    <x v="8"/>
    <s v="Percent change"/>
    <s v="Units"/>
    <x v="5"/>
    <n v="0.15"/>
  </r>
  <r>
    <n v="998"/>
    <x v="6"/>
    <x v="2"/>
    <x v="8"/>
    <s v="Percent change"/>
    <s v="Units"/>
    <x v="6"/>
    <n v="1.3260000000000001"/>
  </r>
  <r>
    <n v="110"/>
    <x v="0"/>
    <x v="2"/>
    <x v="8"/>
    <s v="Percent change"/>
    <s v="Units"/>
    <x v="0"/>
    <n v="1.071"/>
  </r>
  <r>
    <n v="110"/>
    <x v="0"/>
    <x v="2"/>
    <x v="8"/>
    <s v="Percent change"/>
    <s v="Units"/>
    <x v="1"/>
    <n v="-3.8290000000000002"/>
  </r>
  <r>
    <n v="110"/>
    <x v="0"/>
    <x v="2"/>
    <x v="8"/>
    <s v="Percent change"/>
    <s v="Units"/>
    <x v="2"/>
    <n v="3.169"/>
  </r>
  <r>
    <n v="110"/>
    <x v="0"/>
    <x v="2"/>
    <x v="8"/>
    <s v="Percent change"/>
    <s v="Units"/>
    <x v="3"/>
    <n v="1.804"/>
  </r>
  <r>
    <n v="110"/>
    <x v="0"/>
    <x v="2"/>
    <x v="8"/>
    <s v="Percent change"/>
    <s v="Units"/>
    <x v="4"/>
    <n v="-0.30499999999999999"/>
  </r>
  <r>
    <n v="110"/>
    <x v="0"/>
    <x v="2"/>
    <x v="8"/>
    <s v="Percent change"/>
    <s v="Units"/>
    <x v="5"/>
    <n v="0.15"/>
  </r>
  <r>
    <n v="110"/>
    <x v="0"/>
    <x v="2"/>
    <x v="8"/>
    <s v="Percent change"/>
    <s v="Units"/>
    <x v="6"/>
    <n v="1.3260000000000001"/>
  </r>
  <r>
    <n v="603"/>
    <x v="12"/>
    <x v="75"/>
    <x v="10"/>
    <s v="Percent"/>
    <s v="Units"/>
    <x v="0"/>
    <n v="0.16300000000000001"/>
  </r>
  <r>
    <n v="603"/>
    <x v="12"/>
    <x v="75"/>
    <x v="10"/>
    <s v="Percent"/>
    <s v="Units"/>
    <x v="1"/>
    <n v="0.159"/>
  </r>
  <r>
    <n v="603"/>
    <x v="12"/>
    <x v="75"/>
    <x v="10"/>
    <s v="Percent"/>
    <s v="Units"/>
    <x v="2"/>
    <n v="0.151"/>
  </r>
  <r>
    <n v="603"/>
    <x v="12"/>
    <x v="75"/>
    <x v="10"/>
    <s v="Percent"/>
    <s v="Units"/>
    <x v="3"/>
    <n v="0.151"/>
  </r>
  <r>
    <n v="603"/>
    <x v="12"/>
    <x v="75"/>
    <x v="10"/>
    <s v="Percent"/>
    <s v="Units"/>
    <x v="4"/>
    <n v="0.14699999999999999"/>
  </r>
  <r>
    <n v="603"/>
    <x v="12"/>
    <x v="75"/>
    <x v="10"/>
    <s v="Percent"/>
    <s v="Units"/>
    <x v="5"/>
    <n v="0.14599999999999999"/>
  </r>
  <r>
    <n v="603"/>
    <x v="12"/>
    <x v="75"/>
    <x v="10"/>
    <s v="Percent"/>
    <s v="Units"/>
    <x v="6"/>
    <n v="0.14599999999999999"/>
  </r>
  <r>
    <n v="200"/>
    <x v="3"/>
    <x v="75"/>
    <x v="10"/>
    <s v="Percent"/>
    <s v="Units"/>
    <x v="0"/>
    <n v="0.16300000000000001"/>
  </r>
  <r>
    <n v="200"/>
    <x v="3"/>
    <x v="75"/>
    <x v="10"/>
    <s v="Percent"/>
    <s v="Units"/>
    <x v="1"/>
    <n v="0.159"/>
  </r>
  <r>
    <n v="200"/>
    <x v="3"/>
    <x v="75"/>
    <x v="10"/>
    <s v="Percent"/>
    <s v="Units"/>
    <x v="2"/>
    <n v="0.151"/>
  </r>
  <r>
    <n v="200"/>
    <x v="3"/>
    <x v="75"/>
    <x v="10"/>
    <s v="Percent"/>
    <s v="Units"/>
    <x v="3"/>
    <n v="0.151"/>
  </r>
  <r>
    <n v="200"/>
    <x v="3"/>
    <x v="75"/>
    <x v="10"/>
    <s v="Percent"/>
    <s v="Units"/>
    <x v="4"/>
    <n v="0.14699999999999999"/>
  </r>
  <r>
    <n v="200"/>
    <x v="3"/>
    <x v="75"/>
    <x v="10"/>
    <s v="Percent"/>
    <s v="Units"/>
    <x v="5"/>
    <n v="0.14599999999999999"/>
  </r>
  <r>
    <n v="200"/>
    <x v="3"/>
    <x v="75"/>
    <x v="10"/>
    <s v="Percent"/>
    <s v="Units"/>
    <x v="6"/>
    <n v="0.14599999999999999"/>
  </r>
  <r>
    <n v="205"/>
    <x v="7"/>
    <x v="66"/>
    <x v="10"/>
    <s v="Percent"/>
    <s v="Units"/>
    <x v="0"/>
    <n v="0.151"/>
  </r>
  <r>
    <n v="205"/>
    <x v="7"/>
    <x v="66"/>
    <x v="10"/>
    <s v="Percent"/>
    <s v="Units"/>
    <x v="1"/>
    <n v="0.14099999999999999"/>
  </r>
  <r>
    <n v="205"/>
    <x v="7"/>
    <x v="66"/>
    <x v="10"/>
    <s v="Percent"/>
    <s v="Units"/>
    <x v="2"/>
    <n v="0.14599999999999999"/>
  </r>
  <r>
    <n v="205"/>
    <x v="7"/>
    <x v="66"/>
    <x v="10"/>
    <s v="Percent"/>
    <s v="Units"/>
    <x v="3"/>
    <n v="0.15"/>
  </r>
  <r>
    <n v="205"/>
    <x v="7"/>
    <x v="66"/>
    <x v="10"/>
    <s v="Percent"/>
    <s v="Units"/>
    <x v="4"/>
    <n v="0.14899999999999999"/>
  </r>
  <r>
    <n v="205"/>
    <x v="7"/>
    <x v="66"/>
    <x v="10"/>
    <s v="Percent"/>
    <s v="Units"/>
    <x v="5"/>
    <n v="0.14399999999999999"/>
  </r>
  <r>
    <n v="205"/>
    <x v="7"/>
    <x v="66"/>
    <x v="10"/>
    <s v="Percent"/>
    <s v="Units"/>
    <x v="6"/>
    <n v="0.14099999999999999"/>
  </r>
  <r>
    <n v="200"/>
    <x v="3"/>
    <x v="66"/>
    <x v="10"/>
    <s v="Percent"/>
    <s v="Units"/>
    <x v="0"/>
    <n v="0.151"/>
  </r>
  <r>
    <n v="200"/>
    <x v="3"/>
    <x v="66"/>
    <x v="10"/>
    <s v="Percent"/>
    <s v="Units"/>
    <x v="1"/>
    <n v="0.14099999999999999"/>
  </r>
  <r>
    <n v="200"/>
    <x v="3"/>
    <x v="66"/>
    <x v="10"/>
    <s v="Percent"/>
    <s v="Units"/>
    <x v="2"/>
    <n v="0.14599999999999999"/>
  </r>
  <r>
    <n v="200"/>
    <x v="3"/>
    <x v="66"/>
    <x v="10"/>
    <s v="Percent"/>
    <s v="Units"/>
    <x v="3"/>
    <n v="0.15"/>
  </r>
  <r>
    <n v="200"/>
    <x v="3"/>
    <x v="66"/>
    <x v="10"/>
    <s v="Percent"/>
    <s v="Units"/>
    <x v="4"/>
    <n v="0.14899999999999999"/>
  </r>
  <r>
    <n v="200"/>
    <x v="3"/>
    <x v="66"/>
    <x v="10"/>
    <s v="Percent"/>
    <s v="Units"/>
    <x v="5"/>
    <n v="0.14399999999999999"/>
  </r>
  <r>
    <n v="200"/>
    <x v="3"/>
    <x v="66"/>
    <x v="10"/>
    <s v="Percent"/>
    <s v="Units"/>
    <x v="6"/>
    <n v="0.14099999999999999"/>
  </r>
  <r>
    <n v="400"/>
    <x v="11"/>
    <x v="58"/>
    <x v="10"/>
    <s v="Percent"/>
    <s v="Units"/>
    <x v="0"/>
    <n v="0.16400000000000001"/>
  </r>
  <r>
    <n v="400"/>
    <x v="11"/>
    <x v="58"/>
    <x v="10"/>
    <s v="Percent"/>
    <s v="Units"/>
    <x v="1"/>
    <n v="0.16"/>
  </r>
  <r>
    <n v="400"/>
    <x v="11"/>
    <x v="58"/>
    <x v="10"/>
    <s v="Percent"/>
    <s v="Units"/>
    <x v="2"/>
    <n v="0.153"/>
  </r>
  <r>
    <n v="400"/>
    <x v="11"/>
    <x v="58"/>
    <x v="10"/>
    <s v="Percent"/>
    <s v="Units"/>
    <x v="3"/>
    <n v="0.157"/>
  </r>
  <r>
    <n v="400"/>
    <x v="11"/>
    <x v="58"/>
    <x v="10"/>
    <s v="Percent"/>
    <s v="Units"/>
    <x v="4"/>
    <n v="0.14899999999999999"/>
  </r>
  <r>
    <n v="400"/>
    <x v="11"/>
    <x v="58"/>
    <x v="10"/>
    <s v="Percent"/>
    <s v="Units"/>
    <x v="5"/>
    <n v="0.14199999999999999"/>
  </r>
  <r>
    <n v="400"/>
    <x v="11"/>
    <x v="58"/>
    <x v="10"/>
    <s v="Percent"/>
    <s v="Units"/>
    <x v="6"/>
    <n v="0.14299999999999999"/>
  </r>
  <r>
    <n v="200"/>
    <x v="3"/>
    <x v="58"/>
    <x v="10"/>
    <s v="Percent"/>
    <s v="Units"/>
    <x v="0"/>
    <n v="0.16400000000000001"/>
  </r>
  <r>
    <n v="200"/>
    <x v="3"/>
    <x v="58"/>
    <x v="10"/>
    <s v="Percent"/>
    <s v="Units"/>
    <x v="1"/>
    <n v="0.16"/>
  </r>
  <r>
    <n v="200"/>
    <x v="3"/>
    <x v="58"/>
    <x v="10"/>
    <s v="Percent"/>
    <s v="Units"/>
    <x v="2"/>
    <n v="0.153"/>
  </r>
  <r>
    <n v="200"/>
    <x v="3"/>
    <x v="58"/>
    <x v="10"/>
    <s v="Percent"/>
    <s v="Units"/>
    <x v="3"/>
    <n v="0.157"/>
  </r>
  <r>
    <n v="200"/>
    <x v="3"/>
    <x v="58"/>
    <x v="10"/>
    <s v="Percent"/>
    <s v="Units"/>
    <x v="4"/>
    <n v="0.14899999999999999"/>
  </r>
  <r>
    <n v="200"/>
    <x v="3"/>
    <x v="58"/>
    <x v="10"/>
    <s v="Percent"/>
    <s v="Units"/>
    <x v="5"/>
    <n v="0.14199999999999999"/>
  </r>
  <r>
    <n v="200"/>
    <x v="3"/>
    <x v="58"/>
    <x v="10"/>
    <s v="Percent"/>
    <s v="Units"/>
    <x v="6"/>
    <n v="0.14299999999999999"/>
  </r>
  <r>
    <n v="1"/>
    <x v="2"/>
    <x v="51"/>
    <x v="6"/>
    <s v="Percent change"/>
    <s v="Units"/>
    <x v="0"/>
    <n v="2.2639999999999998"/>
  </r>
  <r>
    <n v="1"/>
    <x v="2"/>
    <x v="51"/>
    <x v="6"/>
    <s v="Percent change"/>
    <s v="Units"/>
    <x v="1"/>
    <n v="-15.577999999999999"/>
  </r>
  <r>
    <n v="1"/>
    <x v="2"/>
    <x v="51"/>
    <x v="6"/>
    <s v="Percent change"/>
    <s v="Units"/>
    <x v="2"/>
    <n v="14.436"/>
  </r>
  <r>
    <n v="1"/>
    <x v="2"/>
    <x v="51"/>
    <x v="6"/>
    <s v="Percent change"/>
    <s v="Units"/>
    <x v="3"/>
    <n v="4.7290000000000001"/>
  </r>
  <r>
    <n v="1"/>
    <x v="2"/>
    <x v="51"/>
    <x v="6"/>
    <s v="Percent change"/>
    <s v="Units"/>
    <x v="4"/>
    <n v="-0.16800000000000001"/>
  </r>
  <r>
    <n v="1"/>
    <x v="2"/>
    <x v="51"/>
    <x v="6"/>
    <s v="Percent change"/>
    <s v="Units"/>
    <x v="5"/>
    <n v="0.13900000000000001"/>
  </r>
  <r>
    <n v="1"/>
    <x v="2"/>
    <x v="51"/>
    <x v="6"/>
    <s v="Percent change"/>
    <s v="Units"/>
    <x v="6"/>
    <n v="3.1259999999999999"/>
  </r>
  <r>
    <n v="123"/>
    <x v="9"/>
    <x v="51"/>
    <x v="6"/>
    <s v="Percent change"/>
    <s v="Units"/>
    <x v="0"/>
    <n v="2.2639999999999998"/>
  </r>
  <r>
    <n v="123"/>
    <x v="9"/>
    <x v="51"/>
    <x v="6"/>
    <s v="Percent change"/>
    <s v="Units"/>
    <x v="1"/>
    <n v="-15.577999999999999"/>
  </r>
  <r>
    <n v="123"/>
    <x v="9"/>
    <x v="51"/>
    <x v="6"/>
    <s v="Percent change"/>
    <s v="Units"/>
    <x v="2"/>
    <n v="14.436"/>
  </r>
  <r>
    <n v="123"/>
    <x v="9"/>
    <x v="51"/>
    <x v="6"/>
    <s v="Percent change"/>
    <s v="Units"/>
    <x v="3"/>
    <n v="4.7290000000000001"/>
  </r>
  <r>
    <n v="123"/>
    <x v="9"/>
    <x v="51"/>
    <x v="6"/>
    <s v="Percent change"/>
    <s v="Units"/>
    <x v="4"/>
    <n v="-0.16800000000000001"/>
  </r>
  <r>
    <n v="123"/>
    <x v="9"/>
    <x v="51"/>
    <x v="6"/>
    <s v="Percent change"/>
    <s v="Units"/>
    <x v="5"/>
    <n v="0.13900000000000001"/>
  </r>
  <r>
    <n v="123"/>
    <x v="9"/>
    <x v="51"/>
    <x v="6"/>
    <s v="Percent change"/>
    <s v="Units"/>
    <x v="6"/>
    <n v="3.1259999999999999"/>
  </r>
  <r>
    <n v="110"/>
    <x v="0"/>
    <x v="51"/>
    <x v="6"/>
    <s v="Percent change"/>
    <s v="Units"/>
    <x v="0"/>
    <n v="2.2639999999999998"/>
  </r>
  <r>
    <n v="110"/>
    <x v="0"/>
    <x v="51"/>
    <x v="6"/>
    <s v="Percent change"/>
    <s v="Units"/>
    <x v="1"/>
    <n v="-15.577999999999999"/>
  </r>
  <r>
    <n v="110"/>
    <x v="0"/>
    <x v="51"/>
    <x v="6"/>
    <s v="Percent change"/>
    <s v="Units"/>
    <x v="2"/>
    <n v="14.436"/>
  </r>
  <r>
    <n v="110"/>
    <x v="0"/>
    <x v="51"/>
    <x v="6"/>
    <s v="Percent change"/>
    <s v="Units"/>
    <x v="3"/>
    <n v="4.7290000000000001"/>
  </r>
  <r>
    <n v="110"/>
    <x v="0"/>
    <x v="51"/>
    <x v="6"/>
    <s v="Percent change"/>
    <s v="Units"/>
    <x v="4"/>
    <n v="-0.16800000000000001"/>
  </r>
  <r>
    <n v="110"/>
    <x v="0"/>
    <x v="51"/>
    <x v="6"/>
    <s v="Percent change"/>
    <s v="Units"/>
    <x v="5"/>
    <n v="0.13900000000000001"/>
  </r>
  <r>
    <n v="110"/>
    <x v="0"/>
    <x v="51"/>
    <x v="6"/>
    <s v="Percent change"/>
    <s v="Units"/>
    <x v="6"/>
    <n v="3.1259999999999999"/>
  </r>
  <r>
    <n v="110"/>
    <x v="0"/>
    <x v="90"/>
    <x v="13"/>
    <s v="Percent of potential GDP"/>
    <s v="Units"/>
    <x v="0"/>
    <n v="3.891"/>
  </r>
  <r>
    <n v="110"/>
    <x v="0"/>
    <x v="90"/>
    <x v="13"/>
    <s v="Percent of potential GDP"/>
    <s v="Units"/>
    <x v="1"/>
    <n v="-2.2389999999999999"/>
  </r>
  <r>
    <n v="110"/>
    <x v="0"/>
    <x v="90"/>
    <x v="13"/>
    <s v="Percent of potential GDP"/>
    <s v="Units"/>
    <x v="2"/>
    <n v="2.3029999999999999"/>
  </r>
  <r>
    <n v="110"/>
    <x v="0"/>
    <x v="90"/>
    <x v="13"/>
    <s v="Percent of potential GDP"/>
    <s v="Units"/>
    <x v="3"/>
    <n v="1.903"/>
  </r>
  <r>
    <n v="110"/>
    <x v="0"/>
    <x v="90"/>
    <x v="13"/>
    <s v="Percent of potential GDP"/>
    <s v="Units"/>
    <x v="4"/>
    <n v="0.71199999999999997"/>
  </r>
  <r>
    <n v="110"/>
    <x v="0"/>
    <x v="90"/>
    <x v="13"/>
    <s v="Percent of potential GDP"/>
    <s v="Units"/>
    <x v="5"/>
    <n v="0.13300000000000001"/>
  </r>
  <r>
    <n v="110"/>
    <x v="0"/>
    <x v="90"/>
    <x v="13"/>
    <s v="Percent of potential GDP"/>
    <s v="Units"/>
    <x v="6"/>
    <n v="-2.3E-2"/>
  </r>
  <r>
    <n v="163"/>
    <x v="5"/>
    <x v="90"/>
    <x v="13"/>
    <s v="Percent of potential GDP"/>
    <s v="Units"/>
    <x v="0"/>
    <n v="3.891"/>
  </r>
  <r>
    <n v="163"/>
    <x v="5"/>
    <x v="90"/>
    <x v="13"/>
    <s v="Percent of potential GDP"/>
    <s v="Units"/>
    <x v="1"/>
    <n v="-2.2389999999999999"/>
  </r>
  <r>
    <n v="163"/>
    <x v="5"/>
    <x v="90"/>
    <x v="13"/>
    <s v="Percent of potential GDP"/>
    <s v="Units"/>
    <x v="2"/>
    <n v="2.3029999999999999"/>
  </r>
  <r>
    <n v="163"/>
    <x v="5"/>
    <x v="90"/>
    <x v="13"/>
    <s v="Percent of potential GDP"/>
    <s v="Units"/>
    <x v="3"/>
    <n v="1.903"/>
  </r>
  <r>
    <n v="163"/>
    <x v="5"/>
    <x v="90"/>
    <x v="13"/>
    <s v="Percent of potential GDP"/>
    <s v="Units"/>
    <x v="4"/>
    <n v="0.71199999999999997"/>
  </r>
  <r>
    <n v="163"/>
    <x v="5"/>
    <x v="90"/>
    <x v="13"/>
    <s v="Percent of potential GDP"/>
    <s v="Units"/>
    <x v="5"/>
    <n v="0.13300000000000001"/>
  </r>
  <r>
    <n v="163"/>
    <x v="5"/>
    <x v="90"/>
    <x v="13"/>
    <s v="Percent of potential GDP"/>
    <s v="Units"/>
    <x v="6"/>
    <n v="-2.3E-2"/>
  </r>
  <r>
    <n v="200"/>
    <x v="3"/>
    <x v="85"/>
    <x v="10"/>
    <s v="Percent"/>
    <s v="Units"/>
    <x v="0"/>
    <n v="0.11799999999999999"/>
  </r>
  <r>
    <n v="200"/>
    <x v="3"/>
    <x v="85"/>
    <x v="10"/>
    <s v="Percent"/>
    <s v="Units"/>
    <x v="1"/>
    <n v="0.127"/>
  </r>
  <r>
    <n v="200"/>
    <x v="3"/>
    <x v="85"/>
    <x v="10"/>
    <s v="Percent"/>
    <s v="Units"/>
    <x v="2"/>
    <n v="0.125"/>
  </r>
  <r>
    <n v="200"/>
    <x v="3"/>
    <x v="85"/>
    <x v="10"/>
    <s v="Percent"/>
    <s v="Units"/>
    <x v="3"/>
    <n v="0.126"/>
  </r>
  <r>
    <n v="200"/>
    <x v="3"/>
    <x v="85"/>
    <x v="10"/>
    <s v="Percent"/>
    <s v="Units"/>
    <x v="4"/>
    <n v="0.129"/>
  </r>
  <r>
    <n v="200"/>
    <x v="3"/>
    <x v="85"/>
    <x v="10"/>
    <s v="Percent"/>
    <s v="Units"/>
    <x v="5"/>
    <n v="0.13200000000000001"/>
  </r>
  <r>
    <n v="200"/>
    <x v="3"/>
    <x v="85"/>
    <x v="10"/>
    <s v="Percent"/>
    <s v="Units"/>
    <x v="6"/>
    <n v="0.13500000000000001"/>
  </r>
  <r>
    <n v="603"/>
    <x v="12"/>
    <x v="85"/>
    <x v="10"/>
    <s v="Percent"/>
    <s v="Units"/>
    <x v="0"/>
    <n v="0.11799999999999999"/>
  </r>
  <r>
    <n v="603"/>
    <x v="12"/>
    <x v="85"/>
    <x v="10"/>
    <s v="Percent"/>
    <s v="Units"/>
    <x v="1"/>
    <n v="0.127"/>
  </r>
  <r>
    <n v="603"/>
    <x v="12"/>
    <x v="85"/>
    <x v="10"/>
    <s v="Percent"/>
    <s v="Units"/>
    <x v="2"/>
    <n v="0.125"/>
  </r>
  <r>
    <n v="603"/>
    <x v="12"/>
    <x v="85"/>
    <x v="10"/>
    <s v="Percent"/>
    <s v="Units"/>
    <x v="3"/>
    <n v="0.126"/>
  </r>
  <r>
    <n v="603"/>
    <x v="12"/>
    <x v="85"/>
    <x v="10"/>
    <s v="Percent"/>
    <s v="Units"/>
    <x v="4"/>
    <n v="0.129"/>
  </r>
  <r>
    <n v="603"/>
    <x v="12"/>
    <x v="85"/>
    <x v="10"/>
    <s v="Percent"/>
    <s v="Units"/>
    <x v="5"/>
    <n v="0.13200000000000001"/>
  </r>
  <r>
    <n v="603"/>
    <x v="12"/>
    <x v="85"/>
    <x v="10"/>
    <s v="Percent"/>
    <s v="Units"/>
    <x v="6"/>
    <n v="0.13500000000000001"/>
  </r>
  <r>
    <n v="603"/>
    <x v="12"/>
    <x v="87"/>
    <x v="10"/>
    <s v="Percent"/>
    <s v="Units"/>
    <x v="0"/>
    <n v="0.129"/>
  </r>
  <r>
    <n v="603"/>
    <x v="12"/>
    <x v="87"/>
    <x v="10"/>
    <s v="Percent"/>
    <s v="Units"/>
    <x v="1"/>
    <n v="0.13400000000000001"/>
  </r>
  <r>
    <n v="603"/>
    <x v="12"/>
    <x v="87"/>
    <x v="10"/>
    <s v="Percent"/>
    <s v="Units"/>
    <x v="2"/>
    <n v="0.13200000000000001"/>
  </r>
  <r>
    <n v="603"/>
    <x v="12"/>
    <x v="87"/>
    <x v="10"/>
    <s v="Percent"/>
    <s v="Units"/>
    <x v="3"/>
    <n v="0.13200000000000001"/>
  </r>
  <r>
    <n v="603"/>
    <x v="12"/>
    <x v="87"/>
    <x v="10"/>
    <s v="Percent"/>
    <s v="Units"/>
    <x v="4"/>
    <n v="0.13"/>
  </r>
  <r>
    <n v="603"/>
    <x v="12"/>
    <x v="87"/>
    <x v="10"/>
    <s v="Percent"/>
    <s v="Units"/>
    <x v="5"/>
    <n v="0.13"/>
  </r>
  <r>
    <n v="603"/>
    <x v="12"/>
    <x v="87"/>
    <x v="10"/>
    <s v="Percent"/>
    <s v="Units"/>
    <x v="6"/>
    <n v="0.13200000000000001"/>
  </r>
  <r>
    <n v="200"/>
    <x v="3"/>
    <x v="87"/>
    <x v="10"/>
    <s v="Percent"/>
    <s v="Units"/>
    <x v="0"/>
    <n v="0.129"/>
  </r>
  <r>
    <n v="200"/>
    <x v="3"/>
    <x v="87"/>
    <x v="10"/>
    <s v="Percent"/>
    <s v="Units"/>
    <x v="1"/>
    <n v="0.13400000000000001"/>
  </r>
  <r>
    <n v="200"/>
    <x v="3"/>
    <x v="87"/>
    <x v="10"/>
    <s v="Percent"/>
    <s v="Units"/>
    <x v="2"/>
    <n v="0.13200000000000001"/>
  </r>
  <r>
    <n v="200"/>
    <x v="3"/>
    <x v="87"/>
    <x v="10"/>
    <s v="Percent"/>
    <s v="Units"/>
    <x v="3"/>
    <n v="0.13200000000000001"/>
  </r>
  <r>
    <n v="200"/>
    <x v="3"/>
    <x v="87"/>
    <x v="10"/>
    <s v="Percent"/>
    <s v="Units"/>
    <x v="4"/>
    <n v="0.13"/>
  </r>
  <r>
    <n v="200"/>
    <x v="3"/>
    <x v="87"/>
    <x v="10"/>
    <s v="Percent"/>
    <s v="Units"/>
    <x v="5"/>
    <n v="0.13"/>
  </r>
  <r>
    <n v="200"/>
    <x v="3"/>
    <x v="87"/>
    <x v="10"/>
    <s v="Percent"/>
    <s v="Units"/>
    <x v="6"/>
    <n v="0.13200000000000001"/>
  </r>
  <r>
    <n v="998"/>
    <x v="6"/>
    <x v="61"/>
    <x v="10"/>
    <s v="Percent"/>
    <s v="Units"/>
    <x v="0"/>
    <n v="0.13800000000000001"/>
  </r>
  <r>
    <n v="998"/>
    <x v="6"/>
    <x v="61"/>
    <x v="10"/>
    <s v="Percent"/>
    <s v="Units"/>
    <x v="1"/>
    <n v="0.13700000000000001"/>
  </r>
  <r>
    <n v="998"/>
    <x v="6"/>
    <x v="61"/>
    <x v="10"/>
    <s v="Percent"/>
    <s v="Units"/>
    <x v="2"/>
    <n v="0.13500000000000001"/>
  </r>
  <r>
    <n v="998"/>
    <x v="6"/>
    <x v="61"/>
    <x v="10"/>
    <s v="Percent"/>
    <s v="Units"/>
    <x v="3"/>
    <n v="0.13300000000000001"/>
  </r>
  <r>
    <n v="998"/>
    <x v="6"/>
    <x v="61"/>
    <x v="10"/>
    <s v="Percent"/>
    <s v="Units"/>
    <x v="4"/>
    <n v="0.13"/>
  </r>
  <r>
    <n v="998"/>
    <x v="6"/>
    <x v="61"/>
    <x v="10"/>
    <s v="Percent"/>
    <s v="Units"/>
    <x v="5"/>
    <n v="0.129"/>
  </r>
  <r>
    <n v="998"/>
    <x v="6"/>
    <x v="61"/>
    <x v="10"/>
    <s v="Percent"/>
    <s v="Units"/>
    <x v="6"/>
    <n v="0.128"/>
  </r>
  <r>
    <n v="110"/>
    <x v="0"/>
    <x v="61"/>
    <x v="10"/>
    <s v="Percent"/>
    <s v="Units"/>
    <x v="0"/>
    <n v="0.13800000000000001"/>
  </r>
  <r>
    <n v="110"/>
    <x v="0"/>
    <x v="61"/>
    <x v="10"/>
    <s v="Percent"/>
    <s v="Units"/>
    <x v="1"/>
    <n v="0.13700000000000001"/>
  </r>
  <r>
    <n v="110"/>
    <x v="0"/>
    <x v="61"/>
    <x v="10"/>
    <s v="Percent"/>
    <s v="Units"/>
    <x v="2"/>
    <n v="0.13500000000000001"/>
  </r>
  <r>
    <n v="110"/>
    <x v="0"/>
    <x v="61"/>
    <x v="10"/>
    <s v="Percent"/>
    <s v="Units"/>
    <x v="3"/>
    <n v="0.13300000000000001"/>
  </r>
  <r>
    <n v="110"/>
    <x v="0"/>
    <x v="61"/>
    <x v="10"/>
    <s v="Percent"/>
    <s v="Units"/>
    <x v="4"/>
    <n v="0.13"/>
  </r>
  <r>
    <n v="110"/>
    <x v="0"/>
    <x v="61"/>
    <x v="10"/>
    <s v="Percent"/>
    <s v="Units"/>
    <x v="5"/>
    <n v="0.129"/>
  </r>
  <r>
    <n v="110"/>
    <x v="0"/>
    <x v="61"/>
    <x v="10"/>
    <s v="Percent"/>
    <s v="Units"/>
    <x v="6"/>
    <n v="0.128"/>
  </r>
  <r>
    <n v="200"/>
    <x v="3"/>
    <x v="91"/>
    <x v="10"/>
    <s v="Percent"/>
    <s v="Units"/>
    <x v="0"/>
    <n v="0.13900000000000001"/>
  </r>
  <r>
    <n v="200"/>
    <x v="3"/>
    <x v="91"/>
    <x v="10"/>
    <s v="Percent"/>
    <s v="Units"/>
    <x v="1"/>
    <n v="0.14199999999999999"/>
  </r>
  <r>
    <n v="200"/>
    <x v="3"/>
    <x v="91"/>
    <x v="10"/>
    <s v="Percent"/>
    <s v="Units"/>
    <x v="2"/>
    <n v="0.13700000000000001"/>
  </r>
  <r>
    <n v="200"/>
    <x v="3"/>
    <x v="91"/>
    <x v="10"/>
    <s v="Percent"/>
    <s v="Units"/>
    <x v="3"/>
    <n v="0.126"/>
  </r>
  <r>
    <n v="200"/>
    <x v="3"/>
    <x v="91"/>
    <x v="10"/>
    <s v="Percent"/>
    <s v="Units"/>
    <x v="4"/>
    <n v="0.127"/>
  </r>
  <r>
    <n v="200"/>
    <x v="3"/>
    <x v="91"/>
    <x v="10"/>
    <s v="Percent"/>
    <s v="Units"/>
    <x v="5"/>
    <n v="0.126"/>
  </r>
  <r>
    <n v="200"/>
    <x v="3"/>
    <x v="91"/>
    <x v="10"/>
    <s v="Percent"/>
    <s v="Units"/>
    <x v="6"/>
    <n v="0.124"/>
  </r>
  <r>
    <n v="903"/>
    <x v="8"/>
    <x v="91"/>
    <x v="10"/>
    <s v="Percent"/>
    <s v="Units"/>
    <x v="0"/>
    <n v="0.13900000000000001"/>
  </r>
  <r>
    <n v="903"/>
    <x v="8"/>
    <x v="91"/>
    <x v="10"/>
    <s v="Percent"/>
    <s v="Units"/>
    <x v="1"/>
    <n v="0.14199999999999999"/>
  </r>
  <r>
    <n v="903"/>
    <x v="8"/>
    <x v="91"/>
    <x v="10"/>
    <s v="Percent"/>
    <s v="Units"/>
    <x v="2"/>
    <n v="0.13700000000000001"/>
  </r>
  <r>
    <n v="903"/>
    <x v="8"/>
    <x v="91"/>
    <x v="10"/>
    <s v="Percent"/>
    <s v="Units"/>
    <x v="3"/>
    <n v="0.126"/>
  </r>
  <r>
    <n v="903"/>
    <x v="8"/>
    <x v="91"/>
    <x v="10"/>
    <s v="Percent"/>
    <s v="Units"/>
    <x v="4"/>
    <n v="0.127"/>
  </r>
  <r>
    <n v="903"/>
    <x v="8"/>
    <x v="91"/>
    <x v="10"/>
    <s v="Percent"/>
    <s v="Units"/>
    <x v="5"/>
    <n v="0.126"/>
  </r>
  <r>
    <n v="903"/>
    <x v="8"/>
    <x v="91"/>
    <x v="10"/>
    <s v="Percent"/>
    <s v="Units"/>
    <x v="6"/>
    <n v="0.124"/>
  </r>
  <r>
    <n v="998"/>
    <x v="6"/>
    <x v="70"/>
    <x v="10"/>
    <s v="Percent"/>
    <s v="Units"/>
    <x v="0"/>
    <n v="0.125"/>
  </r>
  <r>
    <n v="998"/>
    <x v="6"/>
    <x v="70"/>
    <x v="10"/>
    <s v="Percent"/>
    <s v="Units"/>
    <x v="1"/>
    <n v="0.123"/>
  </r>
  <r>
    <n v="998"/>
    <x v="6"/>
    <x v="70"/>
    <x v="10"/>
    <s v="Percent"/>
    <s v="Units"/>
    <x v="2"/>
    <n v="0.125"/>
  </r>
  <r>
    <n v="998"/>
    <x v="6"/>
    <x v="70"/>
    <x v="10"/>
    <s v="Percent"/>
    <s v="Units"/>
    <x v="3"/>
    <n v="0.125"/>
  </r>
  <r>
    <n v="998"/>
    <x v="6"/>
    <x v="70"/>
    <x v="10"/>
    <s v="Percent"/>
    <s v="Units"/>
    <x v="4"/>
    <n v="0.124"/>
  </r>
  <r>
    <n v="998"/>
    <x v="6"/>
    <x v="70"/>
    <x v="10"/>
    <s v="Percent"/>
    <s v="Units"/>
    <x v="5"/>
    <n v="0.123"/>
  </r>
  <r>
    <n v="998"/>
    <x v="6"/>
    <x v="70"/>
    <x v="10"/>
    <s v="Percent"/>
    <s v="Units"/>
    <x v="6"/>
    <n v="0.123"/>
  </r>
  <r>
    <n v="200"/>
    <x v="3"/>
    <x v="70"/>
    <x v="10"/>
    <s v="Percent"/>
    <s v="Units"/>
    <x v="0"/>
    <n v="0.125"/>
  </r>
  <r>
    <n v="200"/>
    <x v="3"/>
    <x v="70"/>
    <x v="10"/>
    <s v="Percent"/>
    <s v="Units"/>
    <x v="1"/>
    <n v="0.123"/>
  </r>
  <r>
    <n v="200"/>
    <x v="3"/>
    <x v="70"/>
    <x v="10"/>
    <s v="Percent"/>
    <s v="Units"/>
    <x v="2"/>
    <n v="0.125"/>
  </r>
  <r>
    <n v="200"/>
    <x v="3"/>
    <x v="70"/>
    <x v="10"/>
    <s v="Percent"/>
    <s v="Units"/>
    <x v="3"/>
    <n v="0.125"/>
  </r>
  <r>
    <n v="200"/>
    <x v="3"/>
    <x v="70"/>
    <x v="10"/>
    <s v="Percent"/>
    <s v="Units"/>
    <x v="4"/>
    <n v="0.124"/>
  </r>
  <r>
    <n v="200"/>
    <x v="3"/>
    <x v="70"/>
    <x v="10"/>
    <s v="Percent"/>
    <s v="Units"/>
    <x v="5"/>
    <n v="0.123"/>
  </r>
  <r>
    <n v="200"/>
    <x v="3"/>
    <x v="70"/>
    <x v="10"/>
    <s v="Percent"/>
    <s v="Units"/>
    <x v="6"/>
    <n v="0.123"/>
  </r>
  <r>
    <n v="903"/>
    <x v="8"/>
    <x v="70"/>
    <x v="10"/>
    <s v="Percent"/>
    <s v="Units"/>
    <x v="0"/>
    <n v="0.125"/>
  </r>
  <r>
    <n v="903"/>
    <x v="8"/>
    <x v="70"/>
    <x v="10"/>
    <s v="Percent"/>
    <s v="Units"/>
    <x v="1"/>
    <n v="0.123"/>
  </r>
  <r>
    <n v="903"/>
    <x v="8"/>
    <x v="70"/>
    <x v="10"/>
    <s v="Percent"/>
    <s v="Units"/>
    <x v="2"/>
    <n v="0.125"/>
  </r>
  <r>
    <n v="903"/>
    <x v="8"/>
    <x v="70"/>
    <x v="10"/>
    <s v="Percent"/>
    <s v="Units"/>
    <x v="3"/>
    <n v="0.125"/>
  </r>
  <r>
    <n v="903"/>
    <x v="8"/>
    <x v="70"/>
    <x v="10"/>
    <s v="Percent"/>
    <s v="Units"/>
    <x v="4"/>
    <n v="0.124"/>
  </r>
  <r>
    <n v="903"/>
    <x v="8"/>
    <x v="70"/>
    <x v="10"/>
    <s v="Percent"/>
    <s v="Units"/>
    <x v="5"/>
    <n v="0.123"/>
  </r>
  <r>
    <n v="903"/>
    <x v="8"/>
    <x v="70"/>
    <x v="10"/>
    <s v="Percent"/>
    <s v="Units"/>
    <x v="6"/>
    <n v="0.123"/>
  </r>
  <r>
    <n v="205"/>
    <x v="7"/>
    <x v="72"/>
    <x v="10"/>
    <s v="Percent"/>
    <s v="Units"/>
    <x v="0"/>
    <n v="0.16600000000000001"/>
  </r>
  <r>
    <n v="205"/>
    <x v="7"/>
    <x v="72"/>
    <x v="10"/>
    <s v="Percent"/>
    <s v="Units"/>
    <x v="1"/>
    <n v="0.12"/>
  </r>
  <r>
    <n v="205"/>
    <x v="7"/>
    <x v="72"/>
    <x v="10"/>
    <s v="Percent"/>
    <s v="Units"/>
    <x v="2"/>
    <n v="0.114"/>
  </r>
  <r>
    <n v="205"/>
    <x v="7"/>
    <x v="72"/>
    <x v="10"/>
    <s v="Percent"/>
    <s v="Units"/>
    <x v="3"/>
    <n v="0.11899999999999999"/>
  </r>
  <r>
    <n v="205"/>
    <x v="7"/>
    <x v="72"/>
    <x v="10"/>
    <s v="Percent"/>
    <s v="Units"/>
    <x v="4"/>
    <n v="0.12"/>
  </r>
  <r>
    <n v="205"/>
    <x v="7"/>
    <x v="72"/>
    <x v="10"/>
    <s v="Percent"/>
    <s v="Units"/>
    <x v="5"/>
    <n v="0.121"/>
  </r>
  <r>
    <n v="205"/>
    <x v="7"/>
    <x v="72"/>
    <x v="10"/>
    <s v="Percent"/>
    <s v="Units"/>
    <x v="6"/>
    <n v="0.121"/>
  </r>
  <r>
    <n v="200"/>
    <x v="3"/>
    <x v="72"/>
    <x v="10"/>
    <s v="Percent"/>
    <s v="Units"/>
    <x v="0"/>
    <n v="0.16600000000000001"/>
  </r>
  <r>
    <n v="200"/>
    <x v="3"/>
    <x v="72"/>
    <x v="10"/>
    <s v="Percent"/>
    <s v="Units"/>
    <x v="1"/>
    <n v="0.12"/>
  </r>
  <r>
    <n v="200"/>
    <x v="3"/>
    <x v="72"/>
    <x v="10"/>
    <s v="Percent"/>
    <s v="Units"/>
    <x v="2"/>
    <n v="0.114"/>
  </r>
  <r>
    <n v="200"/>
    <x v="3"/>
    <x v="72"/>
    <x v="10"/>
    <s v="Percent"/>
    <s v="Units"/>
    <x v="3"/>
    <n v="0.11899999999999999"/>
  </r>
  <r>
    <n v="200"/>
    <x v="3"/>
    <x v="72"/>
    <x v="10"/>
    <s v="Percent"/>
    <s v="Units"/>
    <x v="4"/>
    <n v="0.12"/>
  </r>
  <r>
    <n v="200"/>
    <x v="3"/>
    <x v="72"/>
    <x v="10"/>
    <s v="Percent"/>
    <s v="Units"/>
    <x v="5"/>
    <n v="0.121"/>
  </r>
  <r>
    <n v="200"/>
    <x v="3"/>
    <x v="72"/>
    <x v="10"/>
    <s v="Percent"/>
    <s v="Units"/>
    <x v="6"/>
    <n v="0.121"/>
  </r>
  <r>
    <n v="603"/>
    <x v="12"/>
    <x v="80"/>
    <x v="10"/>
    <s v="Percent"/>
    <s v="Units"/>
    <x v="0"/>
    <n v="0.10299999999999999"/>
  </r>
  <r>
    <n v="603"/>
    <x v="12"/>
    <x v="80"/>
    <x v="10"/>
    <s v="Percent"/>
    <s v="Units"/>
    <x v="1"/>
    <n v="0.107"/>
  </r>
  <r>
    <n v="603"/>
    <x v="12"/>
    <x v="80"/>
    <x v="10"/>
    <s v="Percent"/>
    <s v="Units"/>
    <x v="2"/>
    <n v="0.107"/>
  </r>
  <r>
    <n v="603"/>
    <x v="12"/>
    <x v="80"/>
    <x v="10"/>
    <s v="Percent"/>
    <s v="Units"/>
    <x v="3"/>
    <n v="0.111"/>
  </r>
  <r>
    <n v="603"/>
    <x v="12"/>
    <x v="80"/>
    <x v="10"/>
    <s v="Percent"/>
    <s v="Units"/>
    <x v="4"/>
    <n v="0.114"/>
  </r>
  <r>
    <n v="603"/>
    <x v="12"/>
    <x v="80"/>
    <x v="10"/>
    <s v="Percent"/>
    <s v="Units"/>
    <x v="5"/>
    <n v="0.11799999999999999"/>
  </r>
  <r>
    <n v="603"/>
    <x v="12"/>
    <x v="80"/>
    <x v="10"/>
    <s v="Percent"/>
    <s v="Units"/>
    <x v="6"/>
    <n v="0.122"/>
  </r>
  <r>
    <n v="200"/>
    <x v="3"/>
    <x v="80"/>
    <x v="10"/>
    <s v="Percent"/>
    <s v="Units"/>
    <x v="0"/>
    <n v="0.10299999999999999"/>
  </r>
  <r>
    <n v="200"/>
    <x v="3"/>
    <x v="80"/>
    <x v="10"/>
    <s v="Percent"/>
    <s v="Units"/>
    <x v="1"/>
    <n v="0.107"/>
  </r>
  <r>
    <n v="200"/>
    <x v="3"/>
    <x v="80"/>
    <x v="10"/>
    <s v="Percent"/>
    <s v="Units"/>
    <x v="2"/>
    <n v="0.107"/>
  </r>
  <r>
    <n v="200"/>
    <x v="3"/>
    <x v="80"/>
    <x v="10"/>
    <s v="Percent"/>
    <s v="Units"/>
    <x v="3"/>
    <n v="0.111"/>
  </r>
  <r>
    <n v="200"/>
    <x v="3"/>
    <x v="80"/>
    <x v="10"/>
    <s v="Percent"/>
    <s v="Units"/>
    <x v="4"/>
    <n v="0.114"/>
  </r>
  <r>
    <n v="200"/>
    <x v="3"/>
    <x v="80"/>
    <x v="10"/>
    <s v="Percent"/>
    <s v="Units"/>
    <x v="5"/>
    <n v="0.11799999999999999"/>
  </r>
  <r>
    <n v="200"/>
    <x v="3"/>
    <x v="80"/>
    <x v="10"/>
    <s v="Percent"/>
    <s v="Units"/>
    <x v="6"/>
    <n v="0.122"/>
  </r>
  <r>
    <n v="1"/>
    <x v="2"/>
    <x v="7"/>
    <x v="6"/>
    <s v="Percent change"/>
    <s v="Units"/>
    <x v="0"/>
    <n v="4.5309999999999997"/>
  </r>
  <r>
    <n v="1"/>
    <x v="2"/>
    <x v="7"/>
    <x v="6"/>
    <s v="Percent change"/>
    <s v="Units"/>
    <x v="1"/>
    <n v="-8.173"/>
  </r>
  <r>
    <n v="1"/>
    <x v="2"/>
    <x v="7"/>
    <x v="6"/>
    <s v="Percent change"/>
    <s v="Units"/>
    <x v="2"/>
    <n v="17.367000000000001"/>
  </r>
  <r>
    <n v="1"/>
    <x v="2"/>
    <x v="7"/>
    <x v="6"/>
    <s v="Percent change"/>
    <s v="Units"/>
    <x v="3"/>
    <n v="0.38900000000000001"/>
  </r>
  <r>
    <n v="1"/>
    <x v="2"/>
    <x v="7"/>
    <x v="6"/>
    <s v="Percent change"/>
    <s v="Units"/>
    <x v="4"/>
    <n v="-3.278"/>
  </r>
  <r>
    <n v="1"/>
    <x v="2"/>
    <x v="7"/>
    <x v="6"/>
    <s v="Percent change"/>
    <s v="Units"/>
    <x v="5"/>
    <n v="0.11600000000000001"/>
  </r>
  <r>
    <n v="1"/>
    <x v="2"/>
    <x v="7"/>
    <x v="6"/>
    <s v="Percent change"/>
    <s v="Units"/>
    <x v="6"/>
    <n v="1.74"/>
  </r>
  <r>
    <n v="200"/>
    <x v="3"/>
    <x v="7"/>
    <x v="6"/>
    <s v="Percent change"/>
    <s v="Units"/>
    <x v="0"/>
    <n v="4.5309999999999997"/>
  </r>
  <r>
    <n v="200"/>
    <x v="3"/>
    <x v="7"/>
    <x v="6"/>
    <s v="Percent change"/>
    <s v="Units"/>
    <x v="1"/>
    <n v="-8.173"/>
  </r>
  <r>
    <n v="200"/>
    <x v="3"/>
    <x v="7"/>
    <x v="6"/>
    <s v="Percent change"/>
    <s v="Units"/>
    <x v="2"/>
    <n v="17.367000000000001"/>
  </r>
  <r>
    <n v="200"/>
    <x v="3"/>
    <x v="7"/>
    <x v="6"/>
    <s v="Percent change"/>
    <s v="Units"/>
    <x v="3"/>
    <n v="0.38900000000000001"/>
  </r>
  <r>
    <n v="200"/>
    <x v="3"/>
    <x v="7"/>
    <x v="6"/>
    <s v="Percent change"/>
    <s v="Units"/>
    <x v="4"/>
    <n v="-3.278"/>
  </r>
  <r>
    <n v="200"/>
    <x v="3"/>
    <x v="7"/>
    <x v="6"/>
    <s v="Percent change"/>
    <s v="Units"/>
    <x v="5"/>
    <n v="0.11600000000000001"/>
  </r>
  <r>
    <n v="200"/>
    <x v="3"/>
    <x v="7"/>
    <x v="6"/>
    <s v="Percent change"/>
    <s v="Units"/>
    <x v="6"/>
    <n v="1.74"/>
  </r>
  <r>
    <n v="205"/>
    <x v="7"/>
    <x v="7"/>
    <x v="6"/>
    <s v="Percent change"/>
    <s v="Units"/>
    <x v="0"/>
    <n v="4.5309999999999997"/>
  </r>
  <r>
    <n v="205"/>
    <x v="7"/>
    <x v="7"/>
    <x v="6"/>
    <s v="Percent change"/>
    <s v="Units"/>
    <x v="1"/>
    <n v="-8.173"/>
  </r>
  <r>
    <n v="205"/>
    <x v="7"/>
    <x v="7"/>
    <x v="6"/>
    <s v="Percent change"/>
    <s v="Units"/>
    <x v="2"/>
    <n v="17.367000000000001"/>
  </r>
  <r>
    <n v="205"/>
    <x v="7"/>
    <x v="7"/>
    <x v="6"/>
    <s v="Percent change"/>
    <s v="Units"/>
    <x v="3"/>
    <n v="0.38900000000000001"/>
  </r>
  <r>
    <n v="205"/>
    <x v="7"/>
    <x v="7"/>
    <x v="6"/>
    <s v="Percent change"/>
    <s v="Units"/>
    <x v="4"/>
    <n v="-3.278"/>
  </r>
  <r>
    <n v="205"/>
    <x v="7"/>
    <x v="7"/>
    <x v="6"/>
    <s v="Percent change"/>
    <s v="Units"/>
    <x v="5"/>
    <n v="0.11600000000000001"/>
  </r>
  <r>
    <n v="205"/>
    <x v="7"/>
    <x v="7"/>
    <x v="6"/>
    <s v="Percent change"/>
    <s v="Units"/>
    <x v="6"/>
    <n v="1.74"/>
  </r>
  <r>
    <n v="200"/>
    <x v="3"/>
    <x v="68"/>
    <x v="10"/>
    <s v="Percent"/>
    <s v="Units"/>
    <x v="0"/>
    <n v="0.11"/>
  </r>
  <r>
    <n v="200"/>
    <x v="3"/>
    <x v="68"/>
    <x v="10"/>
    <s v="Percent"/>
    <s v="Units"/>
    <x v="1"/>
    <n v="0.112"/>
  </r>
  <r>
    <n v="200"/>
    <x v="3"/>
    <x v="68"/>
    <x v="10"/>
    <s v="Percent"/>
    <s v="Units"/>
    <x v="2"/>
    <n v="0.113"/>
  </r>
  <r>
    <n v="200"/>
    <x v="3"/>
    <x v="68"/>
    <x v="10"/>
    <s v="Percent"/>
    <s v="Units"/>
    <x v="3"/>
    <n v="0.114"/>
  </r>
  <r>
    <n v="200"/>
    <x v="3"/>
    <x v="68"/>
    <x v="10"/>
    <s v="Percent"/>
    <s v="Units"/>
    <x v="4"/>
    <n v="0.114"/>
  </r>
  <r>
    <n v="200"/>
    <x v="3"/>
    <x v="68"/>
    <x v="10"/>
    <s v="Percent"/>
    <s v="Units"/>
    <x v="5"/>
    <n v="0.115"/>
  </r>
  <r>
    <n v="200"/>
    <x v="3"/>
    <x v="68"/>
    <x v="10"/>
    <s v="Percent"/>
    <s v="Units"/>
    <x v="6"/>
    <n v="0.115"/>
  </r>
  <r>
    <n v="205"/>
    <x v="7"/>
    <x v="68"/>
    <x v="10"/>
    <s v="Percent"/>
    <s v="Units"/>
    <x v="0"/>
    <n v="0.11"/>
  </r>
  <r>
    <n v="205"/>
    <x v="7"/>
    <x v="68"/>
    <x v="10"/>
    <s v="Percent"/>
    <s v="Units"/>
    <x v="1"/>
    <n v="0.112"/>
  </r>
  <r>
    <n v="205"/>
    <x v="7"/>
    <x v="68"/>
    <x v="10"/>
    <s v="Percent"/>
    <s v="Units"/>
    <x v="2"/>
    <n v="0.113"/>
  </r>
  <r>
    <n v="205"/>
    <x v="7"/>
    <x v="68"/>
    <x v="10"/>
    <s v="Percent"/>
    <s v="Units"/>
    <x v="3"/>
    <n v="0.114"/>
  </r>
  <r>
    <n v="205"/>
    <x v="7"/>
    <x v="68"/>
    <x v="10"/>
    <s v="Percent"/>
    <s v="Units"/>
    <x v="4"/>
    <n v="0.114"/>
  </r>
  <r>
    <n v="205"/>
    <x v="7"/>
    <x v="68"/>
    <x v="10"/>
    <s v="Percent"/>
    <s v="Units"/>
    <x v="5"/>
    <n v="0.115"/>
  </r>
  <r>
    <n v="205"/>
    <x v="7"/>
    <x v="68"/>
    <x v="10"/>
    <s v="Percent"/>
    <s v="Units"/>
    <x v="6"/>
    <n v="0.115"/>
  </r>
  <r>
    <n v="400"/>
    <x v="11"/>
    <x v="69"/>
    <x v="10"/>
    <s v="Percent"/>
    <s v="Units"/>
    <x v="0"/>
    <n v="0.11899999999999999"/>
  </r>
  <r>
    <n v="400"/>
    <x v="11"/>
    <x v="69"/>
    <x v="10"/>
    <s v="Percent"/>
    <s v="Units"/>
    <x v="1"/>
    <n v="0.11899999999999999"/>
  </r>
  <r>
    <n v="400"/>
    <x v="11"/>
    <x v="69"/>
    <x v="10"/>
    <s v="Percent"/>
    <s v="Units"/>
    <x v="2"/>
    <n v="0.115"/>
  </r>
  <r>
    <n v="400"/>
    <x v="11"/>
    <x v="69"/>
    <x v="10"/>
    <s v="Percent"/>
    <s v="Units"/>
    <x v="3"/>
    <n v="0.11600000000000001"/>
  </r>
  <r>
    <n v="400"/>
    <x v="11"/>
    <x v="69"/>
    <x v="10"/>
    <s v="Percent"/>
    <s v="Units"/>
    <x v="4"/>
    <n v="0.114"/>
  </r>
  <r>
    <n v="400"/>
    <x v="11"/>
    <x v="69"/>
    <x v="10"/>
    <s v="Percent"/>
    <s v="Units"/>
    <x v="5"/>
    <n v="0.112"/>
  </r>
  <r>
    <n v="400"/>
    <x v="11"/>
    <x v="69"/>
    <x v="10"/>
    <s v="Percent"/>
    <s v="Units"/>
    <x v="6"/>
    <n v="0.112"/>
  </r>
  <r>
    <n v="200"/>
    <x v="3"/>
    <x v="69"/>
    <x v="10"/>
    <s v="Percent"/>
    <s v="Units"/>
    <x v="0"/>
    <n v="0.11899999999999999"/>
  </r>
  <r>
    <n v="200"/>
    <x v="3"/>
    <x v="69"/>
    <x v="10"/>
    <s v="Percent"/>
    <s v="Units"/>
    <x v="1"/>
    <n v="0.11899999999999999"/>
  </r>
  <r>
    <n v="200"/>
    <x v="3"/>
    <x v="69"/>
    <x v="10"/>
    <s v="Percent"/>
    <s v="Units"/>
    <x v="2"/>
    <n v="0.115"/>
  </r>
  <r>
    <n v="200"/>
    <x v="3"/>
    <x v="69"/>
    <x v="10"/>
    <s v="Percent"/>
    <s v="Units"/>
    <x v="3"/>
    <n v="0.11600000000000001"/>
  </r>
  <r>
    <n v="200"/>
    <x v="3"/>
    <x v="69"/>
    <x v="10"/>
    <s v="Percent"/>
    <s v="Units"/>
    <x v="4"/>
    <n v="0.114"/>
  </r>
  <r>
    <n v="200"/>
    <x v="3"/>
    <x v="69"/>
    <x v="10"/>
    <s v="Percent"/>
    <s v="Units"/>
    <x v="5"/>
    <n v="0.112"/>
  </r>
  <r>
    <n v="200"/>
    <x v="3"/>
    <x v="69"/>
    <x v="10"/>
    <s v="Percent"/>
    <s v="Units"/>
    <x v="6"/>
    <n v="0.112"/>
  </r>
  <r>
    <n v="119"/>
    <x v="1"/>
    <x v="3"/>
    <x v="13"/>
    <s v="Percent of potential GDP"/>
    <s v="Units"/>
    <x v="0"/>
    <n v="0.67700000000000005"/>
  </r>
  <r>
    <n v="119"/>
    <x v="1"/>
    <x v="3"/>
    <x v="13"/>
    <s v="Percent of potential GDP"/>
    <s v="Units"/>
    <x v="1"/>
    <n v="-2.9409999999999998"/>
  </r>
  <r>
    <n v="119"/>
    <x v="1"/>
    <x v="3"/>
    <x v="13"/>
    <s v="Percent of potential GDP"/>
    <s v="Units"/>
    <x v="2"/>
    <n v="-1.6180000000000001"/>
  </r>
  <r>
    <n v="119"/>
    <x v="1"/>
    <x v="3"/>
    <x v="13"/>
    <s v="Percent of potential GDP"/>
    <s v="Units"/>
    <x v="3"/>
    <n v="-0.89700000000000002"/>
  </r>
  <r>
    <n v="119"/>
    <x v="1"/>
    <x v="3"/>
    <x v="13"/>
    <s v="Percent of potential GDP"/>
    <s v="Units"/>
    <x v="4"/>
    <n v="0.16400000000000001"/>
  </r>
  <r>
    <n v="119"/>
    <x v="1"/>
    <x v="3"/>
    <x v="13"/>
    <s v="Percent of potential GDP"/>
    <s v="Units"/>
    <x v="5"/>
    <n v="0.112"/>
  </r>
  <r>
    <n v="119"/>
    <x v="1"/>
    <x v="3"/>
    <x v="13"/>
    <s v="Percent of potential GDP"/>
    <s v="Units"/>
    <x v="6"/>
    <n v="0.06"/>
  </r>
  <r>
    <n v="110"/>
    <x v="0"/>
    <x v="3"/>
    <x v="13"/>
    <s v="Percent of potential GDP"/>
    <s v="Units"/>
    <x v="0"/>
    <n v="0.67700000000000005"/>
  </r>
  <r>
    <n v="110"/>
    <x v="0"/>
    <x v="3"/>
    <x v="13"/>
    <s v="Percent of potential GDP"/>
    <s v="Units"/>
    <x v="1"/>
    <n v="-2.9409999999999998"/>
  </r>
  <r>
    <n v="110"/>
    <x v="0"/>
    <x v="3"/>
    <x v="13"/>
    <s v="Percent of potential GDP"/>
    <s v="Units"/>
    <x v="2"/>
    <n v="-1.6180000000000001"/>
  </r>
  <r>
    <n v="110"/>
    <x v="0"/>
    <x v="3"/>
    <x v="13"/>
    <s v="Percent of potential GDP"/>
    <s v="Units"/>
    <x v="3"/>
    <n v="-0.89700000000000002"/>
  </r>
  <r>
    <n v="110"/>
    <x v="0"/>
    <x v="3"/>
    <x v="13"/>
    <s v="Percent of potential GDP"/>
    <s v="Units"/>
    <x v="4"/>
    <n v="0.16400000000000001"/>
  </r>
  <r>
    <n v="110"/>
    <x v="0"/>
    <x v="3"/>
    <x v="13"/>
    <s v="Percent of potential GDP"/>
    <s v="Units"/>
    <x v="5"/>
    <n v="0.112"/>
  </r>
  <r>
    <n v="110"/>
    <x v="0"/>
    <x v="3"/>
    <x v="13"/>
    <s v="Percent of potential GDP"/>
    <s v="Units"/>
    <x v="6"/>
    <n v="0.06"/>
  </r>
  <r>
    <n v="110"/>
    <x v="0"/>
    <x v="14"/>
    <x v="13"/>
    <s v="Percent of potential GDP"/>
    <s v="Units"/>
    <x v="0"/>
    <n v="0.442"/>
  </r>
  <r>
    <n v="110"/>
    <x v="0"/>
    <x v="14"/>
    <x v="13"/>
    <s v="Percent of potential GDP"/>
    <s v="Units"/>
    <x v="1"/>
    <n v="-8.5039999999999996"/>
  </r>
  <r>
    <n v="110"/>
    <x v="0"/>
    <x v="14"/>
    <x v="13"/>
    <s v="Percent of potential GDP"/>
    <s v="Units"/>
    <x v="2"/>
    <n v="-4.1760000000000002"/>
  </r>
  <r>
    <n v="110"/>
    <x v="0"/>
    <x v="14"/>
    <x v="13"/>
    <s v="Percent of potential GDP"/>
    <s v="Units"/>
    <x v="3"/>
    <n v="-0.43"/>
  </r>
  <r>
    <n v="110"/>
    <x v="0"/>
    <x v="14"/>
    <x v="13"/>
    <s v="Percent of potential GDP"/>
    <s v="Units"/>
    <x v="4"/>
    <n v="0.107"/>
  </r>
  <r>
    <n v="110"/>
    <x v="0"/>
    <x v="14"/>
    <x v="13"/>
    <s v="Percent of potential GDP"/>
    <s v="Units"/>
    <x v="5"/>
    <n v="0.11"/>
  </r>
  <r>
    <n v="110"/>
    <x v="0"/>
    <x v="14"/>
    <x v="13"/>
    <s v="Percent of potential GDP"/>
    <s v="Units"/>
    <x v="6"/>
    <n v="0.249"/>
  </r>
  <r>
    <n v="163"/>
    <x v="5"/>
    <x v="14"/>
    <x v="13"/>
    <s v="Percent of potential GDP"/>
    <s v="Units"/>
    <x v="0"/>
    <n v="0.442"/>
  </r>
  <r>
    <n v="163"/>
    <x v="5"/>
    <x v="14"/>
    <x v="13"/>
    <s v="Percent of potential GDP"/>
    <s v="Units"/>
    <x v="1"/>
    <n v="-8.5039999999999996"/>
  </r>
  <r>
    <n v="163"/>
    <x v="5"/>
    <x v="14"/>
    <x v="13"/>
    <s v="Percent of potential GDP"/>
    <s v="Units"/>
    <x v="2"/>
    <n v="-4.1760000000000002"/>
  </r>
  <r>
    <n v="163"/>
    <x v="5"/>
    <x v="14"/>
    <x v="13"/>
    <s v="Percent of potential GDP"/>
    <s v="Units"/>
    <x v="3"/>
    <n v="-0.43"/>
  </r>
  <r>
    <n v="163"/>
    <x v="5"/>
    <x v="14"/>
    <x v="13"/>
    <s v="Percent of potential GDP"/>
    <s v="Units"/>
    <x v="4"/>
    <n v="0.107"/>
  </r>
  <r>
    <n v="163"/>
    <x v="5"/>
    <x v="14"/>
    <x v="13"/>
    <s v="Percent of potential GDP"/>
    <s v="Units"/>
    <x v="5"/>
    <n v="0.11"/>
  </r>
  <r>
    <n v="163"/>
    <x v="5"/>
    <x v="14"/>
    <x v="13"/>
    <s v="Percent of potential GDP"/>
    <s v="Units"/>
    <x v="6"/>
    <n v="0.249"/>
  </r>
  <r>
    <n v="205"/>
    <x v="7"/>
    <x v="79"/>
    <x v="10"/>
    <s v="Percent"/>
    <s v="Units"/>
    <x v="0"/>
    <n v="0.106"/>
  </r>
  <r>
    <n v="205"/>
    <x v="7"/>
    <x v="79"/>
    <x v="10"/>
    <s v="Percent"/>
    <s v="Units"/>
    <x v="1"/>
    <n v="0.09"/>
  </r>
  <r>
    <n v="205"/>
    <x v="7"/>
    <x v="79"/>
    <x v="10"/>
    <s v="Percent"/>
    <s v="Units"/>
    <x v="2"/>
    <n v="9.8000000000000004E-2"/>
  </r>
  <r>
    <n v="205"/>
    <x v="7"/>
    <x v="79"/>
    <x v="10"/>
    <s v="Percent"/>
    <s v="Units"/>
    <x v="3"/>
    <n v="0.105"/>
  </r>
  <r>
    <n v="205"/>
    <x v="7"/>
    <x v="79"/>
    <x v="10"/>
    <s v="Percent"/>
    <s v="Units"/>
    <x v="4"/>
    <n v="0.109"/>
  </r>
  <r>
    <n v="205"/>
    <x v="7"/>
    <x v="79"/>
    <x v="10"/>
    <s v="Percent"/>
    <s v="Units"/>
    <x v="5"/>
    <n v="0.109"/>
  </r>
  <r>
    <n v="205"/>
    <x v="7"/>
    <x v="79"/>
    <x v="10"/>
    <s v="Percent"/>
    <s v="Units"/>
    <x v="6"/>
    <n v="0.109"/>
  </r>
  <r>
    <n v="200"/>
    <x v="3"/>
    <x v="79"/>
    <x v="10"/>
    <s v="Percent"/>
    <s v="Units"/>
    <x v="0"/>
    <n v="0.106"/>
  </r>
  <r>
    <n v="200"/>
    <x v="3"/>
    <x v="79"/>
    <x v="10"/>
    <s v="Percent"/>
    <s v="Units"/>
    <x v="1"/>
    <n v="0.09"/>
  </r>
  <r>
    <n v="200"/>
    <x v="3"/>
    <x v="79"/>
    <x v="10"/>
    <s v="Percent"/>
    <s v="Units"/>
    <x v="2"/>
    <n v="9.8000000000000004E-2"/>
  </r>
  <r>
    <n v="200"/>
    <x v="3"/>
    <x v="79"/>
    <x v="10"/>
    <s v="Percent"/>
    <s v="Units"/>
    <x v="3"/>
    <n v="0.105"/>
  </r>
  <r>
    <n v="200"/>
    <x v="3"/>
    <x v="79"/>
    <x v="10"/>
    <s v="Percent"/>
    <s v="Units"/>
    <x v="4"/>
    <n v="0.109"/>
  </r>
  <r>
    <n v="200"/>
    <x v="3"/>
    <x v="79"/>
    <x v="10"/>
    <s v="Percent"/>
    <s v="Units"/>
    <x v="5"/>
    <n v="0.109"/>
  </r>
  <r>
    <n v="200"/>
    <x v="3"/>
    <x v="79"/>
    <x v="10"/>
    <s v="Percent"/>
    <s v="Units"/>
    <x v="6"/>
    <n v="0.109"/>
  </r>
  <r>
    <n v="400"/>
    <x v="11"/>
    <x v="86"/>
    <x v="10"/>
    <s v="Percent"/>
    <s v="Units"/>
    <x v="0"/>
    <n v="0.111"/>
  </r>
  <r>
    <n v="400"/>
    <x v="11"/>
    <x v="86"/>
    <x v="10"/>
    <s v="Percent"/>
    <s v="Units"/>
    <x v="1"/>
    <n v="0.109"/>
  </r>
  <r>
    <n v="400"/>
    <x v="11"/>
    <x v="86"/>
    <x v="10"/>
    <s v="Percent"/>
    <s v="Units"/>
    <x v="2"/>
    <n v="0.109"/>
  </r>
  <r>
    <n v="400"/>
    <x v="11"/>
    <x v="86"/>
    <x v="10"/>
    <s v="Percent"/>
    <s v="Units"/>
    <x v="3"/>
    <n v="0.11"/>
  </r>
  <r>
    <n v="400"/>
    <x v="11"/>
    <x v="86"/>
    <x v="10"/>
    <s v="Percent"/>
    <s v="Units"/>
    <x v="4"/>
    <n v="0.108"/>
  </r>
  <r>
    <n v="400"/>
    <x v="11"/>
    <x v="86"/>
    <x v="10"/>
    <s v="Percent"/>
    <s v="Units"/>
    <x v="5"/>
    <n v="0.107"/>
  </r>
  <r>
    <n v="400"/>
    <x v="11"/>
    <x v="86"/>
    <x v="10"/>
    <s v="Percent"/>
    <s v="Units"/>
    <x v="6"/>
    <n v="0.106"/>
  </r>
  <r>
    <n v="200"/>
    <x v="3"/>
    <x v="86"/>
    <x v="10"/>
    <s v="Percent"/>
    <s v="Units"/>
    <x v="0"/>
    <n v="0.111"/>
  </r>
  <r>
    <n v="200"/>
    <x v="3"/>
    <x v="86"/>
    <x v="10"/>
    <s v="Percent"/>
    <s v="Units"/>
    <x v="1"/>
    <n v="0.109"/>
  </r>
  <r>
    <n v="200"/>
    <x v="3"/>
    <x v="86"/>
    <x v="10"/>
    <s v="Percent"/>
    <s v="Units"/>
    <x v="2"/>
    <n v="0.109"/>
  </r>
  <r>
    <n v="200"/>
    <x v="3"/>
    <x v="86"/>
    <x v="10"/>
    <s v="Percent"/>
    <s v="Units"/>
    <x v="3"/>
    <n v="0.11"/>
  </r>
  <r>
    <n v="200"/>
    <x v="3"/>
    <x v="86"/>
    <x v="10"/>
    <s v="Percent"/>
    <s v="Units"/>
    <x v="4"/>
    <n v="0.108"/>
  </r>
  <r>
    <n v="200"/>
    <x v="3"/>
    <x v="86"/>
    <x v="10"/>
    <s v="Percent"/>
    <s v="Units"/>
    <x v="5"/>
    <n v="0.107"/>
  </r>
  <r>
    <n v="200"/>
    <x v="3"/>
    <x v="86"/>
    <x v="10"/>
    <s v="Percent"/>
    <s v="Units"/>
    <x v="6"/>
    <n v="0.106"/>
  </r>
  <r>
    <n v="200"/>
    <x v="3"/>
    <x v="83"/>
    <x v="10"/>
    <s v="Percent"/>
    <s v="Units"/>
    <x v="0"/>
    <n v="9.7000000000000003E-2"/>
  </r>
  <r>
    <n v="200"/>
    <x v="3"/>
    <x v="83"/>
    <x v="10"/>
    <s v="Percent"/>
    <s v="Units"/>
    <x v="1"/>
    <n v="9.9000000000000005E-2"/>
  </r>
  <r>
    <n v="200"/>
    <x v="3"/>
    <x v="83"/>
    <x v="10"/>
    <s v="Percent"/>
    <s v="Units"/>
    <x v="2"/>
    <n v="0.10100000000000001"/>
  </r>
  <r>
    <n v="200"/>
    <x v="3"/>
    <x v="83"/>
    <x v="10"/>
    <s v="Percent"/>
    <s v="Units"/>
    <x v="3"/>
    <n v="0.1"/>
  </r>
  <r>
    <n v="200"/>
    <x v="3"/>
    <x v="83"/>
    <x v="10"/>
    <s v="Percent"/>
    <s v="Units"/>
    <x v="4"/>
    <n v="9.9000000000000005E-2"/>
  </r>
  <r>
    <n v="200"/>
    <x v="3"/>
    <x v="83"/>
    <x v="10"/>
    <s v="Percent"/>
    <s v="Units"/>
    <x v="5"/>
    <n v="0.1"/>
  </r>
  <r>
    <n v="200"/>
    <x v="3"/>
    <x v="83"/>
    <x v="10"/>
    <s v="Percent"/>
    <s v="Units"/>
    <x v="6"/>
    <n v="0.10100000000000001"/>
  </r>
  <r>
    <n v="903"/>
    <x v="8"/>
    <x v="83"/>
    <x v="10"/>
    <s v="Percent"/>
    <s v="Units"/>
    <x v="0"/>
    <n v="9.7000000000000003E-2"/>
  </r>
  <r>
    <n v="903"/>
    <x v="8"/>
    <x v="83"/>
    <x v="10"/>
    <s v="Percent"/>
    <s v="Units"/>
    <x v="1"/>
    <n v="9.9000000000000005E-2"/>
  </r>
  <r>
    <n v="903"/>
    <x v="8"/>
    <x v="83"/>
    <x v="10"/>
    <s v="Percent"/>
    <s v="Units"/>
    <x v="2"/>
    <n v="0.10100000000000001"/>
  </r>
  <r>
    <n v="903"/>
    <x v="8"/>
    <x v="83"/>
    <x v="10"/>
    <s v="Percent"/>
    <s v="Units"/>
    <x v="3"/>
    <n v="0.1"/>
  </r>
  <r>
    <n v="903"/>
    <x v="8"/>
    <x v="83"/>
    <x v="10"/>
    <s v="Percent"/>
    <s v="Units"/>
    <x v="4"/>
    <n v="9.9000000000000005E-2"/>
  </r>
  <r>
    <n v="903"/>
    <x v="8"/>
    <x v="83"/>
    <x v="10"/>
    <s v="Percent"/>
    <s v="Units"/>
    <x v="5"/>
    <n v="0.1"/>
  </r>
  <r>
    <n v="903"/>
    <x v="8"/>
    <x v="83"/>
    <x v="10"/>
    <s v="Percent"/>
    <s v="Units"/>
    <x v="6"/>
    <n v="0.10100000000000001"/>
  </r>
  <r>
    <n v="200"/>
    <x v="3"/>
    <x v="95"/>
    <x v="10"/>
    <s v="Percent"/>
    <s v="Units"/>
    <x v="0"/>
    <n v="0.113"/>
  </r>
  <r>
    <n v="200"/>
    <x v="3"/>
    <x v="95"/>
    <x v="10"/>
    <s v="Percent"/>
    <s v="Units"/>
    <x v="1"/>
    <n v="8.2000000000000003E-2"/>
  </r>
  <r>
    <n v="200"/>
    <x v="3"/>
    <x v="95"/>
    <x v="10"/>
    <s v="Percent"/>
    <s v="Units"/>
    <x v="2"/>
    <n v="9.9000000000000005E-2"/>
  </r>
  <r>
    <n v="200"/>
    <x v="3"/>
    <x v="95"/>
    <x v="10"/>
    <s v="Percent"/>
    <s v="Units"/>
    <x v="3"/>
    <n v="8.7999999999999995E-2"/>
  </r>
  <r>
    <n v="200"/>
    <x v="3"/>
    <x v="95"/>
    <x v="10"/>
    <s v="Percent"/>
    <s v="Units"/>
    <x v="4"/>
    <n v="9.4E-2"/>
  </r>
  <r>
    <n v="200"/>
    <x v="3"/>
    <x v="95"/>
    <x v="10"/>
    <s v="Percent"/>
    <s v="Units"/>
    <x v="5"/>
    <n v="9.9000000000000005E-2"/>
  </r>
  <r>
    <n v="200"/>
    <x v="3"/>
    <x v="95"/>
    <x v="10"/>
    <s v="Percent"/>
    <s v="Units"/>
    <x v="6"/>
    <n v="0.10199999999999999"/>
  </r>
  <r>
    <n v="400"/>
    <x v="11"/>
    <x v="95"/>
    <x v="10"/>
    <s v="Percent"/>
    <s v="Units"/>
    <x v="0"/>
    <n v="0.113"/>
  </r>
  <r>
    <n v="400"/>
    <x v="11"/>
    <x v="95"/>
    <x v="10"/>
    <s v="Percent"/>
    <s v="Units"/>
    <x v="1"/>
    <n v="8.2000000000000003E-2"/>
  </r>
  <r>
    <n v="400"/>
    <x v="11"/>
    <x v="95"/>
    <x v="10"/>
    <s v="Percent"/>
    <s v="Units"/>
    <x v="2"/>
    <n v="9.9000000000000005E-2"/>
  </r>
  <r>
    <n v="400"/>
    <x v="11"/>
    <x v="95"/>
    <x v="10"/>
    <s v="Percent"/>
    <s v="Units"/>
    <x v="3"/>
    <n v="8.7999999999999995E-2"/>
  </r>
  <r>
    <n v="400"/>
    <x v="11"/>
    <x v="95"/>
    <x v="10"/>
    <s v="Percent"/>
    <s v="Units"/>
    <x v="4"/>
    <n v="9.4E-2"/>
  </r>
  <r>
    <n v="400"/>
    <x v="11"/>
    <x v="95"/>
    <x v="10"/>
    <s v="Percent"/>
    <s v="Units"/>
    <x v="5"/>
    <n v="9.9000000000000005E-2"/>
  </r>
  <r>
    <n v="400"/>
    <x v="11"/>
    <x v="95"/>
    <x v="10"/>
    <s v="Percent"/>
    <s v="Units"/>
    <x v="6"/>
    <n v="0.10199999999999999"/>
  </r>
  <r>
    <n v="110"/>
    <x v="0"/>
    <x v="45"/>
    <x v="4"/>
    <s v="Percent change"/>
    <s v="Units"/>
    <x v="0"/>
    <n v="6.6749999999999998"/>
  </r>
  <r>
    <n v="110"/>
    <x v="0"/>
    <x v="45"/>
    <x v="4"/>
    <s v="Percent change"/>
    <s v="Units"/>
    <x v="1"/>
    <n v="-7.7640000000000002"/>
  </r>
  <r>
    <n v="110"/>
    <x v="0"/>
    <x v="45"/>
    <x v="4"/>
    <s v="Percent change"/>
    <s v="Units"/>
    <x v="2"/>
    <n v="6.16"/>
  </r>
  <r>
    <n v="110"/>
    <x v="0"/>
    <x v="45"/>
    <x v="4"/>
    <s v="Percent change"/>
    <s v="Units"/>
    <x v="3"/>
    <n v="3.6150000000000002"/>
  </r>
  <r>
    <n v="110"/>
    <x v="0"/>
    <x v="45"/>
    <x v="4"/>
    <s v="Percent change"/>
    <s v="Units"/>
    <x v="4"/>
    <n v="-1.7789999999999999"/>
  </r>
  <r>
    <n v="110"/>
    <x v="0"/>
    <x v="45"/>
    <x v="4"/>
    <s v="Percent change"/>
    <s v="Units"/>
    <x v="5"/>
    <n v="9.5000000000000001E-2"/>
  </r>
  <r>
    <n v="110"/>
    <x v="0"/>
    <x v="45"/>
    <x v="4"/>
    <s v="Percent change"/>
    <s v="Units"/>
    <x v="6"/>
    <n v="3.2"/>
  </r>
  <r>
    <n v="163"/>
    <x v="5"/>
    <x v="45"/>
    <x v="4"/>
    <s v="Percent change"/>
    <s v="Units"/>
    <x v="0"/>
    <n v="6.6749999999999998"/>
  </r>
  <r>
    <n v="163"/>
    <x v="5"/>
    <x v="45"/>
    <x v="4"/>
    <s v="Percent change"/>
    <s v="Units"/>
    <x v="1"/>
    <n v="-7.7640000000000002"/>
  </r>
  <r>
    <n v="163"/>
    <x v="5"/>
    <x v="45"/>
    <x v="4"/>
    <s v="Percent change"/>
    <s v="Units"/>
    <x v="2"/>
    <n v="6.16"/>
  </r>
  <r>
    <n v="163"/>
    <x v="5"/>
    <x v="45"/>
    <x v="4"/>
    <s v="Percent change"/>
    <s v="Units"/>
    <x v="3"/>
    <n v="3.6150000000000002"/>
  </r>
  <r>
    <n v="163"/>
    <x v="5"/>
    <x v="45"/>
    <x v="4"/>
    <s v="Percent change"/>
    <s v="Units"/>
    <x v="4"/>
    <n v="-1.7789999999999999"/>
  </r>
  <r>
    <n v="163"/>
    <x v="5"/>
    <x v="45"/>
    <x v="4"/>
    <s v="Percent change"/>
    <s v="Units"/>
    <x v="5"/>
    <n v="9.5000000000000001E-2"/>
  </r>
  <r>
    <n v="163"/>
    <x v="5"/>
    <x v="45"/>
    <x v="4"/>
    <s v="Percent change"/>
    <s v="Units"/>
    <x v="6"/>
    <n v="3.2"/>
  </r>
  <r>
    <n v="1"/>
    <x v="2"/>
    <x v="45"/>
    <x v="4"/>
    <s v="Percent change"/>
    <s v="Units"/>
    <x v="0"/>
    <n v="6.6749999999999998"/>
  </r>
  <r>
    <n v="1"/>
    <x v="2"/>
    <x v="45"/>
    <x v="4"/>
    <s v="Percent change"/>
    <s v="Units"/>
    <x v="1"/>
    <n v="-7.7640000000000002"/>
  </r>
  <r>
    <n v="1"/>
    <x v="2"/>
    <x v="45"/>
    <x v="4"/>
    <s v="Percent change"/>
    <s v="Units"/>
    <x v="2"/>
    <n v="6.16"/>
  </r>
  <r>
    <n v="1"/>
    <x v="2"/>
    <x v="45"/>
    <x v="4"/>
    <s v="Percent change"/>
    <s v="Units"/>
    <x v="3"/>
    <n v="3.6150000000000002"/>
  </r>
  <r>
    <n v="1"/>
    <x v="2"/>
    <x v="45"/>
    <x v="4"/>
    <s v="Percent change"/>
    <s v="Units"/>
    <x v="4"/>
    <n v="-1.7789999999999999"/>
  </r>
  <r>
    <n v="1"/>
    <x v="2"/>
    <x v="45"/>
    <x v="4"/>
    <s v="Percent change"/>
    <s v="Units"/>
    <x v="5"/>
    <n v="9.5000000000000001E-2"/>
  </r>
  <r>
    <n v="1"/>
    <x v="2"/>
    <x v="45"/>
    <x v="4"/>
    <s v="Percent change"/>
    <s v="Units"/>
    <x v="6"/>
    <n v="3.2"/>
  </r>
  <r>
    <n v="110"/>
    <x v="0"/>
    <x v="78"/>
    <x v="10"/>
    <s v="Percent"/>
    <s v="Units"/>
    <x v="0"/>
    <n v="9.0999999999999998E-2"/>
  </r>
  <r>
    <n v="110"/>
    <x v="0"/>
    <x v="78"/>
    <x v="10"/>
    <s v="Percent"/>
    <s v="Units"/>
    <x v="1"/>
    <n v="8.5999999999999993E-2"/>
  </r>
  <r>
    <n v="110"/>
    <x v="0"/>
    <x v="78"/>
    <x v="10"/>
    <s v="Percent"/>
    <s v="Units"/>
    <x v="2"/>
    <n v="9.1999999999999998E-2"/>
  </r>
  <r>
    <n v="110"/>
    <x v="0"/>
    <x v="78"/>
    <x v="10"/>
    <s v="Percent"/>
    <s v="Units"/>
    <x v="3"/>
    <n v="9.5000000000000001E-2"/>
  </r>
  <r>
    <n v="110"/>
    <x v="0"/>
    <x v="78"/>
    <x v="10"/>
    <s v="Percent"/>
    <s v="Units"/>
    <x v="4"/>
    <n v="9.5000000000000001E-2"/>
  </r>
  <r>
    <n v="110"/>
    <x v="0"/>
    <x v="78"/>
    <x v="10"/>
    <s v="Percent"/>
    <s v="Units"/>
    <x v="5"/>
    <n v="9.4E-2"/>
  </r>
  <r>
    <n v="110"/>
    <x v="0"/>
    <x v="78"/>
    <x v="10"/>
    <s v="Percent"/>
    <s v="Units"/>
    <x v="6"/>
    <n v="9.4E-2"/>
  </r>
  <r>
    <n v="998"/>
    <x v="6"/>
    <x v="78"/>
    <x v="10"/>
    <s v="Percent"/>
    <s v="Units"/>
    <x v="0"/>
    <n v="9.0999999999999998E-2"/>
  </r>
  <r>
    <n v="998"/>
    <x v="6"/>
    <x v="78"/>
    <x v="10"/>
    <s v="Percent"/>
    <s v="Units"/>
    <x v="1"/>
    <n v="8.5999999999999993E-2"/>
  </r>
  <r>
    <n v="998"/>
    <x v="6"/>
    <x v="78"/>
    <x v="10"/>
    <s v="Percent"/>
    <s v="Units"/>
    <x v="2"/>
    <n v="9.1999999999999998E-2"/>
  </r>
  <r>
    <n v="998"/>
    <x v="6"/>
    <x v="78"/>
    <x v="10"/>
    <s v="Percent"/>
    <s v="Units"/>
    <x v="3"/>
    <n v="9.5000000000000001E-2"/>
  </r>
  <r>
    <n v="998"/>
    <x v="6"/>
    <x v="78"/>
    <x v="10"/>
    <s v="Percent"/>
    <s v="Units"/>
    <x v="4"/>
    <n v="9.5000000000000001E-2"/>
  </r>
  <r>
    <n v="998"/>
    <x v="6"/>
    <x v="78"/>
    <x v="10"/>
    <s v="Percent"/>
    <s v="Units"/>
    <x v="5"/>
    <n v="9.4E-2"/>
  </r>
  <r>
    <n v="998"/>
    <x v="6"/>
    <x v="78"/>
    <x v="10"/>
    <s v="Percent"/>
    <s v="Units"/>
    <x v="6"/>
    <n v="9.4E-2"/>
  </r>
  <r>
    <n v="200"/>
    <x v="3"/>
    <x v="60"/>
    <x v="10"/>
    <s v="Percent"/>
    <s v="Units"/>
    <x v="0"/>
    <n v="0.14000000000000001"/>
  </r>
  <r>
    <n v="200"/>
    <x v="3"/>
    <x v="60"/>
    <x v="10"/>
    <s v="Percent"/>
    <s v="Units"/>
    <x v="1"/>
    <n v="0.13900000000000001"/>
  </r>
  <r>
    <n v="200"/>
    <x v="3"/>
    <x v="60"/>
    <x v="10"/>
    <s v="Percent"/>
    <s v="Units"/>
    <x v="2"/>
    <n v="0.13100000000000001"/>
  </r>
  <r>
    <n v="200"/>
    <x v="3"/>
    <x v="60"/>
    <x v="10"/>
    <s v="Percent"/>
    <s v="Units"/>
    <x v="3"/>
    <n v="0.124"/>
  </r>
  <r>
    <n v="200"/>
    <x v="3"/>
    <x v="60"/>
    <x v="10"/>
    <s v="Percent"/>
    <s v="Units"/>
    <x v="4"/>
    <n v="9.8000000000000004E-2"/>
  </r>
  <r>
    <n v="200"/>
    <x v="3"/>
    <x v="60"/>
    <x v="10"/>
    <s v="Percent"/>
    <s v="Units"/>
    <x v="5"/>
    <n v="9.0999999999999998E-2"/>
  </r>
  <r>
    <n v="200"/>
    <x v="3"/>
    <x v="60"/>
    <x v="10"/>
    <s v="Percent"/>
    <s v="Units"/>
    <x v="6"/>
    <n v="9.2999999999999999E-2"/>
  </r>
  <r>
    <n v="400"/>
    <x v="11"/>
    <x v="60"/>
    <x v="10"/>
    <s v="Percent"/>
    <s v="Units"/>
    <x v="0"/>
    <n v="0.14000000000000001"/>
  </r>
  <r>
    <n v="400"/>
    <x v="11"/>
    <x v="60"/>
    <x v="10"/>
    <s v="Percent"/>
    <s v="Units"/>
    <x v="1"/>
    <n v="0.13900000000000001"/>
  </r>
  <r>
    <n v="400"/>
    <x v="11"/>
    <x v="60"/>
    <x v="10"/>
    <s v="Percent"/>
    <s v="Units"/>
    <x v="2"/>
    <n v="0.13100000000000001"/>
  </r>
  <r>
    <n v="400"/>
    <x v="11"/>
    <x v="60"/>
    <x v="10"/>
    <s v="Percent"/>
    <s v="Units"/>
    <x v="3"/>
    <n v="0.124"/>
  </r>
  <r>
    <n v="400"/>
    <x v="11"/>
    <x v="60"/>
    <x v="10"/>
    <s v="Percent"/>
    <s v="Units"/>
    <x v="4"/>
    <n v="9.8000000000000004E-2"/>
  </r>
  <r>
    <n v="400"/>
    <x v="11"/>
    <x v="60"/>
    <x v="10"/>
    <s v="Percent"/>
    <s v="Units"/>
    <x v="5"/>
    <n v="9.0999999999999998E-2"/>
  </r>
  <r>
    <n v="400"/>
    <x v="11"/>
    <x v="60"/>
    <x v="10"/>
    <s v="Percent"/>
    <s v="Units"/>
    <x v="6"/>
    <n v="9.2999999999999999E-2"/>
  </r>
  <r>
    <n v="400"/>
    <x v="11"/>
    <x v="99"/>
    <x v="10"/>
    <s v="Percent"/>
    <s v="Units"/>
    <x v="0"/>
    <n v="0.10299999999999999"/>
  </r>
  <r>
    <n v="400"/>
    <x v="11"/>
    <x v="99"/>
    <x v="10"/>
    <s v="Percent"/>
    <s v="Units"/>
    <x v="1"/>
    <n v="9.7000000000000003E-2"/>
  </r>
  <r>
    <n v="400"/>
    <x v="11"/>
    <x v="99"/>
    <x v="10"/>
    <s v="Percent"/>
    <s v="Units"/>
    <x v="2"/>
    <n v="9.5000000000000001E-2"/>
  </r>
  <r>
    <n v="400"/>
    <x v="11"/>
    <x v="99"/>
    <x v="10"/>
    <s v="Percent"/>
    <s v="Units"/>
    <x v="3"/>
    <n v="9.4E-2"/>
  </r>
  <r>
    <n v="400"/>
    <x v="11"/>
    <x v="99"/>
    <x v="10"/>
    <s v="Percent"/>
    <s v="Units"/>
    <x v="4"/>
    <n v="9.1999999999999998E-2"/>
  </r>
  <r>
    <n v="400"/>
    <x v="11"/>
    <x v="99"/>
    <x v="10"/>
    <s v="Percent"/>
    <s v="Units"/>
    <x v="5"/>
    <n v="9.0999999999999998E-2"/>
  </r>
  <r>
    <n v="400"/>
    <x v="11"/>
    <x v="99"/>
    <x v="10"/>
    <s v="Percent"/>
    <s v="Units"/>
    <x v="6"/>
    <n v="8.8999999999999996E-2"/>
  </r>
  <r>
    <n v="200"/>
    <x v="3"/>
    <x v="99"/>
    <x v="10"/>
    <s v="Percent"/>
    <s v="Units"/>
    <x v="0"/>
    <n v="0.10299999999999999"/>
  </r>
  <r>
    <n v="200"/>
    <x v="3"/>
    <x v="99"/>
    <x v="10"/>
    <s v="Percent"/>
    <s v="Units"/>
    <x v="1"/>
    <n v="9.7000000000000003E-2"/>
  </r>
  <r>
    <n v="200"/>
    <x v="3"/>
    <x v="99"/>
    <x v="10"/>
    <s v="Percent"/>
    <s v="Units"/>
    <x v="2"/>
    <n v="9.5000000000000001E-2"/>
  </r>
  <r>
    <n v="200"/>
    <x v="3"/>
    <x v="99"/>
    <x v="10"/>
    <s v="Percent"/>
    <s v="Units"/>
    <x v="3"/>
    <n v="9.4E-2"/>
  </r>
  <r>
    <n v="200"/>
    <x v="3"/>
    <x v="99"/>
    <x v="10"/>
    <s v="Percent"/>
    <s v="Units"/>
    <x v="4"/>
    <n v="9.1999999999999998E-2"/>
  </r>
  <r>
    <n v="200"/>
    <x v="3"/>
    <x v="99"/>
    <x v="10"/>
    <s v="Percent"/>
    <s v="Units"/>
    <x v="5"/>
    <n v="9.0999999999999998E-2"/>
  </r>
  <r>
    <n v="200"/>
    <x v="3"/>
    <x v="99"/>
    <x v="10"/>
    <s v="Percent"/>
    <s v="Units"/>
    <x v="6"/>
    <n v="8.8999999999999996E-2"/>
  </r>
  <r>
    <n v="200"/>
    <x v="3"/>
    <x v="117"/>
    <x v="10"/>
    <s v="Percent"/>
    <s v="Units"/>
    <x v="0"/>
    <n v="8.6999999999999994E-2"/>
  </r>
  <r>
    <n v="200"/>
    <x v="3"/>
    <x v="117"/>
    <x v="10"/>
    <s v="Percent"/>
    <s v="Units"/>
    <x v="1"/>
    <n v="8.6999999999999994E-2"/>
  </r>
  <r>
    <n v="200"/>
    <x v="3"/>
    <x v="117"/>
    <x v="10"/>
    <s v="Percent"/>
    <s v="Units"/>
    <x v="2"/>
    <n v="8.5999999999999993E-2"/>
  </r>
  <r>
    <n v="200"/>
    <x v="3"/>
    <x v="117"/>
    <x v="10"/>
    <s v="Percent"/>
    <s v="Units"/>
    <x v="3"/>
    <n v="8.7999999999999995E-2"/>
  </r>
  <r>
    <n v="200"/>
    <x v="3"/>
    <x v="117"/>
    <x v="10"/>
    <s v="Percent"/>
    <s v="Units"/>
    <x v="4"/>
    <n v="8.5999999999999993E-2"/>
  </r>
  <r>
    <n v="200"/>
    <x v="3"/>
    <x v="117"/>
    <x v="10"/>
    <s v="Percent"/>
    <s v="Units"/>
    <x v="5"/>
    <n v="8.5999999999999993E-2"/>
  </r>
  <r>
    <n v="200"/>
    <x v="3"/>
    <x v="117"/>
    <x v="10"/>
    <s v="Percent"/>
    <s v="Units"/>
    <x v="6"/>
    <n v="8.6999999999999994E-2"/>
  </r>
  <r>
    <n v="603"/>
    <x v="12"/>
    <x v="89"/>
    <x v="10"/>
    <s v="Percent"/>
    <s v="Units"/>
    <x v="0"/>
    <n v="7.4999999999999997E-2"/>
  </r>
  <r>
    <n v="603"/>
    <x v="12"/>
    <x v="89"/>
    <x v="10"/>
    <s v="Percent"/>
    <s v="Units"/>
    <x v="1"/>
    <n v="7.9000000000000001E-2"/>
  </r>
  <r>
    <n v="603"/>
    <x v="12"/>
    <x v="89"/>
    <x v="10"/>
    <s v="Percent"/>
    <s v="Units"/>
    <x v="2"/>
    <n v="7.8E-2"/>
  </r>
  <r>
    <n v="603"/>
    <x v="12"/>
    <x v="89"/>
    <x v="10"/>
    <s v="Percent"/>
    <s v="Units"/>
    <x v="3"/>
    <n v="8.3000000000000004E-2"/>
  </r>
  <r>
    <n v="603"/>
    <x v="12"/>
    <x v="89"/>
    <x v="10"/>
    <s v="Percent"/>
    <s v="Units"/>
    <x v="4"/>
    <n v="8.5000000000000006E-2"/>
  </r>
  <r>
    <n v="603"/>
    <x v="12"/>
    <x v="89"/>
    <x v="10"/>
    <s v="Percent"/>
    <s v="Units"/>
    <x v="5"/>
    <n v="8.5999999999999993E-2"/>
  </r>
  <r>
    <n v="603"/>
    <x v="12"/>
    <x v="89"/>
    <x v="10"/>
    <s v="Percent"/>
    <s v="Units"/>
    <x v="6"/>
    <n v="8.7999999999999995E-2"/>
  </r>
  <r>
    <n v="505"/>
    <x v="4"/>
    <x v="117"/>
    <x v="10"/>
    <s v="Percent"/>
    <s v="Units"/>
    <x v="0"/>
    <n v="8.6999999999999994E-2"/>
  </r>
  <r>
    <n v="505"/>
    <x v="4"/>
    <x v="117"/>
    <x v="10"/>
    <s v="Percent"/>
    <s v="Units"/>
    <x v="1"/>
    <n v="8.6999999999999994E-2"/>
  </r>
  <r>
    <n v="505"/>
    <x v="4"/>
    <x v="117"/>
    <x v="10"/>
    <s v="Percent"/>
    <s v="Units"/>
    <x v="2"/>
    <n v="8.5999999999999993E-2"/>
  </r>
  <r>
    <n v="505"/>
    <x v="4"/>
    <x v="117"/>
    <x v="10"/>
    <s v="Percent"/>
    <s v="Units"/>
    <x v="3"/>
    <n v="8.7999999999999995E-2"/>
  </r>
  <r>
    <n v="505"/>
    <x v="4"/>
    <x v="117"/>
    <x v="10"/>
    <s v="Percent"/>
    <s v="Units"/>
    <x v="4"/>
    <n v="8.5999999999999993E-2"/>
  </r>
  <r>
    <n v="505"/>
    <x v="4"/>
    <x v="117"/>
    <x v="10"/>
    <s v="Percent"/>
    <s v="Units"/>
    <x v="5"/>
    <n v="8.5999999999999993E-2"/>
  </r>
  <r>
    <n v="505"/>
    <x v="4"/>
    <x v="117"/>
    <x v="10"/>
    <s v="Percent"/>
    <s v="Units"/>
    <x v="6"/>
    <n v="8.6999999999999994E-2"/>
  </r>
  <r>
    <n v="200"/>
    <x v="3"/>
    <x v="89"/>
    <x v="10"/>
    <s v="Percent"/>
    <s v="Units"/>
    <x v="0"/>
    <n v="7.4999999999999997E-2"/>
  </r>
  <r>
    <n v="200"/>
    <x v="3"/>
    <x v="89"/>
    <x v="10"/>
    <s v="Percent"/>
    <s v="Units"/>
    <x v="1"/>
    <n v="7.9000000000000001E-2"/>
  </r>
  <r>
    <n v="200"/>
    <x v="3"/>
    <x v="89"/>
    <x v="10"/>
    <s v="Percent"/>
    <s v="Units"/>
    <x v="2"/>
    <n v="7.8E-2"/>
  </r>
  <r>
    <n v="200"/>
    <x v="3"/>
    <x v="89"/>
    <x v="10"/>
    <s v="Percent"/>
    <s v="Units"/>
    <x v="3"/>
    <n v="8.3000000000000004E-2"/>
  </r>
  <r>
    <n v="200"/>
    <x v="3"/>
    <x v="89"/>
    <x v="10"/>
    <s v="Percent"/>
    <s v="Units"/>
    <x v="4"/>
    <n v="8.5000000000000006E-2"/>
  </r>
  <r>
    <n v="200"/>
    <x v="3"/>
    <x v="89"/>
    <x v="10"/>
    <s v="Percent"/>
    <s v="Units"/>
    <x v="5"/>
    <n v="8.5999999999999993E-2"/>
  </r>
  <r>
    <n v="200"/>
    <x v="3"/>
    <x v="89"/>
    <x v="10"/>
    <s v="Percent"/>
    <s v="Units"/>
    <x v="6"/>
    <n v="8.7999999999999995E-2"/>
  </r>
  <r>
    <n v="200"/>
    <x v="3"/>
    <x v="97"/>
    <x v="10"/>
    <s v="Percent"/>
    <s v="Units"/>
    <x v="0"/>
    <n v="7.8E-2"/>
  </r>
  <r>
    <n v="200"/>
    <x v="3"/>
    <x v="97"/>
    <x v="10"/>
    <s v="Percent"/>
    <s v="Units"/>
    <x v="1"/>
    <n v="0.08"/>
  </r>
  <r>
    <n v="200"/>
    <x v="3"/>
    <x v="97"/>
    <x v="10"/>
    <s v="Percent"/>
    <s v="Units"/>
    <x v="2"/>
    <n v="7.9000000000000001E-2"/>
  </r>
  <r>
    <n v="200"/>
    <x v="3"/>
    <x v="97"/>
    <x v="10"/>
    <s v="Percent"/>
    <s v="Units"/>
    <x v="3"/>
    <n v="8.1000000000000003E-2"/>
  </r>
  <r>
    <n v="200"/>
    <x v="3"/>
    <x v="97"/>
    <x v="10"/>
    <s v="Percent"/>
    <s v="Units"/>
    <x v="4"/>
    <n v="8.2000000000000003E-2"/>
  </r>
  <r>
    <n v="200"/>
    <x v="3"/>
    <x v="97"/>
    <x v="10"/>
    <s v="Percent"/>
    <s v="Units"/>
    <x v="5"/>
    <n v="8.4000000000000005E-2"/>
  </r>
  <r>
    <n v="200"/>
    <x v="3"/>
    <x v="97"/>
    <x v="10"/>
    <s v="Percent"/>
    <s v="Units"/>
    <x v="6"/>
    <n v="8.6999999999999994E-2"/>
  </r>
  <r>
    <n v="603"/>
    <x v="12"/>
    <x v="97"/>
    <x v="10"/>
    <s v="Percent"/>
    <s v="Units"/>
    <x v="0"/>
    <n v="7.8E-2"/>
  </r>
  <r>
    <n v="603"/>
    <x v="12"/>
    <x v="97"/>
    <x v="10"/>
    <s v="Percent"/>
    <s v="Units"/>
    <x v="1"/>
    <n v="0.08"/>
  </r>
  <r>
    <n v="603"/>
    <x v="12"/>
    <x v="97"/>
    <x v="10"/>
    <s v="Percent"/>
    <s v="Units"/>
    <x v="2"/>
    <n v="7.9000000000000001E-2"/>
  </r>
  <r>
    <n v="603"/>
    <x v="12"/>
    <x v="97"/>
    <x v="10"/>
    <s v="Percent"/>
    <s v="Units"/>
    <x v="3"/>
    <n v="8.1000000000000003E-2"/>
  </r>
  <r>
    <n v="603"/>
    <x v="12"/>
    <x v="97"/>
    <x v="10"/>
    <s v="Percent"/>
    <s v="Units"/>
    <x v="4"/>
    <n v="8.2000000000000003E-2"/>
  </r>
  <r>
    <n v="603"/>
    <x v="12"/>
    <x v="97"/>
    <x v="10"/>
    <s v="Percent"/>
    <s v="Units"/>
    <x v="5"/>
    <n v="8.4000000000000005E-2"/>
  </r>
  <r>
    <n v="603"/>
    <x v="12"/>
    <x v="97"/>
    <x v="10"/>
    <s v="Percent"/>
    <s v="Units"/>
    <x v="6"/>
    <n v="8.6999999999999994E-2"/>
  </r>
  <r>
    <n v="200"/>
    <x v="3"/>
    <x v="74"/>
    <x v="10"/>
    <s v="Percent"/>
    <s v="Units"/>
    <x v="0"/>
    <n v="7.9000000000000001E-2"/>
  </r>
  <r>
    <n v="200"/>
    <x v="3"/>
    <x v="74"/>
    <x v="10"/>
    <s v="Percent"/>
    <s v="Units"/>
    <x v="1"/>
    <n v="7.8E-2"/>
  </r>
  <r>
    <n v="200"/>
    <x v="3"/>
    <x v="74"/>
    <x v="10"/>
    <s v="Percent"/>
    <s v="Units"/>
    <x v="2"/>
    <n v="7.9000000000000001E-2"/>
  </r>
  <r>
    <n v="200"/>
    <x v="3"/>
    <x v="74"/>
    <x v="10"/>
    <s v="Percent"/>
    <s v="Units"/>
    <x v="3"/>
    <n v="0.08"/>
  </r>
  <r>
    <n v="200"/>
    <x v="3"/>
    <x v="74"/>
    <x v="10"/>
    <s v="Percent"/>
    <s v="Units"/>
    <x v="4"/>
    <n v="8.1000000000000003E-2"/>
  </r>
  <r>
    <n v="200"/>
    <x v="3"/>
    <x v="74"/>
    <x v="10"/>
    <s v="Percent"/>
    <s v="Units"/>
    <x v="5"/>
    <n v="8.2000000000000003E-2"/>
  </r>
  <r>
    <n v="200"/>
    <x v="3"/>
    <x v="74"/>
    <x v="10"/>
    <s v="Percent"/>
    <s v="Units"/>
    <x v="6"/>
    <n v="8.2000000000000003E-2"/>
  </r>
  <r>
    <n v="205"/>
    <x v="7"/>
    <x v="74"/>
    <x v="10"/>
    <s v="Percent"/>
    <s v="Units"/>
    <x v="0"/>
    <n v="7.9000000000000001E-2"/>
  </r>
  <r>
    <n v="205"/>
    <x v="7"/>
    <x v="74"/>
    <x v="10"/>
    <s v="Percent"/>
    <s v="Units"/>
    <x v="1"/>
    <n v="7.8E-2"/>
  </r>
  <r>
    <n v="205"/>
    <x v="7"/>
    <x v="74"/>
    <x v="10"/>
    <s v="Percent"/>
    <s v="Units"/>
    <x v="2"/>
    <n v="7.9000000000000001E-2"/>
  </r>
  <r>
    <n v="205"/>
    <x v="7"/>
    <x v="74"/>
    <x v="10"/>
    <s v="Percent"/>
    <s v="Units"/>
    <x v="3"/>
    <n v="0.08"/>
  </r>
  <r>
    <n v="205"/>
    <x v="7"/>
    <x v="74"/>
    <x v="10"/>
    <s v="Percent"/>
    <s v="Units"/>
    <x v="4"/>
    <n v="8.1000000000000003E-2"/>
  </r>
  <r>
    <n v="205"/>
    <x v="7"/>
    <x v="74"/>
    <x v="10"/>
    <s v="Percent"/>
    <s v="Units"/>
    <x v="5"/>
    <n v="8.2000000000000003E-2"/>
  </r>
  <r>
    <n v="205"/>
    <x v="7"/>
    <x v="74"/>
    <x v="10"/>
    <s v="Percent"/>
    <s v="Units"/>
    <x v="6"/>
    <n v="8.2000000000000003E-2"/>
  </r>
  <r>
    <n v="1"/>
    <x v="2"/>
    <x v="66"/>
    <x v="8"/>
    <s v="Percent change"/>
    <s v="Units"/>
    <x v="0"/>
    <n v="0.16500000000000001"/>
  </r>
  <r>
    <n v="1"/>
    <x v="2"/>
    <x v="66"/>
    <x v="8"/>
    <s v="Percent change"/>
    <s v="Units"/>
    <x v="1"/>
    <n v="-9.2449999999999992"/>
  </r>
  <r>
    <n v="1"/>
    <x v="2"/>
    <x v="66"/>
    <x v="8"/>
    <s v="Percent change"/>
    <s v="Units"/>
    <x v="2"/>
    <n v="9.8179999999999996"/>
  </r>
  <r>
    <n v="1"/>
    <x v="2"/>
    <x v="66"/>
    <x v="8"/>
    <s v="Percent change"/>
    <s v="Units"/>
    <x v="3"/>
    <n v="6.1859999999999999"/>
  </r>
  <r>
    <n v="1"/>
    <x v="2"/>
    <x v="66"/>
    <x v="8"/>
    <s v="Percent change"/>
    <s v="Units"/>
    <x v="4"/>
    <n v="2.2839999999999998"/>
  </r>
  <r>
    <n v="1"/>
    <x v="2"/>
    <x v="66"/>
    <x v="8"/>
    <s v="Percent change"/>
    <s v="Units"/>
    <x v="5"/>
    <n v="8.1000000000000003E-2"/>
  </r>
  <r>
    <n v="1"/>
    <x v="2"/>
    <x v="66"/>
    <x v="8"/>
    <s v="Percent change"/>
    <s v="Units"/>
    <x v="6"/>
    <n v="0.84699999999999998"/>
  </r>
  <r>
    <n v="205"/>
    <x v="7"/>
    <x v="66"/>
    <x v="8"/>
    <s v="Percent change"/>
    <s v="Units"/>
    <x v="0"/>
    <n v="0.16500000000000001"/>
  </r>
  <r>
    <n v="205"/>
    <x v="7"/>
    <x v="66"/>
    <x v="8"/>
    <s v="Percent change"/>
    <s v="Units"/>
    <x v="1"/>
    <n v="-9.2449999999999992"/>
  </r>
  <r>
    <n v="205"/>
    <x v="7"/>
    <x v="66"/>
    <x v="8"/>
    <s v="Percent change"/>
    <s v="Units"/>
    <x v="2"/>
    <n v="9.8179999999999996"/>
  </r>
  <r>
    <n v="205"/>
    <x v="7"/>
    <x v="66"/>
    <x v="8"/>
    <s v="Percent change"/>
    <s v="Units"/>
    <x v="3"/>
    <n v="6.1859999999999999"/>
  </r>
  <r>
    <n v="205"/>
    <x v="7"/>
    <x v="66"/>
    <x v="8"/>
    <s v="Percent change"/>
    <s v="Units"/>
    <x v="4"/>
    <n v="2.2839999999999998"/>
  </r>
  <r>
    <n v="205"/>
    <x v="7"/>
    <x v="66"/>
    <x v="8"/>
    <s v="Percent change"/>
    <s v="Units"/>
    <x v="5"/>
    <n v="8.1000000000000003E-2"/>
  </r>
  <r>
    <n v="205"/>
    <x v="7"/>
    <x v="66"/>
    <x v="8"/>
    <s v="Percent change"/>
    <s v="Units"/>
    <x v="6"/>
    <n v="0.84699999999999998"/>
  </r>
  <r>
    <n v="200"/>
    <x v="3"/>
    <x v="66"/>
    <x v="8"/>
    <s v="Percent change"/>
    <s v="Units"/>
    <x v="0"/>
    <n v="0.16500000000000001"/>
  </r>
  <r>
    <n v="200"/>
    <x v="3"/>
    <x v="66"/>
    <x v="8"/>
    <s v="Percent change"/>
    <s v="Units"/>
    <x v="1"/>
    <n v="-9.2449999999999992"/>
  </r>
  <r>
    <n v="200"/>
    <x v="3"/>
    <x v="66"/>
    <x v="8"/>
    <s v="Percent change"/>
    <s v="Units"/>
    <x v="2"/>
    <n v="9.8179999999999996"/>
  </r>
  <r>
    <n v="200"/>
    <x v="3"/>
    <x v="66"/>
    <x v="8"/>
    <s v="Percent change"/>
    <s v="Units"/>
    <x v="3"/>
    <n v="6.1859999999999999"/>
  </r>
  <r>
    <n v="200"/>
    <x v="3"/>
    <x v="66"/>
    <x v="8"/>
    <s v="Percent change"/>
    <s v="Units"/>
    <x v="4"/>
    <n v="2.2839999999999998"/>
  </r>
  <r>
    <n v="200"/>
    <x v="3"/>
    <x v="66"/>
    <x v="8"/>
    <s v="Percent change"/>
    <s v="Units"/>
    <x v="5"/>
    <n v="8.1000000000000003E-2"/>
  </r>
  <r>
    <n v="200"/>
    <x v="3"/>
    <x v="66"/>
    <x v="8"/>
    <s v="Percent change"/>
    <s v="Units"/>
    <x v="6"/>
    <n v="0.84699999999999998"/>
  </r>
  <r>
    <n v="110"/>
    <x v="0"/>
    <x v="84"/>
    <x v="10"/>
    <s v="Percent"/>
    <s v="Units"/>
    <x v="0"/>
    <n v="0.08"/>
  </r>
  <r>
    <n v="110"/>
    <x v="0"/>
    <x v="84"/>
    <x v="10"/>
    <s v="Percent"/>
    <s v="Units"/>
    <x v="1"/>
    <n v="8.2000000000000003E-2"/>
  </r>
  <r>
    <n v="110"/>
    <x v="0"/>
    <x v="84"/>
    <x v="10"/>
    <s v="Percent"/>
    <s v="Units"/>
    <x v="2"/>
    <n v="8.2000000000000003E-2"/>
  </r>
  <r>
    <n v="110"/>
    <x v="0"/>
    <x v="84"/>
    <x v="10"/>
    <s v="Percent"/>
    <s v="Units"/>
    <x v="3"/>
    <n v="8.1000000000000003E-2"/>
  </r>
  <r>
    <n v="110"/>
    <x v="0"/>
    <x v="84"/>
    <x v="10"/>
    <s v="Percent"/>
    <s v="Units"/>
    <x v="4"/>
    <n v="7.9000000000000001E-2"/>
  </r>
  <r>
    <n v="110"/>
    <x v="0"/>
    <x v="84"/>
    <x v="10"/>
    <s v="Percent"/>
    <s v="Units"/>
    <x v="5"/>
    <n v="7.8E-2"/>
  </r>
  <r>
    <n v="110"/>
    <x v="0"/>
    <x v="84"/>
    <x v="10"/>
    <s v="Percent"/>
    <s v="Units"/>
    <x v="6"/>
    <n v="7.6999999999999999E-2"/>
  </r>
  <r>
    <n v="998"/>
    <x v="6"/>
    <x v="84"/>
    <x v="10"/>
    <s v="Percent"/>
    <s v="Units"/>
    <x v="0"/>
    <n v="0.08"/>
  </r>
  <r>
    <n v="998"/>
    <x v="6"/>
    <x v="84"/>
    <x v="10"/>
    <s v="Percent"/>
    <s v="Units"/>
    <x v="1"/>
    <n v="8.2000000000000003E-2"/>
  </r>
  <r>
    <n v="998"/>
    <x v="6"/>
    <x v="84"/>
    <x v="10"/>
    <s v="Percent"/>
    <s v="Units"/>
    <x v="2"/>
    <n v="8.2000000000000003E-2"/>
  </r>
  <r>
    <n v="998"/>
    <x v="6"/>
    <x v="84"/>
    <x v="10"/>
    <s v="Percent"/>
    <s v="Units"/>
    <x v="3"/>
    <n v="8.1000000000000003E-2"/>
  </r>
  <r>
    <n v="998"/>
    <x v="6"/>
    <x v="84"/>
    <x v="10"/>
    <s v="Percent"/>
    <s v="Units"/>
    <x v="4"/>
    <n v="7.9000000000000001E-2"/>
  </r>
  <r>
    <n v="998"/>
    <x v="6"/>
    <x v="84"/>
    <x v="10"/>
    <s v="Percent"/>
    <s v="Units"/>
    <x v="5"/>
    <n v="7.8E-2"/>
  </r>
  <r>
    <n v="998"/>
    <x v="6"/>
    <x v="84"/>
    <x v="10"/>
    <s v="Percent"/>
    <s v="Units"/>
    <x v="6"/>
    <n v="7.6999999999999999E-2"/>
  </r>
  <r>
    <n v="505"/>
    <x v="4"/>
    <x v="112"/>
    <x v="10"/>
    <s v="Percent"/>
    <s v="Units"/>
    <x v="0"/>
    <n v="7.4999999999999997E-2"/>
  </r>
  <r>
    <n v="505"/>
    <x v="4"/>
    <x v="112"/>
    <x v="10"/>
    <s v="Percent"/>
    <s v="Units"/>
    <x v="1"/>
    <n v="7.3999999999999996E-2"/>
  </r>
  <r>
    <n v="505"/>
    <x v="4"/>
    <x v="112"/>
    <x v="10"/>
    <s v="Percent"/>
    <s v="Units"/>
    <x v="2"/>
    <n v="7.1999999999999995E-2"/>
  </r>
  <r>
    <n v="505"/>
    <x v="4"/>
    <x v="112"/>
    <x v="10"/>
    <s v="Percent"/>
    <s v="Units"/>
    <x v="3"/>
    <n v="7.2999999999999995E-2"/>
  </r>
  <r>
    <n v="505"/>
    <x v="4"/>
    <x v="112"/>
    <x v="10"/>
    <s v="Percent"/>
    <s v="Units"/>
    <x v="4"/>
    <n v="7.4999999999999997E-2"/>
  </r>
  <r>
    <n v="505"/>
    <x v="4"/>
    <x v="112"/>
    <x v="10"/>
    <s v="Percent"/>
    <s v="Units"/>
    <x v="5"/>
    <n v="7.6999999999999999E-2"/>
  </r>
  <r>
    <n v="505"/>
    <x v="4"/>
    <x v="112"/>
    <x v="10"/>
    <s v="Percent"/>
    <s v="Units"/>
    <x v="6"/>
    <n v="7.9000000000000001E-2"/>
  </r>
  <r>
    <n v="200"/>
    <x v="3"/>
    <x v="112"/>
    <x v="10"/>
    <s v="Percent"/>
    <s v="Units"/>
    <x v="0"/>
    <n v="7.4999999999999997E-2"/>
  </r>
  <r>
    <n v="200"/>
    <x v="3"/>
    <x v="112"/>
    <x v="10"/>
    <s v="Percent"/>
    <s v="Units"/>
    <x v="1"/>
    <n v="7.3999999999999996E-2"/>
  </r>
  <r>
    <n v="200"/>
    <x v="3"/>
    <x v="112"/>
    <x v="10"/>
    <s v="Percent"/>
    <s v="Units"/>
    <x v="2"/>
    <n v="7.1999999999999995E-2"/>
  </r>
  <r>
    <n v="200"/>
    <x v="3"/>
    <x v="112"/>
    <x v="10"/>
    <s v="Percent"/>
    <s v="Units"/>
    <x v="3"/>
    <n v="7.2999999999999995E-2"/>
  </r>
  <r>
    <n v="200"/>
    <x v="3"/>
    <x v="112"/>
    <x v="10"/>
    <s v="Percent"/>
    <s v="Units"/>
    <x v="4"/>
    <n v="7.4999999999999997E-2"/>
  </r>
  <r>
    <n v="200"/>
    <x v="3"/>
    <x v="112"/>
    <x v="10"/>
    <s v="Percent"/>
    <s v="Units"/>
    <x v="5"/>
    <n v="7.6999999999999999E-2"/>
  </r>
  <r>
    <n v="200"/>
    <x v="3"/>
    <x v="112"/>
    <x v="10"/>
    <s v="Percent"/>
    <s v="Units"/>
    <x v="6"/>
    <n v="7.9000000000000001E-2"/>
  </r>
  <r>
    <n v="400"/>
    <x v="11"/>
    <x v="101"/>
    <x v="10"/>
    <s v="Percent"/>
    <s v="Units"/>
    <x v="0"/>
    <n v="7.8E-2"/>
  </r>
  <r>
    <n v="400"/>
    <x v="11"/>
    <x v="101"/>
    <x v="10"/>
    <s v="Percent"/>
    <s v="Units"/>
    <x v="1"/>
    <n v="0.08"/>
  </r>
  <r>
    <n v="400"/>
    <x v="11"/>
    <x v="101"/>
    <x v="10"/>
    <s v="Percent"/>
    <s v="Units"/>
    <x v="2"/>
    <n v="7.8E-2"/>
  </r>
  <r>
    <n v="400"/>
    <x v="11"/>
    <x v="101"/>
    <x v="10"/>
    <s v="Percent"/>
    <s v="Units"/>
    <x v="3"/>
    <n v="7.6999999999999999E-2"/>
  </r>
  <r>
    <n v="400"/>
    <x v="11"/>
    <x v="101"/>
    <x v="10"/>
    <s v="Percent"/>
    <s v="Units"/>
    <x v="4"/>
    <n v="7.5999999999999998E-2"/>
  </r>
  <r>
    <n v="400"/>
    <x v="11"/>
    <x v="101"/>
    <x v="10"/>
    <s v="Percent"/>
    <s v="Units"/>
    <x v="5"/>
    <n v="7.5999999999999998E-2"/>
  </r>
  <r>
    <n v="400"/>
    <x v="11"/>
    <x v="101"/>
    <x v="10"/>
    <s v="Percent"/>
    <s v="Units"/>
    <x v="6"/>
    <n v="7.5999999999999998E-2"/>
  </r>
  <r>
    <n v="603"/>
    <x v="12"/>
    <x v="102"/>
    <x v="10"/>
    <s v="Percent"/>
    <s v="Units"/>
    <x v="0"/>
    <n v="7.3999999999999996E-2"/>
  </r>
  <r>
    <n v="603"/>
    <x v="12"/>
    <x v="102"/>
    <x v="10"/>
    <s v="Percent"/>
    <s v="Units"/>
    <x v="1"/>
    <n v="7.6999999999999999E-2"/>
  </r>
  <r>
    <n v="603"/>
    <x v="12"/>
    <x v="102"/>
    <x v="10"/>
    <s v="Percent"/>
    <s v="Units"/>
    <x v="2"/>
    <n v="7.4999999999999997E-2"/>
  </r>
  <r>
    <n v="603"/>
    <x v="12"/>
    <x v="102"/>
    <x v="10"/>
    <s v="Percent"/>
    <s v="Units"/>
    <x v="3"/>
    <n v="7.4999999999999997E-2"/>
  </r>
  <r>
    <n v="603"/>
    <x v="12"/>
    <x v="102"/>
    <x v="10"/>
    <s v="Percent"/>
    <s v="Units"/>
    <x v="4"/>
    <n v="7.5999999999999998E-2"/>
  </r>
  <r>
    <n v="603"/>
    <x v="12"/>
    <x v="102"/>
    <x v="10"/>
    <s v="Percent"/>
    <s v="Units"/>
    <x v="5"/>
    <n v="7.5999999999999998E-2"/>
  </r>
  <r>
    <n v="603"/>
    <x v="12"/>
    <x v="102"/>
    <x v="10"/>
    <s v="Percent"/>
    <s v="Units"/>
    <x v="6"/>
    <n v="7.6999999999999999E-2"/>
  </r>
  <r>
    <n v="200"/>
    <x v="3"/>
    <x v="101"/>
    <x v="10"/>
    <s v="Percent"/>
    <s v="Units"/>
    <x v="0"/>
    <n v="7.8E-2"/>
  </r>
  <r>
    <n v="200"/>
    <x v="3"/>
    <x v="101"/>
    <x v="10"/>
    <s v="Percent"/>
    <s v="Units"/>
    <x v="1"/>
    <n v="0.08"/>
  </r>
  <r>
    <n v="200"/>
    <x v="3"/>
    <x v="101"/>
    <x v="10"/>
    <s v="Percent"/>
    <s v="Units"/>
    <x v="2"/>
    <n v="7.8E-2"/>
  </r>
  <r>
    <n v="200"/>
    <x v="3"/>
    <x v="101"/>
    <x v="10"/>
    <s v="Percent"/>
    <s v="Units"/>
    <x v="3"/>
    <n v="7.6999999999999999E-2"/>
  </r>
  <r>
    <n v="200"/>
    <x v="3"/>
    <x v="101"/>
    <x v="10"/>
    <s v="Percent"/>
    <s v="Units"/>
    <x v="4"/>
    <n v="7.5999999999999998E-2"/>
  </r>
  <r>
    <n v="200"/>
    <x v="3"/>
    <x v="101"/>
    <x v="10"/>
    <s v="Percent"/>
    <s v="Units"/>
    <x v="5"/>
    <n v="7.5999999999999998E-2"/>
  </r>
  <r>
    <n v="200"/>
    <x v="3"/>
    <x v="101"/>
    <x v="10"/>
    <s v="Percent"/>
    <s v="Units"/>
    <x v="6"/>
    <n v="7.5999999999999998E-2"/>
  </r>
  <r>
    <n v="200"/>
    <x v="3"/>
    <x v="102"/>
    <x v="10"/>
    <s v="Percent"/>
    <s v="Units"/>
    <x v="0"/>
    <n v="7.3999999999999996E-2"/>
  </r>
  <r>
    <n v="200"/>
    <x v="3"/>
    <x v="102"/>
    <x v="10"/>
    <s v="Percent"/>
    <s v="Units"/>
    <x v="1"/>
    <n v="7.6999999999999999E-2"/>
  </r>
  <r>
    <n v="200"/>
    <x v="3"/>
    <x v="102"/>
    <x v="10"/>
    <s v="Percent"/>
    <s v="Units"/>
    <x v="2"/>
    <n v="7.4999999999999997E-2"/>
  </r>
  <r>
    <n v="200"/>
    <x v="3"/>
    <x v="102"/>
    <x v="10"/>
    <s v="Percent"/>
    <s v="Units"/>
    <x v="3"/>
    <n v="7.4999999999999997E-2"/>
  </r>
  <r>
    <n v="200"/>
    <x v="3"/>
    <x v="102"/>
    <x v="10"/>
    <s v="Percent"/>
    <s v="Units"/>
    <x v="4"/>
    <n v="7.5999999999999998E-2"/>
  </r>
  <r>
    <n v="200"/>
    <x v="3"/>
    <x v="102"/>
    <x v="10"/>
    <s v="Percent"/>
    <s v="Units"/>
    <x v="5"/>
    <n v="7.5999999999999998E-2"/>
  </r>
  <r>
    <n v="200"/>
    <x v="3"/>
    <x v="102"/>
    <x v="10"/>
    <s v="Percent"/>
    <s v="Units"/>
    <x v="6"/>
    <n v="7.6999999999999999E-2"/>
  </r>
  <r>
    <n v="123"/>
    <x v="9"/>
    <x v="67"/>
    <x v="10"/>
    <s v="Percent"/>
    <s v="Units"/>
    <x v="0"/>
    <n v="8.5000000000000006E-2"/>
  </r>
  <r>
    <n v="123"/>
    <x v="9"/>
    <x v="67"/>
    <x v="10"/>
    <s v="Percent"/>
    <s v="Units"/>
    <x v="1"/>
    <n v="8.4000000000000005E-2"/>
  </r>
  <r>
    <n v="123"/>
    <x v="9"/>
    <x v="67"/>
    <x v="10"/>
    <s v="Percent"/>
    <s v="Units"/>
    <x v="2"/>
    <n v="7.9000000000000001E-2"/>
  </r>
  <r>
    <n v="123"/>
    <x v="9"/>
    <x v="67"/>
    <x v="10"/>
    <s v="Percent"/>
    <s v="Units"/>
    <x v="3"/>
    <n v="7.9000000000000001E-2"/>
  </r>
  <r>
    <n v="123"/>
    <x v="9"/>
    <x v="67"/>
    <x v="10"/>
    <s v="Percent"/>
    <s v="Units"/>
    <x v="4"/>
    <n v="7.5999999999999998E-2"/>
  </r>
  <r>
    <n v="123"/>
    <x v="9"/>
    <x v="67"/>
    <x v="10"/>
    <s v="Percent"/>
    <s v="Units"/>
    <x v="5"/>
    <n v="7.3999999999999996E-2"/>
  </r>
  <r>
    <n v="123"/>
    <x v="9"/>
    <x v="67"/>
    <x v="10"/>
    <s v="Percent"/>
    <s v="Units"/>
    <x v="6"/>
    <n v="7.0999999999999994E-2"/>
  </r>
  <r>
    <n v="110"/>
    <x v="0"/>
    <x v="67"/>
    <x v="10"/>
    <s v="Percent"/>
    <s v="Units"/>
    <x v="0"/>
    <n v="8.5000000000000006E-2"/>
  </r>
  <r>
    <n v="110"/>
    <x v="0"/>
    <x v="67"/>
    <x v="10"/>
    <s v="Percent"/>
    <s v="Units"/>
    <x v="1"/>
    <n v="8.4000000000000005E-2"/>
  </r>
  <r>
    <n v="110"/>
    <x v="0"/>
    <x v="67"/>
    <x v="10"/>
    <s v="Percent"/>
    <s v="Units"/>
    <x v="2"/>
    <n v="7.9000000000000001E-2"/>
  </r>
  <r>
    <n v="110"/>
    <x v="0"/>
    <x v="67"/>
    <x v="10"/>
    <s v="Percent"/>
    <s v="Units"/>
    <x v="3"/>
    <n v="7.9000000000000001E-2"/>
  </r>
  <r>
    <n v="110"/>
    <x v="0"/>
    <x v="67"/>
    <x v="10"/>
    <s v="Percent"/>
    <s v="Units"/>
    <x v="4"/>
    <n v="7.5999999999999998E-2"/>
  </r>
  <r>
    <n v="110"/>
    <x v="0"/>
    <x v="67"/>
    <x v="10"/>
    <s v="Percent"/>
    <s v="Units"/>
    <x v="5"/>
    <n v="7.3999999999999996E-2"/>
  </r>
  <r>
    <n v="110"/>
    <x v="0"/>
    <x v="67"/>
    <x v="10"/>
    <s v="Percent"/>
    <s v="Units"/>
    <x v="6"/>
    <n v="7.0999999999999994E-2"/>
  </r>
  <r>
    <n v="205"/>
    <x v="7"/>
    <x v="106"/>
    <x v="10"/>
    <s v="Percent"/>
    <s v="Units"/>
    <x v="0"/>
    <n v="7.6999999999999999E-2"/>
  </r>
  <r>
    <n v="205"/>
    <x v="7"/>
    <x v="106"/>
    <x v="10"/>
    <s v="Percent"/>
    <s v="Units"/>
    <x v="1"/>
    <n v="7.1999999999999995E-2"/>
  </r>
  <r>
    <n v="205"/>
    <x v="7"/>
    <x v="106"/>
    <x v="10"/>
    <s v="Percent"/>
    <s v="Units"/>
    <x v="2"/>
    <n v="7.1999999999999995E-2"/>
  </r>
  <r>
    <n v="205"/>
    <x v="7"/>
    <x v="106"/>
    <x v="10"/>
    <s v="Percent"/>
    <s v="Units"/>
    <x v="3"/>
    <n v="7.1999999999999995E-2"/>
  </r>
  <r>
    <n v="205"/>
    <x v="7"/>
    <x v="106"/>
    <x v="10"/>
    <s v="Percent"/>
    <s v="Units"/>
    <x v="4"/>
    <n v="7.1999999999999995E-2"/>
  </r>
  <r>
    <n v="205"/>
    <x v="7"/>
    <x v="106"/>
    <x v="10"/>
    <s v="Percent"/>
    <s v="Units"/>
    <x v="5"/>
    <n v="7.0999999999999994E-2"/>
  </r>
  <r>
    <n v="205"/>
    <x v="7"/>
    <x v="106"/>
    <x v="10"/>
    <s v="Percent"/>
    <s v="Units"/>
    <x v="6"/>
    <n v="7.0000000000000007E-2"/>
  </r>
  <r>
    <n v="200"/>
    <x v="3"/>
    <x v="106"/>
    <x v="10"/>
    <s v="Percent"/>
    <s v="Units"/>
    <x v="0"/>
    <n v="7.6999999999999999E-2"/>
  </r>
  <r>
    <n v="200"/>
    <x v="3"/>
    <x v="106"/>
    <x v="10"/>
    <s v="Percent"/>
    <s v="Units"/>
    <x v="1"/>
    <n v="7.1999999999999995E-2"/>
  </r>
  <r>
    <n v="200"/>
    <x v="3"/>
    <x v="106"/>
    <x v="10"/>
    <s v="Percent"/>
    <s v="Units"/>
    <x v="2"/>
    <n v="7.1999999999999995E-2"/>
  </r>
  <r>
    <n v="200"/>
    <x v="3"/>
    <x v="106"/>
    <x v="10"/>
    <s v="Percent"/>
    <s v="Units"/>
    <x v="3"/>
    <n v="7.1999999999999995E-2"/>
  </r>
  <r>
    <n v="200"/>
    <x v="3"/>
    <x v="106"/>
    <x v="10"/>
    <s v="Percent"/>
    <s v="Units"/>
    <x v="4"/>
    <n v="7.1999999999999995E-2"/>
  </r>
  <r>
    <n v="200"/>
    <x v="3"/>
    <x v="106"/>
    <x v="10"/>
    <s v="Percent"/>
    <s v="Units"/>
    <x v="5"/>
    <n v="7.0999999999999994E-2"/>
  </r>
  <r>
    <n v="200"/>
    <x v="3"/>
    <x v="106"/>
    <x v="10"/>
    <s v="Percent"/>
    <s v="Units"/>
    <x v="6"/>
    <n v="7.0000000000000007E-2"/>
  </r>
  <r>
    <n v="200"/>
    <x v="3"/>
    <x v="82"/>
    <x v="10"/>
    <s v="Percent"/>
    <s v="Units"/>
    <x v="0"/>
    <n v="7.3999999999999996E-2"/>
  </r>
  <r>
    <n v="200"/>
    <x v="3"/>
    <x v="82"/>
    <x v="10"/>
    <s v="Percent"/>
    <s v="Units"/>
    <x v="1"/>
    <n v="7.4999999999999997E-2"/>
  </r>
  <r>
    <n v="200"/>
    <x v="3"/>
    <x v="82"/>
    <x v="10"/>
    <s v="Percent"/>
    <s v="Units"/>
    <x v="2"/>
    <n v="7.0000000000000007E-2"/>
  </r>
  <r>
    <n v="200"/>
    <x v="3"/>
    <x v="82"/>
    <x v="10"/>
    <s v="Percent"/>
    <s v="Units"/>
    <x v="3"/>
    <n v="7.0999999999999994E-2"/>
  </r>
  <r>
    <n v="200"/>
    <x v="3"/>
    <x v="82"/>
    <x v="10"/>
    <s v="Percent"/>
    <s v="Units"/>
    <x v="4"/>
    <n v="7.0999999999999994E-2"/>
  </r>
  <r>
    <n v="200"/>
    <x v="3"/>
    <x v="82"/>
    <x v="10"/>
    <s v="Percent"/>
    <s v="Units"/>
    <x v="5"/>
    <n v="7.0000000000000007E-2"/>
  </r>
  <r>
    <n v="200"/>
    <x v="3"/>
    <x v="82"/>
    <x v="10"/>
    <s v="Percent"/>
    <s v="Units"/>
    <x v="6"/>
    <n v="6.9000000000000006E-2"/>
  </r>
  <r>
    <n v="400"/>
    <x v="11"/>
    <x v="82"/>
    <x v="10"/>
    <s v="Percent"/>
    <s v="Units"/>
    <x v="0"/>
    <n v="7.3999999999999996E-2"/>
  </r>
  <r>
    <n v="400"/>
    <x v="11"/>
    <x v="82"/>
    <x v="10"/>
    <s v="Percent"/>
    <s v="Units"/>
    <x v="1"/>
    <n v="7.4999999999999997E-2"/>
  </r>
  <r>
    <n v="400"/>
    <x v="11"/>
    <x v="82"/>
    <x v="10"/>
    <s v="Percent"/>
    <s v="Units"/>
    <x v="2"/>
    <n v="7.0000000000000007E-2"/>
  </r>
  <r>
    <n v="400"/>
    <x v="11"/>
    <x v="82"/>
    <x v="10"/>
    <s v="Percent"/>
    <s v="Units"/>
    <x v="3"/>
    <n v="7.0999999999999994E-2"/>
  </r>
  <r>
    <n v="400"/>
    <x v="11"/>
    <x v="82"/>
    <x v="10"/>
    <s v="Percent"/>
    <s v="Units"/>
    <x v="4"/>
    <n v="7.0999999999999994E-2"/>
  </r>
  <r>
    <n v="400"/>
    <x v="11"/>
    <x v="82"/>
    <x v="10"/>
    <s v="Percent"/>
    <s v="Units"/>
    <x v="5"/>
    <n v="7.0000000000000007E-2"/>
  </r>
  <r>
    <n v="400"/>
    <x v="11"/>
    <x v="82"/>
    <x v="10"/>
    <s v="Percent"/>
    <s v="Units"/>
    <x v="6"/>
    <n v="6.9000000000000006E-2"/>
  </r>
  <r>
    <n v="205"/>
    <x v="7"/>
    <x v="109"/>
    <x v="10"/>
    <s v="Percent"/>
    <s v="Units"/>
    <x v="0"/>
    <n v="6.8000000000000005E-2"/>
  </r>
  <r>
    <n v="205"/>
    <x v="7"/>
    <x v="109"/>
    <x v="10"/>
    <s v="Percent"/>
    <s v="Units"/>
    <x v="1"/>
    <n v="7.0000000000000007E-2"/>
  </r>
  <r>
    <n v="205"/>
    <x v="7"/>
    <x v="109"/>
    <x v="10"/>
    <s v="Percent"/>
    <s v="Units"/>
    <x v="2"/>
    <n v="6.8000000000000005E-2"/>
  </r>
  <r>
    <n v="205"/>
    <x v="7"/>
    <x v="109"/>
    <x v="10"/>
    <s v="Percent"/>
    <s v="Units"/>
    <x v="3"/>
    <n v="6.6000000000000003E-2"/>
  </r>
  <r>
    <n v="205"/>
    <x v="7"/>
    <x v="109"/>
    <x v="10"/>
    <s v="Percent"/>
    <s v="Units"/>
    <x v="4"/>
    <n v="6.7000000000000004E-2"/>
  </r>
  <r>
    <n v="205"/>
    <x v="7"/>
    <x v="109"/>
    <x v="10"/>
    <s v="Percent"/>
    <s v="Units"/>
    <x v="5"/>
    <n v="6.7000000000000004E-2"/>
  </r>
  <r>
    <n v="205"/>
    <x v="7"/>
    <x v="109"/>
    <x v="10"/>
    <s v="Percent"/>
    <s v="Units"/>
    <x v="6"/>
    <n v="6.8000000000000005E-2"/>
  </r>
  <r>
    <n v="200"/>
    <x v="3"/>
    <x v="109"/>
    <x v="10"/>
    <s v="Percent"/>
    <s v="Units"/>
    <x v="0"/>
    <n v="6.8000000000000005E-2"/>
  </r>
  <r>
    <n v="200"/>
    <x v="3"/>
    <x v="109"/>
    <x v="10"/>
    <s v="Percent"/>
    <s v="Units"/>
    <x v="1"/>
    <n v="7.0000000000000007E-2"/>
  </r>
  <r>
    <n v="200"/>
    <x v="3"/>
    <x v="109"/>
    <x v="10"/>
    <s v="Percent"/>
    <s v="Units"/>
    <x v="2"/>
    <n v="6.8000000000000005E-2"/>
  </r>
  <r>
    <n v="200"/>
    <x v="3"/>
    <x v="109"/>
    <x v="10"/>
    <s v="Percent"/>
    <s v="Units"/>
    <x v="3"/>
    <n v="6.6000000000000003E-2"/>
  </r>
  <r>
    <n v="200"/>
    <x v="3"/>
    <x v="109"/>
    <x v="10"/>
    <s v="Percent"/>
    <s v="Units"/>
    <x v="4"/>
    <n v="6.7000000000000004E-2"/>
  </r>
  <r>
    <n v="200"/>
    <x v="3"/>
    <x v="109"/>
    <x v="10"/>
    <s v="Percent"/>
    <s v="Units"/>
    <x v="5"/>
    <n v="6.7000000000000004E-2"/>
  </r>
  <r>
    <n v="200"/>
    <x v="3"/>
    <x v="109"/>
    <x v="10"/>
    <s v="Percent"/>
    <s v="Units"/>
    <x v="6"/>
    <n v="6.8000000000000005E-2"/>
  </r>
  <r>
    <n v="200"/>
    <x v="3"/>
    <x v="65"/>
    <x v="0"/>
    <s v="U.S. dollars"/>
    <s v="Billions"/>
    <x v="0"/>
    <n v="5.3999999999999999E-2"/>
  </r>
  <r>
    <n v="200"/>
    <x v="3"/>
    <x v="65"/>
    <x v="0"/>
    <s v="U.S. dollars"/>
    <s v="Billions"/>
    <x v="1"/>
    <n v="5.1999999999999998E-2"/>
  </r>
  <r>
    <n v="200"/>
    <x v="3"/>
    <x v="65"/>
    <x v="0"/>
    <s v="U.S. dollars"/>
    <s v="Billions"/>
    <x v="2"/>
    <n v="0.06"/>
  </r>
  <r>
    <n v="200"/>
    <x v="3"/>
    <x v="65"/>
    <x v="0"/>
    <s v="U.S. dollars"/>
    <s v="Billions"/>
    <x v="3"/>
    <n v="5.8999999999999997E-2"/>
  </r>
  <r>
    <n v="200"/>
    <x v="3"/>
    <x v="65"/>
    <x v="0"/>
    <s v="U.S. dollars"/>
    <s v="Billions"/>
    <x v="4"/>
    <n v="6.2E-2"/>
  </r>
  <r>
    <n v="200"/>
    <x v="3"/>
    <x v="65"/>
    <x v="0"/>
    <s v="U.S. dollars"/>
    <s v="Billions"/>
    <x v="5"/>
    <n v="6.6000000000000003E-2"/>
  </r>
  <r>
    <n v="200"/>
    <x v="3"/>
    <x v="65"/>
    <x v="0"/>
    <s v="U.S. dollars"/>
    <s v="Billions"/>
    <x v="6"/>
    <n v="6.9000000000000006E-2"/>
  </r>
  <r>
    <n v="1"/>
    <x v="2"/>
    <x v="65"/>
    <x v="0"/>
    <s v="U.S. dollars"/>
    <s v="Billions"/>
    <x v="0"/>
    <n v="5.3999999999999999E-2"/>
  </r>
  <r>
    <n v="1"/>
    <x v="2"/>
    <x v="65"/>
    <x v="0"/>
    <s v="U.S. dollars"/>
    <s v="Billions"/>
    <x v="1"/>
    <n v="5.1999999999999998E-2"/>
  </r>
  <r>
    <n v="1"/>
    <x v="2"/>
    <x v="65"/>
    <x v="0"/>
    <s v="U.S. dollars"/>
    <s v="Billions"/>
    <x v="2"/>
    <n v="0.06"/>
  </r>
  <r>
    <n v="1"/>
    <x v="2"/>
    <x v="65"/>
    <x v="0"/>
    <s v="U.S. dollars"/>
    <s v="Billions"/>
    <x v="3"/>
    <n v="5.8999999999999997E-2"/>
  </r>
  <r>
    <n v="1"/>
    <x v="2"/>
    <x v="65"/>
    <x v="0"/>
    <s v="U.S. dollars"/>
    <s v="Billions"/>
    <x v="4"/>
    <n v="6.2E-2"/>
  </r>
  <r>
    <n v="1"/>
    <x v="2"/>
    <x v="65"/>
    <x v="0"/>
    <s v="U.S. dollars"/>
    <s v="Billions"/>
    <x v="5"/>
    <n v="6.6000000000000003E-2"/>
  </r>
  <r>
    <n v="1"/>
    <x v="2"/>
    <x v="65"/>
    <x v="0"/>
    <s v="U.S. dollars"/>
    <s v="Billions"/>
    <x v="6"/>
    <n v="6.9000000000000006E-2"/>
  </r>
  <r>
    <n v="505"/>
    <x v="4"/>
    <x v="65"/>
    <x v="0"/>
    <s v="U.S. dollars"/>
    <s v="Billions"/>
    <x v="0"/>
    <n v="5.3999999999999999E-2"/>
  </r>
  <r>
    <n v="505"/>
    <x v="4"/>
    <x v="65"/>
    <x v="0"/>
    <s v="U.S. dollars"/>
    <s v="Billions"/>
    <x v="1"/>
    <n v="5.1999999999999998E-2"/>
  </r>
  <r>
    <n v="505"/>
    <x v="4"/>
    <x v="65"/>
    <x v="0"/>
    <s v="U.S. dollars"/>
    <s v="Billions"/>
    <x v="2"/>
    <n v="0.06"/>
  </r>
  <r>
    <n v="505"/>
    <x v="4"/>
    <x v="65"/>
    <x v="0"/>
    <s v="U.S. dollars"/>
    <s v="Billions"/>
    <x v="3"/>
    <n v="5.8999999999999997E-2"/>
  </r>
  <r>
    <n v="505"/>
    <x v="4"/>
    <x v="65"/>
    <x v="0"/>
    <s v="U.S. dollars"/>
    <s v="Billions"/>
    <x v="4"/>
    <n v="6.2E-2"/>
  </r>
  <r>
    <n v="505"/>
    <x v="4"/>
    <x v="65"/>
    <x v="0"/>
    <s v="U.S. dollars"/>
    <s v="Billions"/>
    <x v="5"/>
    <n v="6.6000000000000003E-2"/>
  </r>
  <r>
    <n v="505"/>
    <x v="4"/>
    <x v="65"/>
    <x v="0"/>
    <s v="U.S. dollars"/>
    <s v="Billions"/>
    <x v="6"/>
    <n v="6.9000000000000006E-2"/>
  </r>
  <r>
    <n v="998"/>
    <x v="6"/>
    <x v="90"/>
    <x v="10"/>
    <s v="Percent"/>
    <s v="Units"/>
    <x v="0"/>
    <n v="6.3E-2"/>
  </r>
  <r>
    <n v="998"/>
    <x v="6"/>
    <x v="90"/>
    <x v="10"/>
    <s v="Percent"/>
    <s v="Units"/>
    <x v="1"/>
    <n v="6.2E-2"/>
  </r>
  <r>
    <n v="998"/>
    <x v="6"/>
    <x v="90"/>
    <x v="10"/>
    <s v="Percent"/>
    <s v="Units"/>
    <x v="2"/>
    <n v="6.3E-2"/>
  </r>
  <r>
    <n v="998"/>
    <x v="6"/>
    <x v="90"/>
    <x v="10"/>
    <s v="Percent"/>
    <s v="Units"/>
    <x v="3"/>
    <n v="6.2E-2"/>
  </r>
  <r>
    <n v="998"/>
    <x v="6"/>
    <x v="90"/>
    <x v="10"/>
    <s v="Percent"/>
    <s v="Units"/>
    <x v="4"/>
    <n v="6.0999999999999999E-2"/>
  </r>
  <r>
    <n v="998"/>
    <x v="6"/>
    <x v="90"/>
    <x v="10"/>
    <s v="Percent"/>
    <s v="Units"/>
    <x v="5"/>
    <n v="6.0999999999999999E-2"/>
  </r>
  <r>
    <n v="998"/>
    <x v="6"/>
    <x v="90"/>
    <x v="10"/>
    <s v="Percent"/>
    <s v="Units"/>
    <x v="6"/>
    <n v="0.06"/>
  </r>
  <r>
    <n v="110"/>
    <x v="0"/>
    <x v="90"/>
    <x v="10"/>
    <s v="Percent"/>
    <s v="Units"/>
    <x v="0"/>
    <n v="6.3E-2"/>
  </r>
  <r>
    <n v="110"/>
    <x v="0"/>
    <x v="90"/>
    <x v="10"/>
    <s v="Percent"/>
    <s v="Units"/>
    <x v="1"/>
    <n v="6.2E-2"/>
  </r>
  <r>
    <n v="110"/>
    <x v="0"/>
    <x v="90"/>
    <x v="10"/>
    <s v="Percent"/>
    <s v="Units"/>
    <x v="2"/>
    <n v="6.3E-2"/>
  </r>
  <r>
    <n v="110"/>
    <x v="0"/>
    <x v="90"/>
    <x v="10"/>
    <s v="Percent"/>
    <s v="Units"/>
    <x v="3"/>
    <n v="6.2E-2"/>
  </r>
  <r>
    <n v="110"/>
    <x v="0"/>
    <x v="90"/>
    <x v="10"/>
    <s v="Percent"/>
    <s v="Units"/>
    <x v="4"/>
    <n v="6.0999999999999999E-2"/>
  </r>
  <r>
    <n v="110"/>
    <x v="0"/>
    <x v="90"/>
    <x v="10"/>
    <s v="Percent"/>
    <s v="Units"/>
    <x v="5"/>
    <n v="6.0999999999999999E-2"/>
  </r>
  <r>
    <n v="110"/>
    <x v="0"/>
    <x v="90"/>
    <x v="10"/>
    <s v="Percent"/>
    <s v="Units"/>
    <x v="6"/>
    <n v="0.06"/>
  </r>
  <r>
    <n v="200"/>
    <x v="3"/>
    <x v="81"/>
    <x v="10"/>
    <s v="Percent"/>
    <s v="Units"/>
    <x v="0"/>
    <n v="6.2E-2"/>
  </r>
  <r>
    <n v="200"/>
    <x v="3"/>
    <x v="81"/>
    <x v="10"/>
    <s v="Percent"/>
    <s v="Units"/>
    <x v="1"/>
    <n v="5.8999999999999997E-2"/>
  </r>
  <r>
    <n v="200"/>
    <x v="3"/>
    <x v="81"/>
    <x v="10"/>
    <s v="Percent"/>
    <s v="Units"/>
    <x v="2"/>
    <n v="5.8999999999999997E-2"/>
  </r>
  <r>
    <n v="200"/>
    <x v="3"/>
    <x v="81"/>
    <x v="10"/>
    <s v="Percent"/>
    <s v="Units"/>
    <x v="3"/>
    <n v="5.8999999999999997E-2"/>
  </r>
  <r>
    <n v="200"/>
    <x v="3"/>
    <x v="81"/>
    <x v="10"/>
    <s v="Percent"/>
    <s v="Units"/>
    <x v="4"/>
    <n v="5.8000000000000003E-2"/>
  </r>
  <r>
    <n v="200"/>
    <x v="3"/>
    <x v="81"/>
    <x v="10"/>
    <s v="Percent"/>
    <s v="Units"/>
    <x v="5"/>
    <n v="5.8000000000000003E-2"/>
  </r>
  <r>
    <n v="200"/>
    <x v="3"/>
    <x v="81"/>
    <x v="10"/>
    <s v="Percent"/>
    <s v="Units"/>
    <x v="6"/>
    <n v="5.8000000000000003E-2"/>
  </r>
  <r>
    <n v="205"/>
    <x v="7"/>
    <x v="81"/>
    <x v="10"/>
    <s v="Percent"/>
    <s v="Units"/>
    <x v="0"/>
    <n v="6.2E-2"/>
  </r>
  <r>
    <n v="205"/>
    <x v="7"/>
    <x v="81"/>
    <x v="10"/>
    <s v="Percent"/>
    <s v="Units"/>
    <x v="1"/>
    <n v="5.8999999999999997E-2"/>
  </r>
  <r>
    <n v="205"/>
    <x v="7"/>
    <x v="81"/>
    <x v="10"/>
    <s v="Percent"/>
    <s v="Units"/>
    <x v="2"/>
    <n v="5.8999999999999997E-2"/>
  </r>
  <r>
    <n v="205"/>
    <x v="7"/>
    <x v="81"/>
    <x v="10"/>
    <s v="Percent"/>
    <s v="Units"/>
    <x v="3"/>
    <n v="5.8999999999999997E-2"/>
  </r>
  <r>
    <n v="205"/>
    <x v="7"/>
    <x v="81"/>
    <x v="10"/>
    <s v="Percent"/>
    <s v="Units"/>
    <x v="4"/>
    <n v="5.8000000000000003E-2"/>
  </r>
  <r>
    <n v="205"/>
    <x v="7"/>
    <x v="81"/>
    <x v="10"/>
    <s v="Percent"/>
    <s v="Units"/>
    <x v="5"/>
    <n v="5.8000000000000003E-2"/>
  </r>
  <r>
    <n v="205"/>
    <x v="7"/>
    <x v="81"/>
    <x v="10"/>
    <s v="Percent"/>
    <s v="Units"/>
    <x v="6"/>
    <n v="5.8000000000000003E-2"/>
  </r>
  <r>
    <n v="200"/>
    <x v="3"/>
    <x v="108"/>
    <x v="10"/>
    <s v="Percent"/>
    <s v="Units"/>
    <x v="0"/>
    <n v="5.7000000000000002E-2"/>
  </r>
  <r>
    <n v="200"/>
    <x v="3"/>
    <x v="108"/>
    <x v="10"/>
    <s v="Percent"/>
    <s v="Units"/>
    <x v="1"/>
    <n v="5.6000000000000001E-2"/>
  </r>
  <r>
    <n v="200"/>
    <x v="3"/>
    <x v="108"/>
    <x v="10"/>
    <s v="Percent"/>
    <s v="Units"/>
    <x v="2"/>
    <n v="5.3999999999999999E-2"/>
  </r>
  <r>
    <n v="200"/>
    <x v="3"/>
    <x v="108"/>
    <x v="10"/>
    <s v="Percent"/>
    <s v="Units"/>
    <x v="3"/>
    <n v="5.5E-2"/>
  </r>
  <r>
    <n v="200"/>
    <x v="3"/>
    <x v="108"/>
    <x v="10"/>
    <s v="Percent"/>
    <s v="Units"/>
    <x v="4"/>
    <n v="5.3999999999999999E-2"/>
  </r>
  <r>
    <n v="200"/>
    <x v="3"/>
    <x v="108"/>
    <x v="10"/>
    <s v="Percent"/>
    <s v="Units"/>
    <x v="5"/>
    <n v="5.5E-2"/>
  </r>
  <r>
    <n v="200"/>
    <x v="3"/>
    <x v="108"/>
    <x v="10"/>
    <s v="Percent"/>
    <s v="Units"/>
    <x v="6"/>
    <n v="5.5E-2"/>
  </r>
  <r>
    <n v="400"/>
    <x v="11"/>
    <x v="108"/>
    <x v="10"/>
    <s v="Percent"/>
    <s v="Units"/>
    <x v="0"/>
    <n v="5.7000000000000002E-2"/>
  </r>
  <r>
    <n v="400"/>
    <x v="11"/>
    <x v="108"/>
    <x v="10"/>
    <s v="Percent"/>
    <s v="Units"/>
    <x v="1"/>
    <n v="5.6000000000000001E-2"/>
  </r>
  <r>
    <n v="400"/>
    <x v="11"/>
    <x v="108"/>
    <x v="10"/>
    <s v="Percent"/>
    <s v="Units"/>
    <x v="2"/>
    <n v="5.3999999999999999E-2"/>
  </r>
  <r>
    <n v="400"/>
    <x v="11"/>
    <x v="108"/>
    <x v="10"/>
    <s v="Percent"/>
    <s v="Units"/>
    <x v="3"/>
    <n v="5.5E-2"/>
  </r>
  <r>
    <n v="400"/>
    <x v="11"/>
    <x v="108"/>
    <x v="10"/>
    <s v="Percent"/>
    <s v="Units"/>
    <x v="4"/>
    <n v="5.3999999999999999E-2"/>
  </r>
  <r>
    <n v="400"/>
    <x v="11"/>
    <x v="108"/>
    <x v="10"/>
    <s v="Percent"/>
    <s v="Units"/>
    <x v="5"/>
    <n v="5.5E-2"/>
  </r>
  <r>
    <n v="400"/>
    <x v="11"/>
    <x v="108"/>
    <x v="10"/>
    <s v="Percent"/>
    <s v="Units"/>
    <x v="6"/>
    <n v="5.5E-2"/>
  </r>
  <r>
    <n v="110"/>
    <x v="0"/>
    <x v="76"/>
    <x v="10"/>
    <s v="Percent"/>
    <s v="Units"/>
    <x v="0"/>
    <n v="5.5E-2"/>
  </r>
  <r>
    <n v="110"/>
    <x v="0"/>
    <x v="76"/>
    <x v="10"/>
    <s v="Percent"/>
    <s v="Units"/>
    <x v="1"/>
    <n v="5.6000000000000001E-2"/>
  </r>
  <r>
    <n v="110"/>
    <x v="0"/>
    <x v="76"/>
    <x v="10"/>
    <s v="Percent"/>
    <s v="Units"/>
    <x v="2"/>
    <n v="5.6000000000000001E-2"/>
  </r>
  <r>
    <n v="110"/>
    <x v="0"/>
    <x v="76"/>
    <x v="10"/>
    <s v="Percent"/>
    <s v="Units"/>
    <x v="3"/>
    <n v="5.5E-2"/>
  </r>
  <r>
    <n v="110"/>
    <x v="0"/>
    <x v="76"/>
    <x v="10"/>
    <s v="Percent"/>
    <s v="Units"/>
    <x v="4"/>
    <n v="5.2999999999999999E-2"/>
  </r>
  <r>
    <n v="110"/>
    <x v="0"/>
    <x v="76"/>
    <x v="10"/>
    <s v="Percent"/>
    <s v="Units"/>
    <x v="5"/>
    <n v="5.1999999999999998E-2"/>
  </r>
  <r>
    <n v="110"/>
    <x v="0"/>
    <x v="76"/>
    <x v="10"/>
    <s v="Percent"/>
    <s v="Units"/>
    <x v="6"/>
    <n v="5.1999999999999998E-2"/>
  </r>
  <r>
    <n v="998"/>
    <x v="6"/>
    <x v="76"/>
    <x v="10"/>
    <s v="Percent"/>
    <s v="Units"/>
    <x v="0"/>
    <n v="5.5E-2"/>
  </r>
  <r>
    <n v="998"/>
    <x v="6"/>
    <x v="76"/>
    <x v="10"/>
    <s v="Percent"/>
    <s v="Units"/>
    <x v="1"/>
    <n v="5.6000000000000001E-2"/>
  </r>
  <r>
    <n v="998"/>
    <x v="6"/>
    <x v="76"/>
    <x v="10"/>
    <s v="Percent"/>
    <s v="Units"/>
    <x v="2"/>
    <n v="5.6000000000000001E-2"/>
  </r>
  <r>
    <n v="998"/>
    <x v="6"/>
    <x v="76"/>
    <x v="10"/>
    <s v="Percent"/>
    <s v="Units"/>
    <x v="3"/>
    <n v="5.5E-2"/>
  </r>
  <r>
    <n v="998"/>
    <x v="6"/>
    <x v="76"/>
    <x v="10"/>
    <s v="Percent"/>
    <s v="Units"/>
    <x v="4"/>
    <n v="5.2999999999999999E-2"/>
  </r>
  <r>
    <n v="998"/>
    <x v="6"/>
    <x v="76"/>
    <x v="10"/>
    <s v="Percent"/>
    <s v="Units"/>
    <x v="5"/>
    <n v="5.1999999999999998E-2"/>
  </r>
  <r>
    <n v="998"/>
    <x v="6"/>
    <x v="76"/>
    <x v="10"/>
    <s v="Percent"/>
    <s v="Units"/>
    <x v="6"/>
    <n v="5.1999999999999998E-2"/>
  </r>
  <r>
    <n v="200"/>
    <x v="3"/>
    <x v="145"/>
    <x v="10"/>
    <s v="Percent"/>
    <s v="Units"/>
    <x v="0"/>
    <n v="4.3999999999999997E-2"/>
  </r>
  <r>
    <n v="200"/>
    <x v="3"/>
    <x v="145"/>
    <x v="10"/>
    <s v="Percent"/>
    <s v="Units"/>
    <x v="1"/>
    <n v="4.2000000000000003E-2"/>
  </r>
  <r>
    <n v="200"/>
    <x v="3"/>
    <x v="145"/>
    <x v="10"/>
    <s v="Percent"/>
    <s v="Units"/>
    <x v="2"/>
    <n v="4.3999999999999997E-2"/>
  </r>
  <r>
    <n v="200"/>
    <x v="3"/>
    <x v="145"/>
    <x v="10"/>
    <s v="Percent"/>
    <s v="Units"/>
    <x v="3"/>
    <n v="4.7E-2"/>
  </r>
  <r>
    <n v="200"/>
    <x v="3"/>
    <x v="145"/>
    <x v="10"/>
    <s v="Percent"/>
    <s v="Units"/>
    <x v="4"/>
    <n v="4.9000000000000002E-2"/>
  </r>
  <r>
    <n v="200"/>
    <x v="3"/>
    <x v="145"/>
    <x v="10"/>
    <s v="Percent"/>
    <s v="Units"/>
    <x v="5"/>
    <n v="5.0999999999999997E-2"/>
  </r>
  <r>
    <n v="200"/>
    <x v="3"/>
    <x v="145"/>
    <x v="10"/>
    <s v="Percent"/>
    <s v="Units"/>
    <x v="6"/>
    <n v="5.1999999999999998E-2"/>
  </r>
  <r>
    <n v="400"/>
    <x v="11"/>
    <x v="145"/>
    <x v="10"/>
    <s v="Percent"/>
    <s v="Units"/>
    <x v="0"/>
    <n v="4.3999999999999997E-2"/>
  </r>
  <r>
    <n v="400"/>
    <x v="11"/>
    <x v="145"/>
    <x v="10"/>
    <s v="Percent"/>
    <s v="Units"/>
    <x v="1"/>
    <n v="4.2000000000000003E-2"/>
  </r>
  <r>
    <n v="400"/>
    <x v="11"/>
    <x v="145"/>
    <x v="10"/>
    <s v="Percent"/>
    <s v="Units"/>
    <x v="2"/>
    <n v="4.3999999999999997E-2"/>
  </r>
  <r>
    <n v="400"/>
    <x v="11"/>
    <x v="145"/>
    <x v="10"/>
    <s v="Percent"/>
    <s v="Units"/>
    <x v="3"/>
    <n v="4.7E-2"/>
  </r>
  <r>
    <n v="400"/>
    <x v="11"/>
    <x v="145"/>
    <x v="10"/>
    <s v="Percent"/>
    <s v="Units"/>
    <x v="4"/>
    <n v="4.9000000000000002E-2"/>
  </r>
  <r>
    <n v="400"/>
    <x v="11"/>
    <x v="145"/>
    <x v="10"/>
    <s v="Percent"/>
    <s v="Units"/>
    <x v="5"/>
    <n v="5.0999999999999997E-2"/>
  </r>
  <r>
    <n v="400"/>
    <x v="11"/>
    <x v="145"/>
    <x v="10"/>
    <s v="Percent"/>
    <s v="Units"/>
    <x v="6"/>
    <n v="5.1999999999999998E-2"/>
  </r>
  <r>
    <n v="603"/>
    <x v="12"/>
    <x v="139"/>
    <x v="10"/>
    <s v="Percent"/>
    <s v="Units"/>
    <x v="0"/>
    <n v="4.7E-2"/>
  </r>
  <r>
    <n v="603"/>
    <x v="12"/>
    <x v="139"/>
    <x v="10"/>
    <s v="Percent"/>
    <s v="Units"/>
    <x v="1"/>
    <n v="4.8000000000000001E-2"/>
  </r>
  <r>
    <n v="603"/>
    <x v="12"/>
    <x v="139"/>
    <x v="10"/>
    <s v="Percent"/>
    <s v="Units"/>
    <x v="2"/>
    <n v="4.7E-2"/>
  </r>
  <r>
    <n v="603"/>
    <x v="12"/>
    <x v="139"/>
    <x v="10"/>
    <s v="Percent"/>
    <s v="Units"/>
    <x v="3"/>
    <n v="4.8000000000000001E-2"/>
  </r>
  <r>
    <n v="603"/>
    <x v="12"/>
    <x v="139"/>
    <x v="10"/>
    <s v="Percent"/>
    <s v="Units"/>
    <x v="4"/>
    <n v="4.9000000000000002E-2"/>
  </r>
  <r>
    <n v="603"/>
    <x v="12"/>
    <x v="139"/>
    <x v="10"/>
    <s v="Percent"/>
    <s v="Units"/>
    <x v="5"/>
    <n v="0.05"/>
  </r>
  <r>
    <n v="603"/>
    <x v="12"/>
    <x v="139"/>
    <x v="10"/>
    <s v="Percent"/>
    <s v="Units"/>
    <x v="6"/>
    <n v="0.05"/>
  </r>
  <r>
    <n v="200"/>
    <x v="3"/>
    <x v="139"/>
    <x v="10"/>
    <s v="Percent"/>
    <s v="Units"/>
    <x v="0"/>
    <n v="4.7E-2"/>
  </r>
  <r>
    <n v="200"/>
    <x v="3"/>
    <x v="139"/>
    <x v="10"/>
    <s v="Percent"/>
    <s v="Units"/>
    <x v="1"/>
    <n v="4.8000000000000001E-2"/>
  </r>
  <r>
    <n v="200"/>
    <x v="3"/>
    <x v="139"/>
    <x v="10"/>
    <s v="Percent"/>
    <s v="Units"/>
    <x v="2"/>
    <n v="4.7E-2"/>
  </r>
  <r>
    <n v="200"/>
    <x v="3"/>
    <x v="139"/>
    <x v="10"/>
    <s v="Percent"/>
    <s v="Units"/>
    <x v="3"/>
    <n v="4.8000000000000001E-2"/>
  </r>
  <r>
    <n v="200"/>
    <x v="3"/>
    <x v="139"/>
    <x v="10"/>
    <s v="Percent"/>
    <s v="Units"/>
    <x v="4"/>
    <n v="4.9000000000000002E-2"/>
  </r>
  <r>
    <n v="200"/>
    <x v="3"/>
    <x v="139"/>
    <x v="10"/>
    <s v="Percent"/>
    <s v="Units"/>
    <x v="5"/>
    <n v="0.05"/>
  </r>
  <r>
    <n v="200"/>
    <x v="3"/>
    <x v="139"/>
    <x v="10"/>
    <s v="Percent"/>
    <s v="Units"/>
    <x v="6"/>
    <n v="0.05"/>
  </r>
  <r>
    <n v="123"/>
    <x v="9"/>
    <x v="100"/>
    <x v="10"/>
    <s v="Percent"/>
    <s v="Units"/>
    <x v="0"/>
    <n v="6.2E-2"/>
  </r>
  <r>
    <n v="123"/>
    <x v="9"/>
    <x v="100"/>
    <x v="10"/>
    <s v="Percent"/>
    <s v="Units"/>
    <x v="1"/>
    <n v="2.9000000000000001E-2"/>
  </r>
  <r>
    <n v="123"/>
    <x v="9"/>
    <x v="100"/>
    <x v="10"/>
    <s v="Percent"/>
    <s v="Units"/>
    <x v="2"/>
    <n v="3.4000000000000002E-2"/>
  </r>
  <r>
    <n v="123"/>
    <x v="9"/>
    <x v="100"/>
    <x v="10"/>
    <s v="Percent"/>
    <s v="Units"/>
    <x v="3"/>
    <n v="2.5999999999999999E-2"/>
  </r>
  <r>
    <n v="123"/>
    <x v="9"/>
    <x v="100"/>
    <x v="10"/>
    <s v="Percent"/>
    <s v="Units"/>
    <x v="4"/>
    <n v="4.4999999999999998E-2"/>
  </r>
  <r>
    <n v="123"/>
    <x v="9"/>
    <x v="100"/>
    <x v="10"/>
    <s v="Percent"/>
    <s v="Units"/>
    <x v="5"/>
    <n v="0.05"/>
  </r>
  <r>
    <n v="123"/>
    <x v="9"/>
    <x v="100"/>
    <x v="10"/>
    <s v="Percent"/>
    <s v="Units"/>
    <x v="6"/>
    <n v="5.2999999999999999E-2"/>
  </r>
  <r>
    <n v="110"/>
    <x v="0"/>
    <x v="100"/>
    <x v="10"/>
    <s v="Percent"/>
    <s v="Units"/>
    <x v="0"/>
    <n v="6.2E-2"/>
  </r>
  <r>
    <n v="110"/>
    <x v="0"/>
    <x v="100"/>
    <x v="10"/>
    <s v="Percent"/>
    <s v="Units"/>
    <x v="1"/>
    <n v="2.9000000000000001E-2"/>
  </r>
  <r>
    <n v="110"/>
    <x v="0"/>
    <x v="100"/>
    <x v="10"/>
    <s v="Percent"/>
    <s v="Units"/>
    <x v="2"/>
    <n v="3.4000000000000002E-2"/>
  </r>
  <r>
    <n v="110"/>
    <x v="0"/>
    <x v="100"/>
    <x v="10"/>
    <s v="Percent"/>
    <s v="Units"/>
    <x v="3"/>
    <n v="2.5999999999999999E-2"/>
  </r>
  <r>
    <n v="110"/>
    <x v="0"/>
    <x v="100"/>
    <x v="10"/>
    <s v="Percent"/>
    <s v="Units"/>
    <x v="4"/>
    <n v="4.4999999999999998E-2"/>
  </r>
  <r>
    <n v="110"/>
    <x v="0"/>
    <x v="100"/>
    <x v="10"/>
    <s v="Percent"/>
    <s v="Units"/>
    <x v="5"/>
    <n v="0.05"/>
  </r>
  <r>
    <n v="110"/>
    <x v="0"/>
    <x v="100"/>
    <x v="10"/>
    <s v="Percent"/>
    <s v="Units"/>
    <x v="6"/>
    <n v="5.2999999999999999E-2"/>
  </r>
  <r>
    <n v="200"/>
    <x v="3"/>
    <x v="125"/>
    <x v="10"/>
    <s v="Percent"/>
    <s v="Units"/>
    <x v="0"/>
    <n v="4.2000000000000003E-2"/>
  </r>
  <r>
    <n v="200"/>
    <x v="3"/>
    <x v="125"/>
    <x v="10"/>
    <s v="Percent"/>
    <s v="Units"/>
    <x v="1"/>
    <n v="4.3999999999999997E-2"/>
  </r>
  <r>
    <n v="200"/>
    <x v="3"/>
    <x v="125"/>
    <x v="10"/>
    <s v="Percent"/>
    <s v="Units"/>
    <x v="2"/>
    <n v="4.3999999999999997E-2"/>
  </r>
  <r>
    <n v="200"/>
    <x v="3"/>
    <x v="125"/>
    <x v="10"/>
    <s v="Percent"/>
    <s v="Units"/>
    <x v="3"/>
    <n v="4.3999999999999997E-2"/>
  </r>
  <r>
    <n v="200"/>
    <x v="3"/>
    <x v="125"/>
    <x v="10"/>
    <s v="Percent"/>
    <s v="Units"/>
    <x v="4"/>
    <n v="4.4999999999999998E-2"/>
  </r>
  <r>
    <n v="200"/>
    <x v="3"/>
    <x v="125"/>
    <x v="10"/>
    <s v="Percent"/>
    <s v="Units"/>
    <x v="5"/>
    <n v="4.7E-2"/>
  </r>
  <r>
    <n v="200"/>
    <x v="3"/>
    <x v="125"/>
    <x v="10"/>
    <s v="Percent"/>
    <s v="Units"/>
    <x v="6"/>
    <n v="0.05"/>
  </r>
  <r>
    <n v="603"/>
    <x v="12"/>
    <x v="125"/>
    <x v="10"/>
    <s v="Percent"/>
    <s v="Units"/>
    <x v="0"/>
    <n v="4.2000000000000003E-2"/>
  </r>
  <r>
    <n v="603"/>
    <x v="12"/>
    <x v="125"/>
    <x v="10"/>
    <s v="Percent"/>
    <s v="Units"/>
    <x v="1"/>
    <n v="4.3999999999999997E-2"/>
  </r>
  <r>
    <n v="603"/>
    <x v="12"/>
    <x v="125"/>
    <x v="10"/>
    <s v="Percent"/>
    <s v="Units"/>
    <x v="2"/>
    <n v="4.3999999999999997E-2"/>
  </r>
  <r>
    <n v="603"/>
    <x v="12"/>
    <x v="125"/>
    <x v="10"/>
    <s v="Percent"/>
    <s v="Units"/>
    <x v="3"/>
    <n v="4.3999999999999997E-2"/>
  </r>
  <r>
    <n v="603"/>
    <x v="12"/>
    <x v="125"/>
    <x v="10"/>
    <s v="Percent"/>
    <s v="Units"/>
    <x v="4"/>
    <n v="4.4999999999999998E-2"/>
  </r>
  <r>
    <n v="603"/>
    <x v="12"/>
    <x v="125"/>
    <x v="10"/>
    <s v="Percent"/>
    <s v="Units"/>
    <x v="5"/>
    <n v="4.7E-2"/>
  </r>
  <r>
    <n v="603"/>
    <x v="12"/>
    <x v="125"/>
    <x v="10"/>
    <s v="Percent"/>
    <s v="Units"/>
    <x v="6"/>
    <n v="0.05"/>
  </r>
  <r>
    <n v="205"/>
    <x v="7"/>
    <x v="131"/>
    <x v="10"/>
    <s v="Percent"/>
    <s v="Units"/>
    <x v="0"/>
    <n v="4.2999999999999997E-2"/>
  </r>
  <r>
    <n v="205"/>
    <x v="7"/>
    <x v="131"/>
    <x v="10"/>
    <s v="Percent"/>
    <s v="Units"/>
    <x v="1"/>
    <n v="0.04"/>
  </r>
  <r>
    <n v="205"/>
    <x v="7"/>
    <x v="131"/>
    <x v="10"/>
    <s v="Percent"/>
    <s v="Units"/>
    <x v="2"/>
    <n v="4.2000000000000003E-2"/>
  </r>
  <r>
    <n v="205"/>
    <x v="7"/>
    <x v="131"/>
    <x v="10"/>
    <s v="Percent"/>
    <s v="Units"/>
    <x v="3"/>
    <n v="4.2999999999999997E-2"/>
  </r>
  <r>
    <n v="205"/>
    <x v="7"/>
    <x v="131"/>
    <x v="10"/>
    <s v="Percent"/>
    <s v="Units"/>
    <x v="4"/>
    <n v="4.2999999999999997E-2"/>
  </r>
  <r>
    <n v="205"/>
    <x v="7"/>
    <x v="131"/>
    <x v="10"/>
    <s v="Percent"/>
    <s v="Units"/>
    <x v="5"/>
    <n v="4.2999999999999997E-2"/>
  </r>
  <r>
    <n v="205"/>
    <x v="7"/>
    <x v="131"/>
    <x v="10"/>
    <s v="Percent"/>
    <s v="Units"/>
    <x v="6"/>
    <n v="4.2999999999999997E-2"/>
  </r>
  <r>
    <n v="200"/>
    <x v="3"/>
    <x v="131"/>
    <x v="10"/>
    <s v="Percent"/>
    <s v="Units"/>
    <x v="0"/>
    <n v="4.2999999999999997E-2"/>
  </r>
  <r>
    <n v="200"/>
    <x v="3"/>
    <x v="131"/>
    <x v="10"/>
    <s v="Percent"/>
    <s v="Units"/>
    <x v="1"/>
    <n v="0.04"/>
  </r>
  <r>
    <n v="200"/>
    <x v="3"/>
    <x v="131"/>
    <x v="10"/>
    <s v="Percent"/>
    <s v="Units"/>
    <x v="2"/>
    <n v="4.2000000000000003E-2"/>
  </r>
  <r>
    <n v="200"/>
    <x v="3"/>
    <x v="131"/>
    <x v="10"/>
    <s v="Percent"/>
    <s v="Units"/>
    <x v="3"/>
    <n v="4.2999999999999997E-2"/>
  </r>
  <r>
    <n v="200"/>
    <x v="3"/>
    <x v="131"/>
    <x v="10"/>
    <s v="Percent"/>
    <s v="Units"/>
    <x v="4"/>
    <n v="4.2999999999999997E-2"/>
  </r>
  <r>
    <n v="200"/>
    <x v="3"/>
    <x v="131"/>
    <x v="10"/>
    <s v="Percent"/>
    <s v="Units"/>
    <x v="5"/>
    <n v="4.2999999999999997E-2"/>
  </r>
  <r>
    <n v="200"/>
    <x v="3"/>
    <x v="131"/>
    <x v="10"/>
    <s v="Percent"/>
    <s v="Units"/>
    <x v="6"/>
    <n v="4.2999999999999997E-2"/>
  </r>
  <r>
    <n v="205"/>
    <x v="7"/>
    <x v="140"/>
    <x v="10"/>
    <s v="Percent"/>
    <s v="Units"/>
    <x v="0"/>
    <n v="4.2999999999999997E-2"/>
  </r>
  <r>
    <n v="205"/>
    <x v="7"/>
    <x v="140"/>
    <x v="10"/>
    <s v="Percent"/>
    <s v="Units"/>
    <x v="1"/>
    <n v="4.1000000000000002E-2"/>
  </r>
  <r>
    <n v="205"/>
    <x v="7"/>
    <x v="140"/>
    <x v="10"/>
    <s v="Percent"/>
    <s v="Units"/>
    <x v="2"/>
    <n v="4.2999999999999997E-2"/>
  </r>
  <r>
    <n v="205"/>
    <x v="7"/>
    <x v="140"/>
    <x v="10"/>
    <s v="Percent"/>
    <s v="Units"/>
    <x v="3"/>
    <n v="4.2999999999999997E-2"/>
  </r>
  <r>
    <n v="205"/>
    <x v="7"/>
    <x v="140"/>
    <x v="10"/>
    <s v="Percent"/>
    <s v="Units"/>
    <x v="4"/>
    <n v="4.2999999999999997E-2"/>
  </r>
  <r>
    <n v="205"/>
    <x v="7"/>
    <x v="140"/>
    <x v="10"/>
    <s v="Percent"/>
    <s v="Units"/>
    <x v="5"/>
    <n v="4.2999999999999997E-2"/>
  </r>
  <r>
    <n v="205"/>
    <x v="7"/>
    <x v="140"/>
    <x v="10"/>
    <s v="Percent"/>
    <s v="Units"/>
    <x v="6"/>
    <n v="4.2999999999999997E-2"/>
  </r>
  <r>
    <n v="200"/>
    <x v="3"/>
    <x v="140"/>
    <x v="10"/>
    <s v="Percent"/>
    <s v="Units"/>
    <x v="0"/>
    <n v="4.2999999999999997E-2"/>
  </r>
  <r>
    <n v="200"/>
    <x v="3"/>
    <x v="140"/>
    <x v="10"/>
    <s v="Percent"/>
    <s v="Units"/>
    <x v="1"/>
    <n v="4.1000000000000002E-2"/>
  </r>
  <r>
    <n v="200"/>
    <x v="3"/>
    <x v="140"/>
    <x v="10"/>
    <s v="Percent"/>
    <s v="Units"/>
    <x v="2"/>
    <n v="4.2999999999999997E-2"/>
  </r>
  <r>
    <n v="200"/>
    <x v="3"/>
    <x v="140"/>
    <x v="10"/>
    <s v="Percent"/>
    <s v="Units"/>
    <x v="3"/>
    <n v="4.2999999999999997E-2"/>
  </r>
  <r>
    <n v="200"/>
    <x v="3"/>
    <x v="140"/>
    <x v="10"/>
    <s v="Percent"/>
    <s v="Units"/>
    <x v="4"/>
    <n v="4.2999999999999997E-2"/>
  </r>
  <r>
    <n v="200"/>
    <x v="3"/>
    <x v="140"/>
    <x v="10"/>
    <s v="Percent"/>
    <s v="Units"/>
    <x v="5"/>
    <n v="4.2999999999999997E-2"/>
  </r>
  <r>
    <n v="200"/>
    <x v="3"/>
    <x v="140"/>
    <x v="10"/>
    <s v="Percent"/>
    <s v="Units"/>
    <x v="6"/>
    <n v="4.2999999999999997E-2"/>
  </r>
  <r>
    <n v="505"/>
    <x v="4"/>
    <x v="181"/>
    <x v="10"/>
    <s v="Percent"/>
    <s v="Units"/>
    <x v="0"/>
    <n v="4.2999999999999997E-2"/>
  </r>
  <r>
    <n v="505"/>
    <x v="4"/>
    <x v="181"/>
    <x v="10"/>
    <s v="Percent"/>
    <s v="Units"/>
    <x v="1"/>
    <n v="4.3999999999999997E-2"/>
  </r>
  <r>
    <n v="505"/>
    <x v="4"/>
    <x v="181"/>
    <x v="10"/>
    <s v="Percent"/>
    <s v="Units"/>
    <x v="2"/>
    <n v="4.2000000000000003E-2"/>
  </r>
  <r>
    <n v="505"/>
    <x v="4"/>
    <x v="181"/>
    <x v="10"/>
    <s v="Percent"/>
    <s v="Units"/>
    <x v="3"/>
    <n v="4.2000000000000003E-2"/>
  </r>
  <r>
    <n v="505"/>
    <x v="4"/>
    <x v="181"/>
    <x v="10"/>
    <s v="Percent"/>
    <s v="Units"/>
    <x v="4"/>
    <n v="4.2000000000000003E-2"/>
  </r>
  <r>
    <n v="505"/>
    <x v="4"/>
    <x v="181"/>
    <x v="10"/>
    <s v="Percent"/>
    <s v="Units"/>
    <x v="5"/>
    <n v="4.2000000000000003E-2"/>
  </r>
  <r>
    <n v="505"/>
    <x v="4"/>
    <x v="181"/>
    <x v="10"/>
    <s v="Percent"/>
    <s v="Units"/>
    <x v="6"/>
    <n v="4.2999999999999997E-2"/>
  </r>
  <r>
    <n v="110"/>
    <x v="0"/>
    <x v="110"/>
    <x v="10"/>
    <s v="Percent"/>
    <s v="Units"/>
    <x v="0"/>
    <n v="4.4999999999999998E-2"/>
  </r>
  <r>
    <n v="110"/>
    <x v="0"/>
    <x v="110"/>
    <x v="10"/>
    <s v="Percent"/>
    <s v="Units"/>
    <x v="1"/>
    <n v="4.3999999999999997E-2"/>
  </r>
  <r>
    <n v="110"/>
    <x v="0"/>
    <x v="110"/>
    <x v="10"/>
    <s v="Percent"/>
    <s v="Units"/>
    <x v="2"/>
    <n v="4.3999999999999997E-2"/>
  </r>
  <r>
    <n v="110"/>
    <x v="0"/>
    <x v="110"/>
    <x v="10"/>
    <s v="Percent"/>
    <s v="Units"/>
    <x v="3"/>
    <n v="4.3999999999999997E-2"/>
  </r>
  <r>
    <n v="110"/>
    <x v="0"/>
    <x v="110"/>
    <x v="10"/>
    <s v="Percent"/>
    <s v="Units"/>
    <x v="4"/>
    <n v="4.2999999999999997E-2"/>
  </r>
  <r>
    <n v="110"/>
    <x v="0"/>
    <x v="110"/>
    <x v="10"/>
    <s v="Percent"/>
    <s v="Units"/>
    <x v="5"/>
    <n v="4.2000000000000003E-2"/>
  </r>
  <r>
    <n v="110"/>
    <x v="0"/>
    <x v="110"/>
    <x v="10"/>
    <s v="Percent"/>
    <s v="Units"/>
    <x v="6"/>
    <n v="4.2000000000000003E-2"/>
  </r>
  <r>
    <n v="200"/>
    <x v="3"/>
    <x v="181"/>
    <x v="10"/>
    <s v="Percent"/>
    <s v="Units"/>
    <x v="0"/>
    <n v="4.2999999999999997E-2"/>
  </r>
  <r>
    <n v="200"/>
    <x v="3"/>
    <x v="181"/>
    <x v="10"/>
    <s v="Percent"/>
    <s v="Units"/>
    <x v="1"/>
    <n v="4.3999999999999997E-2"/>
  </r>
  <r>
    <n v="200"/>
    <x v="3"/>
    <x v="181"/>
    <x v="10"/>
    <s v="Percent"/>
    <s v="Units"/>
    <x v="2"/>
    <n v="4.2000000000000003E-2"/>
  </r>
  <r>
    <n v="200"/>
    <x v="3"/>
    <x v="181"/>
    <x v="10"/>
    <s v="Percent"/>
    <s v="Units"/>
    <x v="3"/>
    <n v="4.2000000000000003E-2"/>
  </r>
  <r>
    <n v="200"/>
    <x v="3"/>
    <x v="181"/>
    <x v="10"/>
    <s v="Percent"/>
    <s v="Units"/>
    <x v="4"/>
    <n v="4.2000000000000003E-2"/>
  </r>
  <r>
    <n v="200"/>
    <x v="3"/>
    <x v="181"/>
    <x v="10"/>
    <s v="Percent"/>
    <s v="Units"/>
    <x v="5"/>
    <n v="4.2000000000000003E-2"/>
  </r>
  <r>
    <n v="200"/>
    <x v="3"/>
    <x v="181"/>
    <x v="10"/>
    <s v="Percent"/>
    <s v="Units"/>
    <x v="6"/>
    <n v="4.2999999999999997E-2"/>
  </r>
  <r>
    <n v="998"/>
    <x v="6"/>
    <x v="110"/>
    <x v="10"/>
    <s v="Percent"/>
    <s v="Units"/>
    <x v="0"/>
    <n v="4.4999999999999998E-2"/>
  </r>
  <r>
    <n v="998"/>
    <x v="6"/>
    <x v="110"/>
    <x v="10"/>
    <s v="Percent"/>
    <s v="Units"/>
    <x v="1"/>
    <n v="4.3999999999999997E-2"/>
  </r>
  <r>
    <n v="998"/>
    <x v="6"/>
    <x v="110"/>
    <x v="10"/>
    <s v="Percent"/>
    <s v="Units"/>
    <x v="2"/>
    <n v="4.3999999999999997E-2"/>
  </r>
  <r>
    <n v="998"/>
    <x v="6"/>
    <x v="110"/>
    <x v="10"/>
    <s v="Percent"/>
    <s v="Units"/>
    <x v="3"/>
    <n v="4.3999999999999997E-2"/>
  </r>
  <r>
    <n v="998"/>
    <x v="6"/>
    <x v="110"/>
    <x v="10"/>
    <s v="Percent"/>
    <s v="Units"/>
    <x v="4"/>
    <n v="4.2999999999999997E-2"/>
  </r>
  <r>
    <n v="998"/>
    <x v="6"/>
    <x v="110"/>
    <x v="10"/>
    <s v="Percent"/>
    <s v="Units"/>
    <x v="5"/>
    <n v="4.2000000000000003E-2"/>
  </r>
  <r>
    <n v="998"/>
    <x v="6"/>
    <x v="110"/>
    <x v="10"/>
    <s v="Percent"/>
    <s v="Units"/>
    <x v="6"/>
    <n v="4.2000000000000003E-2"/>
  </r>
  <r>
    <n v="200"/>
    <x v="3"/>
    <x v="121"/>
    <x v="10"/>
    <s v="Percent"/>
    <s v="Units"/>
    <x v="0"/>
    <n v="3.7999999999999999E-2"/>
  </r>
  <r>
    <n v="200"/>
    <x v="3"/>
    <x v="121"/>
    <x v="10"/>
    <s v="Percent"/>
    <s v="Units"/>
    <x v="1"/>
    <n v="3.7999999999999999E-2"/>
  </r>
  <r>
    <n v="200"/>
    <x v="3"/>
    <x v="121"/>
    <x v="10"/>
    <s v="Percent"/>
    <s v="Units"/>
    <x v="2"/>
    <n v="3.9E-2"/>
  </r>
  <r>
    <n v="200"/>
    <x v="3"/>
    <x v="121"/>
    <x v="10"/>
    <s v="Percent"/>
    <s v="Units"/>
    <x v="3"/>
    <n v="3.9E-2"/>
  </r>
  <r>
    <n v="200"/>
    <x v="3"/>
    <x v="121"/>
    <x v="10"/>
    <s v="Percent"/>
    <s v="Units"/>
    <x v="4"/>
    <n v="3.9E-2"/>
  </r>
  <r>
    <n v="200"/>
    <x v="3"/>
    <x v="121"/>
    <x v="10"/>
    <s v="Percent"/>
    <s v="Units"/>
    <x v="5"/>
    <n v="3.7999999999999999E-2"/>
  </r>
  <r>
    <n v="200"/>
    <x v="3"/>
    <x v="121"/>
    <x v="10"/>
    <s v="Percent"/>
    <s v="Units"/>
    <x v="6"/>
    <n v="3.7999999999999999E-2"/>
  </r>
  <r>
    <n v="903"/>
    <x v="8"/>
    <x v="121"/>
    <x v="10"/>
    <s v="Percent"/>
    <s v="Units"/>
    <x v="0"/>
    <n v="3.7999999999999999E-2"/>
  </r>
  <r>
    <n v="903"/>
    <x v="8"/>
    <x v="121"/>
    <x v="10"/>
    <s v="Percent"/>
    <s v="Units"/>
    <x v="1"/>
    <n v="3.7999999999999999E-2"/>
  </r>
  <r>
    <n v="903"/>
    <x v="8"/>
    <x v="121"/>
    <x v="10"/>
    <s v="Percent"/>
    <s v="Units"/>
    <x v="2"/>
    <n v="3.9E-2"/>
  </r>
  <r>
    <n v="903"/>
    <x v="8"/>
    <x v="121"/>
    <x v="10"/>
    <s v="Percent"/>
    <s v="Units"/>
    <x v="3"/>
    <n v="3.9E-2"/>
  </r>
  <r>
    <n v="903"/>
    <x v="8"/>
    <x v="121"/>
    <x v="10"/>
    <s v="Percent"/>
    <s v="Units"/>
    <x v="4"/>
    <n v="3.9E-2"/>
  </r>
  <r>
    <n v="903"/>
    <x v="8"/>
    <x v="121"/>
    <x v="10"/>
    <s v="Percent"/>
    <s v="Units"/>
    <x v="5"/>
    <n v="3.7999999999999999E-2"/>
  </r>
  <r>
    <n v="903"/>
    <x v="8"/>
    <x v="121"/>
    <x v="10"/>
    <s v="Percent"/>
    <s v="Units"/>
    <x v="6"/>
    <n v="3.7999999999999999E-2"/>
  </r>
  <r>
    <n v="200"/>
    <x v="3"/>
    <x v="187"/>
    <x v="10"/>
    <s v="Percent"/>
    <s v="Units"/>
    <x v="0"/>
    <n v="4.8000000000000001E-2"/>
  </r>
  <r>
    <n v="200"/>
    <x v="3"/>
    <x v="187"/>
    <x v="10"/>
    <s v="Percent"/>
    <s v="Units"/>
    <x v="1"/>
    <n v="4.4999999999999998E-2"/>
  </r>
  <r>
    <n v="200"/>
    <x v="3"/>
    <x v="187"/>
    <x v="10"/>
    <s v="Percent"/>
    <s v="Units"/>
    <x v="2"/>
    <n v="4.2000000000000003E-2"/>
  </r>
  <r>
    <n v="200"/>
    <x v="3"/>
    <x v="187"/>
    <x v="10"/>
    <s v="Percent"/>
    <s v="Units"/>
    <x v="3"/>
    <n v="4.1000000000000002E-2"/>
  </r>
  <r>
    <n v="200"/>
    <x v="3"/>
    <x v="187"/>
    <x v="10"/>
    <s v="Percent"/>
    <s v="Units"/>
    <x v="4"/>
    <n v="3.9E-2"/>
  </r>
  <r>
    <n v="200"/>
    <x v="3"/>
    <x v="187"/>
    <x v="10"/>
    <s v="Percent"/>
    <s v="Units"/>
    <x v="5"/>
    <n v="3.6999999999999998E-2"/>
  </r>
  <r>
    <n v="200"/>
    <x v="3"/>
    <x v="187"/>
    <x v="10"/>
    <s v="Percent"/>
    <s v="Units"/>
    <x v="6"/>
    <n v="3.6999999999999998E-2"/>
  </r>
  <r>
    <n v="400"/>
    <x v="11"/>
    <x v="187"/>
    <x v="10"/>
    <s v="Percent"/>
    <s v="Units"/>
    <x v="0"/>
    <n v="4.8000000000000001E-2"/>
  </r>
  <r>
    <n v="400"/>
    <x v="11"/>
    <x v="187"/>
    <x v="10"/>
    <s v="Percent"/>
    <s v="Units"/>
    <x v="1"/>
    <n v="4.4999999999999998E-2"/>
  </r>
  <r>
    <n v="400"/>
    <x v="11"/>
    <x v="187"/>
    <x v="10"/>
    <s v="Percent"/>
    <s v="Units"/>
    <x v="2"/>
    <n v="4.2000000000000003E-2"/>
  </r>
  <r>
    <n v="400"/>
    <x v="11"/>
    <x v="187"/>
    <x v="10"/>
    <s v="Percent"/>
    <s v="Units"/>
    <x v="3"/>
    <n v="4.1000000000000002E-2"/>
  </r>
  <r>
    <n v="400"/>
    <x v="11"/>
    <x v="187"/>
    <x v="10"/>
    <s v="Percent"/>
    <s v="Units"/>
    <x v="4"/>
    <n v="3.9E-2"/>
  </r>
  <r>
    <n v="400"/>
    <x v="11"/>
    <x v="187"/>
    <x v="10"/>
    <s v="Percent"/>
    <s v="Units"/>
    <x v="5"/>
    <n v="3.6999999999999998E-2"/>
  </r>
  <r>
    <n v="400"/>
    <x v="11"/>
    <x v="187"/>
    <x v="10"/>
    <s v="Percent"/>
    <s v="Units"/>
    <x v="6"/>
    <n v="3.6999999999999998E-2"/>
  </r>
  <r>
    <n v="603"/>
    <x v="12"/>
    <x v="164"/>
    <x v="10"/>
    <s v="Percent"/>
    <s v="Units"/>
    <x v="0"/>
    <n v="3.4000000000000002E-2"/>
  </r>
  <r>
    <n v="603"/>
    <x v="12"/>
    <x v="164"/>
    <x v="10"/>
    <s v="Percent"/>
    <s v="Units"/>
    <x v="1"/>
    <n v="3.5000000000000003E-2"/>
  </r>
  <r>
    <n v="603"/>
    <x v="12"/>
    <x v="164"/>
    <x v="10"/>
    <s v="Percent"/>
    <s v="Units"/>
    <x v="2"/>
    <n v="3.5999999999999997E-2"/>
  </r>
  <r>
    <n v="603"/>
    <x v="12"/>
    <x v="164"/>
    <x v="10"/>
    <s v="Percent"/>
    <s v="Units"/>
    <x v="3"/>
    <n v="3.5000000000000003E-2"/>
  </r>
  <r>
    <n v="603"/>
    <x v="12"/>
    <x v="164"/>
    <x v="10"/>
    <s v="Percent"/>
    <s v="Units"/>
    <x v="4"/>
    <n v="3.5000000000000003E-2"/>
  </r>
  <r>
    <n v="603"/>
    <x v="12"/>
    <x v="164"/>
    <x v="10"/>
    <s v="Percent"/>
    <s v="Units"/>
    <x v="5"/>
    <n v="3.5999999999999997E-2"/>
  </r>
  <r>
    <n v="603"/>
    <x v="12"/>
    <x v="164"/>
    <x v="10"/>
    <s v="Percent"/>
    <s v="Units"/>
    <x v="6"/>
    <n v="3.6999999999999998E-2"/>
  </r>
  <r>
    <n v="200"/>
    <x v="3"/>
    <x v="164"/>
    <x v="10"/>
    <s v="Percent"/>
    <s v="Units"/>
    <x v="0"/>
    <n v="3.4000000000000002E-2"/>
  </r>
  <r>
    <n v="200"/>
    <x v="3"/>
    <x v="164"/>
    <x v="10"/>
    <s v="Percent"/>
    <s v="Units"/>
    <x v="1"/>
    <n v="3.5000000000000003E-2"/>
  </r>
  <r>
    <n v="200"/>
    <x v="3"/>
    <x v="164"/>
    <x v="10"/>
    <s v="Percent"/>
    <s v="Units"/>
    <x v="2"/>
    <n v="3.5999999999999997E-2"/>
  </r>
  <r>
    <n v="200"/>
    <x v="3"/>
    <x v="164"/>
    <x v="10"/>
    <s v="Percent"/>
    <s v="Units"/>
    <x v="3"/>
    <n v="3.5000000000000003E-2"/>
  </r>
  <r>
    <n v="200"/>
    <x v="3"/>
    <x v="164"/>
    <x v="10"/>
    <s v="Percent"/>
    <s v="Units"/>
    <x v="4"/>
    <n v="3.5000000000000003E-2"/>
  </r>
  <r>
    <n v="200"/>
    <x v="3"/>
    <x v="164"/>
    <x v="10"/>
    <s v="Percent"/>
    <s v="Units"/>
    <x v="5"/>
    <n v="3.5999999999999997E-2"/>
  </r>
  <r>
    <n v="200"/>
    <x v="3"/>
    <x v="164"/>
    <x v="10"/>
    <s v="Percent"/>
    <s v="Units"/>
    <x v="6"/>
    <n v="3.6999999999999998E-2"/>
  </r>
  <r>
    <n v="603"/>
    <x v="12"/>
    <x v="144"/>
    <x v="10"/>
    <s v="Percent"/>
    <s v="Units"/>
    <x v="0"/>
    <n v="0.03"/>
  </r>
  <r>
    <n v="603"/>
    <x v="12"/>
    <x v="144"/>
    <x v="10"/>
    <s v="Percent"/>
    <s v="Units"/>
    <x v="1"/>
    <n v="3.2000000000000001E-2"/>
  </r>
  <r>
    <n v="603"/>
    <x v="12"/>
    <x v="144"/>
    <x v="10"/>
    <s v="Percent"/>
    <s v="Units"/>
    <x v="2"/>
    <n v="3.2000000000000001E-2"/>
  </r>
  <r>
    <n v="603"/>
    <x v="12"/>
    <x v="144"/>
    <x v="10"/>
    <s v="Percent"/>
    <s v="Units"/>
    <x v="3"/>
    <n v="3.3000000000000002E-2"/>
  </r>
  <r>
    <n v="603"/>
    <x v="12"/>
    <x v="144"/>
    <x v="10"/>
    <s v="Percent"/>
    <s v="Units"/>
    <x v="4"/>
    <n v="3.4000000000000002E-2"/>
  </r>
  <r>
    <n v="603"/>
    <x v="12"/>
    <x v="144"/>
    <x v="10"/>
    <s v="Percent"/>
    <s v="Units"/>
    <x v="5"/>
    <n v="3.5000000000000003E-2"/>
  </r>
  <r>
    <n v="603"/>
    <x v="12"/>
    <x v="144"/>
    <x v="10"/>
    <s v="Percent"/>
    <s v="Units"/>
    <x v="6"/>
    <n v="3.5999999999999997E-2"/>
  </r>
  <r>
    <n v="200"/>
    <x v="3"/>
    <x v="157"/>
    <x v="10"/>
    <s v="Percent"/>
    <s v="Units"/>
    <x v="0"/>
    <n v="3.1E-2"/>
  </r>
  <r>
    <n v="200"/>
    <x v="3"/>
    <x v="157"/>
    <x v="10"/>
    <s v="Percent"/>
    <s v="Units"/>
    <x v="1"/>
    <n v="0.03"/>
  </r>
  <r>
    <n v="200"/>
    <x v="3"/>
    <x v="157"/>
    <x v="10"/>
    <s v="Percent"/>
    <s v="Units"/>
    <x v="2"/>
    <n v="2.9000000000000001E-2"/>
  </r>
  <r>
    <n v="200"/>
    <x v="3"/>
    <x v="157"/>
    <x v="10"/>
    <s v="Percent"/>
    <s v="Units"/>
    <x v="3"/>
    <n v="3.2000000000000001E-2"/>
  </r>
  <r>
    <n v="200"/>
    <x v="3"/>
    <x v="157"/>
    <x v="10"/>
    <s v="Percent"/>
    <s v="Units"/>
    <x v="4"/>
    <n v="3.4000000000000002E-2"/>
  </r>
  <r>
    <n v="200"/>
    <x v="3"/>
    <x v="157"/>
    <x v="10"/>
    <s v="Percent"/>
    <s v="Units"/>
    <x v="5"/>
    <n v="3.5000000000000003E-2"/>
  </r>
  <r>
    <n v="200"/>
    <x v="3"/>
    <x v="157"/>
    <x v="10"/>
    <s v="Percent"/>
    <s v="Units"/>
    <x v="6"/>
    <n v="3.5000000000000003E-2"/>
  </r>
  <r>
    <n v="603"/>
    <x v="12"/>
    <x v="170"/>
    <x v="10"/>
    <s v="Percent"/>
    <s v="Units"/>
    <x v="0"/>
    <n v="3.5000000000000003E-2"/>
  </r>
  <r>
    <n v="603"/>
    <x v="12"/>
    <x v="170"/>
    <x v="10"/>
    <s v="Percent"/>
    <s v="Units"/>
    <x v="1"/>
    <n v="3.5999999999999997E-2"/>
  </r>
  <r>
    <n v="603"/>
    <x v="12"/>
    <x v="170"/>
    <x v="10"/>
    <s v="Percent"/>
    <s v="Units"/>
    <x v="2"/>
    <n v="3.4000000000000002E-2"/>
  </r>
  <r>
    <n v="603"/>
    <x v="12"/>
    <x v="170"/>
    <x v="10"/>
    <s v="Percent"/>
    <s v="Units"/>
    <x v="3"/>
    <n v="3.4000000000000002E-2"/>
  </r>
  <r>
    <n v="603"/>
    <x v="12"/>
    <x v="170"/>
    <x v="10"/>
    <s v="Percent"/>
    <s v="Units"/>
    <x v="4"/>
    <n v="3.5000000000000003E-2"/>
  </r>
  <r>
    <n v="603"/>
    <x v="12"/>
    <x v="170"/>
    <x v="10"/>
    <s v="Percent"/>
    <s v="Units"/>
    <x v="5"/>
    <n v="3.5000000000000003E-2"/>
  </r>
  <r>
    <n v="603"/>
    <x v="12"/>
    <x v="170"/>
    <x v="10"/>
    <s v="Percent"/>
    <s v="Units"/>
    <x v="6"/>
    <n v="3.5999999999999997E-2"/>
  </r>
  <r>
    <n v="200"/>
    <x v="3"/>
    <x v="170"/>
    <x v="10"/>
    <s v="Percent"/>
    <s v="Units"/>
    <x v="0"/>
    <n v="3.5000000000000003E-2"/>
  </r>
  <r>
    <n v="200"/>
    <x v="3"/>
    <x v="170"/>
    <x v="10"/>
    <s v="Percent"/>
    <s v="Units"/>
    <x v="1"/>
    <n v="3.5999999999999997E-2"/>
  </r>
  <r>
    <n v="200"/>
    <x v="3"/>
    <x v="170"/>
    <x v="10"/>
    <s v="Percent"/>
    <s v="Units"/>
    <x v="2"/>
    <n v="3.4000000000000002E-2"/>
  </r>
  <r>
    <n v="200"/>
    <x v="3"/>
    <x v="170"/>
    <x v="10"/>
    <s v="Percent"/>
    <s v="Units"/>
    <x v="3"/>
    <n v="3.4000000000000002E-2"/>
  </r>
  <r>
    <n v="200"/>
    <x v="3"/>
    <x v="170"/>
    <x v="10"/>
    <s v="Percent"/>
    <s v="Units"/>
    <x v="4"/>
    <n v="3.5000000000000003E-2"/>
  </r>
  <r>
    <n v="200"/>
    <x v="3"/>
    <x v="170"/>
    <x v="10"/>
    <s v="Percent"/>
    <s v="Units"/>
    <x v="5"/>
    <n v="3.5000000000000003E-2"/>
  </r>
  <r>
    <n v="200"/>
    <x v="3"/>
    <x v="170"/>
    <x v="10"/>
    <s v="Percent"/>
    <s v="Units"/>
    <x v="6"/>
    <n v="3.5999999999999997E-2"/>
  </r>
  <r>
    <n v="400"/>
    <x v="11"/>
    <x v="157"/>
    <x v="10"/>
    <s v="Percent"/>
    <s v="Units"/>
    <x v="0"/>
    <n v="3.1E-2"/>
  </r>
  <r>
    <n v="400"/>
    <x v="11"/>
    <x v="157"/>
    <x v="10"/>
    <s v="Percent"/>
    <s v="Units"/>
    <x v="1"/>
    <n v="0.03"/>
  </r>
  <r>
    <n v="400"/>
    <x v="11"/>
    <x v="157"/>
    <x v="10"/>
    <s v="Percent"/>
    <s v="Units"/>
    <x v="2"/>
    <n v="2.9000000000000001E-2"/>
  </r>
  <r>
    <n v="400"/>
    <x v="11"/>
    <x v="157"/>
    <x v="10"/>
    <s v="Percent"/>
    <s v="Units"/>
    <x v="3"/>
    <n v="3.2000000000000001E-2"/>
  </r>
  <r>
    <n v="400"/>
    <x v="11"/>
    <x v="157"/>
    <x v="10"/>
    <s v="Percent"/>
    <s v="Units"/>
    <x v="4"/>
    <n v="3.4000000000000002E-2"/>
  </r>
  <r>
    <n v="400"/>
    <x v="11"/>
    <x v="157"/>
    <x v="10"/>
    <s v="Percent"/>
    <s v="Units"/>
    <x v="5"/>
    <n v="3.5000000000000003E-2"/>
  </r>
  <r>
    <n v="400"/>
    <x v="11"/>
    <x v="157"/>
    <x v="10"/>
    <s v="Percent"/>
    <s v="Units"/>
    <x v="6"/>
    <n v="3.5000000000000003E-2"/>
  </r>
  <r>
    <n v="200"/>
    <x v="3"/>
    <x v="144"/>
    <x v="10"/>
    <s v="Percent"/>
    <s v="Units"/>
    <x v="0"/>
    <n v="0.03"/>
  </r>
  <r>
    <n v="200"/>
    <x v="3"/>
    <x v="144"/>
    <x v="10"/>
    <s v="Percent"/>
    <s v="Units"/>
    <x v="1"/>
    <n v="3.2000000000000001E-2"/>
  </r>
  <r>
    <n v="200"/>
    <x v="3"/>
    <x v="144"/>
    <x v="10"/>
    <s v="Percent"/>
    <s v="Units"/>
    <x v="2"/>
    <n v="3.2000000000000001E-2"/>
  </r>
  <r>
    <n v="200"/>
    <x v="3"/>
    <x v="144"/>
    <x v="10"/>
    <s v="Percent"/>
    <s v="Units"/>
    <x v="3"/>
    <n v="3.3000000000000002E-2"/>
  </r>
  <r>
    <n v="200"/>
    <x v="3"/>
    <x v="144"/>
    <x v="10"/>
    <s v="Percent"/>
    <s v="Units"/>
    <x v="4"/>
    <n v="3.4000000000000002E-2"/>
  </r>
  <r>
    <n v="200"/>
    <x v="3"/>
    <x v="144"/>
    <x v="10"/>
    <s v="Percent"/>
    <s v="Units"/>
    <x v="5"/>
    <n v="3.5000000000000003E-2"/>
  </r>
  <r>
    <n v="200"/>
    <x v="3"/>
    <x v="144"/>
    <x v="10"/>
    <s v="Percent"/>
    <s v="Units"/>
    <x v="6"/>
    <n v="3.5999999999999997E-2"/>
  </r>
  <r>
    <n v="205"/>
    <x v="7"/>
    <x v="120"/>
    <x v="10"/>
    <s v="Percent"/>
    <s v="Units"/>
    <x v="0"/>
    <n v="8.0000000000000002E-3"/>
  </r>
  <r>
    <n v="205"/>
    <x v="7"/>
    <x v="120"/>
    <x v="10"/>
    <s v="Percent"/>
    <s v="Units"/>
    <x v="1"/>
    <n v="1.2E-2"/>
  </r>
  <r>
    <n v="205"/>
    <x v="7"/>
    <x v="120"/>
    <x v="10"/>
    <s v="Percent"/>
    <s v="Units"/>
    <x v="2"/>
    <n v="1.2999999999999999E-2"/>
  </r>
  <r>
    <n v="205"/>
    <x v="7"/>
    <x v="120"/>
    <x v="10"/>
    <s v="Percent"/>
    <s v="Units"/>
    <x v="3"/>
    <n v="2.1000000000000001E-2"/>
  </r>
  <r>
    <n v="205"/>
    <x v="7"/>
    <x v="120"/>
    <x v="10"/>
    <s v="Percent"/>
    <s v="Units"/>
    <x v="4"/>
    <n v="2.5999999999999999E-2"/>
  </r>
  <r>
    <n v="205"/>
    <x v="7"/>
    <x v="120"/>
    <x v="10"/>
    <s v="Percent"/>
    <s v="Units"/>
    <x v="5"/>
    <n v="3.4000000000000002E-2"/>
  </r>
  <r>
    <n v="205"/>
    <x v="7"/>
    <x v="120"/>
    <x v="10"/>
    <s v="Percent"/>
    <s v="Units"/>
    <x v="6"/>
    <n v="0.04"/>
  </r>
  <r>
    <n v="200"/>
    <x v="3"/>
    <x v="120"/>
    <x v="10"/>
    <s v="Percent"/>
    <s v="Units"/>
    <x v="0"/>
    <n v="8.0000000000000002E-3"/>
  </r>
  <r>
    <n v="200"/>
    <x v="3"/>
    <x v="120"/>
    <x v="10"/>
    <s v="Percent"/>
    <s v="Units"/>
    <x v="1"/>
    <n v="1.2E-2"/>
  </r>
  <r>
    <n v="200"/>
    <x v="3"/>
    <x v="120"/>
    <x v="10"/>
    <s v="Percent"/>
    <s v="Units"/>
    <x v="2"/>
    <n v="1.2999999999999999E-2"/>
  </r>
  <r>
    <n v="200"/>
    <x v="3"/>
    <x v="120"/>
    <x v="10"/>
    <s v="Percent"/>
    <s v="Units"/>
    <x v="3"/>
    <n v="2.1000000000000001E-2"/>
  </r>
  <r>
    <n v="200"/>
    <x v="3"/>
    <x v="120"/>
    <x v="10"/>
    <s v="Percent"/>
    <s v="Units"/>
    <x v="4"/>
    <n v="2.5999999999999999E-2"/>
  </r>
  <r>
    <n v="200"/>
    <x v="3"/>
    <x v="120"/>
    <x v="10"/>
    <s v="Percent"/>
    <s v="Units"/>
    <x v="5"/>
    <n v="3.4000000000000002E-2"/>
  </r>
  <r>
    <n v="200"/>
    <x v="3"/>
    <x v="120"/>
    <x v="10"/>
    <s v="Percent"/>
    <s v="Units"/>
    <x v="6"/>
    <n v="0.04"/>
  </r>
  <r>
    <n v="200"/>
    <x v="3"/>
    <x v="179"/>
    <x v="10"/>
    <s v="Percent"/>
    <s v="Units"/>
    <x v="0"/>
    <n v="3.3000000000000002E-2"/>
  </r>
  <r>
    <n v="200"/>
    <x v="3"/>
    <x v="179"/>
    <x v="10"/>
    <s v="Percent"/>
    <s v="Units"/>
    <x v="1"/>
    <n v="3.2000000000000001E-2"/>
  </r>
  <r>
    <n v="200"/>
    <x v="3"/>
    <x v="179"/>
    <x v="10"/>
    <s v="Percent"/>
    <s v="Units"/>
    <x v="2"/>
    <n v="3.2000000000000001E-2"/>
  </r>
  <r>
    <n v="200"/>
    <x v="3"/>
    <x v="179"/>
    <x v="10"/>
    <s v="Percent"/>
    <s v="Units"/>
    <x v="3"/>
    <n v="3.2000000000000001E-2"/>
  </r>
  <r>
    <n v="200"/>
    <x v="3"/>
    <x v="179"/>
    <x v="10"/>
    <s v="Percent"/>
    <s v="Units"/>
    <x v="4"/>
    <n v="3.2000000000000001E-2"/>
  </r>
  <r>
    <n v="200"/>
    <x v="3"/>
    <x v="179"/>
    <x v="10"/>
    <s v="Percent"/>
    <s v="Units"/>
    <x v="5"/>
    <n v="3.3000000000000002E-2"/>
  </r>
  <r>
    <n v="200"/>
    <x v="3"/>
    <x v="179"/>
    <x v="10"/>
    <s v="Percent"/>
    <s v="Units"/>
    <x v="6"/>
    <n v="3.3000000000000002E-2"/>
  </r>
  <r>
    <n v="200"/>
    <x v="3"/>
    <x v="182"/>
    <x v="4"/>
    <s v="Percent change"/>
    <s v="Units"/>
    <x v="0"/>
    <n v="-0.45900000000000002"/>
  </r>
  <r>
    <n v="200"/>
    <x v="3"/>
    <x v="182"/>
    <x v="4"/>
    <s v="Percent change"/>
    <s v="Units"/>
    <x v="1"/>
    <n v="-49.668999999999997"/>
  </r>
  <r>
    <n v="200"/>
    <x v="3"/>
    <x v="182"/>
    <x v="4"/>
    <s v="Percent change"/>
    <s v="Units"/>
    <x v="2"/>
    <n v="86.944000000000003"/>
  </r>
  <r>
    <n v="200"/>
    <x v="3"/>
    <x v="182"/>
    <x v="4"/>
    <s v="Percent change"/>
    <s v="Units"/>
    <x v="3"/>
    <n v="42.49"/>
  </r>
  <r>
    <n v="200"/>
    <x v="3"/>
    <x v="182"/>
    <x v="4"/>
    <s v="Percent change"/>
    <s v="Units"/>
    <x v="4"/>
    <n v="-3.6920000000000002"/>
  </r>
  <r>
    <n v="200"/>
    <x v="3"/>
    <x v="182"/>
    <x v="4"/>
    <s v="Percent change"/>
    <s v="Units"/>
    <x v="5"/>
    <n v="3.3000000000000002E-2"/>
  </r>
  <r>
    <n v="200"/>
    <x v="3"/>
    <x v="182"/>
    <x v="4"/>
    <s v="Percent change"/>
    <s v="Units"/>
    <x v="6"/>
    <n v="7.5549999999999997"/>
  </r>
  <r>
    <n v="998"/>
    <x v="6"/>
    <x v="115"/>
    <x v="10"/>
    <s v="Percent"/>
    <s v="Units"/>
    <x v="0"/>
    <n v="3.6999999999999998E-2"/>
  </r>
  <r>
    <n v="998"/>
    <x v="6"/>
    <x v="115"/>
    <x v="10"/>
    <s v="Percent"/>
    <s v="Units"/>
    <x v="1"/>
    <n v="3.7999999999999999E-2"/>
  </r>
  <r>
    <n v="998"/>
    <x v="6"/>
    <x v="115"/>
    <x v="10"/>
    <s v="Percent"/>
    <s v="Units"/>
    <x v="2"/>
    <n v="3.7999999999999999E-2"/>
  </r>
  <r>
    <n v="998"/>
    <x v="6"/>
    <x v="115"/>
    <x v="10"/>
    <s v="Percent"/>
    <s v="Units"/>
    <x v="3"/>
    <n v="3.6999999999999998E-2"/>
  </r>
  <r>
    <n v="998"/>
    <x v="6"/>
    <x v="115"/>
    <x v="10"/>
    <s v="Percent"/>
    <s v="Units"/>
    <x v="4"/>
    <n v="3.4000000000000002E-2"/>
  </r>
  <r>
    <n v="998"/>
    <x v="6"/>
    <x v="115"/>
    <x v="10"/>
    <s v="Percent"/>
    <s v="Units"/>
    <x v="5"/>
    <n v="3.3000000000000002E-2"/>
  </r>
  <r>
    <n v="998"/>
    <x v="6"/>
    <x v="115"/>
    <x v="10"/>
    <s v="Percent"/>
    <s v="Units"/>
    <x v="6"/>
    <n v="3.3000000000000002E-2"/>
  </r>
  <r>
    <n v="603"/>
    <x v="12"/>
    <x v="179"/>
    <x v="10"/>
    <s v="Percent"/>
    <s v="Units"/>
    <x v="0"/>
    <n v="3.3000000000000002E-2"/>
  </r>
  <r>
    <n v="603"/>
    <x v="12"/>
    <x v="179"/>
    <x v="10"/>
    <s v="Percent"/>
    <s v="Units"/>
    <x v="1"/>
    <n v="3.2000000000000001E-2"/>
  </r>
  <r>
    <n v="603"/>
    <x v="12"/>
    <x v="179"/>
    <x v="10"/>
    <s v="Percent"/>
    <s v="Units"/>
    <x v="2"/>
    <n v="3.2000000000000001E-2"/>
  </r>
  <r>
    <n v="603"/>
    <x v="12"/>
    <x v="179"/>
    <x v="10"/>
    <s v="Percent"/>
    <s v="Units"/>
    <x v="3"/>
    <n v="3.2000000000000001E-2"/>
  </r>
  <r>
    <n v="603"/>
    <x v="12"/>
    <x v="179"/>
    <x v="10"/>
    <s v="Percent"/>
    <s v="Units"/>
    <x v="4"/>
    <n v="3.2000000000000001E-2"/>
  </r>
  <r>
    <n v="603"/>
    <x v="12"/>
    <x v="179"/>
    <x v="10"/>
    <s v="Percent"/>
    <s v="Units"/>
    <x v="5"/>
    <n v="3.3000000000000002E-2"/>
  </r>
  <r>
    <n v="603"/>
    <x v="12"/>
    <x v="179"/>
    <x v="10"/>
    <s v="Percent"/>
    <s v="Units"/>
    <x v="6"/>
    <n v="3.3000000000000002E-2"/>
  </r>
  <r>
    <n v="110"/>
    <x v="0"/>
    <x v="115"/>
    <x v="10"/>
    <s v="Percent"/>
    <s v="Units"/>
    <x v="0"/>
    <n v="3.6999999999999998E-2"/>
  </r>
  <r>
    <n v="110"/>
    <x v="0"/>
    <x v="115"/>
    <x v="10"/>
    <s v="Percent"/>
    <s v="Units"/>
    <x v="1"/>
    <n v="3.7999999999999999E-2"/>
  </r>
  <r>
    <n v="110"/>
    <x v="0"/>
    <x v="115"/>
    <x v="10"/>
    <s v="Percent"/>
    <s v="Units"/>
    <x v="2"/>
    <n v="3.7999999999999999E-2"/>
  </r>
  <r>
    <n v="110"/>
    <x v="0"/>
    <x v="115"/>
    <x v="10"/>
    <s v="Percent"/>
    <s v="Units"/>
    <x v="3"/>
    <n v="3.6999999999999998E-2"/>
  </r>
  <r>
    <n v="110"/>
    <x v="0"/>
    <x v="115"/>
    <x v="10"/>
    <s v="Percent"/>
    <s v="Units"/>
    <x v="4"/>
    <n v="3.4000000000000002E-2"/>
  </r>
  <r>
    <n v="110"/>
    <x v="0"/>
    <x v="115"/>
    <x v="10"/>
    <s v="Percent"/>
    <s v="Units"/>
    <x v="5"/>
    <n v="3.3000000000000002E-2"/>
  </r>
  <r>
    <n v="110"/>
    <x v="0"/>
    <x v="115"/>
    <x v="10"/>
    <s v="Percent"/>
    <s v="Units"/>
    <x v="6"/>
    <n v="3.3000000000000002E-2"/>
  </r>
  <r>
    <n v="1"/>
    <x v="2"/>
    <x v="182"/>
    <x v="4"/>
    <s v="Percent change"/>
    <s v="Units"/>
    <x v="0"/>
    <n v="-0.45900000000000002"/>
  </r>
  <r>
    <n v="1"/>
    <x v="2"/>
    <x v="182"/>
    <x v="4"/>
    <s v="Percent change"/>
    <s v="Units"/>
    <x v="1"/>
    <n v="-49.668999999999997"/>
  </r>
  <r>
    <n v="1"/>
    <x v="2"/>
    <x v="182"/>
    <x v="4"/>
    <s v="Percent change"/>
    <s v="Units"/>
    <x v="2"/>
    <n v="86.944000000000003"/>
  </r>
  <r>
    <n v="1"/>
    <x v="2"/>
    <x v="182"/>
    <x v="4"/>
    <s v="Percent change"/>
    <s v="Units"/>
    <x v="3"/>
    <n v="42.49"/>
  </r>
  <r>
    <n v="1"/>
    <x v="2"/>
    <x v="182"/>
    <x v="4"/>
    <s v="Percent change"/>
    <s v="Units"/>
    <x v="4"/>
    <n v="-3.6920000000000002"/>
  </r>
  <r>
    <n v="1"/>
    <x v="2"/>
    <x v="182"/>
    <x v="4"/>
    <s v="Percent change"/>
    <s v="Units"/>
    <x v="5"/>
    <n v="3.3000000000000002E-2"/>
  </r>
  <r>
    <n v="1"/>
    <x v="2"/>
    <x v="182"/>
    <x v="4"/>
    <s v="Percent change"/>
    <s v="Units"/>
    <x v="6"/>
    <n v="7.5549999999999997"/>
  </r>
  <r>
    <n v="603"/>
    <x v="12"/>
    <x v="182"/>
    <x v="4"/>
    <s v="Percent change"/>
    <s v="Units"/>
    <x v="0"/>
    <n v="-0.45900000000000002"/>
  </r>
  <r>
    <n v="603"/>
    <x v="12"/>
    <x v="182"/>
    <x v="4"/>
    <s v="Percent change"/>
    <s v="Units"/>
    <x v="1"/>
    <n v="-49.668999999999997"/>
  </r>
  <r>
    <n v="603"/>
    <x v="12"/>
    <x v="182"/>
    <x v="4"/>
    <s v="Percent change"/>
    <s v="Units"/>
    <x v="2"/>
    <n v="86.944000000000003"/>
  </r>
  <r>
    <n v="603"/>
    <x v="12"/>
    <x v="182"/>
    <x v="4"/>
    <s v="Percent change"/>
    <s v="Units"/>
    <x v="3"/>
    <n v="42.49"/>
  </r>
  <r>
    <n v="603"/>
    <x v="12"/>
    <x v="182"/>
    <x v="4"/>
    <s v="Percent change"/>
    <s v="Units"/>
    <x v="4"/>
    <n v="-3.6920000000000002"/>
  </r>
  <r>
    <n v="603"/>
    <x v="12"/>
    <x v="182"/>
    <x v="4"/>
    <s v="Percent change"/>
    <s v="Units"/>
    <x v="5"/>
    <n v="3.3000000000000002E-2"/>
  </r>
  <r>
    <n v="603"/>
    <x v="12"/>
    <x v="182"/>
    <x v="4"/>
    <s v="Percent change"/>
    <s v="Units"/>
    <x v="6"/>
    <n v="7.5549999999999997"/>
  </r>
  <r>
    <n v="903"/>
    <x v="8"/>
    <x v="154"/>
    <x v="10"/>
    <s v="Percent"/>
    <s v="Units"/>
    <x v="0"/>
    <n v="3.1E-2"/>
  </r>
  <r>
    <n v="903"/>
    <x v="8"/>
    <x v="154"/>
    <x v="10"/>
    <s v="Percent"/>
    <s v="Units"/>
    <x v="1"/>
    <n v="0.03"/>
  </r>
  <r>
    <n v="903"/>
    <x v="8"/>
    <x v="154"/>
    <x v="10"/>
    <s v="Percent"/>
    <s v="Units"/>
    <x v="2"/>
    <n v="3.1E-2"/>
  </r>
  <r>
    <n v="903"/>
    <x v="8"/>
    <x v="154"/>
    <x v="10"/>
    <s v="Percent"/>
    <s v="Units"/>
    <x v="3"/>
    <n v="3.2000000000000001E-2"/>
  </r>
  <r>
    <n v="903"/>
    <x v="8"/>
    <x v="154"/>
    <x v="10"/>
    <s v="Percent"/>
    <s v="Units"/>
    <x v="4"/>
    <n v="3.2000000000000001E-2"/>
  </r>
  <r>
    <n v="903"/>
    <x v="8"/>
    <x v="154"/>
    <x v="10"/>
    <s v="Percent"/>
    <s v="Units"/>
    <x v="5"/>
    <n v="3.2000000000000001E-2"/>
  </r>
  <r>
    <n v="903"/>
    <x v="8"/>
    <x v="154"/>
    <x v="10"/>
    <s v="Percent"/>
    <s v="Units"/>
    <x v="6"/>
    <n v="3.2000000000000001E-2"/>
  </r>
  <r>
    <n v="400"/>
    <x v="11"/>
    <x v="155"/>
    <x v="10"/>
    <s v="Percent"/>
    <s v="Units"/>
    <x v="0"/>
    <n v="2.5999999999999999E-2"/>
  </r>
  <r>
    <n v="400"/>
    <x v="11"/>
    <x v="155"/>
    <x v="10"/>
    <s v="Percent"/>
    <s v="Units"/>
    <x v="1"/>
    <n v="2.7E-2"/>
  </r>
  <r>
    <n v="400"/>
    <x v="11"/>
    <x v="155"/>
    <x v="10"/>
    <s v="Percent"/>
    <s v="Units"/>
    <x v="2"/>
    <n v="2.8000000000000001E-2"/>
  </r>
  <r>
    <n v="400"/>
    <x v="11"/>
    <x v="155"/>
    <x v="10"/>
    <s v="Percent"/>
    <s v="Units"/>
    <x v="3"/>
    <n v="0.03"/>
  </r>
  <r>
    <n v="400"/>
    <x v="11"/>
    <x v="155"/>
    <x v="10"/>
    <s v="Percent"/>
    <s v="Units"/>
    <x v="4"/>
    <n v="3.1E-2"/>
  </r>
  <r>
    <n v="400"/>
    <x v="11"/>
    <x v="155"/>
    <x v="10"/>
    <s v="Percent"/>
    <s v="Units"/>
    <x v="5"/>
    <n v="3.2000000000000001E-2"/>
  </r>
  <r>
    <n v="400"/>
    <x v="11"/>
    <x v="155"/>
    <x v="10"/>
    <s v="Percent"/>
    <s v="Units"/>
    <x v="6"/>
    <n v="3.2000000000000001E-2"/>
  </r>
  <r>
    <n v="200"/>
    <x v="3"/>
    <x v="155"/>
    <x v="10"/>
    <s v="Percent"/>
    <s v="Units"/>
    <x v="0"/>
    <n v="2.5999999999999999E-2"/>
  </r>
  <r>
    <n v="200"/>
    <x v="3"/>
    <x v="155"/>
    <x v="10"/>
    <s v="Percent"/>
    <s v="Units"/>
    <x v="1"/>
    <n v="2.7E-2"/>
  </r>
  <r>
    <n v="200"/>
    <x v="3"/>
    <x v="155"/>
    <x v="10"/>
    <s v="Percent"/>
    <s v="Units"/>
    <x v="2"/>
    <n v="2.8000000000000001E-2"/>
  </r>
  <r>
    <n v="200"/>
    <x v="3"/>
    <x v="155"/>
    <x v="10"/>
    <s v="Percent"/>
    <s v="Units"/>
    <x v="3"/>
    <n v="0.03"/>
  </r>
  <r>
    <n v="200"/>
    <x v="3"/>
    <x v="155"/>
    <x v="10"/>
    <s v="Percent"/>
    <s v="Units"/>
    <x v="4"/>
    <n v="3.1E-2"/>
  </r>
  <r>
    <n v="200"/>
    <x v="3"/>
    <x v="155"/>
    <x v="10"/>
    <s v="Percent"/>
    <s v="Units"/>
    <x v="5"/>
    <n v="3.2000000000000001E-2"/>
  </r>
  <r>
    <n v="200"/>
    <x v="3"/>
    <x v="155"/>
    <x v="10"/>
    <s v="Percent"/>
    <s v="Units"/>
    <x v="6"/>
    <n v="3.2000000000000001E-2"/>
  </r>
  <r>
    <n v="200"/>
    <x v="3"/>
    <x v="154"/>
    <x v="10"/>
    <s v="Percent"/>
    <s v="Units"/>
    <x v="0"/>
    <n v="3.1E-2"/>
  </r>
  <r>
    <n v="200"/>
    <x v="3"/>
    <x v="154"/>
    <x v="10"/>
    <s v="Percent"/>
    <s v="Units"/>
    <x v="1"/>
    <n v="0.03"/>
  </r>
  <r>
    <n v="200"/>
    <x v="3"/>
    <x v="154"/>
    <x v="10"/>
    <s v="Percent"/>
    <s v="Units"/>
    <x v="2"/>
    <n v="3.1E-2"/>
  </r>
  <r>
    <n v="200"/>
    <x v="3"/>
    <x v="154"/>
    <x v="10"/>
    <s v="Percent"/>
    <s v="Units"/>
    <x v="3"/>
    <n v="3.2000000000000001E-2"/>
  </r>
  <r>
    <n v="200"/>
    <x v="3"/>
    <x v="154"/>
    <x v="10"/>
    <s v="Percent"/>
    <s v="Units"/>
    <x v="4"/>
    <n v="3.2000000000000001E-2"/>
  </r>
  <r>
    <n v="200"/>
    <x v="3"/>
    <x v="154"/>
    <x v="10"/>
    <s v="Percent"/>
    <s v="Units"/>
    <x v="5"/>
    <n v="3.2000000000000001E-2"/>
  </r>
  <r>
    <n v="200"/>
    <x v="3"/>
    <x v="154"/>
    <x v="10"/>
    <s v="Percent"/>
    <s v="Units"/>
    <x v="6"/>
    <n v="3.2000000000000001E-2"/>
  </r>
  <r>
    <n v="505"/>
    <x v="4"/>
    <x v="143"/>
    <x v="10"/>
    <s v="Percent"/>
    <s v="Units"/>
    <x v="0"/>
    <n v="3.1E-2"/>
  </r>
  <r>
    <n v="505"/>
    <x v="4"/>
    <x v="143"/>
    <x v="10"/>
    <s v="Percent"/>
    <s v="Units"/>
    <x v="1"/>
    <n v="0.03"/>
  </r>
  <r>
    <n v="505"/>
    <x v="4"/>
    <x v="143"/>
    <x v="10"/>
    <s v="Percent"/>
    <s v="Units"/>
    <x v="2"/>
    <n v="2.9000000000000001E-2"/>
  </r>
  <r>
    <n v="505"/>
    <x v="4"/>
    <x v="143"/>
    <x v="10"/>
    <s v="Percent"/>
    <s v="Units"/>
    <x v="3"/>
    <n v="2.9000000000000001E-2"/>
  </r>
  <r>
    <n v="505"/>
    <x v="4"/>
    <x v="143"/>
    <x v="10"/>
    <s v="Percent"/>
    <s v="Units"/>
    <x v="4"/>
    <n v="3.1E-2"/>
  </r>
  <r>
    <n v="505"/>
    <x v="4"/>
    <x v="143"/>
    <x v="10"/>
    <s v="Percent"/>
    <s v="Units"/>
    <x v="5"/>
    <n v="3.2000000000000001E-2"/>
  </r>
  <r>
    <n v="505"/>
    <x v="4"/>
    <x v="143"/>
    <x v="10"/>
    <s v="Percent"/>
    <s v="Units"/>
    <x v="6"/>
    <n v="3.2000000000000001E-2"/>
  </r>
  <r>
    <n v="200"/>
    <x v="3"/>
    <x v="143"/>
    <x v="10"/>
    <s v="Percent"/>
    <s v="Units"/>
    <x v="0"/>
    <n v="3.1E-2"/>
  </r>
  <r>
    <n v="200"/>
    <x v="3"/>
    <x v="143"/>
    <x v="10"/>
    <s v="Percent"/>
    <s v="Units"/>
    <x v="1"/>
    <n v="0.03"/>
  </r>
  <r>
    <n v="200"/>
    <x v="3"/>
    <x v="143"/>
    <x v="10"/>
    <s v="Percent"/>
    <s v="Units"/>
    <x v="2"/>
    <n v="2.9000000000000001E-2"/>
  </r>
  <r>
    <n v="200"/>
    <x v="3"/>
    <x v="143"/>
    <x v="10"/>
    <s v="Percent"/>
    <s v="Units"/>
    <x v="3"/>
    <n v="2.9000000000000001E-2"/>
  </r>
  <r>
    <n v="200"/>
    <x v="3"/>
    <x v="143"/>
    <x v="10"/>
    <s v="Percent"/>
    <s v="Units"/>
    <x v="4"/>
    <n v="3.1E-2"/>
  </r>
  <r>
    <n v="200"/>
    <x v="3"/>
    <x v="143"/>
    <x v="10"/>
    <s v="Percent"/>
    <s v="Units"/>
    <x v="5"/>
    <n v="3.2000000000000001E-2"/>
  </r>
  <r>
    <n v="200"/>
    <x v="3"/>
    <x v="143"/>
    <x v="10"/>
    <s v="Percent"/>
    <s v="Units"/>
    <x v="6"/>
    <n v="3.2000000000000001E-2"/>
  </r>
  <r>
    <n v="603"/>
    <x v="12"/>
    <x v="104"/>
    <x v="10"/>
    <s v="Percent"/>
    <s v="Units"/>
    <x v="0"/>
    <n v="0.03"/>
  </r>
  <r>
    <n v="603"/>
    <x v="12"/>
    <x v="104"/>
    <x v="10"/>
    <s v="Percent"/>
    <s v="Units"/>
    <x v="1"/>
    <n v="0.03"/>
  </r>
  <r>
    <n v="603"/>
    <x v="12"/>
    <x v="104"/>
    <x v="10"/>
    <s v="Percent"/>
    <s v="Units"/>
    <x v="2"/>
    <n v="2.9000000000000001E-2"/>
  </r>
  <r>
    <n v="603"/>
    <x v="12"/>
    <x v="104"/>
    <x v="10"/>
    <s v="Percent"/>
    <s v="Units"/>
    <x v="3"/>
    <n v="0.03"/>
  </r>
  <r>
    <n v="603"/>
    <x v="12"/>
    <x v="104"/>
    <x v="10"/>
    <s v="Percent"/>
    <s v="Units"/>
    <x v="4"/>
    <n v="0.03"/>
  </r>
  <r>
    <n v="603"/>
    <x v="12"/>
    <x v="104"/>
    <x v="10"/>
    <s v="Percent"/>
    <s v="Units"/>
    <x v="5"/>
    <n v="3.1E-2"/>
  </r>
  <r>
    <n v="603"/>
    <x v="12"/>
    <x v="104"/>
    <x v="10"/>
    <s v="Percent"/>
    <s v="Units"/>
    <x v="6"/>
    <n v="3.1E-2"/>
  </r>
  <r>
    <n v="200"/>
    <x v="3"/>
    <x v="104"/>
    <x v="10"/>
    <s v="Percent"/>
    <s v="Units"/>
    <x v="0"/>
    <n v="0.03"/>
  </r>
  <r>
    <n v="200"/>
    <x v="3"/>
    <x v="104"/>
    <x v="10"/>
    <s v="Percent"/>
    <s v="Units"/>
    <x v="1"/>
    <n v="0.03"/>
  </r>
  <r>
    <n v="200"/>
    <x v="3"/>
    <x v="104"/>
    <x v="10"/>
    <s v="Percent"/>
    <s v="Units"/>
    <x v="2"/>
    <n v="2.9000000000000001E-2"/>
  </r>
  <r>
    <n v="200"/>
    <x v="3"/>
    <x v="104"/>
    <x v="10"/>
    <s v="Percent"/>
    <s v="Units"/>
    <x v="3"/>
    <n v="0.03"/>
  </r>
  <r>
    <n v="200"/>
    <x v="3"/>
    <x v="104"/>
    <x v="10"/>
    <s v="Percent"/>
    <s v="Units"/>
    <x v="4"/>
    <n v="0.03"/>
  </r>
  <r>
    <n v="200"/>
    <x v="3"/>
    <x v="104"/>
    <x v="10"/>
    <s v="Percent"/>
    <s v="Units"/>
    <x v="5"/>
    <n v="3.1E-2"/>
  </r>
  <r>
    <n v="200"/>
    <x v="3"/>
    <x v="104"/>
    <x v="10"/>
    <s v="Percent"/>
    <s v="Units"/>
    <x v="6"/>
    <n v="3.1E-2"/>
  </r>
  <r>
    <n v="205"/>
    <x v="7"/>
    <x v="167"/>
    <x v="10"/>
    <s v="Percent"/>
    <s v="Units"/>
    <x v="0"/>
    <n v="2.8000000000000001E-2"/>
  </r>
  <r>
    <n v="205"/>
    <x v="7"/>
    <x v="167"/>
    <x v="10"/>
    <s v="Percent"/>
    <s v="Units"/>
    <x v="1"/>
    <n v="2.8000000000000001E-2"/>
  </r>
  <r>
    <n v="205"/>
    <x v="7"/>
    <x v="167"/>
    <x v="10"/>
    <s v="Percent"/>
    <s v="Units"/>
    <x v="2"/>
    <n v="2.9000000000000001E-2"/>
  </r>
  <r>
    <n v="205"/>
    <x v="7"/>
    <x v="167"/>
    <x v="10"/>
    <s v="Percent"/>
    <s v="Units"/>
    <x v="3"/>
    <n v="2.9000000000000001E-2"/>
  </r>
  <r>
    <n v="205"/>
    <x v="7"/>
    <x v="167"/>
    <x v="10"/>
    <s v="Percent"/>
    <s v="Units"/>
    <x v="4"/>
    <n v="2.9000000000000001E-2"/>
  </r>
  <r>
    <n v="205"/>
    <x v="7"/>
    <x v="167"/>
    <x v="10"/>
    <s v="Percent"/>
    <s v="Units"/>
    <x v="5"/>
    <n v="0.03"/>
  </r>
  <r>
    <n v="205"/>
    <x v="7"/>
    <x v="167"/>
    <x v="10"/>
    <s v="Percent"/>
    <s v="Units"/>
    <x v="6"/>
    <n v="0.03"/>
  </r>
  <r>
    <n v="200"/>
    <x v="3"/>
    <x v="167"/>
    <x v="10"/>
    <s v="Percent"/>
    <s v="Units"/>
    <x v="0"/>
    <n v="2.8000000000000001E-2"/>
  </r>
  <r>
    <n v="200"/>
    <x v="3"/>
    <x v="167"/>
    <x v="10"/>
    <s v="Percent"/>
    <s v="Units"/>
    <x v="1"/>
    <n v="2.8000000000000001E-2"/>
  </r>
  <r>
    <n v="200"/>
    <x v="3"/>
    <x v="167"/>
    <x v="10"/>
    <s v="Percent"/>
    <s v="Units"/>
    <x v="2"/>
    <n v="2.9000000000000001E-2"/>
  </r>
  <r>
    <n v="200"/>
    <x v="3"/>
    <x v="167"/>
    <x v="10"/>
    <s v="Percent"/>
    <s v="Units"/>
    <x v="3"/>
    <n v="2.9000000000000001E-2"/>
  </r>
  <r>
    <n v="200"/>
    <x v="3"/>
    <x v="167"/>
    <x v="10"/>
    <s v="Percent"/>
    <s v="Units"/>
    <x v="4"/>
    <n v="2.9000000000000001E-2"/>
  </r>
  <r>
    <n v="200"/>
    <x v="3"/>
    <x v="167"/>
    <x v="10"/>
    <s v="Percent"/>
    <s v="Units"/>
    <x v="5"/>
    <n v="0.03"/>
  </r>
  <r>
    <n v="200"/>
    <x v="3"/>
    <x v="167"/>
    <x v="10"/>
    <s v="Percent"/>
    <s v="Units"/>
    <x v="6"/>
    <n v="0.03"/>
  </r>
  <r>
    <n v="603"/>
    <x v="12"/>
    <x v="146"/>
    <x v="10"/>
    <s v="Percent"/>
    <s v="Units"/>
    <x v="0"/>
    <n v="2.9000000000000001E-2"/>
  </r>
  <r>
    <n v="603"/>
    <x v="12"/>
    <x v="146"/>
    <x v="10"/>
    <s v="Percent"/>
    <s v="Units"/>
    <x v="1"/>
    <n v="2.7E-2"/>
  </r>
  <r>
    <n v="603"/>
    <x v="12"/>
    <x v="146"/>
    <x v="10"/>
    <s v="Percent"/>
    <s v="Units"/>
    <x v="2"/>
    <n v="2.9000000000000001E-2"/>
  </r>
  <r>
    <n v="603"/>
    <x v="12"/>
    <x v="146"/>
    <x v="10"/>
    <s v="Percent"/>
    <s v="Units"/>
    <x v="3"/>
    <n v="2.9000000000000001E-2"/>
  </r>
  <r>
    <n v="603"/>
    <x v="12"/>
    <x v="146"/>
    <x v="10"/>
    <s v="Percent"/>
    <s v="Units"/>
    <x v="4"/>
    <n v="2.9000000000000001E-2"/>
  </r>
  <r>
    <n v="603"/>
    <x v="12"/>
    <x v="146"/>
    <x v="10"/>
    <s v="Percent"/>
    <s v="Units"/>
    <x v="5"/>
    <n v="2.9000000000000001E-2"/>
  </r>
  <r>
    <n v="603"/>
    <x v="12"/>
    <x v="146"/>
    <x v="10"/>
    <s v="Percent"/>
    <s v="Units"/>
    <x v="6"/>
    <n v="0.03"/>
  </r>
  <r>
    <n v="110"/>
    <x v="0"/>
    <x v="118"/>
    <x v="10"/>
    <s v="Percent"/>
    <s v="Units"/>
    <x v="0"/>
    <n v="2.8000000000000001E-2"/>
  </r>
  <r>
    <n v="110"/>
    <x v="0"/>
    <x v="118"/>
    <x v="10"/>
    <s v="Percent"/>
    <s v="Units"/>
    <x v="1"/>
    <n v="2.8000000000000001E-2"/>
  </r>
  <r>
    <n v="110"/>
    <x v="0"/>
    <x v="118"/>
    <x v="10"/>
    <s v="Percent"/>
    <s v="Units"/>
    <x v="2"/>
    <n v="2.9000000000000001E-2"/>
  </r>
  <r>
    <n v="110"/>
    <x v="0"/>
    <x v="118"/>
    <x v="10"/>
    <s v="Percent"/>
    <s v="Units"/>
    <x v="3"/>
    <n v="2.9000000000000001E-2"/>
  </r>
  <r>
    <n v="110"/>
    <x v="0"/>
    <x v="118"/>
    <x v="10"/>
    <s v="Percent"/>
    <s v="Units"/>
    <x v="4"/>
    <n v="2.9000000000000001E-2"/>
  </r>
  <r>
    <n v="110"/>
    <x v="0"/>
    <x v="118"/>
    <x v="10"/>
    <s v="Percent"/>
    <s v="Units"/>
    <x v="5"/>
    <n v="2.9000000000000001E-2"/>
  </r>
  <r>
    <n v="110"/>
    <x v="0"/>
    <x v="118"/>
    <x v="10"/>
    <s v="Percent"/>
    <s v="Units"/>
    <x v="6"/>
    <n v="2.9000000000000001E-2"/>
  </r>
  <r>
    <n v="998"/>
    <x v="6"/>
    <x v="118"/>
    <x v="10"/>
    <s v="Percent"/>
    <s v="Units"/>
    <x v="0"/>
    <n v="2.8000000000000001E-2"/>
  </r>
  <r>
    <n v="998"/>
    <x v="6"/>
    <x v="118"/>
    <x v="10"/>
    <s v="Percent"/>
    <s v="Units"/>
    <x v="1"/>
    <n v="2.8000000000000001E-2"/>
  </r>
  <r>
    <n v="998"/>
    <x v="6"/>
    <x v="118"/>
    <x v="10"/>
    <s v="Percent"/>
    <s v="Units"/>
    <x v="2"/>
    <n v="2.9000000000000001E-2"/>
  </r>
  <r>
    <n v="998"/>
    <x v="6"/>
    <x v="118"/>
    <x v="10"/>
    <s v="Percent"/>
    <s v="Units"/>
    <x v="3"/>
    <n v="2.9000000000000001E-2"/>
  </r>
  <r>
    <n v="998"/>
    <x v="6"/>
    <x v="118"/>
    <x v="10"/>
    <s v="Percent"/>
    <s v="Units"/>
    <x v="4"/>
    <n v="2.9000000000000001E-2"/>
  </r>
  <r>
    <n v="998"/>
    <x v="6"/>
    <x v="118"/>
    <x v="10"/>
    <s v="Percent"/>
    <s v="Units"/>
    <x v="5"/>
    <n v="2.9000000000000001E-2"/>
  </r>
  <r>
    <n v="998"/>
    <x v="6"/>
    <x v="118"/>
    <x v="10"/>
    <s v="Percent"/>
    <s v="Units"/>
    <x v="6"/>
    <n v="2.9000000000000001E-2"/>
  </r>
  <r>
    <n v="200"/>
    <x v="3"/>
    <x v="146"/>
    <x v="10"/>
    <s v="Percent"/>
    <s v="Units"/>
    <x v="0"/>
    <n v="2.9000000000000001E-2"/>
  </r>
  <r>
    <n v="200"/>
    <x v="3"/>
    <x v="146"/>
    <x v="10"/>
    <s v="Percent"/>
    <s v="Units"/>
    <x v="1"/>
    <n v="2.7E-2"/>
  </r>
  <r>
    <n v="200"/>
    <x v="3"/>
    <x v="146"/>
    <x v="10"/>
    <s v="Percent"/>
    <s v="Units"/>
    <x v="2"/>
    <n v="2.9000000000000001E-2"/>
  </r>
  <r>
    <n v="200"/>
    <x v="3"/>
    <x v="146"/>
    <x v="10"/>
    <s v="Percent"/>
    <s v="Units"/>
    <x v="3"/>
    <n v="2.9000000000000001E-2"/>
  </r>
  <r>
    <n v="200"/>
    <x v="3"/>
    <x v="146"/>
    <x v="10"/>
    <s v="Percent"/>
    <s v="Units"/>
    <x v="4"/>
    <n v="2.9000000000000001E-2"/>
  </r>
  <r>
    <n v="200"/>
    <x v="3"/>
    <x v="146"/>
    <x v="10"/>
    <s v="Percent"/>
    <s v="Units"/>
    <x v="5"/>
    <n v="2.9000000000000001E-2"/>
  </r>
  <r>
    <n v="200"/>
    <x v="3"/>
    <x v="146"/>
    <x v="10"/>
    <s v="Percent"/>
    <s v="Units"/>
    <x v="6"/>
    <n v="0.03"/>
  </r>
  <r>
    <n v="603"/>
    <x v="12"/>
    <x v="173"/>
    <x v="10"/>
    <s v="Percent"/>
    <s v="Units"/>
    <x v="0"/>
    <n v="2.5000000000000001E-2"/>
  </r>
  <r>
    <n v="603"/>
    <x v="12"/>
    <x v="173"/>
    <x v="10"/>
    <s v="Percent"/>
    <s v="Units"/>
    <x v="1"/>
    <n v="2.7E-2"/>
  </r>
  <r>
    <n v="603"/>
    <x v="12"/>
    <x v="173"/>
    <x v="10"/>
    <s v="Percent"/>
    <s v="Units"/>
    <x v="2"/>
    <n v="2.7E-2"/>
  </r>
  <r>
    <n v="603"/>
    <x v="12"/>
    <x v="173"/>
    <x v="10"/>
    <s v="Percent"/>
    <s v="Units"/>
    <x v="3"/>
    <n v="2.7E-2"/>
  </r>
  <r>
    <n v="603"/>
    <x v="12"/>
    <x v="173"/>
    <x v="10"/>
    <s v="Percent"/>
    <s v="Units"/>
    <x v="4"/>
    <n v="2.8000000000000001E-2"/>
  </r>
  <r>
    <n v="603"/>
    <x v="12"/>
    <x v="173"/>
    <x v="10"/>
    <s v="Percent"/>
    <s v="Units"/>
    <x v="5"/>
    <n v="2.8000000000000001E-2"/>
  </r>
  <r>
    <n v="603"/>
    <x v="12"/>
    <x v="173"/>
    <x v="10"/>
    <s v="Percent"/>
    <s v="Units"/>
    <x v="6"/>
    <n v="2.9000000000000001E-2"/>
  </r>
  <r>
    <n v="200"/>
    <x v="3"/>
    <x v="173"/>
    <x v="10"/>
    <s v="Percent"/>
    <s v="Units"/>
    <x v="0"/>
    <n v="2.5000000000000001E-2"/>
  </r>
  <r>
    <n v="200"/>
    <x v="3"/>
    <x v="173"/>
    <x v="10"/>
    <s v="Percent"/>
    <s v="Units"/>
    <x v="1"/>
    <n v="2.7E-2"/>
  </r>
  <r>
    <n v="200"/>
    <x v="3"/>
    <x v="173"/>
    <x v="10"/>
    <s v="Percent"/>
    <s v="Units"/>
    <x v="2"/>
    <n v="2.7E-2"/>
  </r>
  <r>
    <n v="200"/>
    <x v="3"/>
    <x v="173"/>
    <x v="10"/>
    <s v="Percent"/>
    <s v="Units"/>
    <x v="3"/>
    <n v="2.7E-2"/>
  </r>
  <r>
    <n v="200"/>
    <x v="3"/>
    <x v="173"/>
    <x v="10"/>
    <s v="Percent"/>
    <s v="Units"/>
    <x v="4"/>
    <n v="2.8000000000000001E-2"/>
  </r>
  <r>
    <n v="200"/>
    <x v="3"/>
    <x v="173"/>
    <x v="10"/>
    <s v="Percent"/>
    <s v="Units"/>
    <x v="5"/>
    <n v="2.8000000000000001E-2"/>
  </r>
  <r>
    <n v="200"/>
    <x v="3"/>
    <x v="173"/>
    <x v="10"/>
    <s v="Percent"/>
    <s v="Units"/>
    <x v="6"/>
    <n v="2.9000000000000001E-2"/>
  </r>
  <r>
    <n v="200"/>
    <x v="3"/>
    <x v="185"/>
    <x v="10"/>
    <s v="Percent"/>
    <s v="Units"/>
    <x v="0"/>
    <n v="2.7E-2"/>
  </r>
  <r>
    <n v="200"/>
    <x v="3"/>
    <x v="185"/>
    <x v="10"/>
    <s v="Percent"/>
    <s v="Units"/>
    <x v="1"/>
    <n v="2.8000000000000001E-2"/>
  </r>
  <r>
    <n v="200"/>
    <x v="3"/>
    <x v="185"/>
    <x v="10"/>
    <s v="Percent"/>
    <s v="Units"/>
    <x v="2"/>
    <n v="2.5999999999999999E-2"/>
  </r>
  <r>
    <n v="200"/>
    <x v="3"/>
    <x v="185"/>
    <x v="10"/>
    <s v="Percent"/>
    <s v="Units"/>
    <x v="3"/>
    <n v="2.5999999999999999E-2"/>
  </r>
  <r>
    <n v="200"/>
    <x v="3"/>
    <x v="185"/>
    <x v="10"/>
    <s v="Percent"/>
    <s v="Units"/>
    <x v="4"/>
    <n v="2.5999999999999999E-2"/>
  </r>
  <r>
    <n v="200"/>
    <x v="3"/>
    <x v="185"/>
    <x v="10"/>
    <s v="Percent"/>
    <s v="Units"/>
    <x v="5"/>
    <n v="2.5999999999999999E-2"/>
  </r>
  <r>
    <n v="200"/>
    <x v="3"/>
    <x v="185"/>
    <x v="10"/>
    <s v="Percent"/>
    <s v="Units"/>
    <x v="6"/>
    <n v="2.5999999999999999E-2"/>
  </r>
  <r>
    <n v="200"/>
    <x v="3"/>
    <x v="25"/>
    <x v="10"/>
    <s v="Percent"/>
    <s v="Units"/>
    <x v="0"/>
    <n v="2.5999999999999999E-2"/>
  </r>
  <r>
    <n v="200"/>
    <x v="3"/>
    <x v="25"/>
    <x v="10"/>
    <s v="Percent"/>
    <s v="Units"/>
    <x v="1"/>
    <n v="2.5000000000000001E-2"/>
  </r>
  <r>
    <n v="200"/>
    <x v="3"/>
    <x v="25"/>
    <x v="10"/>
    <s v="Percent"/>
    <s v="Units"/>
    <x v="2"/>
    <n v="2.5000000000000001E-2"/>
  </r>
  <r>
    <n v="200"/>
    <x v="3"/>
    <x v="25"/>
    <x v="10"/>
    <s v="Percent"/>
    <s v="Units"/>
    <x v="3"/>
    <n v="2.5999999999999999E-2"/>
  </r>
  <r>
    <n v="200"/>
    <x v="3"/>
    <x v="25"/>
    <x v="10"/>
    <s v="Percent"/>
    <s v="Units"/>
    <x v="4"/>
    <n v="2.5999999999999999E-2"/>
  </r>
  <r>
    <n v="200"/>
    <x v="3"/>
    <x v="25"/>
    <x v="10"/>
    <s v="Percent"/>
    <s v="Units"/>
    <x v="5"/>
    <n v="2.5999999999999999E-2"/>
  </r>
  <r>
    <n v="200"/>
    <x v="3"/>
    <x v="25"/>
    <x v="10"/>
    <s v="Percent"/>
    <s v="Units"/>
    <x v="6"/>
    <n v="2.5999999999999999E-2"/>
  </r>
  <r>
    <n v="200"/>
    <x v="3"/>
    <x v="119"/>
    <x v="10"/>
    <s v="Percent"/>
    <s v="Units"/>
    <x v="0"/>
    <n v="2.5999999999999999E-2"/>
  </r>
  <r>
    <n v="200"/>
    <x v="3"/>
    <x v="119"/>
    <x v="10"/>
    <s v="Percent"/>
    <s v="Units"/>
    <x v="1"/>
    <n v="2.5000000000000001E-2"/>
  </r>
  <r>
    <n v="200"/>
    <x v="3"/>
    <x v="119"/>
    <x v="10"/>
    <s v="Percent"/>
    <s v="Units"/>
    <x v="2"/>
    <n v="2.5000000000000001E-2"/>
  </r>
  <r>
    <n v="200"/>
    <x v="3"/>
    <x v="119"/>
    <x v="10"/>
    <s v="Percent"/>
    <s v="Units"/>
    <x v="3"/>
    <n v="2.5000000000000001E-2"/>
  </r>
  <r>
    <n v="200"/>
    <x v="3"/>
    <x v="119"/>
    <x v="10"/>
    <s v="Percent"/>
    <s v="Units"/>
    <x v="4"/>
    <n v="2.5999999999999999E-2"/>
  </r>
  <r>
    <n v="200"/>
    <x v="3"/>
    <x v="119"/>
    <x v="10"/>
    <s v="Percent"/>
    <s v="Units"/>
    <x v="5"/>
    <n v="2.5999999999999999E-2"/>
  </r>
  <r>
    <n v="200"/>
    <x v="3"/>
    <x v="119"/>
    <x v="10"/>
    <s v="Percent"/>
    <s v="Units"/>
    <x v="6"/>
    <n v="2.5999999999999999E-2"/>
  </r>
  <r>
    <n v="400"/>
    <x v="11"/>
    <x v="119"/>
    <x v="10"/>
    <s v="Percent"/>
    <s v="Units"/>
    <x v="0"/>
    <n v="2.5999999999999999E-2"/>
  </r>
  <r>
    <n v="400"/>
    <x v="11"/>
    <x v="119"/>
    <x v="10"/>
    <s v="Percent"/>
    <s v="Units"/>
    <x v="1"/>
    <n v="2.5000000000000001E-2"/>
  </r>
  <r>
    <n v="400"/>
    <x v="11"/>
    <x v="119"/>
    <x v="10"/>
    <s v="Percent"/>
    <s v="Units"/>
    <x v="2"/>
    <n v="2.5000000000000001E-2"/>
  </r>
  <r>
    <n v="400"/>
    <x v="11"/>
    <x v="119"/>
    <x v="10"/>
    <s v="Percent"/>
    <s v="Units"/>
    <x v="3"/>
    <n v="2.5000000000000001E-2"/>
  </r>
  <r>
    <n v="400"/>
    <x v="11"/>
    <x v="119"/>
    <x v="10"/>
    <s v="Percent"/>
    <s v="Units"/>
    <x v="4"/>
    <n v="2.5999999999999999E-2"/>
  </r>
  <r>
    <n v="400"/>
    <x v="11"/>
    <x v="119"/>
    <x v="10"/>
    <s v="Percent"/>
    <s v="Units"/>
    <x v="5"/>
    <n v="2.5999999999999999E-2"/>
  </r>
  <r>
    <n v="400"/>
    <x v="11"/>
    <x v="119"/>
    <x v="10"/>
    <s v="Percent"/>
    <s v="Units"/>
    <x v="6"/>
    <n v="2.5999999999999999E-2"/>
  </r>
  <r>
    <n v="603"/>
    <x v="12"/>
    <x v="185"/>
    <x v="10"/>
    <s v="Percent"/>
    <s v="Units"/>
    <x v="0"/>
    <n v="2.7E-2"/>
  </r>
  <r>
    <n v="603"/>
    <x v="12"/>
    <x v="185"/>
    <x v="10"/>
    <s v="Percent"/>
    <s v="Units"/>
    <x v="1"/>
    <n v="2.8000000000000001E-2"/>
  </r>
  <r>
    <n v="603"/>
    <x v="12"/>
    <x v="185"/>
    <x v="10"/>
    <s v="Percent"/>
    <s v="Units"/>
    <x v="2"/>
    <n v="2.5999999999999999E-2"/>
  </r>
  <r>
    <n v="603"/>
    <x v="12"/>
    <x v="185"/>
    <x v="10"/>
    <s v="Percent"/>
    <s v="Units"/>
    <x v="3"/>
    <n v="2.5999999999999999E-2"/>
  </r>
  <r>
    <n v="603"/>
    <x v="12"/>
    <x v="185"/>
    <x v="10"/>
    <s v="Percent"/>
    <s v="Units"/>
    <x v="4"/>
    <n v="2.5999999999999999E-2"/>
  </r>
  <r>
    <n v="603"/>
    <x v="12"/>
    <x v="185"/>
    <x v="10"/>
    <s v="Percent"/>
    <s v="Units"/>
    <x v="5"/>
    <n v="2.5999999999999999E-2"/>
  </r>
  <r>
    <n v="603"/>
    <x v="12"/>
    <x v="185"/>
    <x v="10"/>
    <s v="Percent"/>
    <s v="Units"/>
    <x v="6"/>
    <n v="2.5999999999999999E-2"/>
  </r>
  <r>
    <n v="603"/>
    <x v="12"/>
    <x v="25"/>
    <x v="10"/>
    <s v="Percent"/>
    <s v="Units"/>
    <x v="0"/>
    <n v="2.5999999999999999E-2"/>
  </r>
  <r>
    <n v="603"/>
    <x v="12"/>
    <x v="25"/>
    <x v="10"/>
    <s v="Percent"/>
    <s v="Units"/>
    <x v="1"/>
    <n v="2.5000000000000001E-2"/>
  </r>
  <r>
    <n v="603"/>
    <x v="12"/>
    <x v="25"/>
    <x v="10"/>
    <s v="Percent"/>
    <s v="Units"/>
    <x v="2"/>
    <n v="2.5000000000000001E-2"/>
  </r>
  <r>
    <n v="603"/>
    <x v="12"/>
    <x v="25"/>
    <x v="10"/>
    <s v="Percent"/>
    <s v="Units"/>
    <x v="3"/>
    <n v="2.5999999999999999E-2"/>
  </r>
  <r>
    <n v="603"/>
    <x v="12"/>
    <x v="25"/>
    <x v="10"/>
    <s v="Percent"/>
    <s v="Units"/>
    <x v="4"/>
    <n v="2.5999999999999999E-2"/>
  </r>
  <r>
    <n v="603"/>
    <x v="12"/>
    <x v="25"/>
    <x v="10"/>
    <s v="Percent"/>
    <s v="Units"/>
    <x v="5"/>
    <n v="2.5999999999999999E-2"/>
  </r>
  <r>
    <n v="603"/>
    <x v="12"/>
    <x v="25"/>
    <x v="10"/>
    <s v="Percent"/>
    <s v="Units"/>
    <x v="6"/>
    <n v="2.5999999999999999E-2"/>
  </r>
  <r>
    <n v="603"/>
    <x v="12"/>
    <x v="94"/>
    <x v="10"/>
    <s v="Percent"/>
    <s v="Units"/>
    <x v="0"/>
    <n v="2.1999999999999999E-2"/>
  </r>
  <r>
    <n v="603"/>
    <x v="12"/>
    <x v="94"/>
    <x v="10"/>
    <s v="Percent"/>
    <s v="Units"/>
    <x v="1"/>
    <n v="2.3E-2"/>
  </r>
  <r>
    <n v="603"/>
    <x v="12"/>
    <x v="94"/>
    <x v="10"/>
    <s v="Percent"/>
    <s v="Units"/>
    <x v="2"/>
    <n v="2.1999999999999999E-2"/>
  </r>
  <r>
    <n v="603"/>
    <x v="12"/>
    <x v="94"/>
    <x v="10"/>
    <s v="Percent"/>
    <s v="Units"/>
    <x v="3"/>
    <n v="2.4E-2"/>
  </r>
  <r>
    <n v="603"/>
    <x v="12"/>
    <x v="94"/>
    <x v="10"/>
    <s v="Percent"/>
    <s v="Units"/>
    <x v="4"/>
    <n v="2.4E-2"/>
  </r>
  <r>
    <n v="603"/>
    <x v="12"/>
    <x v="94"/>
    <x v="10"/>
    <s v="Percent"/>
    <s v="Units"/>
    <x v="5"/>
    <n v="2.5000000000000001E-2"/>
  </r>
  <r>
    <n v="603"/>
    <x v="12"/>
    <x v="94"/>
    <x v="10"/>
    <s v="Percent"/>
    <s v="Units"/>
    <x v="6"/>
    <n v="2.5999999999999999E-2"/>
  </r>
  <r>
    <n v="200"/>
    <x v="3"/>
    <x v="94"/>
    <x v="10"/>
    <s v="Percent"/>
    <s v="Units"/>
    <x v="0"/>
    <n v="2.1999999999999999E-2"/>
  </r>
  <r>
    <n v="200"/>
    <x v="3"/>
    <x v="94"/>
    <x v="10"/>
    <s v="Percent"/>
    <s v="Units"/>
    <x v="1"/>
    <n v="2.3E-2"/>
  </r>
  <r>
    <n v="200"/>
    <x v="3"/>
    <x v="94"/>
    <x v="10"/>
    <s v="Percent"/>
    <s v="Units"/>
    <x v="2"/>
    <n v="2.1999999999999999E-2"/>
  </r>
  <r>
    <n v="200"/>
    <x v="3"/>
    <x v="94"/>
    <x v="10"/>
    <s v="Percent"/>
    <s v="Units"/>
    <x v="3"/>
    <n v="2.4E-2"/>
  </r>
  <r>
    <n v="200"/>
    <x v="3"/>
    <x v="94"/>
    <x v="10"/>
    <s v="Percent"/>
    <s v="Units"/>
    <x v="4"/>
    <n v="2.4E-2"/>
  </r>
  <r>
    <n v="200"/>
    <x v="3"/>
    <x v="94"/>
    <x v="10"/>
    <s v="Percent"/>
    <s v="Units"/>
    <x v="5"/>
    <n v="2.5000000000000001E-2"/>
  </r>
  <r>
    <n v="200"/>
    <x v="3"/>
    <x v="94"/>
    <x v="10"/>
    <s v="Percent"/>
    <s v="Units"/>
    <x v="6"/>
    <n v="2.5999999999999999E-2"/>
  </r>
  <r>
    <n v="205"/>
    <x v="7"/>
    <x v="160"/>
    <x v="10"/>
    <s v="Percent"/>
    <s v="Units"/>
    <x v="0"/>
    <n v="0.03"/>
  </r>
  <r>
    <n v="205"/>
    <x v="7"/>
    <x v="160"/>
    <x v="10"/>
    <s v="Percent"/>
    <s v="Units"/>
    <x v="1"/>
    <n v="2.8000000000000001E-2"/>
  </r>
  <r>
    <n v="205"/>
    <x v="7"/>
    <x v="160"/>
    <x v="10"/>
    <s v="Percent"/>
    <s v="Units"/>
    <x v="2"/>
    <n v="2.5999999999999999E-2"/>
  </r>
  <r>
    <n v="205"/>
    <x v="7"/>
    <x v="160"/>
    <x v="10"/>
    <s v="Percent"/>
    <s v="Units"/>
    <x v="3"/>
    <n v="2.5999999999999999E-2"/>
  </r>
  <r>
    <n v="205"/>
    <x v="7"/>
    <x v="160"/>
    <x v="10"/>
    <s v="Percent"/>
    <s v="Units"/>
    <x v="4"/>
    <n v="2.5000000000000001E-2"/>
  </r>
  <r>
    <n v="205"/>
    <x v="7"/>
    <x v="160"/>
    <x v="10"/>
    <s v="Percent"/>
    <s v="Units"/>
    <x v="5"/>
    <n v="2.5000000000000001E-2"/>
  </r>
  <r>
    <n v="205"/>
    <x v="7"/>
    <x v="160"/>
    <x v="10"/>
    <s v="Percent"/>
    <s v="Units"/>
    <x v="6"/>
    <n v="2.5000000000000001E-2"/>
  </r>
  <r>
    <n v="603"/>
    <x v="12"/>
    <x v="158"/>
    <x v="10"/>
    <s v="Percent"/>
    <s v="Units"/>
    <x v="0"/>
    <n v="2.1999999999999999E-2"/>
  </r>
  <r>
    <n v="603"/>
    <x v="12"/>
    <x v="158"/>
    <x v="10"/>
    <s v="Percent"/>
    <s v="Units"/>
    <x v="1"/>
    <n v="2.1000000000000001E-2"/>
  </r>
  <r>
    <n v="603"/>
    <x v="12"/>
    <x v="158"/>
    <x v="10"/>
    <s v="Percent"/>
    <s v="Units"/>
    <x v="2"/>
    <n v="2.1999999999999999E-2"/>
  </r>
  <r>
    <n v="603"/>
    <x v="12"/>
    <x v="158"/>
    <x v="10"/>
    <s v="Percent"/>
    <s v="Units"/>
    <x v="3"/>
    <n v="2.3E-2"/>
  </r>
  <r>
    <n v="603"/>
    <x v="12"/>
    <x v="158"/>
    <x v="10"/>
    <s v="Percent"/>
    <s v="Units"/>
    <x v="4"/>
    <n v="2.4E-2"/>
  </r>
  <r>
    <n v="603"/>
    <x v="12"/>
    <x v="158"/>
    <x v="10"/>
    <s v="Percent"/>
    <s v="Units"/>
    <x v="5"/>
    <n v="2.5000000000000001E-2"/>
  </r>
  <r>
    <n v="603"/>
    <x v="12"/>
    <x v="158"/>
    <x v="10"/>
    <s v="Percent"/>
    <s v="Units"/>
    <x v="6"/>
    <n v="2.5999999999999999E-2"/>
  </r>
  <r>
    <n v="200"/>
    <x v="3"/>
    <x v="135"/>
    <x v="10"/>
    <s v="Percent"/>
    <s v="Units"/>
    <x v="0"/>
    <n v="2.7E-2"/>
  </r>
  <r>
    <n v="200"/>
    <x v="3"/>
    <x v="135"/>
    <x v="10"/>
    <s v="Percent"/>
    <s v="Units"/>
    <x v="1"/>
    <n v="2.5999999999999999E-2"/>
  </r>
  <r>
    <n v="200"/>
    <x v="3"/>
    <x v="135"/>
    <x v="10"/>
    <s v="Percent"/>
    <s v="Units"/>
    <x v="2"/>
    <n v="2.5999999999999999E-2"/>
  </r>
  <r>
    <n v="200"/>
    <x v="3"/>
    <x v="135"/>
    <x v="10"/>
    <s v="Percent"/>
    <s v="Units"/>
    <x v="3"/>
    <n v="2.5000000000000001E-2"/>
  </r>
  <r>
    <n v="200"/>
    <x v="3"/>
    <x v="135"/>
    <x v="10"/>
    <s v="Percent"/>
    <s v="Units"/>
    <x v="4"/>
    <n v="2.5000000000000001E-2"/>
  </r>
  <r>
    <n v="200"/>
    <x v="3"/>
    <x v="135"/>
    <x v="10"/>
    <s v="Percent"/>
    <s v="Units"/>
    <x v="5"/>
    <n v="2.5000000000000001E-2"/>
  </r>
  <r>
    <n v="200"/>
    <x v="3"/>
    <x v="135"/>
    <x v="10"/>
    <s v="Percent"/>
    <s v="Units"/>
    <x v="6"/>
    <n v="2.5000000000000001E-2"/>
  </r>
  <r>
    <n v="200"/>
    <x v="3"/>
    <x v="158"/>
    <x v="10"/>
    <s v="Percent"/>
    <s v="Units"/>
    <x v="0"/>
    <n v="2.1999999999999999E-2"/>
  </r>
  <r>
    <n v="200"/>
    <x v="3"/>
    <x v="158"/>
    <x v="10"/>
    <s v="Percent"/>
    <s v="Units"/>
    <x v="1"/>
    <n v="2.1000000000000001E-2"/>
  </r>
  <r>
    <n v="200"/>
    <x v="3"/>
    <x v="158"/>
    <x v="10"/>
    <s v="Percent"/>
    <s v="Units"/>
    <x v="2"/>
    <n v="2.1999999999999999E-2"/>
  </r>
  <r>
    <n v="200"/>
    <x v="3"/>
    <x v="158"/>
    <x v="10"/>
    <s v="Percent"/>
    <s v="Units"/>
    <x v="3"/>
    <n v="2.3E-2"/>
  </r>
  <r>
    <n v="200"/>
    <x v="3"/>
    <x v="158"/>
    <x v="10"/>
    <s v="Percent"/>
    <s v="Units"/>
    <x v="4"/>
    <n v="2.4E-2"/>
  </r>
  <r>
    <n v="200"/>
    <x v="3"/>
    <x v="158"/>
    <x v="10"/>
    <s v="Percent"/>
    <s v="Units"/>
    <x v="5"/>
    <n v="2.5000000000000001E-2"/>
  </r>
  <r>
    <n v="200"/>
    <x v="3"/>
    <x v="158"/>
    <x v="10"/>
    <s v="Percent"/>
    <s v="Units"/>
    <x v="6"/>
    <n v="2.5999999999999999E-2"/>
  </r>
  <r>
    <n v="200"/>
    <x v="3"/>
    <x v="160"/>
    <x v="10"/>
    <s v="Percent"/>
    <s v="Units"/>
    <x v="0"/>
    <n v="0.03"/>
  </r>
  <r>
    <n v="200"/>
    <x v="3"/>
    <x v="160"/>
    <x v="10"/>
    <s v="Percent"/>
    <s v="Units"/>
    <x v="1"/>
    <n v="2.8000000000000001E-2"/>
  </r>
  <r>
    <n v="200"/>
    <x v="3"/>
    <x v="160"/>
    <x v="10"/>
    <s v="Percent"/>
    <s v="Units"/>
    <x v="2"/>
    <n v="2.5999999999999999E-2"/>
  </r>
  <r>
    <n v="200"/>
    <x v="3"/>
    <x v="160"/>
    <x v="10"/>
    <s v="Percent"/>
    <s v="Units"/>
    <x v="3"/>
    <n v="2.5999999999999999E-2"/>
  </r>
  <r>
    <n v="200"/>
    <x v="3"/>
    <x v="160"/>
    <x v="10"/>
    <s v="Percent"/>
    <s v="Units"/>
    <x v="4"/>
    <n v="2.5000000000000001E-2"/>
  </r>
  <r>
    <n v="200"/>
    <x v="3"/>
    <x v="160"/>
    <x v="10"/>
    <s v="Percent"/>
    <s v="Units"/>
    <x v="5"/>
    <n v="2.5000000000000001E-2"/>
  </r>
  <r>
    <n v="200"/>
    <x v="3"/>
    <x v="160"/>
    <x v="10"/>
    <s v="Percent"/>
    <s v="Units"/>
    <x v="6"/>
    <n v="2.5000000000000001E-2"/>
  </r>
  <r>
    <n v="903"/>
    <x v="8"/>
    <x v="135"/>
    <x v="10"/>
    <s v="Percent"/>
    <s v="Units"/>
    <x v="0"/>
    <n v="2.7E-2"/>
  </r>
  <r>
    <n v="903"/>
    <x v="8"/>
    <x v="135"/>
    <x v="10"/>
    <s v="Percent"/>
    <s v="Units"/>
    <x v="1"/>
    <n v="2.5999999999999999E-2"/>
  </r>
  <r>
    <n v="903"/>
    <x v="8"/>
    <x v="135"/>
    <x v="10"/>
    <s v="Percent"/>
    <s v="Units"/>
    <x v="2"/>
    <n v="2.5999999999999999E-2"/>
  </r>
  <r>
    <n v="903"/>
    <x v="8"/>
    <x v="135"/>
    <x v="10"/>
    <s v="Percent"/>
    <s v="Units"/>
    <x v="3"/>
    <n v="2.5000000000000001E-2"/>
  </r>
  <r>
    <n v="903"/>
    <x v="8"/>
    <x v="135"/>
    <x v="10"/>
    <s v="Percent"/>
    <s v="Units"/>
    <x v="4"/>
    <n v="2.5000000000000001E-2"/>
  </r>
  <r>
    <n v="903"/>
    <x v="8"/>
    <x v="135"/>
    <x v="10"/>
    <s v="Percent"/>
    <s v="Units"/>
    <x v="5"/>
    <n v="2.5000000000000001E-2"/>
  </r>
  <r>
    <n v="903"/>
    <x v="8"/>
    <x v="135"/>
    <x v="10"/>
    <s v="Percent"/>
    <s v="Units"/>
    <x v="6"/>
    <n v="2.5000000000000001E-2"/>
  </r>
  <r>
    <n v="200"/>
    <x v="3"/>
    <x v="133"/>
    <x v="10"/>
    <s v="Percent"/>
    <s v="Units"/>
    <x v="0"/>
    <n v="2.5999999999999999E-2"/>
  </r>
  <r>
    <n v="200"/>
    <x v="3"/>
    <x v="133"/>
    <x v="10"/>
    <s v="Percent"/>
    <s v="Units"/>
    <x v="1"/>
    <n v="2.5000000000000001E-2"/>
  </r>
  <r>
    <n v="200"/>
    <x v="3"/>
    <x v="133"/>
    <x v="10"/>
    <s v="Percent"/>
    <s v="Units"/>
    <x v="2"/>
    <n v="2.5999999999999999E-2"/>
  </r>
  <r>
    <n v="200"/>
    <x v="3"/>
    <x v="133"/>
    <x v="10"/>
    <s v="Percent"/>
    <s v="Units"/>
    <x v="3"/>
    <n v="2.4E-2"/>
  </r>
  <r>
    <n v="200"/>
    <x v="3"/>
    <x v="133"/>
    <x v="10"/>
    <s v="Percent"/>
    <s v="Units"/>
    <x v="4"/>
    <n v="2.4E-2"/>
  </r>
  <r>
    <n v="200"/>
    <x v="3"/>
    <x v="133"/>
    <x v="10"/>
    <s v="Percent"/>
    <s v="Units"/>
    <x v="5"/>
    <n v="2.4E-2"/>
  </r>
  <r>
    <n v="200"/>
    <x v="3"/>
    <x v="133"/>
    <x v="10"/>
    <s v="Percent"/>
    <s v="Units"/>
    <x v="6"/>
    <n v="2.4E-2"/>
  </r>
  <r>
    <n v="200"/>
    <x v="3"/>
    <x v="138"/>
    <x v="10"/>
    <s v="Percent"/>
    <s v="Units"/>
    <x v="0"/>
    <n v="2.5000000000000001E-2"/>
  </r>
  <r>
    <n v="200"/>
    <x v="3"/>
    <x v="138"/>
    <x v="10"/>
    <s v="Percent"/>
    <s v="Units"/>
    <x v="1"/>
    <n v="2.5000000000000001E-2"/>
  </r>
  <r>
    <n v="200"/>
    <x v="3"/>
    <x v="138"/>
    <x v="10"/>
    <s v="Percent"/>
    <s v="Units"/>
    <x v="2"/>
    <n v="2.4E-2"/>
  </r>
  <r>
    <n v="200"/>
    <x v="3"/>
    <x v="138"/>
    <x v="10"/>
    <s v="Percent"/>
    <s v="Units"/>
    <x v="3"/>
    <n v="2.4E-2"/>
  </r>
  <r>
    <n v="200"/>
    <x v="3"/>
    <x v="138"/>
    <x v="10"/>
    <s v="Percent"/>
    <s v="Units"/>
    <x v="4"/>
    <n v="2.4E-2"/>
  </r>
  <r>
    <n v="200"/>
    <x v="3"/>
    <x v="138"/>
    <x v="10"/>
    <s v="Percent"/>
    <s v="Units"/>
    <x v="5"/>
    <n v="2.4E-2"/>
  </r>
  <r>
    <n v="200"/>
    <x v="3"/>
    <x v="138"/>
    <x v="10"/>
    <s v="Percent"/>
    <s v="Units"/>
    <x v="6"/>
    <n v="2.4E-2"/>
  </r>
  <r>
    <n v="200"/>
    <x v="3"/>
    <x v="148"/>
    <x v="10"/>
    <s v="Percent"/>
    <s v="Units"/>
    <x v="0"/>
    <n v="2.5000000000000001E-2"/>
  </r>
  <r>
    <n v="200"/>
    <x v="3"/>
    <x v="148"/>
    <x v="10"/>
    <s v="Percent"/>
    <s v="Units"/>
    <x v="1"/>
    <n v="2.5000000000000001E-2"/>
  </r>
  <r>
    <n v="200"/>
    <x v="3"/>
    <x v="148"/>
    <x v="10"/>
    <s v="Percent"/>
    <s v="Units"/>
    <x v="2"/>
    <n v="2.3E-2"/>
  </r>
  <r>
    <n v="200"/>
    <x v="3"/>
    <x v="148"/>
    <x v="10"/>
    <s v="Percent"/>
    <s v="Units"/>
    <x v="3"/>
    <n v="2.4E-2"/>
  </r>
  <r>
    <n v="200"/>
    <x v="3"/>
    <x v="148"/>
    <x v="10"/>
    <s v="Percent"/>
    <s v="Units"/>
    <x v="4"/>
    <n v="2.4E-2"/>
  </r>
  <r>
    <n v="200"/>
    <x v="3"/>
    <x v="148"/>
    <x v="10"/>
    <s v="Percent"/>
    <s v="Units"/>
    <x v="5"/>
    <n v="2.4E-2"/>
  </r>
  <r>
    <n v="200"/>
    <x v="3"/>
    <x v="148"/>
    <x v="10"/>
    <s v="Percent"/>
    <s v="Units"/>
    <x v="6"/>
    <n v="2.4E-2"/>
  </r>
  <r>
    <n v="603"/>
    <x v="12"/>
    <x v="138"/>
    <x v="10"/>
    <s v="Percent"/>
    <s v="Units"/>
    <x v="0"/>
    <n v="2.5000000000000001E-2"/>
  </r>
  <r>
    <n v="603"/>
    <x v="12"/>
    <x v="138"/>
    <x v="10"/>
    <s v="Percent"/>
    <s v="Units"/>
    <x v="1"/>
    <n v="2.5000000000000001E-2"/>
  </r>
  <r>
    <n v="603"/>
    <x v="12"/>
    <x v="138"/>
    <x v="10"/>
    <s v="Percent"/>
    <s v="Units"/>
    <x v="2"/>
    <n v="2.4E-2"/>
  </r>
  <r>
    <n v="603"/>
    <x v="12"/>
    <x v="138"/>
    <x v="10"/>
    <s v="Percent"/>
    <s v="Units"/>
    <x v="3"/>
    <n v="2.4E-2"/>
  </r>
  <r>
    <n v="603"/>
    <x v="12"/>
    <x v="138"/>
    <x v="10"/>
    <s v="Percent"/>
    <s v="Units"/>
    <x v="4"/>
    <n v="2.4E-2"/>
  </r>
  <r>
    <n v="603"/>
    <x v="12"/>
    <x v="138"/>
    <x v="10"/>
    <s v="Percent"/>
    <s v="Units"/>
    <x v="5"/>
    <n v="2.4E-2"/>
  </r>
  <r>
    <n v="603"/>
    <x v="12"/>
    <x v="138"/>
    <x v="10"/>
    <s v="Percent"/>
    <s v="Units"/>
    <x v="6"/>
    <n v="2.4E-2"/>
  </r>
  <r>
    <n v="505"/>
    <x v="4"/>
    <x v="148"/>
    <x v="10"/>
    <s v="Percent"/>
    <s v="Units"/>
    <x v="0"/>
    <n v="2.5000000000000001E-2"/>
  </r>
  <r>
    <n v="505"/>
    <x v="4"/>
    <x v="148"/>
    <x v="10"/>
    <s v="Percent"/>
    <s v="Units"/>
    <x v="1"/>
    <n v="2.5000000000000001E-2"/>
  </r>
  <r>
    <n v="505"/>
    <x v="4"/>
    <x v="148"/>
    <x v="10"/>
    <s v="Percent"/>
    <s v="Units"/>
    <x v="2"/>
    <n v="2.3E-2"/>
  </r>
  <r>
    <n v="505"/>
    <x v="4"/>
    <x v="148"/>
    <x v="10"/>
    <s v="Percent"/>
    <s v="Units"/>
    <x v="3"/>
    <n v="2.4E-2"/>
  </r>
  <r>
    <n v="505"/>
    <x v="4"/>
    <x v="148"/>
    <x v="10"/>
    <s v="Percent"/>
    <s v="Units"/>
    <x v="4"/>
    <n v="2.4E-2"/>
  </r>
  <r>
    <n v="505"/>
    <x v="4"/>
    <x v="148"/>
    <x v="10"/>
    <s v="Percent"/>
    <s v="Units"/>
    <x v="5"/>
    <n v="2.4E-2"/>
  </r>
  <r>
    <n v="505"/>
    <x v="4"/>
    <x v="148"/>
    <x v="10"/>
    <s v="Percent"/>
    <s v="Units"/>
    <x v="6"/>
    <n v="2.4E-2"/>
  </r>
  <r>
    <n v="903"/>
    <x v="8"/>
    <x v="133"/>
    <x v="10"/>
    <s v="Percent"/>
    <s v="Units"/>
    <x v="0"/>
    <n v="2.5999999999999999E-2"/>
  </r>
  <r>
    <n v="903"/>
    <x v="8"/>
    <x v="133"/>
    <x v="10"/>
    <s v="Percent"/>
    <s v="Units"/>
    <x v="1"/>
    <n v="2.5000000000000001E-2"/>
  </r>
  <r>
    <n v="903"/>
    <x v="8"/>
    <x v="133"/>
    <x v="10"/>
    <s v="Percent"/>
    <s v="Units"/>
    <x v="2"/>
    <n v="2.5999999999999999E-2"/>
  </r>
  <r>
    <n v="903"/>
    <x v="8"/>
    <x v="133"/>
    <x v="10"/>
    <s v="Percent"/>
    <s v="Units"/>
    <x v="3"/>
    <n v="2.4E-2"/>
  </r>
  <r>
    <n v="903"/>
    <x v="8"/>
    <x v="133"/>
    <x v="10"/>
    <s v="Percent"/>
    <s v="Units"/>
    <x v="4"/>
    <n v="2.4E-2"/>
  </r>
  <r>
    <n v="903"/>
    <x v="8"/>
    <x v="133"/>
    <x v="10"/>
    <s v="Percent"/>
    <s v="Units"/>
    <x v="5"/>
    <n v="2.4E-2"/>
  </r>
  <r>
    <n v="903"/>
    <x v="8"/>
    <x v="133"/>
    <x v="10"/>
    <s v="Percent"/>
    <s v="Units"/>
    <x v="6"/>
    <n v="2.4E-2"/>
  </r>
  <r>
    <n v="603"/>
    <x v="12"/>
    <x v="166"/>
    <x v="10"/>
    <s v="Percent"/>
    <s v="Units"/>
    <x v="0"/>
    <n v="2.3E-2"/>
  </r>
  <r>
    <n v="603"/>
    <x v="12"/>
    <x v="166"/>
    <x v="10"/>
    <s v="Percent"/>
    <s v="Units"/>
    <x v="1"/>
    <n v="0.02"/>
  </r>
  <r>
    <n v="603"/>
    <x v="12"/>
    <x v="166"/>
    <x v="10"/>
    <s v="Percent"/>
    <s v="Units"/>
    <x v="2"/>
    <n v="0.02"/>
  </r>
  <r>
    <n v="603"/>
    <x v="12"/>
    <x v="166"/>
    <x v="10"/>
    <s v="Percent"/>
    <s v="Units"/>
    <x v="3"/>
    <n v="2.1000000000000001E-2"/>
  </r>
  <r>
    <n v="603"/>
    <x v="12"/>
    <x v="166"/>
    <x v="10"/>
    <s v="Percent"/>
    <s v="Units"/>
    <x v="4"/>
    <n v="2.1000000000000001E-2"/>
  </r>
  <r>
    <n v="603"/>
    <x v="12"/>
    <x v="166"/>
    <x v="10"/>
    <s v="Percent"/>
    <s v="Units"/>
    <x v="5"/>
    <n v="2.1999999999999999E-2"/>
  </r>
  <r>
    <n v="603"/>
    <x v="12"/>
    <x v="166"/>
    <x v="10"/>
    <s v="Percent"/>
    <s v="Units"/>
    <x v="6"/>
    <n v="2.1999999999999999E-2"/>
  </r>
  <r>
    <n v="200"/>
    <x v="3"/>
    <x v="166"/>
    <x v="10"/>
    <s v="Percent"/>
    <s v="Units"/>
    <x v="0"/>
    <n v="2.3E-2"/>
  </r>
  <r>
    <n v="200"/>
    <x v="3"/>
    <x v="166"/>
    <x v="10"/>
    <s v="Percent"/>
    <s v="Units"/>
    <x v="1"/>
    <n v="0.02"/>
  </r>
  <r>
    <n v="200"/>
    <x v="3"/>
    <x v="166"/>
    <x v="10"/>
    <s v="Percent"/>
    <s v="Units"/>
    <x v="2"/>
    <n v="0.02"/>
  </r>
  <r>
    <n v="200"/>
    <x v="3"/>
    <x v="166"/>
    <x v="10"/>
    <s v="Percent"/>
    <s v="Units"/>
    <x v="3"/>
    <n v="2.1000000000000001E-2"/>
  </r>
  <r>
    <n v="200"/>
    <x v="3"/>
    <x v="166"/>
    <x v="10"/>
    <s v="Percent"/>
    <s v="Units"/>
    <x v="4"/>
    <n v="2.1000000000000001E-2"/>
  </r>
  <r>
    <n v="200"/>
    <x v="3"/>
    <x v="166"/>
    <x v="10"/>
    <s v="Percent"/>
    <s v="Units"/>
    <x v="5"/>
    <n v="2.1999999999999999E-2"/>
  </r>
  <r>
    <n v="200"/>
    <x v="3"/>
    <x v="166"/>
    <x v="10"/>
    <s v="Percent"/>
    <s v="Units"/>
    <x v="6"/>
    <n v="2.1999999999999999E-2"/>
  </r>
  <r>
    <n v="200"/>
    <x v="3"/>
    <x v="162"/>
    <x v="10"/>
    <s v="Percent"/>
    <s v="Units"/>
    <x v="0"/>
    <n v="2.1999999999999999E-2"/>
  </r>
  <r>
    <n v="200"/>
    <x v="3"/>
    <x v="162"/>
    <x v="10"/>
    <s v="Percent"/>
    <s v="Units"/>
    <x v="1"/>
    <n v="2.3E-2"/>
  </r>
  <r>
    <n v="200"/>
    <x v="3"/>
    <x v="162"/>
    <x v="10"/>
    <s v="Percent"/>
    <s v="Units"/>
    <x v="2"/>
    <n v="2.1999999999999999E-2"/>
  </r>
  <r>
    <n v="200"/>
    <x v="3"/>
    <x v="162"/>
    <x v="10"/>
    <s v="Percent"/>
    <s v="Units"/>
    <x v="3"/>
    <n v="2.1999999999999999E-2"/>
  </r>
  <r>
    <n v="200"/>
    <x v="3"/>
    <x v="162"/>
    <x v="10"/>
    <s v="Percent"/>
    <s v="Units"/>
    <x v="4"/>
    <n v="2.1999999999999999E-2"/>
  </r>
  <r>
    <n v="200"/>
    <x v="3"/>
    <x v="162"/>
    <x v="10"/>
    <s v="Percent"/>
    <s v="Units"/>
    <x v="5"/>
    <n v="2.1999999999999999E-2"/>
  </r>
  <r>
    <n v="200"/>
    <x v="3"/>
    <x v="162"/>
    <x v="10"/>
    <s v="Percent"/>
    <s v="Units"/>
    <x v="6"/>
    <n v="2.1999999999999999E-2"/>
  </r>
  <r>
    <n v="603"/>
    <x v="12"/>
    <x v="162"/>
    <x v="10"/>
    <s v="Percent"/>
    <s v="Units"/>
    <x v="0"/>
    <n v="2.1999999999999999E-2"/>
  </r>
  <r>
    <n v="603"/>
    <x v="12"/>
    <x v="162"/>
    <x v="10"/>
    <s v="Percent"/>
    <s v="Units"/>
    <x v="1"/>
    <n v="2.3E-2"/>
  </r>
  <r>
    <n v="603"/>
    <x v="12"/>
    <x v="162"/>
    <x v="10"/>
    <s v="Percent"/>
    <s v="Units"/>
    <x v="2"/>
    <n v="2.1999999999999999E-2"/>
  </r>
  <r>
    <n v="603"/>
    <x v="12"/>
    <x v="162"/>
    <x v="10"/>
    <s v="Percent"/>
    <s v="Units"/>
    <x v="3"/>
    <n v="2.1999999999999999E-2"/>
  </r>
  <r>
    <n v="603"/>
    <x v="12"/>
    <x v="162"/>
    <x v="10"/>
    <s v="Percent"/>
    <s v="Units"/>
    <x v="4"/>
    <n v="2.1999999999999999E-2"/>
  </r>
  <r>
    <n v="603"/>
    <x v="12"/>
    <x v="162"/>
    <x v="10"/>
    <s v="Percent"/>
    <s v="Units"/>
    <x v="5"/>
    <n v="2.1999999999999999E-2"/>
  </r>
  <r>
    <n v="603"/>
    <x v="12"/>
    <x v="162"/>
    <x v="10"/>
    <s v="Percent"/>
    <s v="Units"/>
    <x v="6"/>
    <n v="2.1999999999999999E-2"/>
  </r>
  <r>
    <n v="205"/>
    <x v="7"/>
    <x v="176"/>
    <x v="10"/>
    <s v="Percent"/>
    <s v="Units"/>
    <x v="0"/>
    <n v="2.7E-2"/>
  </r>
  <r>
    <n v="205"/>
    <x v="7"/>
    <x v="176"/>
    <x v="10"/>
    <s v="Percent"/>
    <s v="Units"/>
    <x v="1"/>
    <n v="2.5999999999999999E-2"/>
  </r>
  <r>
    <n v="205"/>
    <x v="7"/>
    <x v="176"/>
    <x v="10"/>
    <s v="Percent"/>
    <s v="Units"/>
    <x v="2"/>
    <n v="2.4E-2"/>
  </r>
  <r>
    <n v="205"/>
    <x v="7"/>
    <x v="176"/>
    <x v="10"/>
    <s v="Percent"/>
    <s v="Units"/>
    <x v="3"/>
    <n v="2.3E-2"/>
  </r>
  <r>
    <n v="205"/>
    <x v="7"/>
    <x v="176"/>
    <x v="10"/>
    <s v="Percent"/>
    <s v="Units"/>
    <x v="4"/>
    <n v="2.1999999999999999E-2"/>
  </r>
  <r>
    <n v="205"/>
    <x v="7"/>
    <x v="176"/>
    <x v="10"/>
    <s v="Percent"/>
    <s v="Units"/>
    <x v="5"/>
    <n v="2.1000000000000001E-2"/>
  </r>
  <r>
    <n v="205"/>
    <x v="7"/>
    <x v="176"/>
    <x v="10"/>
    <s v="Percent"/>
    <s v="Units"/>
    <x v="6"/>
    <n v="0.02"/>
  </r>
  <r>
    <n v="200"/>
    <x v="3"/>
    <x v="176"/>
    <x v="10"/>
    <s v="Percent"/>
    <s v="Units"/>
    <x v="0"/>
    <n v="2.7E-2"/>
  </r>
  <r>
    <n v="200"/>
    <x v="3"/>
    <x v="176"/>
    <x v="10"/>
    <s v="Percent"/>
    <s v="Units"/>
    <x v="1"/>
    <n v="2.5999999999999999E-2"/>
  </r>
  <r>
    <n v="200"/>
    <x v="3"/>
    <x v="176"/>
    <x v="10"/>
    <s v="Percent"/>
    <s v="Units"/>
    <x v="2"/>
    <n v="2.4E-2"/>
  </r>
  <r>
    <n v="200"/>
    <x v="3"/>
    <x v="176"/>
    <x v="10"/>
    <s v="Percent"/>
    <s v="Units"/>
    <x v="3"/>
    <n v="2.3E-2"/>
  </r>
  <r>
    <n v="200"/>
    <x v="3"/>
    <x v="176"/>
    <x v="10"/>
    <s v="Percent"/>
    <s v="Units"/>
    <x v="4"/>
    <n v="2.1999999999999999E-2"/>
  </r>
  <r>
    <n v="200"/>
    <x v="3"/>
    <x v="176"/>
    <x v="10"/>
    <s v="Percent"/>
    <s v="Units"/>
    <x v="5"/>
    <n v="2.1000000000000001E-2"/>
  </r>
  <r>
    <n v="200"/>
    <x v="3"/>
    <x v="176"/>
    <x v="10"/>
    <s v="Percent"/>
    <s v="Units"/>
    <x v="6"/>
    <n v="0.02"/>
  </r>
  <r>
    <n v="110"/>
    <x v="0"/>
    <x v="128"/>
    <x v="10"/>
    <s v="Percent"/>
    <s v="Units"/>
    <x v="0"/>
    <n v="1.7999999999999999E-2"/>
  </r>
  <r>
    <n v="110"/>
    <x v="0"/>
    <x v="128"/>
    <x v="10"/>
    <s v="Percent"/>
    <s v="Units"/>
    <x v="1"/>
    <n v="1.7000000000000001E-2"/>
  </r>
  <r>
    <n v="110"/>
    <x v="0"/>
    <x v="128"/>
    <x v="10"/>
    <s v="Percent"/>
    <s v="Units"/>
    <x v="2"/>
    <n v="1.7999999999999999E-2"/>
  </r>
  <r>
    <n v="110"/>
    <x v="0"/>
    <x v="128"/>
    <x v="10"/>
    <s v="Percent"/>
    <s v="Units"/>
    <x v="3"/>
    <n v="1.9E-2"/>
  </r>
  <r>
    <n v="110"/>
    <x v="0"/>
    <x v="128"/>
    <x v="10"/>
    <s v="Percent"/>
    <s v="Units"/>
    <x v="4"/>
    <n v="1.9E-2"/>
  </r>
  <r>
    <n v="110"/>
    <x v="0"/>
    <x v="128"/>
    <x v="10"/>
    <s v="Percent"/>
    <s v="Units"/>
    <x v="5"/>
    <n v="0.02"/>
  </r>
  <r>
    <n v="110"/>
    <x v="0"/>
    <x v="128"/>
    <x v="10"/>
    <s v="Percent"/>
    <s v="Units"/>
    <x v="6"/>
    <n v="0.02"/>
  </r>
  <r>
    <n v="200"/>
    <x v="3"/>
    <x v="151"/>
    <x v="10"/>
    <s v="Percent"/>
    <s v="Units"/>
    <x v="0"/>
    <n v="2.1999999999999999E-2"/>
  </r>
  <r>
    <n v="200"/>
    <x v="3"/>
    <x v="151"/>
    <x v="10"/>
    <s v="Percent"/>
    <s v="Units"/>
    <x v="1"/>
    <n v="0.02"/>
  </r>
  <r>
    <n v="200"/>
    <x v="3"/>
    <x v="151"/>
    <x v="10"/>
    <s v="Percent"/>
    <s v="Units"/>
    <x v="2"/>
    <n v="0.02"/>
  </r>
  <r>
    <n v="200"/>
    <x v="3"/>
    <x v="151"/>
    <x v="10"/>
    <s v="Percent"/>
    <s v="Units"/>
    <x v="3"/>
    <n v="0.02"/>
  </r>
  <r>
    <n v="200"/>
    <x v="3"/>
    <x v="151"/>
    <x v="10"/>
    <s v="Percent"/>
    <s v="Units"/>
    <x v="4"/>
    <n v="0.02"/>
  </r>
  <r>
    <n v="200"/>
    <x v="3"/>
    <x v="151"/>
    <x v="10"/>
    <s v="Percent"/>
    <s v="Units"/>
    <x v="5"/>
    <n v="0.02"/>
  </r>
  <r>
    <n v="200"/>
    <x v="3"/>
    <x v="151"/>
    <x v="10"/>
    <s v="Percent"/>
    <s v="Units"/>
    <x v="6"/>
    <n v="0.02"/>
  </r>
  <r>
    <n v="205"/>
    <x v="7"/>
    <x v="151"/>
    <x v="10"/>
    <s v="Percent"/>
    <s v="Units"/>
    <x v="0"/>
    <n v="2.1999999999999999E-2"/>
  </r>
  <r>
    <n v="205"/>
    <x v="7"/>
    <x v="151"/>
    <x v="10"/>
    <s v="Percent"/>
    <s v="Units"/>
    <x v="1"/>
    <n v="0.02"/>
  </r>
  <r>
    <n v="205"/>
    <x v="7"/>
    <x v="151"/>
    <x v="10"/>
    <s v="Percent"/>
    <s v="Units"/>
    <x v="2"/>
    <n v="0.02"/>
  </r>
  <r>
    <n v="205"/>
    <x v="7"/>
    <x v="151"/>
    <x v="10"/>
    <s v="Percent"/>
    <s v="Units"/>
    <x v="3"/>
    <n v="0.02"/>
  </r>
  <r>
    <n v="205"/>
    <x v="7"/>
    <x v="151"/>
    <x v="10"/>
    <s v="Percent"/>
    <s v="Units"/>
    <x v="4"/>
    <n v="0.02"/>
  </r>
  <r>
    <n v="205"/>
    <x v="7"/>
    <x v="151"/>
    <x v="10"/>
    <s v="Percent"/>
    <s v="Units"/>
    <x v="5"/>
    <n v="0.02"/>
  </r>
  <r>
    <n v="205"/>
    <x v="7"/>
    <x v="151"/>
    <x v="10"/>
    <s v="Percent"/>
    <s v="Units"/>
    <x v="6"/>
    <n v="0.02"/>
  </r>
  <r>
    <n v="998"/>
    <x v="6"/>
    <x v="128"/>
    <x v="10"/>
    <s v="Percent"/>
    <s v="Units"/>
    <x v="0"/>
    <n v="1.7999999999999999E-2"/>
  </r>
  <r>
    <n v="998"/>
    <x v="6"/>
    <x v="128"/>
    <x v="10"/>
    <s v="Percent"/>
    <s v="Units"/>
    <x v="1"/>
    <n v="1.7000000000000001E-2"/>
  </r>
  <r>
    <n v="998"/>
    <x v="6"/>
    <x v="128"/>
    <x v="10"/>
    <s v="Percent"/>
    <s v="Units"/>
    <x v="2"/>
    <n v="1.7999999999999999E-2"/>
  </r>
  <r>
    <n v="998"/>
    <x v="6"/>
    <x v="128"/>
    <x v="10"/>
    <s v="Percent"/>
    <s v="Units"/>
    <x v="3"/>
    <n v="1.9E-2"/>
  </r>
  <r>
    <n v="998"/>
    <x v="6"/>
    <x v="128"/>
    <x v="10"/>
    <s v="Percent"/>
    <s v="Units"/>
    <x v="4"/>
    <n v="1.9E-2"/>
  </r>
  <r>
    <n v="998"/>
    <x v="6"/>
    <x v="128"/>
    <x v="10"/>
    <s v="Percent"/>
    <s v="Units"/>
    <x v="5"/>
    <n v="0.02"/>
  </r>
  <r>
    <n v="998"/>
    <x v="6"/>
    <x v="128"/>
    <x v="10"/>
    <s v="Percent"/>
    <s v="Units"/>
    <x v="6"/>
    <n v="0.02"/>
  </r>
  <r>
    <n v="400"/>
    <x v="11"/>
    <x v="134"/>
    <x v="10"/>
    <s v="Percent"/>
    <s v="Units"/>
    <x v="0"/>
    <n v="1.7999999999999999E-2"/>
  </r>
  <r>
    <n v="400"/>
    <x v="11"/>
    <x v="134"/>
    <x v="10"/>
    <s v="Percent"/>
    <s v="Units"/>
    <x v="1"/>
    <n v="1.9E-2"/>
  </r>
  <r>
    <n v="400"/>
    <x v="11"/>
    <x v="134"/>
    <x v="10"/>
    <s v="Percent"/>
    <s v="Units"/>
    <x v="2"/>
    <n v="1.7999999999999999E-2"/>
  </r>
  <r>
    <n v="400"/>
    <x v="11"/>
    <x v="134"/>
    <x v="10"/>
    <s v="Percent"/>
    <s v="Units"/>
    <x v="3"/>
    <n v="1.7999999999999999E-2"/>
  </r>
  <r>
    <n v="400"/>
    <x v="11"/>
    <x v="134"/>
    <x v="10"/>
    <s v="Percent"/>
    <s v="Units"/>
    <x v="4"/>
    <n v="1.7999999999999999E-2"/>
  </r>
  <r>
    <n v="400"/>
    <x v="11"/>
    <x v="134"/>
    <x v="10"/>
    <s v="Percent"/>
    <s v="Units"/>
    <x v="5"/>
    <n v="1.9E-2"/>
  </r>
  <r>
    <n v="400"/>
    <x v="11"/>
    <x v="134"/>
    <x v="10"/>
    <s v="Percent"/>
    <s v="Units"/>
    <x v="6"/>
    <n v="1.9E-2"/>
  </r>
  <r>
    <n v="200"/>
    <x v="3"/>
    <x v="134"/>
    <x v="10"/>
    <s v="Percent"/>
    <s v="Units"/>
    <x v="0"/>
    <n v="1.7999999999999999E-2"/>
  </r>
  <r>
    <n v="200"/>
    <x v="3"/>
    <x v="134"/>
    <x v="10"/>
    <s v="Percent"/>
    <s v="Units"/>
    <x v="1"/>
    <n v="1.9E-2"/>
  </r>
  <r>
    <n v="200"/>
    <x v="3"/>
    <x v="134"/>
    <x v="10"/>
    <s v="Percent"/>
    <s v="Units"/>
    <x v="2"/>
    <n v="1.7999999999999999E-2"/>
  </r>
  <r>
    <n v="200"/>
    <x v="3"/>
    <x v="134"/>
    <x v="10"/>
    <s v="Percent"/>
    <s v="Units"/>
    <x v="3"/>
    <n v="1.7999999999999999E-2"/>
  </r>
  <r>
    <n v="200"/>
    <x v="3"/>
    <x v="134"/>
    <x v="10"/>
    <s v="Percent"/>
    <s v="Units"/>
    <x v="4"/>
    <n v="1.7999999999999999E-2"/>
  </r>
  <r>
    <n v="200"/>
    <x v="3"/>
    <x v="134"/>
    <x v="10"/>
    <s v="Percent"/>
    <s v="Units"/>
    <x v="5"/>
    <n v="1.9E-2"/>
  </r>
  <r>
    <n v="200"/>
    <x v="3"/>
    <x v="134"/>
    <x v="10"/>
    <s v="Percent"/>
    <s v="Units"/>
    <x v="6"/>
    <n v="1.9E-2"/>
  </r>
  <r>
    <n v="200"/>
    <x v="3"/>
    <x v="149"/>
    <x v="10"/>
    <s v="Percent"/>
    <s v="Units"/>
    <x v="0"/>
    <n v="2.1000000000000001E-2"/>
  </r>
  <r>
    <n v="200"/>
    <x v="3"/>
    <x v="149"/>
    <x v="10"/>
    <s v="Percent"/>
    <s v="Units"/>
    <x v="1"/>
    <n v="2.1000000000000001E-2"/>
  </r>
  <r>
    <n v="200"/>
    <x v="3"/>
    <x v="149"/>
    <x v="10"/>
    <s v="Percent"/>
    <s v="Units"/>
    <x v="2"/>
    <n v="0.02"/>
  </r>
  <r>
    <n v="200"/>
    <x v="3"/>
    <x v="149"/>
    <x v="10"/>
    <s v="Percent"/>
    <s v="Units"/>
    <x v="3"/>
    <n v="1.9E-2"/>
  </r>
  <r>
    <n v="200"/>
    <x v="3"/>
    <x v="149"/>
    <x v="10"/>
    <s v="Percent"/>
    <s v="Units"/>
    <x v="4"/>
    <n v="1.9E-2"/>
  </r>
  <r>
    <n v="200"/>
    <x v="3"/>
    <x v="149"/>
    <x v="10"/>
    <s v="Percent"/>
    <s v="Units"/>
    <x v="5"/>
    <n v="1.7999999999999999E-2"/>
  </r>
  <r>
    <n v="200"/>
    <x v="3"/>
    <x v="149"/>
    <x v="10"/>
    <s v="Percent"/>
    <s v="Units"/>
    <x v="6"/>
    <n v="1.7999999999999999E-2"/>
  </r>
  <r>
    <n v="505"/>
    <x v="4"/>
    <x v="149"/>
    <x v="10"/>
    <s v="Percent"/>
    <s v="Units"/>
    <x v="0"/>
    <n v="2.1000000000000001E-2"/>
  </r>
  <r>
    <n v="505"/>
    <x v="4"/>
    <x v="149"/>
    <x v="10"/>
    <s v="Percent"/>
    <s v="Units"/>
    <x v="1"/>
    <n v="2.1000000000000001E-2"/>
  </r>
  <r>
    <n v="505"/>
    <x v="4"/>
    <x v="149"/>
    <x v="10"/>
    <s v="Percent"/>
    <s v="Units"/>
    <x v="2"/>
    <n v="0.02"/>
  </r>
  <r>
    <n v="505"/>
    <x v="4"/>
    <x v="149"/>
    <x v="10"/>
    <s v="Percent"/>
    <s v="Units"/>
    <x v="3"/>
    <n v="1.9E-2"/>
  </r>
  <r>
    <n v="505"/>
    <x v="4"/>
    <x v="149"/>
    <x v="10"/>
    <s v="Percent"/>
    <s v="Units"/>
    <x v="4"/>
    <n v="1.9E-2"/>
  </r>
  <r>
    <n v="505"/>
    <x v="4"/>
    <x v="149"/>
    <x v="10"/>
    <s v="Percent"/>
    <s v="Units"/>
    <x v="5"/>
    <n v="1.7999999999999999E-2"/>
  </r>
  <r>
    <n v="505"/>
    <x v="4"/>
    <x v="149"/>
    <x v="10"/>
    <s v="Percent"/>
    <s v="Units"/>
    <x v="6"/>
    <n v="1.7999999999999999E-2"/>
  </r>
  <r>
    <n v="400"/>
    <x v="11"/>
    <x v="188"/>
    <x v="10"/>
    <s v="Percent"/>
    <s v="Units"/>
    <x v="0"/>
    <n v="1.9E-2"/>
  </r>
  <r>
    <n v="400"/>
    <x v="11"/>
    <x v="188"/>
    <x v="10"/>
    <s v="Percent"/>
    <s v="Units"/>
    <x v="1"/>
    <n v="1.9E-2"/>
  </r>
  <r>
    <n v="400"/>
    <x v="11"/>
    <x v="188"/>
    <x v="10"/>
    <s v="Percent"/>
    <s v="Units"/>
    <x v="2"/>
    <n v="1.7999999999999999E-2"/>
  </r>
  <r>
    <n v="400"/>
    <x v="11"/>
    <x v="188"/>
    <x v="10"/>
    <s v="Percent"/>
    <s v="Units"/>
    <x v="3"/>
    <n v="1.7999999999999999E-2"/>
  </r>
  <r>
    <n v="400"/>
    <x v="11"/>
    <x v="188"/>
    <x v="10"/>
    <s v="Percent"/>
    <s v="Units"/>
    <x v="4"/>
    <n v="1.7999999999999999E-2"/>
  </r>
  <r>
    <n v="400"/>
    <x v="11"/>
    <x v="188"/>
    <x v="10"/>
    <s v="Percent"/>
    <s v="Units"/>
    <x v="5"/>
    <n v="1.7999999999999999E-2"/>
  </r>
  <r>
    <n v="400"/>
    <x v="11"/>
    <x v="188"/>
    <x v="10"/>
    <s v="Percent"/>
    <s v="Units"/>
    <x v="6"/>
    <n v="1.7999999999999999E-2"/>
  </r>
  <r>
    <n v="200"/>
    <x v="3"/>
    <x v="188"/>
    <x v="10"/>
    <s v="Percent"/>
    <s v="Units"/>
    <x v="0"/>
    <n v="1.9E-2"/>
  </r>
  <r>
    <n v="200"/>
    <x v="3"/>
    <x v="188"/>
    <x v="10"/>
    <s v="Percent"/>
    <s v="Units"/>
    <x v="1"/>
    <n v="1.9E-2"/>
  </r>
  <r>
    <n v="200"/>
    <x v="3"/>
    <x v="188"/>
    <x v="10"/>
    <s v="Percent"/>
    <s v="Units"/>
    <x v="2"/>
    <n v="1.7999999999999999E-2"/>
  </r>
  <r>
    <n v="200"/>
    <x v="3"/>
    <x v="188"/>
    <x v="10"/>
    <s v="Percent"/>
    <s v="Units"/>
    <x v="3"/>
    <n v="1.7999999999999999E-2"/>
  </r>
  <r>
    <n v="200"/>
    <x v="3"/>
    <x v="188"/>
    <x v="10"/>
    <s v="Percent"/>
    <s v="Units"/>
    <x v="4"/>
    <n v="1.7999999999999999E-2"/>
  </r>
  <r>
    <n v="200"/>
    <x v="3"/>
    <x v="188"/>
    <x v="10"/>
    <s v="Percent"/>
    <s v="Units"/>
    <x v="5"/>
    <n v="1.7999999999999999E-2"/>
  </r>
  <r>
    <n v="200"/>
    <x v="3"/>
    <x v="188"/>
    <x v="10"/>
    <s v="Percent"/>
    <s v="Units"/>
    <x v="6"/>
    <n v="1.7999999999999999E-2"/>
  </r>
  <r>
    <n v="200"/>
    <x v="3"/>
    <x v="136"/>
    <x v="10"/>
    <s v="Percent"/>
    <s v="Units"/>
    <x v="0"/>
    <n v="1.9E-2"/>
  </r>
  <r>
    <n v="200"/>
    <x v="3"/>
    <x v="136"/>
    <x v="10"/>
    <s v="Percent"/>
    <s v="Units"/>
    <x v="1"/>
    <n v="1.7999999999999999E-2"/>
  </r>
  <r>
    <n v="200"/>
    <x v="3"/>
    <x v="136"/>
    <x v="10"/>
    <s v="Percent"/>
    <s v="Units"/>
    <x v="2"/>
    <n v="1.7000000000000001E-2"/>
  </r>
  <r>
    <n v="200"/>
    <x v="3"/>
    <x v="136"/>
    <x v="10"/>
    <s v="Percent"/>
    <s v="Units"/>
    <x v="3"/>
    <n v="1.7000000000000001E-2"/>
  </r>
  <r>
    <n v="200"/>
    <x v="3"/>
    <x v="136"/>
    <x v="10"/>
    <s v="Percent"/>
    <s v="Units"/>
    <x v="4"/>
    <n v="1.7000000000000001E-2"/>
  </r>
  <r>
    <n v="200"/>
    <x v="3"/>
    <x v="136"/>
    <x v="10"/>
    <s v="Percent"/>
    <s v="Units"/>
    <x v="5"/>
    <n v="1.7000000000000001E-2"/>
  </r>
  <r>
    <n v="200"/>
    <x v="3"/>
    <x v="136"/>
    <x v="10"/>
    <s v="Percent"/>
    <s v="Units"/>
    <x v="6"/>
    <n v="1.7000000000000001E-2"/>
  </r>
  <r>
    <n v="603"/>
    <x v="12"/>
    <x v="136"/>
    <x v="10"/>
    <s v="Percent"/>
    <s v="Units"/>
    <x v="0"/>
    <n v="1.9E-2"/>
  </r>
  <r>
    <n v="603"/>
    <x v="12"/>
    <x v="136"/>
    <x v="10"/>
    <s v="Percent"/>
    <s v="Units"/>
    <x v="1"/>
    <n v="1.7999999999999999E-2"/>
  </r>
  <r>
    <n v="603"/>
    <x v="12"/>
    <x v="136"/>
    <x v="10"/>
    <s v="Percent"/>
    <s v="Units"/>
    <x v="2"/>
    <n v="1.7000000000000001E-2"/>
  </r>
  <r>
    <n v="603"/>
    <x v="12"/>
    <x v="136"/>
    <x v="10"/>
    <s v="Percent"/>
    <s v="Units"/>
    <x v="3"/>
    <n v="1.7000000000000001E-2"/>
  </r>
  <r>
    <n v="603"/>
    <x v="12"/>
    <x v="136"/>
    <x v="10"/>
    <s v="Percent"/>
    <s v="Units"/>
    <x v="4"/>
    <n v="1.7000000000000001E-2"/>
  </r>
  <r>
    <n v="603"/>
    <x v="12"/>
    <x v="136"/>
    <x v="10"/>
    <s v="Percent"/>
    <s v="Units"/>
    <x v="5"/>
    <n v="1.7000000000000001E-2"/>
  </r>
  <r>
    <n v="603"/>
    <x v="12"/>
    <x v="136"/>
    <x v="10"/>
    <s v="Percent"/>
    <s v="Units"/>
    <x v="6"/>
    <n v="1.7000000000000001E-2"/>
  </r>
  <r>
    <n v="200"/>
    <x v="3"/>
    <x v="153"/>
    <x v="10"/>
    <s v="Percent"/>
    <s v="Units"/>
    <x v="0"/>
    <n v="1.7000000000000001E-2"/>
  </r>
  <r>
    <n v="200"/>
    <x v="3"/>
    <x v="153"/>
    <x v="10"/>
    <s v="Percent"/>
    <s v="Units"/>
    <x v="1"/>
    <n v="1.7000000000000001E-2"/>
  </r>
  <r>
    <n v="200"/>
    <x v="3"/>
    <x v="153"/>
    <x v="10"/>
    <s v="Percent"/>
    <s v="Units"/>
    <x v="2"/>
    <n v="1.6E-2"/>
  </r>
  <r>
    <n v="200"/>
    <x v="3"/>
    <x v="153"/>
    <x v="10"/>
    <s v="Percent"/>
    <s v="Units"/>
    <x v="3"/>
    <n v="1.6E-2"/>
  </r>
  <r>
    <n v="200"/>
    <x v="3"/>
    <x v="153"/>
    <x v="10"/>
    <s v="Percent"/>
    <s v="Units"/>
    <x v="4"/>
    <n v="1.6E-2"/>
  </r>
  <r>
    <n v="200"/>
    <x v="3"/>
    <x v="153"/>
    <x v="10"/>
    <s v="Percent"/>
    <s v="Units"/>
    <x v="5"/>
    <n v="1.6E-2"/>
  </r>
  <r>
    <n v="200"/>
    <x v="3"/>
    <x v="153"/>
    <x v="10"/>
    <s v="Percent"/>
    <s v="Units"/>
    <x v="6"/>
    <n v="1.6E-2"/>
  </r>
  <r>
    <n v="123"/>
    <x v="9"/>
    <x v="113"/>
    <x v="10"/>
    <s v="Percent"/>
    <s v="Units"/>
    <x v="0"/>
    <n v="1.6E-2"/>
  </r>
  <r>
    <n v="123"/>
    <x v="9"/>
    <x v="113"/>
    <x v="10"/>
    <s v="Percent"/>
    <s v="Units"/>
    <x v="1"/>
    <n v="1.4999999999999999E-2"/>
  </r>
  <r>
    <n v="123"/>
    <x v="9"/>
    <x v="113"/>
    <x v="10"/>
    <s v="Percent"/>
    <s v="Units"/>
    <x v="2"/>
    <n v="1.4999999999999999E-2"/>
  </r>
  <r>
    <n v="123"/>
    <x v="9"/>
    <x v="113"/>
    <x v="10"/>
    <s v="Percent"/>
    <s v="Units"/>
    <x v="3"/>
    <n v="1.6E-2"/>
  </r>
  <r>
    <n v="123"/>
    <x v="9"/>
    <x v="113"/>
    <x v="10"/>
    <s v="Percent"/>
    <s v="Units"/>
    <x v="4"/>
    <n v="1.6E-2"/>
  </r>
  <r>
    <n v="123"/>
    <x v="9"/>
    <x v="113"/>
    <x v="10"/>
    <s v="Percent"/>
    <s v="Units"/>
    <x v="5"/>
    <n v="1.6E-2"/>
  </r>
  <r>
    <n v="123"/>
    <x v="9"/>
    <x v="113"/>
    <x v="10"/>
    <s v="Percent"/>
    <s v="Units"/>
    <x v="6"/>
    <n v="1.4999999999999999E-2"/>
  </r>
  <r>
    <n v="200"/>
    <x v="3"/>
    <x v="150"/>
    <x v="10"/>
    <s v="Percent"/>
    <s v="Units"/>
    <x v="0"/>
    <n v="1.6E-2"/>
  </r>
  <r>
    <n v="200"/>
    <x v="3"/>
    <x v="150"/>
    <x v="10"/>
    <s v="Percent"/>
    <s v="Units"/>
    <x v="1"/>
    <n v="1.4999999999999999E-2"/>
  </r>
  <r>
    <n v="200"/>
    <x v="3"/>
    <x v="150"/>
    <x v="10"/>
    <s v="Percent"/>
    <s v="Units"/>
    <x v="2"/>
    <n v="1.6E-2"/>
  </r>
  <r>
    <n v="200"/>
    <x v="3"/>
    <x v="150"/>
    <x v="10"/>
    <s v="Percent"/>
    <s v="Units"/>
    <x v="3"/>
    <n v="1.6E-2"/>
  </r>
  <r>
    <n v="200"/>
    <x v="3"/>
    <x v="150"/>
    <x v="10"/>
    <s v="Percent"/>
    <s v="Units"/>
    <x v="4"/>
    <n v="1.6E-2"/>
  </r>
  <r>
    <n v="200"/>
    <x v="3"/>
    <x v="150"/>
    <x v="10"/>
    <s v="Percent"/>
    <s v="Units"/>
    <x v="5"/>
    <n v="1.6E-2"/>
  </r>
  <r>
    <n v="200"/>
    <x v="3"/>
    <x v="150"/>
    <x v="10"/>
    <s v="Percent"/>
    <s v="Units"/>
    <x v="6"/>
    <n v="1.6E-2"/>
  </r>
  <r>
    <n v="603"/>
    <x v="12"/>
    <x v="171"/>
    <x v="10"/>
    <s v="Percent"/>
    <s v="Units"/>
    <x v="0"/>
    <n v="1.9E-2"/>
  </r>
  <r>
    <n v="603"/>
    <x v="12"/>
    <x v="171"/>
    <x v="10"/>
    <s v="Percent"/>
    <s v="Units"/>
    <x v="1"/>
    <n v="1.9E-2"/>
  </r>
  <r>
    <n v="603"/>
    <x v="12"/>
    <x v="171"/>
    <x v="10"/>
    <s v="Percent"/>
    <s v="Units"/>
    <x v="2"/>
    <n v="1.7999999999999999E-2"/>
  </r>
  <r>
    <n v="603"/>
    <x v="12"/>
    <x v="171"/>
    <x v="10"/>
    <s v="Percent"/>
    <s v="Units"/>
    <x v="3"/>
    <n v="1.7999999999999999E-2"/>
  </r>
  <r>
    <n v="603"/>
    <x v="12"/>
    <x v="171"/>
    <x v="10"/>
    <s v="Percent"/>
    <s v="Units"/>
    <x v="4"/>
    <n v="1.6E-2"/>
  </r>
  <r>
    <n v="603"/>
    <x v="12"/>
    <x v="171"/>
    <x v="10"/>
    <s v="Percent"/>
    <s v="Units"/>
    <x v="5"/>
    <n v="1.6E-2"/>
  </r>
  <r>
    <n v="603"/>
    <x v="12"/>
    <x v="171"/>
    <x v="10"/>
    <s v="Percent"/>
    <s v="Units"/>
    <x v="6"/>
    <n v="1.4999999999999999E-2"/>
  </r>
  <r>
    <n v="603"/>
    <x v="12"/>
    <x v="153"/>
    <x v="10"/>
    <s v="Percent"/>
    <s v="Units"/>
    <x v="0"/>
    <n v="1.7000000000000001E-2"/>
  </r>
  <r>
    <n v="603"/>
    <x v="12"/>
    <x v="153"/>
    <x v="10"/>
    <s v="Percent"/>
    <s v="Units"/>
    <x v="1"/>
    <n v="1.7000000000000001E-2"/>
  </r>
  <r>
    <n v="603"/>
    <x v="12"/>
    <x v="153"/>
    <x v="10"/>
    <s v="Percent"/>
    <s v="Units"/>
    <x v="2"/>
    <n v="1.6E-2"/>
  </r>
  <r>
    <n v="603"/>
    <x v="12"/>
    <x v="153"/>
    <x v="10"/>
    <s v="Percent"/>
    <s v="Units"/>
    <x v="3"/>
    <n v="1.6E-2"/>
  </r>
  <r>
    <n v="603"/>
    <x v="12"/>
    <x v="153"/>
    <x v="10"/>
    <s v="Percent"/>
    <s v="Units"/>
    <x v="4"/>
    <n v="1.6E-2"/>
  </r>
  <r>
    <n v="603"/>
    <x v="12"/>
    <x v="153"/>
    <x v="10"/>
    <s v="Percent"/>
    <s v="Units"/>
    <x v="5"/>
    <n v="1.6E-2"/>
  </r>
  <r>
    <n v="603"/>
    <x v="12"/>
    <x v="153"/>
    <x v="10"/>
    <s v="Percent"/>
    <s v="Units"/>
    <x v="6"/>
    <n v="1.6E-2"/>
  </r>
  <r>
    <n v="200"/>
    <x v="3"/>
    <x v="171"/>
    <x v="10"/>
    <s v="Percent"/>
    <s v="Units"/>
    <x v="0"/>
    <n v="1.9E-2"/>
  </r>
  <r>
    <n v="200"/>
    <x v="3"/>
    <x v="171"/>
    <x v="10"/>
    <s v="Percent"/>
    <s v="Units"/>
    <x v="1"/>
    <n v="1.9E-2"/>
  </r>
  <r>
    <n v="200"/>
    <x v="3"/>
    <x v="171"/>
    <x v="10"/>
    <s v="Percent"/>
    <s v="Units"/>
    <x v="2"/>
    <n v="1.7999999999999999E-2"/>
  </r>
  <r>
    <n v="200"/>
    <x v="3"/>
    <x v="171"/>
    <x v="10"/>
    <s v="Percent"/>
    <s v="Units"/>
    <x v="3"/>
    <n v="1.7999999999999999E-2"/>
  </r>
  <r>
    <n v="200"/>
    <x v="3"/>
    <x v="171"/>
    <x v="10"/>
    <s v="Percent"/>
    <s v="Units"/>
    <x v="4"/>
    <n v="1.6E-2"/>
  </r>
  <r>
    <n v="200"/>
    <x v="3"/>
    <x v="171"/>
    <x v="10"/>
    <s v="Percent"/>
    <s v="Units"/>
    <x v="5"/>
    <n v="1.6E-2"/>
  </r>
  <r>
    <n v="200"/>
    <x v="3"/>
    <x v="171"/>
    <x v="10"/>
    <s v="Percent"/>
    <s v="Units"/>
    <x v="6"/>
    <n v="1.4999999999999999E-2"/>
  </r>
  <r>
    <n v="903"/>
    <x v="8"/>
    <x v="150"/>
    <x v="10"/>
    <s v="Percent"/>
    <s v="Units"/>
    <x v="0"/>
    <n v="1.6E-2"/>
  </r>
  <r>
    <n v="903"/>
    <x v="8"/>
    <x v="150"/>
    <x v="10"/>
    <s v="Percent"/>
    <s v="Units"/>
    <x v="1"/>
    <n v="1.4999999999999999E-2"/>
  </r>
  <r>
    <n v="903"/>
    <x v="8"/>
    <x v="150"/>
    <x v="10"/>
    <s v="Percent"/>
    <s v="Units"/>
    <x v="2"/>
    <n v="1.6E-2"/>
  </r>
  <r>
    <n v="903"/>
    <x v="8"/>
    <x v="150"/>
    <x v="10"/>
    <s v="Percent"/>
    <s v="Units"/>
    <x v="3"/>
    <n v="1.6E-2"/>
  </r>
  <r>
    <n v="903"/>
    <x v="8"/>
    <x v="150"/>
    <x v="10"/>
    <s v="Percent"/>
    <s v="Units"/>
    <x v="4"/>
    <n v="1.6E-2"/>
  </r>
  <r>
    <n v="903"/>
    <x v="8"/>
    <x v="150"/>
    <x v="10"/>
    <s v="Percent"/>
    <s v="Units"/>
    <x v="5"/>
    <n v="1.6E-2"/>
  </r>
  <r>
    <n v="903"/>
    <x v="8"/>
    <x v="150"/>
    <x v="10"/>
    <s v="Percent"/>
    <s v="Units"/>
    <x v="6"/>
    <n v="1.6E-2"/>
  </r>
  <r>
    <n v="110"/>
    <x v="0"/>
    <x v="113"/>
    <x v="10"/>
    <s v="Percent"/>
    <s v="Units"/>
    <x v="0"/>
    <n v="1.6E-2"/>
  </r>
  <r>
    <n v="110"/>
    <x v="0"/>
    <x v="113"/>
    <x v="10"/>
    <s v="Percent"/>
    <s v="Units"/>
    <x v="1"/>
    <n v="1.4999999999999999E-2"/>
  </r>
  <r>
    <n v="110"/>
    <x v="0"/>
    <x v="113"/>
    <x v="10"/>
    <s v="Percent"/>
    <s v="Units"/>
    <x v="2"/>
    <n v="1.4999999999999999E-2"/>
  </r>
  <r>
    <n v="110"/>
    <x v="0"/>
    <x v="113"/>
    <x v="10"/>
    <s v="Percent"/>
    <s v="Units"/>
    <x v="3"/>
    <n v="1.6E-2"/>
  </r>
  <r>
    <n v="110"/>
    <x v="0"/>
    <x v="113"/>
    <x v="10"/>
    <s v="Percent"/>
    <s v="Units"/>
    <x v="4"/>
    <n v="1.6E-2"/>
  </r>
  <r>
    <n v="110"/>
    <x v="0"/>
    <x v="113"/>
    <x v="10"/>
    <s v="Percent"/>
    <s v="Units"/>
    <x v="5"/>
    <n v="1.6E-2"/>
  </r>
  <r>
    <n v="110"/>
    <x v="0"/>
    <x v="113"/>
    <x v="10"/>
    <s v="Percent"/>
    <s v="Units"/>
    <x v="6"/>
    <n v="1.4999999999999999E-2"/>
  </r>
  <r>
    <n v="603"/>
    <x v="12"/>
    <x v="163"/>
    <x v="10"/>
    <s v="Percent"/>
    <s v="Units"/>
    <x v="0"/>
    <n v="1.2999999999999999E-2"/>
  </r>
  <r>
    <n v="603"/>
    <x v="12"/>
    <x v="163"/>
    <x v="10"/>
    <s v="Percent"/>
    <s v="Units"/>
    <x v="1"/>
    <n v="1.4E-2"/>
  </r>
  <r>
    <n v="603"/>
    <x v="12"/>
    <x v="163"/>
    <x v="10"/>
    <s v="Percent"/>
    <s v="Units"/>
    <x v="2"/>
    <n v="1.4E-2"/>
  </r>
  <r>
    <n v="603"/>
    <x v="12"/>
    <x v="163"/>
    <x v="10"/>
    <s v="Percent"/>
    <s v="Units"/>
    <x v="3"/>
    <n v="1.4E-2"/>
  </r>
  <r>
    <n v="603"/>
    <x v="12"/>
    <x v="163"/>
    <x v="10"/>
    <s v="Percent"/>
    <s v="Units"/>
    <x v="4"/>
    <n v="1.4E-2"/>
  </r>
  <r>
    <n v="603"/>
    <x v="12"/>
    <x v="163"/>
    <x v="10"/>
    <s v="Percent"/>
    <s v="Units"/>
    <x v="5"/>
    <n v="1.4999999999999999E-2"/>
  </r>
  <r>
    <n v="603"/>
    <x v="12"/>
    <x v="163"/>
    <x v="10"/>
    <s v="Percent"/>
    <s v="Units"/>
    <x v="6"/>
    <n v="1.4999999999999999E-2"/>
  </r>
  <r>
    <n v="200"/>
    <x v="3"/>
    <x v="163"/>
    <x v="10"/>
    <s v="Percent"/>
    <s v="Units"/>
    <x v="0"/>
    <n v="1.2999999999999999E-2"/>
  </r>
  <r>
    <n v="200"/>
    <x v="3"/>
    <x v="163"/>
    <x v="10"/>
    <s v="Percent"/>
    <s v="Units"/>
    <x v="1"/>
    <n v="1.4E-2"/>
  </r>
  <r>
    <n v="200"/>
    <x v="3"/>
    <x v="163"/>
    <x v="10"/>
    <s v="Percent"/>
    <s v="Units"/>
    <x v="2"/>
    <n v="1.4E-2"/>
  </r>
  <r>
    <n v="200"/>
    <x v="3"/>
    <x v="163"/>
    <x v="10"/>
    <s v="Percent"/>
    <s v="Units"/>
    <x v="3"/>
    <n v="1.4E-2"/>
  </r>
  <r>
    <n v="200"/>
    <x v="3"/>
    <x v="163"/>
    <x v="10"/>
    <s v="Percent"/>
    <s v="Units"/>
    <x v="4"/>
    <n v="1.4E-2"/>
  </r>
  <r>
    <n v="200"/>
    <x v="3"/>
    <x v="163"/>
    <x v="10"/>
    <s v="Percent"/>
    <s v="Units"/>
    <x v="5"/>
    <n v="1.4999999999999999E-2"/>
  </r>
  <r>
    <n v="200"/>
    <x v="3"/>
    <x v="163"/>
    <x v="10"/>
    <s v="Percent"/>
    <s v="Units"/>
    <x v="6"/>
    <n v="1.4999999999999999E-2"/>
  </r>
  <r>
    <n v="903"/>
    <x v="8"/>
    <x v="116"/>
    <x v="10"/>
    <s v="Percent"/>
    <s v="Units"/>
    <x v="0"/>
    <n v="0.01"/>
  </r>
  <r>
    <n v="903"/>
    <x v="8"/>
    <x v="116"/>
    <x v="10"/>
    <s v="Percent"/>
    <s v="Units"/>
    <x v="1"/>
    <n v="8.9999999999999993E-3"/>
  </r>
  <r>
    <n v="903"/>
    <x v="8"/>
    <x v="116"/>
    <x v="10"/>
    <s v="Percent"/>
    <s v="Units"/>
    <x v="2"/>
    <n v="0.01"/>
  </r>
  <r>
    <n v="903"/>
    <x v="8"/>
    <x v="116"/>
    <x v="10"/>
    <s v="Percent"/>
    <s v="Units"/>
    <x v="3"/>
    <n v="0.01"/>
  </r>
  <r>
    <n v="903"/>
    <x v="8"/>
    <x v="116"/>
    <x v="10"/>
    <s v="Percent"/>
    <s v="Units"/>
    <x v="4"/>
    <n v="0.01"/>
  </r>
  <r>
    <n v="903"/>
    <x v="8"/>
    <x v="116"/>
    <x v="10"/>
    <s v="Percent"/>
    <s v="Units"/>
    <x v="5"/>
    <n v="0.01"/>
  </r>
  <r>
    <n v="903"/>
    <x v="8"/>
    <x v="116"/>
    <x v="10"/>
    <s v="Percent"/>
    <s v="Units"/>
    <x v="6"/>
    <n v="0.01"/>
  </r>
  <r>
    <n v="200"/>
    <x v="3"/>
    <x v="126"/>
    <x v="10"/>
    <s v="Percent"/>
    <s v="Units"/>
    <x v="0"/>
    <n v="0.01"/>
  </r>
  <r>
    <n v="200"/>
    <x v="3"/>
    <x v="126"/>
    <x v="10"/>
    <s v="Percent"/>
    <s v="Units"/>
    <x v="1"/>
    <n v="0.01"/>
  </r>
  <r>
    <n v="200"/>
    <x v="3"/>
    <x v="126"/>
    <x v="10"/>
    <s v="Percent"/>
    <s v="Units"/>
    <x v="2"/>
    <n v="0.01"/>
  </r>
  <r>
    <n v="200"/>
    <x v="3"/>
    <x v="126"/>
    <x v="10"/>
    <s v="Percent"/>
    <s v="Units"/>
    <x v="3"/>
    <n v="0.01"/>
  </r>
  <r>
    <n v="200"/>
    <x v="3"/>
    <x v="126"/>
    <x v="10"/>
    <s v="Percent"/>
    <s v="Units"/>
    <x v="4"/>
    <n v="0.01"/>
  </r>
  <r>
    <n v="200"/>
    <x v="3"/>
    <x v="126"/>
    <x v="10"/>
    <s v="Percent"/>
    <s v="Units"/>
    <x v="5"/>
    <n v="0.01"/>
  </r>
  <r>
    <n v="200"/>
    <x v="3"/>
    <x v="126"/>
    <x v="10"/>
    <s v="Percent"/>
    <s v="Units"/>
    <x v="6"/>
    <n v="0.01"/>
  </r>
  <r>
    <n v="205"/>
    <x v="7"/>
    <x v="175"/>
    <x v="10"/>
    <s v="Percent"/>
    <s v="Units"/>
    <x v="0"/>
    <n v="1.0999999999999999E-2"/>
  </r>
  <r>
    <n v="205"/>
    <x v="7"/>
    <x v="175"/>
    <x v="10"/>
    <s v="Percent"/>
    <s v="Units"/>
    <x v="1"/>
    <n v="8.0000000000000002E-3"/>
  </r>
  <r>
    <n v="205"/>
    <x v="7"/>
    <x v="175"/>
    <x v="10"/>
    <s v="Percent"/>
    <s v="Units"/>
    <x v="2"/>
    <n v="8.9999999999999993E-3"/>
  </r>
  <r>
    <n v="205"/>
    <x v="7"/>
    <x v="175"/>
    <x v="10"/>
    <s v="Percent"/>
    <s v="Units"/>
    <x v="3"/>
    <n v="0.01"/>
  </r>
  <r>
    <n v="205"/>
    <x v="7"/>
    <x v="175"/>
    <x v="10"/>
    <s v="Percent"/>
    <s v="Units"/>
    <x v="4"/>
    <n v="0.01"/>
  </r>
  <r>
    <n v="205"/>
    <x v="7"/>
    <x v="175"/>
    <x v="10"/>
    <s v="Percent"/>
    <s v="Units"/>
    <x v="5"/>
    <n v="0.01"/>
  </r>
  <r>
    <n v="205"/>
    <x v="7"/>
    <x v="175"/>
    <x v="10"/>
    <s v="Percent"/>
    <s v="Units"/>
    <x v="6"/>
    <n v="0.01"/>
  </r>
  <r>
    <n v="200"/>
    <x v="3"/>
    <x v="116"/>
    <x v="10"/>
    <s v="Percent"/>
    <s v="Units"/>
    <x v="0"/>
    <n v="0.01"/>
  </r>
  <r>
    <n v="200"/>
    <x v="3"/>
    <x v="116"/>
    <x v="10"/>
    <s v="Percent"/>
    <s v="Units"/>
    <x v="1"/>
    <n v="8.9999999999999993E-3"/>
  </r>
  <r>
    <n v="200"/>
    <x v="3"/>
    <x v="116"/>
    <x v="10"/>
    <s v="Percent"/>
    <s v="Units"/>
    <x v="2"/>
    <n v="0.01"/>
  </r>
  <r>
    <n v="200"/>
    <x v="3"/>
    <x v="116"/>
    <x v="10"/>
    <s v="Percent"/>
    <s v="Units"/>
    <x v="3"/>
    <n v="0.01"/>
  </r>
  <r>
    <n v="200"/>
    <x v="3"/>
    <x v="116"/>
    <x v="10"/>
    <s v="Percent"/>
    <s v="Units"/>
    <x v="4"/>
    <n v="0.01"/>
  </r>
  <r>
    <n v="200"/>
    <x v="3"/>
    <x v="116"/>
    <x v="10"/>
    <s v="Percent"/>
    <s v="Units"/>
    <x v="5"/>
    <n v="0.01"/>
  </r>
  <r>
    <n v="200"/>
    <x v="3"/>
    <x v="116"/>
    <x v="10"/>
    <s v="Percent"/>
    <s v="Units"/>
    <x v="6"/>
    <n v="0.01"/>
  </r>
  <r>
    <n v="200"/>
    <x v="3"/>
    <x v="175"/>
    <x v="10"/>
    <s v="Percent"/>
    <s v="Units"/>
    <x v="0"/>
    <n v="1.0999999999999999E-2"/>
  </r>
  <r>
    <n v="200"/>
    <x v="3"/>
    <x v="175"/>
    <x v="10"/>
    <s v="Percent"/>
    <s v="Units"/>
    <x v="1"/>
    <n v="8.0000000000000002E-3"/>
  </r>
  <r>
    <n v="200"/>
    <x v="3"/>
    <x v="175"/>
    <x v="10"/>
    <s v="Percent"/>
    <s v="Units"/>
    <x v="2"/>
    <n v="8.9999999999999993E-3"/>
  </r>
  <r>
    <n v="200"/>
    <x v="3"/>
    <x v="175"/>
    <x v="10"/>
    <s v="Percent"/>
    <s v="Units"/>
    <x v="3"/>
    <n v="0.01"/>
  </r>
  <r>
    <n v="200"/>
    <x v="3"/>
    <x v="175"/>
    <x v="10"/>
    <s v="Percent"/>
    <s v="Units"/>
    <x v="4"/>
    <n v="0.01"/>
  </r>
  <r>
    <n v="200"/>
    <x v="3"/>
    <x v="175"/>
    <x v="10"/>
    <s v="Percent"/>
    <s v="Units"/>
    <x v="5"/>
    <n v="0.01"/>
  </r>
  <r>
    <n v="200"/>
    <x v="3"/>
    <x v="175"/>
    <x v="10"/>
    <s v="Percent"/>
    <s v="Units"/>
    <x v="6"/>
    <n v="0.01"/>
  </r>
  <r>
    <n v="603"/>
    <x v="12"/>
    <x v="126"/>
    <x v="10"/>
    <s v="Percent"/>
    <s v="Units"/>
    <x v="0"/>
    <n v="0.01"/>
  </r>
  <r>
    <n v="603"/>
    <x v="12"/>
    <x v="126"/>
    <x v="10"/>
    <s v="Percent"/>
    <s v="Units"/>
    <x v="1"/>
    <n v="0.01"/>
  </r>
  <r>
    <n v="603"/>
    <x v="12"/>
    <x v="126"/>
    <x v="10"/>
    <s v="Percent"/>
    <s v="Units"/>
    <x v="2"/>
    <n v="0.01"/>
  </r>
  <r>
    <n v="603"/>
    <x v="12"/>
    <x v="126"/>
    <x v="10"/>
    <s v="Percent"/>
    <s v="Units"/>
    <x v="3"/>
    <n v="0.01"/>
  </r>
  <r>
    <n v="603"/>
    <x v="12"/>
    <x v="126"/>
    <x v="10"/>
    <s v="Percent"/>
    <s v="Units"/>
    <x v="4"/>
    <n v="0.01"/>
  </r>
  <r>
    <n v="603"/>
    <x v="12"/>
    <x v="126"/>
    <x v="10"/>
    <s v="Percent"/>
    <s v="Units"/>
    <x v="5"/>
    <n v="0.01"/>
  </r>
  <r>
    <n v="603"/>
    <x v="12"/>
    <x v="126"/>
    <x v="10"/>
    <s v="Percent"/>
    <s v="Units"/>
    <x v="6"/>
    <n v="0.01"/>
  </r>
  <r>
    <n v="505"/>
    <x v="4"/>
    <x v="147"/>
    <x v="10"/>
    <s v="Percent"/>
    <s v="Units"/>
    <x v="0"/>
    <n v="8.9999999999999993E-3"/>
  </r>
  <r>
    <n v="505"/>
    <x v="4"/>
    <x v="147"/>
    <x v="10"/>
    <s v="Percent"/>
    <s v="Units"/>
    <x v="1"/>
    <n v="8.0000000000000002E-3"/>
  </r>
  <r>
    <n v="505"/>
    <x v="4"/>
    <x v="147"/>
    <x v="10"/>
    <s v="Percent"/>
    <s v="Units"/>
    <x v="2"/>
    <n v="7.0000000000000001E-3"/>
  </r>
  <r>
    <n v="505"/>
    <x v="4"/>
    <x v="147"/>
    <x v="10"/>
    <s v="Percent"/>
    <s v="Units"/>
    <x v="3"/>
    <n v="8.0000000000000002E-3"/>
  </r>
  <r>
    <n v="505"/>
    <x v="4"/>
    <x v="147"/>
    <x v="10"/>
    <s v="Percent"/>
    <s v="Units"/>
    <x v="4"/>
    <n v="8.9999999999999993E-3"/>
  </r>
  <r>
    <n v="505"/>
    <x v="4"/>
    <x v="147"/>
    <x v="10"/>
    <s v="Percent"/>
    <s v="Units"/>
    <x v="5"/>
    <n v="8.9999999999999993E-3"/>
  </r>
  <r>
    <n v="505"/>
    <x v="4"/>
    <x v="147"/>
    <x v="10"/>
    <s v="Percent"/>
    <s v="Units"/>
    <x v="6"/>
    <n v="8.9999999999999993E-3"/>
  </r>
  <r>
    <n v="205"/>
    <x v="7"/>
    <x v="23"/>
    <x v="9"/>
    <s v="Percent of GDP"/>
    <s v="Units"/>
    <x v="0"/>
    <n v="-4.4450000000000003"/>
  </r>
  <r>
    <n v="205"/>
    <x v="7"/>
    <x v="23"/>
    <x v="9"/>
    <s v="Percent of GDP"/>
    <s v="Units"/>
    <x v="1"/>
    <n v="-8.6739999999999995"/>
  </r>
  <r>
    <n v="205"/>
    <x v="7"/>
    <x v="23"/>
    <x v="9"/>
    <s v="Percent of GDP"/>
    <s v="Units"/>
    <x v="2"/>
    <n v="-4.3209999999999997"/>
  </r>
  <r>
    <n v="205"/>
    <x v="7"/>
    <x v="23"/>
    <x v="9"/>
    <s v="Percent of GDP"/>
    <s v="Units"/>
    <x v="3"/>
    <n v="-3.8540000000000001"/>
  </r>
  <r>
    <n v="205"/>
    <x v="7"/>
    <x v="23"/>
    <x v="9"/>
    <s v="Percent of GDP"/>
    <s v="Units"/>
    <x v="4"/>
    <n v="-4.2460000000000004"/>
  </r>
  <r>
    <n v="205"/>
    <x v="7"/>
    <x v="23"/>
    <x v="9"/>
    <s v="Percent of GDP"/>
    <s v="Units"/>
    <x v="5"/>
    <n v="8.9999999999999993E-3"/>
  </r>
  <r>
    <n v="205"/>
    <x v="7"/>
    <x v="23"/>
    <x v="9"/>
    <s v="Percent of GDP"/>
    <s v="Units"/>
    <x v="6"/>
    <n v="0.66200000000000003"/>
  </r>
  <r>
    <n v="200"/>
    <x v="3"/>
    <x v="23"/>
    <x v="9"/>
    <s v="Percent of GDP"/>
    <s v="Units"/>
    <x v="0"/>
    <n v="-4.4450000000000003"/>
  </r>
  <r>
    <n v="200"/>
    <x v="3"/>
    <x v="23"/>
    <x v="9"/>
    <s v="Percent of GDP"/>
    <s v="Units"/>
    <x v="1"/>
    <n v="-8.6739999999999995"/>
  </r>
  <r>
    <n v="200"/>
    <x v="3"/>
    <x v="23"/>
    <x v="9"/>
    <s v="Percent of GDP"/>
    <s v="Units"/>
    <x v="2"/>
    <n v="-4.3209999999999997"/>
  </r>
  <r>
    <n v="200"/>
    <x v="3"/>
    <x v="23"/>
    <x v="9"/>
    <s v="Percent of GDP"/>
    <s v="Units"/>
    <x v="3"/>
    <n v="-3.8540000000000001"/>
  </r>
  <r>
    <n v="200"/>
    <x v="3"/>
    <x v="23"/>
    <x v="9"/>
    <s v="Percent of GDP"/>
    <s v="Units"/>
    <x v="4"/>
    <n v="-4.2460000000000004"/>
  </r>
  <r>
    <n v="200"/>
    <x v="3"/>
    <x v="23"/>
    <x v="9"/>
    <s v="Percent of GDP"/>
    <s v="Units"/>
    <x v="5"/>
    <n v="8.9999999999999993E-3"/>
  </r>
  <r>
    <n v="200"/>
    <x v="3"/>
    <x v="23"/>
    <x v="9"/>
    <s v="Percent of GDP"/>
    <s v="Units"/>
    <x v="6"/>
    <n v="0.66200000000000003"/>
  </r>
  <r>
    <n v="200"/>
    <x v="3"/>
    <x v="147"/>
    <x v="10"/>
    <s v="Percent"/>
    <s v="Units"/>
    <x v="0"/>
    <n v="8.9999999999999993E-3"/>
  </r>
  <r>
    <n v="200"/>
    <x v="3"/>
    <x v="147"/>
    <x v="10"/>
    <s v="Percent"/>
    <s v="Units"/>
    <x v="1"/>
    <n v="8.0000000000000002E-3"/>
  </r>
  <r>
    <n v="200"/>
    <x v="3"/>
    <x v="147"/>
    <x v="10"/>
    <s v="Percent"/>
    <s v="Units"/>
    <x v="2"/>
    <n v="7.0000000000000001E-3"/>
  </r>
  <r>
    <n v="200"/>
    <x v="3"/>
    <x v="147"/>
    <x v="10"/>
    <s v="Percent"/>
    <s v="Units"/>
    <x v="3"/>
    <n v="8.0000000000000002E-3"/>
  </r>
  <r>
    <n v="200"/>
    <x v="3"/>
    <x v="147"/>
    <x v="10"/>
    <s v="Percent"/>
    <s v="Units"/>
    <x v="4"/>
    <n v="8.9999999999999993E-3"/>
  </r>
  <r>
    <n v="200"/>
    <x v="3"/>
    <x v="147"/>
    <x v="10"/>
    <s v="Percent"/>
    <s v="Units"/>
    <x v="5"/>
    <n v="8.9999999999999993E-3"/>
  </r>
  <r>
    <n v="200"/>
    <x v="3"/>
    <x v="147"/>
    <x v="10"/>
    <s v="Percent"/>
    <s v="Units"/>
    <x v="6"/>
    <n v="8.9999999999999993E-3"/>
  </r>
  <r>
    <n v="505"/>
    <x v="4"/>
    <x v="143"/>
    <x v="9"/>
    <s v="Percent of GDP"/>
    <s v="Units"/>
    <x v="0"/>
    <n v="1.0029999999999999"/>
  </r>
  <r>
    <n v="505"/>
    <x v="4"/>
    <x v="143"/>
    <x v="9"/>
    <s v="Percent of GDP"/>
    <s v="Units"/>
    <x v="1"/>
    <n v="-9.24"/>
  </r>
  <r>
    <n v="505"/>
    <x v="4"/>
    <x v="143"/>
    <x v="9"/>
    <s v="Percent of GDP"/>
    <s v="Units"/>
    <x v="2"/>
    <n v="-3.0449999999999999"/>
  </r>
  <r>
    <n v="505"/>
    <x v="4"/>
    <x v="143"/>
    <x v="9"/>
    <s v="Percent of GDP"/>
    <s v="Units"/>
    <x v="3"/>
    <n v="0.65600000000000003"/>
  </r>
  <r>
    <n v="505"/>
    <x v="4"/>
    <x v="143"/>
    <x v="9"/>
    <s v="Percent of GDP"/>
    <s v="Units"/>
    <x v="4"/>
    <n v="2.5019999999999998"/>
  </r>
  <r>
    <n v="505"/>
    <x v="4"/>
    <x v="143"/>
    <x v="9"/>
    <s v="Percent of GDP"/>
    <s v="Units"/>
    <x v="5"/>
    <n v="8.0000000000000002E-3"/>
  </r>
  <r>
    <n v="505"/>
    <x v="4"/>
    <x v="143"/>
    <x v="9"/>
    <s v="Percent of GDP"/>
    <s v="Units"/>
    <x v="6"/>
    <n v="-1.0129999999999999"/>
  </r>
  <r>
    <n v="200"/>
    <x v="3"/>
    <x v="123"/>
    <x v="10"/>
    <s v="Percent"/>
    <s v="Units"/>
    <x v="0"/>
    <n v="8.0000000000000002E-3"/>
  </r>
  <r>
    <n v="200"/>
    <x v="3"/>
    <x v="123"/>
    <x v="10"/>
    <s v="Percent"/>
    <s v="Units"/>
    <x v="1"/>
    <n v="6.0000000000000001E-3"/>
  </r>
  <r>
    <n v="200"/>
    <x v="3"/>
    <x v="123"/>
    <x v="10"/>
    <s v="Percent"/>
    <s v="Units"/>
    <x v="2"/>
    <n v="7.0000000000000001E-3"/>
  </r>
  <r>
    <n v="200"/>
    <x v="3"/>
    <x v="123"/>
    <x v="10"/>
    <s v="Percent"/>
    <s v="Units"/>
    <x v="3"/>
    <n v="8.0000000000000002E-3"/>
  </r>
  <r>
    <n v="200"/>
    <x v="3"/>
    <x v="123"/>
    <x v="10"/>
    <s v="Percent"/>
    <s v="Units"/>
    <x v="4"/>
    <n v="8.0000000000000002E-3"/>
  </r>
  <r>
    <n v="200"/>
    <x v="3"/>
    <x v="123"/>
    <x v="10"/>
    <s v="Percent"/>
    <s v="Units"/>
    <x v="5"/>
    <n v="8.0000000000000002E-3"/>
  </r>
  <r>
    <n v="200"/>
    <x v="3"/>
    <x v="123"/>
    <x v="10"/>
    <s v="Percent"/>
    <s v="Units"/>
    <x v="6"/>
    <n v="8.0000000000000002E-3"/>
  </r>
  <r>
    <n v="200"/>
    <x v="3"/>
    <x v="161"/>
    <x v="10"/>
    <s v="Percent"/>
    <s v="Units"/>
    <x v="0"/>
    <n v="8.0000000000000002E-3"/>
  </r>
  <r>
    <n v="200"/>
    <x v="3"/>
    <x v="161"/>
    <x v="10"/>
    <s v="Percent"/>
    <s v="Units"/>
    <x v="1"/>
    <n v="8.0000000000000002E-3"/>
  </r>
  <r>
    <n v="200"/>
    <x v="3"/>
    <x v="161"/>
    <x v="10"/>
    <s v="Percent"/>
    <s v="Units"/>
    <x v="2"/>
    <n v="8.0000000000000002E-3"/>
  </r>
  <r>
    <n v="200"/>
    <x v="3"/>
    <x v="161"/>
    <x v="10"/>
    <s v="Percent"/>
    <s v="Units"/>
    <x v="3"/>
    <n v="8.0000000000000002E-3"/>
  </r>
  <r>
    <n v="200"/>
    <x v="3"/>
    <x v="161"/>
    <x v="10"/>
    <s v="Percent"/>
    <s v="Units"/>
    <x v="4"/>
    <n v="8.0000000000000002E-3"/>
  </r>
  <r>
    <n v="200"/>
    <x v="3"/>
    <x v="161"/>
    <x v="10"/>
    <s v="Percent"/>
    <s v="Units"/>
    <x v="5"/>
    <n v="8.0000000000000002E-3"/>
  </r>
  <r>
    <n v="200"/>
    <x v="3"/>
    <x v="161"/>
    <x v="10"/>
    <s v="Percent"/>
    <s v="Units"/>
    <x v="6"/>
    <n v="8.0000000000000002E-3"/>
  </r>
  <r>
    <n v="505"/>
    <x v="4"/>
    <x v="123"/>
    <x v="10"/>
    <s v="Percent"/>
    <s v="Units"/>
    <x v="0"/>
    <n v="8.0000000000000002E-3"/>
  </r>
  <r>
    <n v="505"/>
    <x v="4"/>
    <x v="123"/>
    <x v="10"/>
    <s v="Percent"/>
    <s v="Units"/>
    <x v="1"/>
    <n v="6.0000000000000001E-3"/>
  </r>
  <r>
    <n v="505"/>
    <x v="4"/>
    <x v="123"/>
    <x v="10"/>
    <s v="Percent"/>
    <s v="Units"/>
    <x v="2"/>
    <n v="7.0000000000000001E-3"/>
  </r>
  <r>
    <n v="505"/>
    <x v="4"/>
    <x v="123"/>
    <x v="10"/>
    <s v="Percent"/>
    <s v="Units"/>
    <x v="3"/>
    <n v="8.0000000000000002E-3"/>
  </r>
  <r>
    <n v="505"/>
    <x v="4"/>
    <x v="123"/>
    <x v="10"/>
    <s v="Percent"/>
    <s v="Units"/>
    <x v="4"/>
    <n v="8.0000000000000002E-3"/>
  </r>
  <r>
    <n v="505"/>
    <x v="4"/>
    <x v="123"/>
    <x v="10"/>
    <s v="Percent"/>
    <s v="Units"/>
    <x v="5"/>
    <n v="8.0000000000000002E-3"/>
  </r>
  <r>
    <n v="505"/>
    <x v="4"/>
    <x v="123"/>
    <x v="10"/>
    <s v="Percent"/>
    <s v="Units"/>
    <x v="6"/>
    <n v="8.0000000000000002E-3"/>
  </r>
  <r>
    <n v="603"/>
    <x v="12"/>
    <x v="161"/>
    <x v="10"/>
    <s v="Percent"/>
    <s v="Units"/>
    <x v="0"/>
    <n v="8.0000000000000002E-3"/>
  </r>
  <r>
    <n v="603"/>
    <x v="12"/>
    <x v="161"/>
    <x v="10"/>
    <s v="Percent"/>
    <s v="Units"/>
    <x v="1"/>
    <n v="8.0000000000000002E-3"/>
  </r>
  <r>
    <n v="603"/>
    <x v="12"/>
    <x v="161"/>
    <x v="10"/>
    <s v="Percent"/>
    <s v="Units"/>
    <x v="2"/>
    <n v="8.0000000000000002E-3"/>
  </r>
  <r>
    <n v="603"/>
    <x v="12"/>
    <x v="161"/>
    <x v="10"/>
    <s v="Percent"/>
    <s v="Units"/>
    <x v="3"/>
    <n v="8.0000000000000002E-3"/>
  </r>
  <r>
    <n v="603"/>
    <x v="12"/>
    <x v="161"/>
    <x v="10"/>
    <s v="Percent"/>
    <s v="Units"/>
    <x v="4"/>
    <n v="8.0000000000000002E-3"/>
  </r>
  <r>
    <n v="603"/>
    <x v="12"/>
    <x v="161"/>
    <x v="10"/>
    <s v="Percent"/>
    <s v="Units"/>
    <x v="5"/>
    <n v="8.0000000000000002E-3"/>
  </r>
  <r>
    <n v="603"/>
    <x v="12"/>
    <x v="161"/>
    <x v="10"/>
    <s v="Percent"/>
    <s v="Units"/>
    <x v="6"/>
    <n v="8.0000000000000002E-3"/>
  </r>
  <r>
    <n v="200"/>
    <x v="3"/>
    <x v="143"/>
    <x v="9"/>
    <s v="Percent of GDP"/>
    <s v="Units"/>
    <x v="0"/>
    <n v="1.0029999999999999"/>
  </r>
  <r>
    <n v="200"/>
    <x v="3"/>
    <x v="143"/>
    <x v="9"/>
    <s v="Percent of GDP"/>
    <s v="Units"/>
    <x v="1"/>
    <n v="-9.24"/>
  </r>
  <r>
    <n v="200"/>
    <x v="3"/>
    <x v="143"/>
    <x v="9"/>
    <s v="Percent of GDP"/>
    <s v="Units"/>
    <x v="2"/>
    <n v="-3.0449999999999999"/>
  </r>
  <r>
    <n v="200"/>
    <x v="3"/>
    <x v="143"/>
    <x v="9"/>
    <s v="Percent of GDP"/>
    <s v="Units"/>
    <x v="3"/>
    <n v="0.65600000000000003"/>
  </r>
  <r>
    <n v="200"/>
    <x v="3"/>
    <x v="143"/>
    <x v="9"/>
    <s v="Percent of GDP"/>
    <s v="Units"/>
    <x v="4"/>
    <n v="2.5019999999999998"/>
  </r>
  <r>
    <n v="200"/>
    <x v="3"/>
    <x v="143"/>
    <x v="9"/>
    <s v="Percent of GDP"/>
    <s v="Units"/>
    <x v="5"/>
    <n v="8.0000000000000002E-3"/>
  </r>
  <r>
    <n v="200"/>
    <x v="3"/>
    <x v="143"/>
    <x v="9"/>
    <s v="Percent of GDP"/>
    <s v="Units"/>
    <x v="6"/>
    <n v="-1.0129999999999999"/>
  </r>
  <r>
    <n v="200"/>
    <x v="3"/>
    <x v="105"/>
    <x v="10"/>
    <s v="Percent"/>
    <s v="Units"/>
    <x v="0"/>
    <n v="8.0000000000000002E-3"/>
  </r>
  <r>
    <n v="200"/>
    <x v="3"/>
    <x v="105"/>
    <x v="10"/>
    <s v="Percent"/>
    <s v="Units"/>
    <x v="1"/>
    <n v="7.0000000000000001E-3"/>
  </r>
  <r>
    <n v="200"/>
    <x v="3"/>
    <x v="105"/>
    <x v="10"/>
    <s v="Percent"/>
    <s v="Units"/>
    <x v="2"/>
    <n v="7.0000000000000001E-3"/>
  </r>
  <r>
    <n v="200"/>
    <x v="3"/>
    <x v="105"/>
    <x v="10"/>
    <s v="Percent"/>
    <s v="Units"/>
    <x v="3"/>
    <n v="7.0000000000000001E-3"/>
  </r>
  <r>
    <n v="200"/>
    <x v="3"/>
    <x v="105"/>
    <x v="10"/>
    <s v="Percent"/>
    <s v="Units"/>
    <x v="4"/>
    <n v="7.0000000000000001E-3"/>
  </r>
  <r>
    <n v="200"/>
    <x v="3"/>
    <x v="105"/>
    <x v="10"/>
    <s v="Percent"/>
    <s v="Units"/>
    <x v="5"/>
    <n v="7.0000000000000001E-3"/>
  </r>
  <r>
    <n v="200"/>
    <x v="3"/>
    <x v="105"/>
    <x v="10"/>
    <s v="Percent"/>
    <s v="Units"/>
    <x v="6"/>
    <n v="7.0000000000000001E-3"/>
  </r>
  <r>
    <n v="205"/>
    <x v="7"/>
    <x v="105"/>
    <x v="10"/>
    <s v="Percent"/>
    <s v="Units"/>
    <x v="0"/>
    <n v="8.0000000000000002E-3"/>
  </r>
  <r>
    <n v="205"/>
    <x v="7"/>
    <x v="105"/>
    <x v="10"/>
    <s v="Percent"/>
    <s v="Units"/>
    <x v="1"/>
    <n v="7.0000000000000001E-3"/>
  </r>
  <r>
    <n v="205"/>
    <x v="7"/>
    <x v="105"/>
    <x v="10"/>
    <s v="Percent"/>
    <s v="Units"/>
    <x v="2"/>
    <n v="7.0000000000000001E-3"/>
  </r>
  <r>
    <n v="205"/>
    <x v="7"/>
    <x v="105"/>
    <x v="10"/>
    <s v="Percent"/>
    <s v="Units"/>
    <x v="3"/>
    <n v="7.0000000000000001E-3"/>
  </r>
  <r>
    <n v="205"/>
    <x v="7"/>
    <x v="105"/>
    <x v="10"/>
    <s v="Percent"/>
    <s v="Units"/>
    <x v="4"/>
    <n v="7.0000000000000001E-3"/>
  </r>
  <r>
    <n v="205"/>
    <x v="7"/>
    <x v="105"/>
    <x v="10"/>
    <s v="Percent"/>
    <s v="Units"/>
    <x v="5"/>
    <n v="7.0000000000000001E-3"/>
  </r>
  <r>
    <n v="205"/>
    <x v="7"/>
    <x v="105"/>
    <x v="10"/>
    <s v="Percent"/>
    <s v="Units"/>
    <x v="6"/>
    <n v="7.0000000000000001E-3"/>
  </r>
  <r>
    <n v="200"/>
    <x v="3"/>
    <x v="129"/>
    <x v="10"/>
    <s v="Percent"/>
    <s v="Units"/>
    <x v="0"/>
    <n v="7.0000000000000001E-3"/>
  </r>
  <r>
    <n v="200"/>
    <x v="3"/>
    <x v="129"/>
    <x v="10"/>
    <s v="Percent"/>
    <s v="Units"/>
    <x v="1"/>
    <n v="7.0000000000000001E-3"/>
  </r>
  <r>
    <n v="200"/>
    <x v="3"/>
    <x v="129"/>
    <x v="10"/>
    <s v="Percent"/>
    <s v="Units"/>
    <x v="2"/>
    <n v="7.0000000000000001E-3"/>
  </r>
  <r>
    <n v="200"/>
    <x v="3"/>
    <x v="129"/>
    <x v="10"/>
    <s v="Percent"/>
    <s v="Units"/>
    <x v="3"/>
    <n v="7.0000000000000001E-3"/>
  </r>
  <r>
    <n v="200"/>
    <x v="3"/>
    <x v="129"/>
    <x v="10"/>
    <s v="Percent"/>
    <s v="Units"/>
    <x v="4"/>
    <n v="7.0000000000000001E-3"/>
  </r>
  <r>
    <n v="200"/>
    <x v="3"/>
    <x v="129"/>
    <x v="10"/>
    <s v="Percent"/>
    <s v="Units"/>
    <x v="5"/>
    <n v="7.0000000000000001E-3"/>
  </r>
  <r>
    <n v="200"/>
    <x v="3"/>
    <x v="129"/>
    <x v="10"/>
    <s v="Percent"/>
    <s v="Units"/>
    <x v="6"/>
    <n v="7.0000000000000001E-3"/>
  </r>
  <r>
    <n v="200"/>
    <x v="3"/>
    <x v="130"/>
    <x v="10"/>
    <s v="Percent"/>
    <s v="Units"/>
    <x v="0"/>
    <n v="7.0000000000000001E-3"/>
  </r>
  <r>
    <n v="200"/>
    <x v="3"/>
    <x v="130"/>
    <x v="10"/>
    <s v="Percent"/>
    <s v="Units"/>
    <x v="1"/>
    <n v="7.0000000000000001E-3"/>
  </r>
  <r>
    <n v="200"/>
    <x v="3"/>
    <x v="130"/>
    <x v="10"/>
    <s v="Percent"/>
    <s v="Units"/>
    <x v="2"/>
    <n v="6.0000000000000001E-3"/>
  </r>
  <r>
    <n v="200"/>
    <x v="3"/>
    <x v="130"/>
    <x v="10"/>
    <s v="Percent"/>
    <s v="Units"/>
    <x v="3"/>
    <n v="6.0000000000000001E-3"/>
  </r>
  <r>
    <n v="200"/>
    <x v="3"/>
    <x v="130"/>
    <x v="10"/>
    <s v="Percent"/>
    <s v="Units"/>
    <x v="4"/>
    <n v="7.0000000000000001E-3"/>
  </r>
  <r>
    <n v="200"/>
    <x v="3"/>
    <x v="130"/>
    <x v="10"/>
    <s v="Percent"/>
    <s v="Units"/>
    <x v="5"/>
    <n v="7.0000000000000001E-3"/>
  </r>
  <r>
    <n v="200"/>
    <x v="3"/>
    <x v="130"/>
    <x v="10"/>
    <s v="Percent"/>
    <s v="Units"/>
    <x v="6"/>
    <n v="7.0000000000000001E-3"/>
  </r>
  <r>
    <n v="505"/>
    <x v="4"/>
    <x v="130"/>
    <x v="10"/>
    <s v="Percent"/>
    <s v="Units"/>
    <x v="0"/>
    <n v="7.0000000000000001E-3"/>
  </r>
  <r>
    <n v="505"/>
    <x v="4"/>
    <x v="130"/>
    <x v="10"/>
    <s v="Percent"/>
    <s v="Units"/>
    <x v="1"/>
    <n v="7.0000000000000001E-3"/>
  </r>
  <r>
    <n v="505"/>
    <x v="4"/>
    <x v="130"/>
    <x v="10"/>
    <s v="Percent"/>
    <s v="Units"/>
    <x v="2"/>
    <n v="6.0000000000000001E-3"/>
  </r>
  <r>
    <n v="505"/>
    <x v="4"/>
    <x v="130"/>
    <x v="10"/>
    <s v="Percent"/>
    <s v="Units"/>
    <x v="3"/>
    <n v="6.0000000000000001E-3"/>
  </r>
  <r>
    <n v="505"/>
    <x v="4"/>
    <x v="130"/>
    <x v="10"/>
    <s v="Percent"/>
    <s v="Units"/>
    <x v="4"/>
    <n v="7.0000000000000001E-3"/>
  </r>
  <r>
    <n v="505"/>
    <x v="4"/>
    <x v="130"/>
    <x v="10"/>
    <s v="Percent"/>
    <s v="Units"/>
    <x v="5"/>
    <n v="7.0000000000000001E-3"/>
  </r>
  <r>
    <n v="505"/>
    <x v="4"/>
    <x v="130"/>
    <x v="10"/>
    <s v="Percent"/>
    <s v="Units"/>
    <x v="6"/>
    <n v="7.0000000000000001E-3"/>
  </r>
  <r>
    <n v="603"/>
    <x v="12"/>
    <x v="129"/>
    <x v="10"/>
    <s v="Percent"/>
    <s v="Units"/>
    <x v="0"/>
    <n v="7.0000000000000001E-3"/>
  </r>
  <r>
    <n v="603"/>
    <x v="12"/>
    <x v="129"/>
    <x v="10"/>
    <s v="Percent"/>
    <s v="Units"/>
    <x v="1"/>
    <n v="7.0000000000000001E-3"/>
  </r>
  <r>
    <n v="603"/>
    <x v="12"/>
    <x v="129"/>
    <x v="10"/>
    <s v="Percent"/>
    <s v="Units"/>
    <x v="2"/>
    <n v="7.0000000000000001E-3"/>
  </r>
  <r>
    <n v="603"/>
    <x v="12"/>
    <x v="129"/>
    <x v="10"/>
    <s v="Percent"/>
    <s v="Units"/>
    <x v="3"/>
    <n v="7.0000000000000001E-3"/>
  </r>
  <r>
    <n v="603"/>
    <x v="12"/>
    <x v="129"/>
    <x v="10"/>
    <s v="Percent"/>
    <s v="Units"/>
    <x v="4"/>
    <n v="7.0000000000000001E-3"/>
  </r>
  <r>
    <n v="603"/>
    <x v="12"/>
    <x v="129"/>
    <x v="10"/>
    <s v="Percent"/>
    <s v="Units"/>
    <x v="5"/>
    <n v="7.0000000000000001E-3"/>
  </r>
  <r>
    <n v="603"/>
    <x v="12"/>
    <x v="129"/>
    <x v="10"/>
    <s v="Percent"/>
    <s v="Units"/>
    <x v="6"/>
    <n v="7.0000000000000001E-3"/>
  </r>
  <r>
    <n v="200"/>
    <x v="3"/>
    <x v="172"/>
    <x v="10"/>
    <s v="Percent"/>
    <s v="Units"/>
    <x v="0"/>
    <n v="5.0000000000000001E-3"/>
  </r>
  <r>
    <n v="200"/>
    <x v="3"/>
    <x v="172"/>
    <x v="10"/>
    <s v="Percent"/>
    <s v="Units"/>
    <x v="1"/>
    <n v="5.0000000000000001E-3"/>
  </r>
  <r>
    <n v="200"/>
    <x v="3"/>
    <x v="172"/>
    <x v="10"/>
    <s v="Percent"/>
    <s v="Units"/>
    <x v="2"/>
    <n v="5.0000000000000001E-3"/>
  </r>
  <r>
    <n v="200"/>
    <x v="3"/>
    <x v="172"/>
    <x v="10"/>
    <s v="Percent"/>
    <s v="Units"/>
    <x v="3"/>
    <n v="5.0000000000000001E-3"/>
  </r>
  <r>
    <n v="200"/>
    <x v="3"/>
    <x v="172"/>
    <x v="10"/>
    <s v="Percent"/>
    <s v="Units"/>
    <x v="4"/>
    <n v="6.0000000000000001E-3"/>
  </r>
  <r>
    <n v="200"/>
    <x v="3"/>
    <x v="172"/>
    <x v="10"/>
    <s v="Percent"/>
    <s v="Units"/>
    <x v="5"/>
    <n v="6.0000000000000001E-3"/>
  </r>
  <r>
    <n v="200"/>
    <x v="3"/>
    <x v="172"/>
    <x v="10"/>
    <s v="Percent"/>
    <s v="Units"/>
    <x v="6"/>
    <n v="6.0000000000000001E-3"/>
  </r>
  <r>
    <n v="603"/>
    <x v="12"/>
    <x v="172"/>
    <x v="10"/>
    <s v="Percent"/>
    <s v="Units"/>
    <x v="0"/>
    <n v="5.0000000000000001E-3"/>
  </r>
  <r>
    <n v="603"/>
    <x v="12"/>
    <x v="172"/>
    <x v="10"/>
    <s v="Percent"/>
    <s v="Units"/>
    <x v="1"/>
    <n v="5.0000000000000001E-3"/>
  </r>
  <r>
    <n v="603"/>
    <x v="12"/>
    <x v="172"/>
    <x v="10"/>
    <s v="Percent"/>
    <s v="Units"/>
    <x v="2"/>
    <n v="5.0000000000000001E-3"/>
  </r>
  <r>
    <n v="603"/>
    <x v="12"/>
    <x v="172"/>
    <x v="10"/>
    <s v="Percent"/>
    <s v="Units"/>
    <x v="3"/>
    <n v="5.0000000000000001E-3"/>
  </r>
  <r>
    <n v="603"/>
    <x v="12"/>
    <x v="172"/>
    <x v="10"/>
    <s v="Percent"/>
    <s v="Units"/>
    <x v="4"/>
    <n v="6.0000000000000001E-3"/>
  </r>
  <r>
    <n v="603"/>
    <x v="12"/>
    <x v="172"/>
    <x v="10"/>
    <s v="Percent"/>
    <s v="Units"/>
    <x v="5"/>
    <n v="6.0000000000000001E-3"/>
  </r>
  <r>
    <n v="603"/>
    <x v="12"/>
    <x v="172"/>
    <x v="10"/>
    <s v="Percent"/>
    <s v="Units"/>
    <x v="6"/>
    <n v="6.0000000000000001E-3"/>
  </r>
  <r>
    <n v="200"/>
    <x v="3"/>
    <x v="168"/>
    <x v="10"/>
    <s v="Percent"/>
    <s v="Units"/>
    <x v="0"/>
    <n v="4.0000000000000001E-3"/>
  </r>
  <r>
    <n v="200"/>
    <x v="3"/>
    <x v="168"/>
    <x v="10"/>
    <s v="Percent"/>
    <s v="Units"/>
    <x v="1"/>
    <n v="4.0000000000000001E-3"/>
  </r>
  <r>
    <n v="200"/>
    <x v="3"/>
    <x v="168"/>
    <x v="10"/>
    <s v="Percent"/>
    <s v="Units"/>
    <x v="2"/>
    <n v="4.0000000000000001E-3"/>
  </r>
  <r>
    <n v="200"/>
    <x v="3"/>
    <x v="168"/>
    <x v="10"/>
    <s v="Percent"/>
    <s v="Units"/>
    <x v="3"/>
    <n v="4.0000000000000001E-3"/>
  </r>
  <r>
    <n v="200"/>
    <x v="3"/>
    <x v="168"/>
    <x v="10"/>
    <s v="Percent"/>
    <s v="Units"/>
    <x v="4"/>
    <n v="4.0000000000000001E-3"/>
  </r>
  <r>
    <n v="200"/>
    <x v="3"/>
    <x v="168"/>
    <x v="10"/>
    <s v="Percent"/>
    <s v="Units"/>
    <x v="5"/>
    <n v="4.0000000000000001E-3"/>
  </r>
  <r>
    <n v="200"/>
    <x v="3"/>
    <x v="168"/>
    <x v="10"/>
    <s v="Percent"/>
    <s v="Units"/>
    <x v="6"/>
    <n v="4.0000000000000001E-3"/>
  </r>
  <r>
    <n v="200"/>
    <x v="3"/>
    <x v="103"/>
    <x v="10"/>
    <s v="Percent"/>
    <s v="Units"/>
    <x v="0"/>
    <n v="4.0000000000000001E-3"/>
  </r>
  <r>
    <n v="200"/>
    <x v="3"/>
    <x v="103"/>
    <x v="10"/>
    <s v="Percent"/>
    <s v="Units"/>
    <x v="1"/>
    <n v="4.0000000000000001E-3"/>
  </r>
  <r>
    <n v="200"/>
    <x v="3"/>
    <x v="103"/>
    <x v="10"/>
    <s v="Percent"/>
    <s v="Units"/>
    <x v="2"/>
    <n v="4.0000000000000001E-3"/>
  </r>
  <r>
    <n v="200"/>
    <x v="3"/>
    <x v="103"/>
    <x v="10"/>
    <s v="Percent"/>
    <s v="Units"/>
    <x v="3"/>
    <n v="4.0000000000000001E-3"/>
  </r>
  <r>
    <n v="200"/>
    <x v="3"/>
    <x v="103"/>
    <x v="10"/>
    <s v="Percent"/>
    <s v="Units"/>
    <x v="4"/>
    <n v="4.0000000000000001E-3"/>
  </r>
  <r>
    <n v="200"/>
    <x v="3"/>
    <x v="103"/>
    <x v="10"/>
    <s v="Percent"/>
    <s v="Units"/>
    <x v="5"/>
    <n v="4.0000000000000001E-3"/>
  </r>
  <r>
    <n v="200"/>
    <x v="3"/>
    <x v="103"/>
    <x v="10"/>
    <s v="Percent"/>
    <s v="Units"/>
    <x v="6"/>
    <n v="4.0000000000000001E-3"/>
  </r>
  <r>
    <n v="603"/>
    <x v="12"/>
    <x v="103"/>
    <x v="10"/>
    <s v="Percent"/>
    <s v="Units"/>
    <x v="0"/>
    <n v="4.0000000000000001E-3"/>
  </r>
  <r>
    <n v="603"/>
    <x v="12"/>
    <x v="103"/>
    <x v="10"/>
    <s v="Percent"/>
    <s v="Units"/>
    <x v="1"/>
    <n v="4.0000000000000001E-3"/>
  </r>
  <r>
    <n v="603"/>
    <x v="12"/>
    <x v="103"/>
    <x v="10"/>
    <s v="Percent"/>
    <s v="Units"/>
    <x v="2"/>
    <n v="4.0000000000000001E-3"/>
  </r>
  <r>
    <n v="603"/>
    <x v="12"/>
    <x v="103"/>
    <x v="10"/>
    <s v="Percent"/>
    <s v="Units"/>
    <x v="3"/>
    <n v="4.0000000000000001E-3"/>
  </r>
  <r>
    <n v="603"/>
    <x v="12"/>
    <x v="103"/>
    <x v="10"/>
    <s v="Percent"/>
    <s v="Units"/>
    <x v="4"/>
    <n v="4.0000000000000001E-3"/>
  </r>
  <r>
    <n v="603"/>
    <x v="12"/>
    <x v="103"/>
    <x v="10"/>
    <s v="Percent"/>
    <s v="Units"/>
    <x v="5"/>
    <n v="4.0000000000000001E-3"/>
  </r>
  <r>
    <n v="603"/>
    <x v="12"/>
    <x v="103"/>
    <x v="10"/>
    <s v="Percent"/>
    <s v="Units"/>
    <x v="6"/>
    <n v="4.0000000000000001E-3"/>
  </r>
  <r>
    <n v="603"/>
    <x v="12"/>
    <x v="168"/>
    <x v="10"/>
    <s v="Percent"/>
    <s v="Units"/>
    <x v="0"/>
    <n v="4.0000000000000001E-3"/>
  </r>
  <r>
    <n v="603"/>
    <x v="12"/>
    <x v="168"/>
    <x v="10"/>
    <s v="Percent"/>
    <s v="Units"/>
    <x v="1"/>
    <n v="4.0000000000000001E-3"/>
  </r>
  <r>
    <n v="603"/>
    <x v="12"/>
    <x v="168"/>
    <x v="10"/>
    <s v="Percent"/>
    <s v="Units"/>
    <x v="2"/>
    <n v="4.0000000000000001E-3"/>
  </r>
  <r>
    <n v="603"/>
    <x v="12"/>
    <x v="168"/>
    <x v="10"/>
    <s v="Percent"/>
    <s v="Units"/>
    <x v="3"/>
    <n v="4.0000000000000001E-3"/>
  </r>
  <r>
    <n v="603"/>
    <x v="12"/>
    <x v="168"/>
    <x v="10"/>
    <s v="Percent"/>
    <s v="Units"/>
    <x v="4"/>
    <n v="4.0000000000000001E-3"/>
  </r>
  <r>
    <n v="603"/>
    <x v="12"/>
    <x v="168"/>
    <x v="10"/>
    <s v="Percent"/>
    <s v="Units"/>
    <x v="5"/>
    <n v="4.0000000000000001E-3"/>
  </r>
  <r>
    <n v="603"/>
    <x v="12"/>
    <x v="168"/>
    <x v="10"/>
    <s v="Percent"/>
    <s v="Units"/>
    <x v="6"/>
    <n v="4.0000000000000001E-3"/>
  </r>
  <r>
    <n v="400"/>
    <x v="11"/>
    <x v="183"/>
    <x v="10"/>
    <s v="Percent"/>
    <s v="Units"/>
    <x v="0"/>
    <n v="4.0000000000000001E-3"/>
  </r>
  <r>
    <n v="400"/>
    <x v="11"/>
    <x v="183"/>
    <x v="10"/>
    <s v="Percent"/>
    <s v="Units"/>
    <x v="1"/>
    <n v="4.0000000000000001E-3"/>
  </r>
  <r>
    <n v="400"/>
    <x v="11"/>
    <x v="183"/>
    <x v="10"/>
    <s v="Percent"/>
    <s v="Units"/>
    <x v="2"/>
    <n v="4.0000000000000001E-3"/>
  </r>
  <r>
    <n v="400"/>
    <x v="11"/>
    <x v="183"/>
    <x v="10"/>
    <s v="Percent"/>
    <s v="Units"/>
    <x v="3"/>
    <n v="4.0000000000000001E-3"/>
  </r>
  <r>
    <n v="400"/>
    <x v="11"/>
    <x v="183"/>
    <x v="10"/>
    <s v="Percent"/>
    <s v="Units"/>
    <x v="4"/>
    <n v="4.0000000000000001E-3"/>
  </r>
  <r>
    <n v="400"/>
    <x v="11"/>
    <x v="183"/>
    <x v="10"/>
    <s v="Percent"/>
    <s v="Units"/>
    <x v="5"/>
    <n v="4.0000000000000001E-3"/>
  </r>
  <r>
    <n v="400"/>
    <x v="11"/>
    <x v="183"/>
    <x v="10"/>
    <s v="Percent"/>
    <s v="Units"/>
    <x v="6"/>
    <n v="4.0000000000000001E-3"/>
  </r>
  <r>
    <n v="200"/>
    <x v="3"/>
    <x v="183"/>
    <x v="10"/>
    <s v="Percent"/>
    <s v="Units"/>
    <x v="0"/>
    <n v="4.0000000000000001E-3"/>
  </r>
  <r>
    <n v="200"/>
    <x v="3"/>
    <x v="183"/>
    <x v="10"/>
    <s v="Percent"/>
    <s v="Units"/>
    <x v="1"/>
    <n v="4.0000000000000001E-3"/>
  </r>
  <r>
    <n v="200"/>
    <x v="3"/>
    <x v="183"/>
    <x v="10"/>
    <s v="Percent"/>
    <s v="Units"/>
    <x v="2"/>
    <n v="4.0000000000000001E-3"/>
  </r>
  <r>
    <n v="200"/>
    <x v="3"/>
    <x v="183"/>
    <x v="10"/>
    <s v="Percent"/>
    <s v="Units"/>
    <x v="3"/>
    <n v="4.0000000000000001E-3"/>
  </r>
  <r>
    <n v="200"/>
    <x v="3"/>
    <x v="183"/>
    <x v="10"/>
    <s v="Percent"/>
    <s v="Units"/>
    <x v="4"/>
    <n v="4.0000000000000001E-3"/>
  </r>
  <r>
    <n v="200"/>
    <x v="3"/>
    <x v="183"/>
    <x v="10"/>
    <s v="Percent"/>
    <s v="Units"/>
    <x v="5"/>
    <n v="4.0000000000000001E-3"/>
  </r>
  <r>
    <n v="200"/>
    <x v="3"/>
    <x v="183"/>
    <x v="10"/>
    <s v="Percent"/>
    <s v="Units"/>
    <x v="6"/>
    <n v="4.0000000000000001E-3"/>
  </r>
  <r>
    <n v="603"/>
    <x v="12"/>
    <x v="98"/>
    <x v="10"/>
    <s v="Percent"/>
    <s v="Units"/>
    <x v="0"/>
    <n v="4.0000000000000001E-3"/>
  </r>
  <r>
    <n v="603"/>
    <x v="12"/>
    <x v="98"/>
    <x v="10"/>
    <s v="Percent"/>
    <s v="Units"/>
    <x v="1"/>
    <n v="4.0000000000000001E-3"/>
  </r>
  <r>
    <n v="603"/>
    <x v="12"/>
    <x v="98"/>
    <x v="10"/>
    <s v="Percent"/>
    <s v="Units"/>
    <x v="2"/>
    <n v="4.0000000000000001E-3"/>
  </r>
  <r>
    <n v="603"/>
    <x v="12"/>
    <x v="98"/>
    <x v="10"/>
    <s v="Percent"/>
    <s v="Units"/>
    <x v="3"/>
    <n v="4.0000000000000001E-3"/>
  </r>
  <r>
    <n v="603"/>
    <x v="12"/>
    <x v="98"/>
    <x v="10"/>
    <s v="Percent"/>
    <s v="Units"/>
    <x v="4"/>
    <n v="4.0000000000000001E-3"/>
  </r>
  <r>
    <n v="603"/>
    <x v="12"/>
    <x v="98"/>
    <x v="10"/>
    <s v="Percent"/>
    <s v="Units"/>
    <x v="5"/>
    <n v="4.0000000000000001E-3"/>
  </r>
  <r>
    <n v="603"/>
    <x v="12"/>
    <x v="98"/>
    <x v="10"/>
    <s v="Percent"/>
    <s v="Units"/>
    <x v="6"/>
    <n v="4.0000000000000001E-3"/>
  </r>
  <r>
    <n v="200"/>
    <x v="3"/>
    <x v="98"/>
    <x v="10"/>
    <s v="Percent"/>
    <s v="Units"/>
    <x v="0"/>
    <n v="4.0000000000000001E-3"/>
  </r>
  <r>
    <n v="200"/>
    <x v="3"/>
    <x v="98"/>
    <x v="10"/>
    <s v="Percent"/>
    <s v="Units"/>
    <x v="1"/>
    <n v="4.0000000000000001E-3"/>
  </r>
  <r>
    <n v="200"/>
    <x v="3"/>
    <x v="98"/>
    <x v="10"/>
    <s v="Percent"/>
    <s v="Units"/>
    <x v="2"/>
    <n v="4.0000000000000001E-3"/>
  </r>
  <r>
    <n v="200"/>
    <x v="3"/>
    <x v="98"/>
    <x v="10"/>
    <s v="Percent"/>
    <s v="Units"/>
    <x v="3"/>
    <n v="4.0000000000000001E-3"/>
  </r>
  <r>
    <n v="200"/>
    <x v="3"/>
    <x v="98"/>
    <x v="10"/>
    <s v="Percent"/>
    <s v="Units"/>
    <x v="4"/>
    <n v="4.0000000000000001E-3"/>
  </r>
  <r>
    <n v="200"/>
    <x v="3"/>
    <x v="98"/>
    <x v="10"/>
    <s v="Percent"/>
    <s v="Units"/>
    <x v="5"/>
    <n v="4.0000000000000001E-3"/>
  </r>
  <r>
    <n v="200"/>
    <x v="3"/>
    <x v="98"/>
    <x v="10"/>
    <s v="Percent"/>
    <s v="Units"/>
    <x v="6"/>
    <n v="4.0000000000000001E-3"/>
  </r>
  <r>
    <n v="205"/>
    <x v="7"/>
    <x v="177"/>
    <x v="10"/>
    <s v="Percent"/>
    <s v="Units"/>
    <x v="0"/>
    <n v="3.0000000000000001E-3"/>
  </r>
  <r>
    <n v="205"/>
    <x v="7"/>
    <x v="177"/>
    <x v="10"/>
    <s v="Percent"/>
    <s v="Units"/>
    <x v="1"/>
    <n v="2E-3"/>
  </r>
  <r>
    <n v="205"/>
    <x v="7"/>
    <x v="177"/>
    <x v="10"/>
    <s v="Percent"/>
    <s v="Units"/>
    <x v="2"/>
    <n v="3.0000000000000001E-3"/>
  </r>
  <r>
    <n v="205"/>
    <x v="7"/>
    <x v="177"/>
    <x v="10"/>
    <s v="Percent"/>
    <s v="Units"/>
    <x v="3"/>
    <n v="3.0000000000000001E-3"/>
  </r>
  <r>
    <n v="205"/>
    <x v="7"/>
    <x v="177"/>
    <x v="10"/>
    <s v="Percent"/>
    <s v="Units"/>
    <x v="4"/>
    <n v="3.0000000000000001E-3"/>
  </r>
  <r>
    <n v="205"/>
    <x v="7"/>
    <x v="177"/>
    <x v="10"/>
    <s v="Percent"/>
    <s v="Units"/>
    <x v="5"/>
    <n v="3.0000000000000001E-3"/>
  </r>
  <r>
    <n v="205"/>
    <x v="7"/>
    <x v="177"/>
    <x v="10"/>
    <s v="Percent"/>
    <s v="Units"/>
    <x v="6"/>
    <n v="3.0000000000000001E-3"/>
  </r>
  <r>
    <n v="205"/>
    <x v="7"/>
    <x v="159"/>
    <x v="10"/>
    <s v="Percent"/>
    <s v="Units"/>
    <x v="0"/>
    <n v="3.0000000000000001E-3"/>
  </r>
  <r>
    <n v="205"/>
    <x v="7"/>
    <x v="159"/>
    <x v="10"/>
    <s v="Percent"/>
    <s v="Units"/>
    <x v="1"/>
    <n v="3.0000000000000001E-3"/>
  </r>
  <r>
    <n v="205"/>
    <x v="7"/>
    <x v="159"/>
    <x v="10"/>
    <s v="Percent"/>
    <s v="Units"/>
    <x v="2"/>
    <n v="3.0000000000000001E-3"/>
  </r>
  <r>
    <n v="205"/>
    <x v="7"/>
    <x v="159"/>
    <x v="10"/>
    <s v="Percent"/>
    <s v="Units"/>
    <x v="3"/>
    <n v="3.0000000000000001E-3"/>
  </r>
  <r>
    <n v="205"/>
    <x v="7"/>
    <x v="159"/>
    <x v="10"/>
    <s v="Percent"/>
    <s v="Units"/>
    <x v="4"/>
    <n v="3.0000000000000001E-3"/>
  </r>
  <r>
    <n v="205"/>
    <x v="7"/>
    <x v="159"/>
    <x v="10"/>
    <s v="Percent"/>
    <s v="Units"/>
    <x v="5"/>
    <n v="3.0000000000000001E-3"/>
  </r>
  <r>
    <n v="205"/>
    <x v="7"/>
    <x v="159"/>
    <x v="10"/>
    <s v="Percent"/>
    <s v="Units"/>
    <x v="6"/>
    <n v="3.0000000000000001E-3"/>
  </r>
  <r>
    <n v="603"/>
    <x v="12"/>
    <x v="184"/>
    <x v="10"/>
    <s v="Percent"/>
    <s v="Units"/>
    <x v="0"/>
    <n v="3.0000000000000001E-3"/>
  </r>
  <r>
    <n v="603"/>
    <x v="12"/>
    <x v="184"/>
    <x v="10"/>
    <s v="Percent"/>
    <s v="Units"/>
    <x v="1"/>
    <n v="3.0000000000000001E-3"/>
  </r>
  <r>
    <n v="603"/>
    <x v="12"/>
    <x v="184"/>
    <x v="10"/>
    <s v="Percent"/>
    <s v="Units"/>
    <x v="2"/>
    <n v="3.0000000000000001E-3"/>
  </r>
  <r>
    <n v="603"/>
    <x v="12"/>
    <x v="184"/>
    <x v="10"/>
    <s v="Percent"/>
    <s v="Units"/>
    <x v="3"/>
    <n v="3.0000000000000001E-3"/>
  </r>
  <r>
    <n v="603"/>
    <x v="12"/>
    <x v="184"/>
    <x v="10"/>
    <s v="Percent"/>
    <s v="Units"/>
    <x v="4"/>
    <n v="3.0000000000000001E-3"/>
  </r>
  <r>
    <n v="603"/>
    <x v="12"/>
    <x v="184"/>
    <x v="10"/>
    <s v="Percent"/>
    <s v="Units"/>
    <x v="5"/>
    <n v="3.0000000000000001E-3"/>
  </r>
  <r>
    <n v="603"/>
    <x v="12"/>
    <x v="184"/>
    <x v="10"/>
    <s v="Percent"/>
    <s v="Units"/>
    <x v="6"/>
    <n v="4.0000000000000001E-3"/>
  </r>
  <r>
    <n v="205"/>
    <x v="7"/>
    <x v="169"/>
    <x v="10"/>
    <s v="Percent"/>
    <s v="Units"/>
    <x v="0"/>
    <n v="3.0000000000000001E-3"/>
  </r>
  <r>
    <n v="205"/>
    <x v="7"/>
    <x v="169"/>
    <x v="10"/>
    <s v="Percent"/>
    <s v="Units"/>
    <x v="1"/>
    <n v="2E-3"/>
  </r>
  <r>
    <n v="205"/>
    <x v="7"/>
    <x v="169"/>
    <x v="10"/>
    <s v="Percent"/>
    <s v="Units"/>
    <x v="2"/>
    <n v="3.0000000000000001E-3"/>
  </r>
  <r>
    <n v="205"/>
    <x v="7"/>
    <x v="169"/>
    <x v="10"/>
    <s v="Percent"/>
    <s v="Units"/>
    <x v="3"/>
    <n v="3.0000000000000001E-3"/>
  </r>
  <r>
    <n v="205"/>
    <x v="7"/>
    <x v="169"/>
    <x v="10"/>
    <s v="Percent"/>
    <s v="Units"/>
    <x v="4"/>
    <n v="3.0000000000000001E-3"/>
  </r>
  <r>
    <n v="205"/>
    <x v="7"/>
    <x v="169"/>
    <x v="10"/>
    <s v="Percent"/>
    <s v="Units"/>
    <x v="5"/>
    <n v="3.0000000000000001E-3"/>
  </r>
  <r>
    <n v="205"/>
    <x v="7"/>
    <x v="169"/>
    <x v="10"/>
    <s v="Percent"/>
    <s v="Units"/>
    <x v="6"/>
    <n v="3.0000000000000001E-3"/>
  </r>
  <r>
    <n v="200"/>
    <x v="3"/>
    <x v="77"/>
    <x v="10"/>
    <s v="Percent"/>
    <s v="Units"/>
    <x v="0"/>
    <n v="4.0000000000000001E-3"/>
  </r>
  <r>
    <n v="200"/>
    <x v="3"/>
    <x v="77"/>
    <x v="10"/>
    <s v="Percent"/>
    <s v="Units"/>
    <x v="1"/>
    <n v="5.0000000000000001E-3"/>
  </r>
  <r>
    <n v="200"/>
    <x v="3"/>
    <x v="77"/>
    <x v="10"/>
    <s v="Percent"/>
    <s v="Units"/>
    <x v="2"/>
    <n v="5.0000000000000001E-3"/>
  </r>
  <r>
    <n v="200"/>
    <x v="3"/>
    <x v="77"/>
    <x v="10"/>
    <s v="Percent"/>
    <s v="Units"/>
    <x v="3"/>
    <n v="4.0000000000000001E-3"/>
  </r>
  <r>
    <n v="200"/>
    <x v="3"/>
    <x v="77"/>
    <x v="10"/>
    <s v="Percent"/>
    <s v="Units"/>
    <x v="4"/>
    <n v="3.0000000000000001E-3"/>
  </r>
  <r>
    <n v="200"/>
    <x v="3"/>
    <x v="77"/>
    <x v="10"/>
    <s v="Percent"/>
    <s v="Units"/>
    <x v="5"/>
    <n v="3.0000000000000001E-3"/>
  </r>
  <r>
    <n v="200"/>
    <x v="3"/>
    <x v="77"/>
    <x v="10"/>
    <s v="Percent"/>
    <s v="Units"/>
    <x v="6"/>
    <n v="3.0000000000000001E-3"/>
  </r>
  <r>
    <n v="603"/>
    <x v="12"/>
    <x v="186"/>
    <x v="10"/>
    <s v="Percent"/>
    <s v="Units"/>
    <x v="0"/>
    <n v="3.0000000000000001E-3"/>
  </r>
  <r>
    <n v="603"/>
    <x v="12"/>
    <x v="186"/>
    <x v="10"/>
    <s v="Percent"/>
    <s v="Units"/>
    <x v="1"/>
    <n v="4.0000000000000001E-3"/>
  </r>
  <r>
    <n v="603"/>
    <x v="12"/>
    <x v="186"/>
    <x v="10"/>
    <s v="Percent"/>
    <s v="Units"/>
    <x v="2"/>
    <n v="3.0000000000000001E-3"/>
  </r>
  <r>
    <n v="603"/>
    <x v="12"/>
    <x v="186"/>
    <x v="10"/>
    <s v="Percent"/>
    <s v="Units"/>
    <x v="3"/>
    <n v="3.0000000000000001E-3"/>
  </r>
  <r>
    <n v="603"/>
    <x v="12"/>
    <x v="186"/>
    <x v="10"/>
    <s v="Percent"/>
    <s v="Units"/>
    <x v="4"/>
    <n v="3.0000000000000001E-3"/>
  </r>
  <r>
    <n v="603"/>
    <x v="12"/>
    <x v="186"/>
    <x v="10"/>
    <s v="Percent"/>
    <s v="Units"/>
    <x v="5"/>
    <n v="3.0000000000000001E-3"/>
  </r>
  <r>
    <n v="603"/>
    <x v="12"/>
    <x v="186"/>
    <x v="10"/>
    <s v="Percent"/>
    <s v="Units"/>
    <x v="6"/>
    <n v="3.0000000000000001E-3"/>
  </r>
  <r>
    <n v="603"/>
    <x v="12"/>
    <x v="152"/>
    <x v="10"/>
    <s v="Percent"/>
    <s v="Units"/>
    <x v="0"/>
    <n v="3.0000000000000001E-3"/>
  </r>
  <r>
    <n v="603"/>
    <x v="12"/>
    <x v="152"/>
    <x v="10"/>
    <s v="Percent"/>
    <s v="Units"/>
    <x v="1"/>
    <n v="3.0000000000000001E-3"/>
  </r>
  <r>
    <n v="603"/>
    <x v="12"/>
    <x v="152"/>
    <x v="10"/>
    <s v="Percent"/>
    <s v="Units"/>
    <x v="2"/>
    <n v="3.0000000000000001E-3"/>
  </r>
  <r>
    <n v="603"/>
    <x v="12"/>
    <x v="152"/>
    <x v="10"/>
    <s v="Percent"/>
    <s v="Units"/>
    <x v="3"/>
    <n v="3.0000000000000001E-3"/>
  </r>
  <r>
    <n v="603"/>
    <x v="12"/>
    <x v="152"/>
    <x v="10"/>
    <s v="Percent"/>
    <s v="Units"/>
    <x v="4"/>
    <n v="3.0000000000000001E-3"/>
  </r>
  <r>
    <n v="603"/>
    <x v="12"/>
    <x v="152"/>
    <x v="10"/>
    <s v="Percent"/>
    <s v="Units"/>
    <x v="5"/>
    <n v="3.0000000000000001E-3"/>
  </r>
  <r>
    <n v="603"/>
    <x v="12"/>
    <x v="152"/>
    <x v="10"/>
    <s v="Percent"/>
    <s v="Units"/>
    <x v="6"/>
    <n v="3.0000000000000001E-3"/>
  </r>
  <r>
    <n v="200"/>
    <x v="3"/>
    <x v="169"/>
    <x v="10"/>
    <s v="Percent"/>
    <s v="Units"/>
    <x v="0"/>
    <n v="3.0000000000000001E-3"/>
  </r>
  <r>
    <n v="200"/>
    <x v="3"/>
    <x v="169"/>
    <x v="10"/>
    <s v="Percent"/>
    <s v="Units"/>
    <x v="1"/>
    <n v="2E-3"/>
  </r>
  <r>
    <n v="200"/>
    <x v="3"/>
    <x v="169"/>
    <x v="10"/>
    <s v="Percent"/>
    <s v="Units"/>
    <x v="2"/>
    <n v="3.0000000000000001E-3"/>
  </r>
  <r>
    <n v="200"/>
    <x v="3"/>
    <x v="169"/>
    <x v="10"/>
    <s v="Percent"/>
    <s v="Units"/>
    <x v="3"/>
    <n v="3.0000000000000001E-3"/>
  </r>
  <r>
    <n v="200"/>
    <x v="3"/>
    <x v="169"/>
    <x v="10"/>
    <s v="Percent"/>
    <s v="Units"/>
    <x v="4"/>
    <n v="3.0000000000000001E-3"/>
  </r>
  <r>
    <n v="200"/>
    <x v="3"/>
    <x v="169"/>
    <x v="10"/>
    <s v="Percent"/>
    <s v="Units"/>
    <x v="5"/>
    <n v="3.0000000000000001E-3"/>
  </r>
  <r>
    <n v="200"/>
    <x v="3"/>
    <x v="169"/>
    <x v="10"/>
    <s v="Percent"/>
    <s v="Units"/>
    <x v="6"/>
    <n v="3.0000000000000001E-3"/>
  </r>
  <r>
    <n v="110"/>
    <x v="0"/>
    <x v="127"/>
    <x v="10"/>
    <s v="Percent"/>
    <s v="Units"/>
    <x v="0"/>
    <n v="3.0000000000000001E-3"/>
  </r>
  <r>
    <n v="110"/>
    <x v="0"/>
    <x v="127"/>
    <x v="10"/>
    <s v="Percent"/>
    <s v="Units"/>
    <x v="1"/>
    <n v="3.0000000000000001E-3"/>
  </r>
  <r>
    <n v="110"/>
    <x v="0"/>
    <x v="127"/>
    <x v="10"/>
    <s v="Percent"/>
    <s v="Units"/>
    <x v="2"/>
    <n v="3.0000000000000001E-3"/>
  </r>
  <r>
    <n v="110"/>
    <x v="0"/>
    <x v="127"/>
    <x v="10"/>
    <s v="Percent"/>
    <s v="Units"/>
    <x v="3"/>
    <n v="3.0000000000000001E-3"/>
  </r>
  <r>
    <n v="110"/>
    <x v="0"/>
    <x v="127"/>
    <x v="10"/>
    <s v="Percent"/>
    <s v="Units"/>
    <x v="4"/>
    <n v="3.0000000000000001E-3"/>
  </r>
  <r>
    <n v="110"/>
    <x v="0"/>
    <x v="127"/>
    <x v="10"/>
    <s v="Percent"/>
    <s v="Units"/>
    <x v="5"/>
    <n v="3.0000000000000001E-3"/>
  </r>
  <r>
    <n v="110"/>
    <x v="0"/>
    <x v="127"/>
    <x v="10"/>
    <s v="Percent"/>
    <s v="Units"/>
    <x v="6"/>
    <n v="3.0000000000000001E-3"/>
  </r>
  <r>
    <n v="200"/>
    <x v="3"/>
    <x v="177"/>
    <x v="10"/>
    <s v="Percent"/>
    <s v="Units"/>
    <x v="0"/>
    <n v="3.0000000000000001E-3"/>
  </r>
  <r>
    <n v="200"/>
    <x v="3"/>
    <x v="177"/>
    <x v="10"/>
    <s v="Percent"/>
    <s v="Units"/>
    <x v="1"/>
    <n v="2E-3"/>
  </r>
  <r>
    <n v="200"/>
    <x v="3"/>
    <x v="177"/>
    <x v="10"/>
    <s v="Percent"/>
    <s v="Units"/>
    <x v="2"/>
    <n v="3.0000000000000001E-3"/>
  </r>
  <r>
    <n v="200"/>
    <x v="3"/>
    <x v="177"/>
    <x v="10"/>
    <s v="Percent"/>
    <s v="Units"/>
    <x v="3"/>
    <n v="3.0000000000000001E-3"/>
  </r>
  <r>
    <n v="200"/>
    <x v="3"/>
    <x v="177"/>
    <x v="10"/>
    <s v="Percent"/>
    <s v="Units"/>
    <x v="4"/>
    <n v="3.0000000000000001E-3"/>
  </r>
  <r>
    <n v="200"/>
    <x v="3"/>
    <x v="177"/>
    <x v="10"/>
    <s v="Percent"/>
    <s v="Units"/>
    <x v="5"/>
    <n v="3.0000000000000001E-3"/>
  </r>
  <r>
    <n v="200"/>
    <x v="3"/>
    <x v="177"/>
    <x v="10"/>
    <s v="Percent"/>
    <s v="Units"/>
    <x v="6"/>
    <n v="3.0000000000000001E-3"/>
  </r>
  <r>
    <n v="200"/>
    <x v="3"/>
    <x v="159"/>
    <x v="10"/>
    <s v="Percent"/>
    <s v="Units"/>
    <x v="0"/>
    <n v="3.0000000000000001E-3"/>
  </r>
  <r>
    <n v="200"/>
    <x v="3"/>
    <x v="159"/>
    <x v="10"/>
    <s v="Percent"/>
    <s v="Units"/>
    <x v="1"/>
    <n v="3.0000000000000001E-3"/>
  </r>
  <r>
    <n v="200"/>
    <x v="3"/>
    <x v="159"/>
    <x v="10"/>
    <s v="Percent"/>
    <s v="Units"/>
    <x v="2"/>
    <n v="3.0000000000000001E-3"/>
  </r>
  <r>
    <n v="200"/>
    <x v="3"/>
    <x v="159"/>
    <x v="10"/>
    <s v="Percent"/>
    <s v="Units"/>
    <x v="3"/>
    <n v="3.0000000000000001E-3"/>
  </r>
  <r>
    <n v="200"/>
    <x v="3"/>
    <x v="159"/>
    <x v="10"/>
    <s v="Percent"/>
    <s v="Units"/>
    <x v="4"/>
    <n v="3.0000000000000001E-3"/>
  </r>
  <r>
    <n v="200"/>
    <x v="3"/>
    <x v="159"/>
    <x v="10"/>
    <s v="Percent"/>
    <s v="Units"/>
    <x v="5"/>
    <n v="3.0000000000000001E-3"/>
  </r>
  <r>
    <n v="200"/>
    <x v="3"/>
    <x v="159"/>
    <x v="10"/>
    <s v="Percent"/>
    <s v="Units"/>
    <x v="6"/>
    <n v="3.0000000000000001E-3"/>
  </r>
  <r>
    <n v="123"/>
    <x v="9"/>
    <x v="127"/>
    <x v="10"/>
    <s v="Percent"/>
    <s v="Units"/>
    <x v="0"/>
    <n v="3.0000000000000001E-3"/>
  </r>
  <r>
    <n v="123"/>
    <x v="9"/>
    <x v="127"/>
    <x v="10"/>
    <s v="Percent"/>
    <s v="Units"/>
    <x v="1"/>
    <n v="3.0000000000000001E-3"/>
  </r>
  <r>
    <n v="123"/>
    <x v="9"/>
    <x v="127"/>
    <x v="10"/>
    <s v="Percent"/>
    <s v="Units"/>
    <x v="2"/>
    <n v="3.0000000000000001E-3"/>
  </r>
  <r>
    <n v="123"/>
    <x v="9"/>
    <x v="127"/>
    <x v="10"/>
    <s v="Percent"/>
    <s v="Units"/>
    <x v="3"/>
    <n v="3.0000000000000001E-3"/>
  </r>
  <r>
    <n v="123"/>
    <x v="9"/>
    <x v="127"/>
    <x v="10"/>
    <s v="Percent"/>
    <s v="Units"/>
    <x v="4"/>
    <n v="3.0000000000000001E-3"/>
  </r>
  <r>
    <n v="123"/>
    <x v="9"/>
    <x v="127"/>
    <x v="10"/>
    <s v="Percent"/>
    <s v="Units"/>
    <x v="5"/>
    <n v="3.0000000000000001E-3"/>
  </r>
  <r>
    <n v="123"/>
    <x v="9"/>
    <x v="127"/>
    <x v="10"/>
    <s v="Percent"/>
    <s v="Units"/>
    <x v="6"/>
    <n v="3.0000000000000001E-3"/>
  </r>
  <r>
    <n v="505"/>
    <x v="4"/>
    <x v="77"/>
    <x v="10"/>
    <s v="Percent"/>
    <s v="Units"/>
    <x v="0"/>
    <n v="4.0000000000000001E-3"/>
  </r>
  <r>
    <n v="505"/>
    <x v="4"/>
    <x v="77"/>
    <x v="10"/>
    <s v="Percent"/>
    <s v="Units"/>
    <x v="1"/>
    <n v="5.0000000000000001E-3"/>
  </r>
  <r>
    <n v="505"/>
    <x v="4"/>
    <x v="77"/>
    <x v="10"/>
    <s v="Percent"/>
    <s v="Units"/>
    <x v="2"/>
    <n v="5.0000000000000001E-3"/>
  </r>
  <r>
    <n v="505"/>
    <x v="4"/>
    <x v="77"/>
    <x v="10"/>
    <s v="Percent"/>
    <s v="Units"/>
    <x v="3"/>
    <n v="4.0000000000000001E-3"/>
  </r>
  <r>
    <n v="505"/>
    <x v="4"/>
    <x v="77"/>
    <x v="10"/>
    <s v="Percent"/>
    <s v="Units"/>
    <x v="4"/>
    <n v="3.0000000000000001E-3"/>
  </r>
  <r>
    <n v="505"/>
    <x v="4"/>
    <x v="77"/>
    <x v="10"/>
    <s v="Percent"/>
    <s v="Units"/>
    <x v="5"/>
    <n v="3.0000000000000001E-3"/>
  </r>
  <r>
    <n v="505"/>
    <x v="4"/>
    <x v="77"/>
    <x v="10"/>
    <s v="Percent"/>
    <s v="Units"/>
    <x v="6"/>
    <n v="3.0000000000000001E-3"/>
  </r>
  <r>
    <n v="200"/>
    <x v="3"/>
    <x v="186"/>
    <x v="10"/>
    <s v="Percent"/>
    <s v="Units"/>
    <x v="0"/>
    <n v="3.0000000000000001E-3"/>
  </r>
  <r>
    <n v="200"/>
    <x v="3"/>
    <x v="186"/>
    <x v="10"/>
    <s v="Percent"/>
    <s v="Units"/>
    <x v="1"/>
    <n v="4.0000000000000001E-3"/>
  </r>
  <r>
    <n v="200"/>
    <x v="3"/>
    <x v="186"/>
    <x v="10"/>
    <s v="Percent"/>
    <s v="Units"/>
    <x v="2"/>
    <n v="3.0000000000000001E-3"/>
  </r>
  <r>
    <n v="200"/>
    <x v="3"/>
    <x v="186"/>
    <x v="10"/>
    <s v="Percent"/>
    <s v="Units"/>
    <x v="3"/>
    <n v="3.0000000000000001E-3"/>
  </r>
  <r>
    <n v="200"/>
    <x v="3"/>
    <x v="186"/>
    <x v="10"/>
    <s v="Percent"/>
    <s v="Units"/>
    <x v="4"/>
    <n v="3.0000000000000001E-3"/>
  </r>
  <r>
    <n v="200"/>
    <x v="3"/>
    <x v="186"/>
    <x v="10"/>
    <s v="Percent"/>
    <s v="Units"/>
    <x v="5"/>
    <n v="3.0000000000000001E-3"/>
  </r>
  <r>
    <n v="200"/>
    <x v="3"/>
    <x v="186"/>
    <x v="10"/>
    <s v="Percent"/>
    <s v="Units"/>
    <x v="6"/>
    <n v="3.0000000000000001E-3"/>
  </r>
  <r>
    <n v="200"/>
    <x v="3"/>
    <x v="184"/>
    <x v="10"/>
    <s v="Percent"/>
    <s v="Units"/>
    <x v="0"/>
    <n v="3.0000000000000001E-3"/>
  </r>
  <r>
    <n v="200"/>
    <x v="3"/>
    <x v="184"/>
    <x v="10"/>
    <s v="Percent"/>
    <s v="Units"/>
    <x v="1"/>
    <n v="3.0000000000000001E-3"/>
  </r>
  <r>
    <n v="200"/>
    <x v="3"/>
    <x v="184"/>
    <x v="10"/>
    <s v="Percent"/>
    <s v="Units"/>
    <x v="2"/>
    <n v="3.0000000000000001E-3"/>
  </r>
  <r>
    <n v="200"/>
    <x v="3"/>
    <x v="184"/>
    <x v="10"/>
    <s v="Percent"/>
    <s v="Units"/>
    <x v="3"/>
    <n v="3.0000000000000001E-3"/>
  </r>
  <r>
    <n v="200"/>
    <x v="3"/>
    <x v="184"/>
    <x v="10"/>
    <s v="Percent"/>
    <s v="Units"/>
    <x v="4"/>
    <n v="3.0000000000000001E-3"/>
  </r>
  <r>
    <n v="200"/>
    <x v="3"/>
    <x v="184"/>
    <x v="10"/>
    <s v="Percent"/>
    <s v="Units"/>
    <x v="5"/>
    <n v="3.0000000000000001E-3"/>
  </r>
  <r>
    <n v="200"/>
    <x v="3"/>
    <x v="184"/>
    <x v="10"/>
    <s v="Percent"/>
    <s v="Units"/>
    <x v="6"/>
    <n v="4.0000000000000001E-3"/>
  </r>
  <r>
    <n v="200"/>
    <x v="3"/>
    <x v="152"/>
    <x v="10"/>
    <s v="Percent"/>
    <s v="Units"/>
    <x v="0"/>
    <n v="3.0000000000000001E-3"/>
  </r>
  <r>
    <n v="200"/>
    <x v="3"/>
    <x v="152"/>
    <x v="10"/>
    <s v="Percent"/>
    <s v="Units"/>
    <x v="1"/>
    <n v="3.0000000000000001E-3"/>
  </r>
  <r>
    <n v="200"/>
    <x v="3"/>
    <x v="152"/>
    <x v="10"/>
    <s v="Percent"/>
    <s v="Units"/>
    <x v="2"/>
    <n v="3.0000000000000001E-3"/>
  </r>
  <r>
    <n v="200"/>
    <x v="3"/>
    <x v="152"/>
    <x v="10"/>
    <s v="Percent"/>
    <s v="Units"/>
    <x v="3"/>
    <n v="3.0000000000000001E-3"/>
  </r>
  <r>
    <n v="200"/>
    <x v="3"/>
    <x v="152"/>
    <x v="10"/>
    <s v="Percent"/>
    <s v="Units"/>
    <x v="4"/>
    <n v="3.0000000000000001E-3"/>
  </r>
  <r>
    <n v="200"/>
    <x v="3"/>
    <x v="152"/>
    <x v="10"/>
    <s v="Percent"/>
    <s v="Units"/>
    <x v="5"/>
    <n v="3.0000000000000001E-3"/>
  </r>
  <r>
    <n v="200"/>
    <x v="3"/>
    <x v="152"/>
    <x v="10"/>
    <s v="Percent"/>
    <s v="Units"/>
    <x v="6"/>
    <n v="3.0000000000000001E-3"/>
  </r>
  <r>
    <n v="205"/>
    <x v="7"/>
    <x v="132"/>
    <x v="10"/>
    <s v="Percent"/>
    <s v="Units"/>
    <x v="0"/>
    <n v="2E-3"/>
  </r>
  <r>
    <n v="205"/>
    <x v="7"/>
    <x v="132"/>
    <x v="10"/>
    <s v="Percent"/>
    <s v="Units"/>
    <x v="1"/>
    <n v="1E-3"/>
  </r>
  <r>
    <n v="205"/>
    <x v="7"/>
    <x v="132"/>
    <x v="10"/>
    <s v="Percent"/>
    <s v="Units"/>
    <x v="2"/>
    <n v="1E-3"/>
  </r>
  <r>
    <n v="205"/>
    <x v="7"/>
    <x v="132"/>
    <x v="10"/>
    <s v="Percent"/>
    <s v="Units"/>
    <x v="3"/>
    <n v="1E-3"/>
  </r>
  <r>
    <n v="205"/>
    <x v="7"/>
    <x v="132"/>
    <x v="10"/>
    <s v="Percent"/>
    <s v="Units"/>
    <x v="4"/>
    <n v="1E-3"/>
  </r>
  <r>
    <n v="205"/>
    <x v="7"/>
    <x v="132"/>
    <x v="10"/>
    <s v="Percent"/>
    <s v="Units"/>
    <x v="5"/>
    <n v="2E-3"/>
  </r>
  <r>
    <n v="205"/>
    <x v="7"/>
    <x v="132"/>
    <x v="10"/>
    <s v="Percent"/>
    <s v="Units"/>
    <x v="6"/>
    <n v="2E-3"/>
  </r>
  <r>
    <n v="603"/>
    <x v="12"/>
    <x v="182"/>
    <x v="10"/>
    <s v="Percent"/>
    <s v="Units"/>
    <x v="0"/>
    <n v="2E-3"/>
  </r>
  <r>
    <n v="603"/>
    <x v="12"/>
    <x v="182"/>
    <x v="10"/>
    <s v="Percent"/>
    <s v="Units"/>
    <x v="1"/>
    <n v="2E-3"/>
  </r>
  <r>
    <n v="603"/>
    <x v="12"/>
    <x v="182"/>
    <x v="10"/>
    <s v="Percent"/>
    <s v="Units"/>
    <x v="2"/>
    <n v="2E-3"/>
  </r>
  <r>
    <n v="603"/>
    <x v="12"/>
    <x v="182"/>
    <x v="10"/>
    <s v="Percent"/>
    <s v="Units"/>
    <x v="3"/>
    <n v="2E-3"/>
  </r>
  <r>
    <n v="603"/>
    <x v="12"/>
    <x v="182"/>
    <x v="10"/>
    <s v="Percent"/>
    <s v="Units"/>
    <x v="4"/>
    <n v="2E-3"/>
  </r>
  <r>
    <n v="603"/>
    <x v="12"/>
    <x v="182"/>
    <x v="10"/>
    <s v="Percent"/>
    <s v="Units"/>
    <x v="5"/>
    <n v="2E-3"/>
  </r>
  <r>
    <n v="603"/>
    <x v="12"/>
    <x v="182"/>
    <x v="10"/>
    <s v="Percent"/>
    <s v="Units"/>
    <x v="6"/>
    <n v="2E-3"/>
  </r>
  <r>
    <n v="205"/>
    <x v="7"/>
    <x v="178"/>
    <x v="10"/>
    <s v="Percent"/>
    <s v="Units"/>
    <x v="0"/>
    <n v="2E-3"/>
  </r>
  <r>
    <n v="205"/>
    <x v="7"/>
    <x v="178"/>
    <x v="10"/>
    <s v="Percent"/>
    <s v="Units"/>
    <x v="1"/>
    <n v="2E-3"/>
  </r>
  <r>
    <n v="205"/>
    <x v="7"/>
    <x v="178"/>
    <x v="10"/>
    <s v="Percent"/>
    <s v="Units"/>
    <x v="2"/>
    <n v="2E-3"/>
  </r>
  <r>
    <n v="205"/>
    <x v="7"/>
    <x v="178"/>
    <x v="10"/>
    <s v="Percent"/>
    <s v="Units"/>
    <x v="3"/>
    <n v="2E-3"/>
  </r>
  <r>
    <n v="205"/>
    <x v="7"/>
    <x v="178"/>
    <x v="10"/>
    <s v="Percent"/>
    <s v="Units"/>
    <x v="4"/>
    <n v="2E-3"/>
  </r>
  <r>
    <n v="205"/>
    <x v="7"/>
    <x v="178"/>
    <x v="10"/>
    <s v="Percent"/>
    <s v="Units"/>
    <x v="5"/>
    <n v="2E-3"/>
  </r>
  <r>
    <n v="205"/>
    <x v="7"/>
    <x v="178"/>
    <x v="10"/>
    <s v="Percent"/>
    <s v="Units"/>
    <x v="6"/>
    <n v="2E-3"/>
  </r>
  <r>
    <n v="200"/>
    <x v="3"/>
    <x v="141"/>
    <x v="10"/>
    <s v="Percent"/>
    <s v="Units"/>
    <x v="0"/>
    <n v="2E-3"/>
  </r>
  <r>
    <n v="200"/>
    <x v="3"/>
    <x v="141"/>
    <x v="10"/>
    <s v="Percent"/>
    <s v="Units"/>
    <x v="1"/>
    <n v="2E-3"/>
  </r>
  <r>
    <n v="200"/>
    <x v="3"/>
    <x v="141"/>
    <x v="10"/>
    <s v="Percent"/>
    <s v="Units"/>
    <x v="2"/>
    <n v="2E-3"/>
  </r>
  <r>
    <n v="200"/>
    <x v="3"/>
    <x v="141"/>
    <x v="10"/>
    <s v="Percent"/>
    <s v="Units"/>
    <x v="3"/>
    <n v="2E-3"/>
  </r>
  <r>
    <n v="200"/>
    <x v="3"/>
    <x v="141"/>
    <x v="10"/>
    <s v="Percent"/>
    <s v="Units"/>
    <x v="4"/>
    <n v="2E-3"/>
  </r>
  <r>
    <n v="200"/>
    <x v="3"/>
    <x v="141"/>
    <x v="10"/>
    <s v="Percent"/>
    <s v="Units"/>
    <x v="5"/>
    <n v="2E-3"/>
  </r>
  <r>
    <n v="200"/>
    <x v="3"/>
    <x v="141"/>
    <x v="10"/>
    <s v="Percent"/>
    <s v="Units"/>
    <x v="6"/>
    <n v="2E-3"/>
  </r>
  <r>
    <n v="200"/>
    <x v="3"/>
    <x v="132"/>
    <x v="10"/>
    <s v="Percent"/>
    <s v="Units"/>
    <x v="0"/>
    <n v="2E-3"/>
  </r>
  <r>
    <n v="200"/>
    <x v="3"/>
    <x v="132"/>
    <x v="10"/>
    <s v="Percent"/>
    <s v="Units"/>
    <x v="1"/>
    <n v="1E-3"/>
  </r>
  <r>
    <n v="200"/>
    <x v="3"/>
    <x v="132"/>
    <x v="10"/>
    <s v="Percent"/>
    <s v="Units"/>
    <x v="2"/>
    <n v="1E-3"/>
  </r>
  <r>
    <n v="200"/>
    <x v="3"/>
    <x v="132"/>
    <x v="10"/>
    <s v="Percent"/>
    <s v="Units"/>
    <x v="3"/>
    <n v="1E-3"/>
  </r>
  <r>
    <n v="200"/>
    <x v="3"/>
    <x v="132"/>
    <x v="10"/>
    <s v="Percent"/>
    <s v="Units"/>
    <x v="4"/>
    <n v="1E-3"/>
  </r>
  <r>
    <n v="200"/>
    <x v="3"/>
    <x v="132"/>
    <x v="10"/>
    <s v="Percent"/>
    <s v="Units"/>
    <x v="5"/>
    <n v="2E-3"/>
  </r>
  <r>
    <n v="200"/>
    <x v="3"/>
    <x v="132"/>
    <x v="10"/>
    <s v="Percent"/>
    <s v="Units"/>
    <x v="6"/>
    <n v="2E-3"/>
  </r>
  <r>
    <n v="123"/>
    <x v="9"/>
    <x v="180"/>
    <x v="10"/>
    <s v="Percent"/>
    <s v="Units"/>
    <x v="0"/>
    <n v="2E-3"/>
  </r>
  <r>
    <n v="123"/>
    <x v="9"/>
    <x v="180"/>
    <x v="10"/>
    <s v="Percent"/>
    <s v="Units"/>
    <x v="1"/>
    <n v="2E-3"/>
  </r>
  <r>
    <n v="123"/>
    <x v="9"/>
    <x v="180"/>
    <x v="10"/>
    <s v="Percent"/>
    <s v="Units"/>
    <x v="2"/>
    <n v="2E-3"/>
  </r>
  <r>
    <n v="123"/>
    <x v="9"/>
    <x v="180"/>
    <x v="10"/>
    <s v="Percent"/>
    <s v="Units"/>
    <x v="3"/>
    <n v="2E-3"/>
  </r>
  <r>
    <n v="123"/>
    <x v="9"/>
    <x v="180"/>
    <x v="10"/>
    <s v="Percent"/>
    <s v="Units"/>
    <x v="4"/>
    <n v="2E-3"/>
  </r>
  <r>
    <n v="123"/>
    <x v="9"/>
    <x v="180"/>
    <x v="10"/>
    <s v="Percent"/>
    <s v="Units"/>
    <x v="5"/>
    <n v="2E-3"/>
  </r>
  <r>
    <n v="123"/>
    <x v="9"/>
    <x v="180"/>
    <x v="10"/>
    <s v="Percent"/>
    <s v="Units"/>
    <x v="6"/>
    <n v="2E-3"/>
  </r>
  <r>
    <n v="200"/>
    <x v="3"/>
    <x v="178"/>
    <x v="10"/>
    <s v="Percent"/>
    <s v="Units"/>
    <x v="0"/>
    <n v="2E-3"/>
  </r>
  <r>
    <n v="200"/>
    <x v="3"/>
    <x v="178"/>
    <x v="10"/>
    <s v="Percent"/>
    <s v="Units"/>
    <x v="1"/>
    <n v="2E-3"/>
  </r>
  <r>
    <n v="200"/>
    <x v="3"/>
    <x v="178"/>
    <x v="10"/>
    <s v="Percent"/>
    <s v="Units"/>
    <x v="2"/>
    <n v="2E-3"/>
  </r>
  <r>
    <n v="200"/>
    <x v="3"/>
    <x v="178"/>
    <x v="10"/>
    <s v="Percent"/>
    <s v="Units"/>
    <x v="3"/>
    <n v="2E-3"/>
  </r>
  <r>
    <n v="200"/>
    <x v="3"/>
    <x v="178"/>
    <x v="10"/>
    <s v="Percent"/>
    <s v="Units"/>
    <x v="4"/>
    <n v="2E-3"/>
  </r>
  <r>
    <n v="200"/>
    <x v="3"/>
    <x v="178"/>
    <x v="10"/>
    <s v="Percent"/>
    <s v="Units"/>
    <x v="5"/>
    <n v="2E-3"/>
  </r>
  <r>
    <n v="200"/>
    <x v="3"/>
    <x v="178"/>
    <x v="10"/>
    <s v="Percent"/>
    <s v="Units"/>
    <x v="6"/>
    <n v="2E-3"/>
  </r>
  <r>
    <n v="200"/>
    <x v="3"/>
    <x v="182"/>
    <x v="10"/>
    <s v="Percent"/>
    <s v="Units"/>
    <x v="0"/>
    <n v="2E-3"/>
  </r>
  <r>
    <n v="200"/>
    <x v="3"/>
    <x v="182"/>
    <x v="10"/>
    <s v="Percent"/>
    <s v="Units"/>
    <x v="1"/>
    <n v="2E-3"/>
  </r>
  <r>
    <n v="200"/>
    <x v="3"/>
    <x v="182"/>
    <x v="10"/>
    <s v="Percent"/>
    <s v="Units"/>
    <x v="2"/>
    <n v="2E-3"/>
  </r>
  <r>
    <n v="200"/>
    <x v="3"/>
    <x v="182"/>
    <x v="10"/>
    <s v="Percent"/>
    <s v="Units"/>
    <x v="3"/>
    <n v="2E-3"/>
  </r>
  <r>
    <n v="200"/>
    <x v="3"/>
    <x v="182"/>
    <x v="10"/>
    <s v="Percent"/>
    <s v="Units"/>
    <x v="4"/>
    <n v="2E-3"/>
  </r>
  <r>
    <n v="200"/>
    <x v="3"/>
    <x v="182"/>
    <x v="10"/>
    <s v="Percent"/>
    <s v="Units"/>
    <x v="5"/>
    <n v="2E-3"/>
  </r>
  <r>
    <n v="200"/>
    <x v="3"/>
    <x v="182"/>
    <x v="10"/>
    <s v="Percent"/>
    <s v="Units"/>
    <x v="6"/>
    <n v="2E-3"/>
  </r>
  <r>
    <n v="603"/>
    <x v="12"/>
    <x v="141"/>
    <x v="10"/>
    <s v="Percent"/>
    <s v="Units"/>
    <x v="0"/>
    <n v="2E-3"/>
  </r>
  <r>
    <n v="603"/>
    <x v="12"/>
    <x v="141"/>
    <x v="10"/>
    <s v="Percent"/>
    <s v="Units"/>
    <x v="1"/>
    <n v="2E-3"/>
  </r>
  <r>
    <n v="603"/>
    <x v="12"/>
    <x v="141"/>
    <x v="10"/>
    <s v="Percent"/>
    <s v="Units"/>
    <x v="2"/>
    <n v="2E-3"/>
  </r>
  <r>
    <n v="603"/>
    <x v="12"/>
    <x v="141"/>
    <x v="10"/>
    <s v="Percent"/>
    <s v="Units"/>
    <x v="3"/>
    <n v="2E-3"/>
  </r>
  <r>
    <n v="603"/>
    <x v="12"/>
    <x v="141"/>
    <x v="10"/>
    <s v="Percent"/>
    <s v="Units"/>
    <x v="4"/>
    <n v="2E-3"/>
  </r>
  <r>
    <n v="603"/>
    <x v="12"/>
    <x v="141"/>
    <x v="10"/>
    <s v="Percent"/>
    <s v="Units"/>
    <x v="5"/>
    <n v="2E-3"/>
  </r>
  <r>
    <n v="603"/>
    <x v="12"/>
    <x v="141"/>
    <x v="10"/>
    <s v="Percent"/>
    <s v="Units"/>
    <x v="6"/>
    <n v="2E-3"/>
  </r>
  <r>
    <n v="110"/>
    <x v="0"/>
    <x v="180"/>
    <x v="10"/>
    <s v="Percent"/>
    <s v="Units"/>
    <x v="0"/>
    <n v="2E-3"/>
  </r>
  <r>
    <n v="110"/>
    <x v="0"/>
    <x v="180"/>
    <x v="10"/>
    <s v="Percent"/>
    <s v="Units"/>
    <x v="1"/>
    <n v="2E-3"/>
  </r>
  <r>
    <n v="110"/>
    <x v="0"/>
    <x v="180"/>
    <x v="10"/>
    <s v="Percent"/>
    <s v="Units"/>
    <x v="2"/>
    <n v="2E-3"/>
  </r>
  <r>
    <n v="110"/>
    <x v="0"/>
    <x v="180"/>
    <x v="10"/>
    <s v="Percent"/>
    <s v="Units"/>
    <x v="3"/>
    <n v="2E-3"/>
  </r>
  <r>
    <n v="110"/>
    <x v="0"/>
    <x v="180"/>
    <x v="10"/>
    <s v="Percent"/>
    <s v="Units"/>
    <x v="4"/>
    <n v="2E-3"/>
  </r>
  <r>
    <n v="110"/>
    <x v="0"/>
    <x v="180"/>
    <x v="10"/>
    <s v="Percent"/>
    <s v="Units"/>
    <x v="5"/>
    <n v="2E-3"/>
  </r>
  <r>
    <n v="110"/>
    <x v="0"/>
    <x v="180"/>
    <x v="10"/>
    <s v="Percent"/>
    <s v="Units"/>
    <x v="6"/>
    <n v="2E-3"/>
  </r>
  <r>
    <n v="205"/>
    <x v="7"/>
    <x v="124"/>
    <x v="10"/>
    <s v="Percent"/>
    <s v="Units"/>
    <x v="0"/>
    <n v="1E-3"/>
  </r>
  <r>
    <n v="205"/>
    <x v="7"/>
    <x v="124"/>
    <x v="10"/>
    <s v="Percent"/>
    <s v="Units"/>
    <x v="1"/>
    <n v="1E-3"/>
  </r>
  <r>
    <n v="205"/>
    <x v="7"/>
    <x v="124"/>
    <x v="10"/>
    <s v="Percent"/>
    <s v="Units"/>
    <x v="2"/>
    <n v="1E-3"/>
  </r>
  <r>
    <n v="205"/>
    <x v="7"/>
    <x v="124"/>
    <x v="10"/>
    <s v="Percent"/>
    <s v="Units"/>
    <x v="3"/>
    <n v="1E-3"/>
  </r>
  <r>
    <n v="205"/>
    <x v="7"/>
    <x v="124"/>
    <x v="10"/>
    <s v="Percent"/>
    <s v="Units"/>
    <x v="4"/>
    <n v="1E-3"/>
  </r>
  <r>
    <n v="205"/>
    <x v="7"/>
    <x v="124"/>
    <x v="10"/>
    <s v="Percent"/>
    <s v="Units"/>
    <x v="5"/>
    <n v="1E-3"/>
  </r>
  <r>
    <n v="205"/>
    <x v="7"/>
    <x v="124"/>
    <x v="10"/>
    <s v="Percent"/>
    <s v="Units"/>
    <x v="6"/>
    <n v="1E-3"/>
  </r>
  <r>
    <n v="205"/>
    <x v="7"/>
    <x v="111"/>
    <x v="10"/>
    <s v="Percent"/>
    <s v="Units"/>
    <x v="0"/>
    <n v="1E-3"/>
  </r>
  <r>
    <n v="205"/>
    <x v="7"/>
    <x v="111"/>
    <x v="10"/>
    <s v="Percent"/>
    <s v="Units"/>
    <x v="1"/>
    <n v="1E-3"/>
  </r>
  <r>
    <n v="205"/>
    <x v="7"/>
    <x v="111"/>
    <x v="10"/>
    <s v="Percent"/>
    <s v="Units"/>
    <x v="2"/>
    <n v="1E-3"/>
  </r>
  <r>
    <n v="205"/>
    <x v="7"/>
    <x v="111"/>
    <x v="10"/>
    <s v="Percent"/>
    <s v="Units"/>
    <x v="3"/>
    <n v="1E-3"/>
  </r>
  <r>
    <n v="205"/>
    <x v="7"/>
    <x v="111"/>
    <x v="10"/>
    <s v="Percent"/>
    <s v="Units"/>
    <x v="4"/>
    <n v="1E-3"/>
  </r>
  <r>
    <n v="205"/>
    <x v="7"/>
    <x v="111"/>
    <x v="10"/>
    <s v="Percent"/>
    <s v="Units"/>
    <x v="5"/>
    <n v="1E-3"/>
  </r>
  <r>
    <n v="205"/>
    <x v="7"/>
    <x v="111"/>
    <x v="10"/>
    <s v="Percent"/>
    <s v="Units"/>
    <x v="6"/>
    <n v="1E-3"/>
  </r>
  <r>
    <n v="200"/>
    <x v="3"/>
    <x v="124"/>
    <x v="10"/>
    <s v="Percent"/>
    <s v="Units"/>
    <x v="0"/>
    <n v="1E-3"/>
  </r>
  <r>
    <n v="200"/>
    <x v="3"/>
    <x v="124"/>
    <x v="10"/>
    <s v="Percent"/>
    <s v="Units"/>
    <x v="1"/>
    <n v="1E-3"/>
  </r>
  <r>
    <n v="200"/>
    <x v="3"/>
    <x v="124"/>
    <x v="10"/>
    <s v="Percent"/>
    <s v="Units"/>
    <x v="2"/>
    <n v="1E-3"/>
  </r>
  <r>
    <n v="200"/>
    <x v="3"/>
    <x v="124"/>
    <x v="10"/>
    <s v="Percent"/>
    <s v="Units"/>
    <x v="3"/>
    <n v="1E-3"/>
  </r>
  <r>
    <n v="200"/>
    <x v="3"/>
    <x v="124"/>
    <x v="10"/>
    <s v="Percent"/>
    <s v="Units"/>
    <x v="4"/>
    <n v="1E-3"/>
  </r>
  <r>
    <n v="200"/>
    <x v="3"/>
    <x v="124"/>
    <x v="10"/>
    <s v="Percent"/>
    <s v="Units"/>
    <x v="5"/>
    <n v="1E-3"/>
  </r>
  <r>
    <n v="200"/>
    <x v="3"/>
    <x v="124"/>
    <x v="10"/>
    <s v="Percent"/>
    <s v="Units"/>
    <x v="6"/>
    <n v="1E-3"/>
  </r>
  <r>
    <n v="200"/>
    <x v="3"/>
    <x v="137"/>
    <x v="10"/>
    <s v="Percent"/>
    <s v="Units"/>
    <x v="0"/>
    <n v="1E-3"/>
  </r>
  <r>
    <n v="200"/>
    <x v="3"/>
    <x v="137"/>
    <x v="10"/>
    <s v="Percent"/>
    <s v="Units"/>
    <x v="1"/>
    <n v="1E-3"/>
  </r>
  <r>
    <n v="200"/>
    <x v="3"/>
    <x v="137"/>
    <x v="10"/>
    <s v="Percent"/>
    <s v="Units"/>
    <x v="2"/>
    <n v="1E-3"/>
  </r>
  <r>
    <n v="200"/>
    <x v="3"/>
    <x v="137"/>
    <x v="10"/>
    <s v="Percent"/>
    <s v="Units"/>
    <x v="3"/>
    <n v="1E-3"/>
  </r>
  <r>
    <n v="200"/>
    <x v="3"/>
    <x v="137"/>
    <x v="10"/>
    <s v="Percent"/>
    <s v="Units"/>
    <x v="4"/>
    <n v="1E-3"/>
  </r>
  <r>
    <n v="200"/>
    <x v="3"/>
    <x v="137"/>
    <x v="10"/>
    <s v="Percent"/>
    <s v="Units"/>
    <x v="5"/>
    <n v="1E-3"/>
  </r>
  <r>
    <n v="200"/>
    <x v="3"/>
    <x v="137"/>
    <x v="10"/>
    <s v="Percent"/>
    <s v="Units"/>
    <x v="6"/>
    <n v="1E-3"/>
  </r>
  <r>
    <n v="200"/>
    <x v="3"/>
    <x v="114"/>
    <x v="10"/>
    <s v="Percent"/>
    <s v="Units"/>
    <x v="0"/>
    <n v="1E-3"/>
  </r>
  <r>
    <n v="200"/>
    <x v="3"/>
    <x v="114"/>
    <x v="10"/>
    <s v="Percent"/>
    <s v="Units"/>
    <x v="1"/>
    <n v="1E-3"/>
  </r>
  <r>
    <n v="200"/>
    <x v="3"/>
    <x v="114"/>
    <x v="10"/>
    <s v="Percent"/>
    <s v="Units"/>
    <x v="2"/>
    <n v="1E-3"/>
  </r>
  <r>
    <n v="200"/>
    <x v="3"/>
    <x v="114"/>
    <x v="10"/>
    <s v="Percent"/>
    <s v="Units"/>
    <x v="3"/>
    <n v="1E-3"/>
  </r>
  <r>
    <n v="200"/>
    <x v="3"/>
    <x v="114"/>
    <x v="10"/>
    <s v="Percent"/>
    <s v="Units"/>
    <x v="4"/>
    <n v="1E-3"/>
  </r>
  <r>
    <n v="200"/>
    <x v="3"/>
    <x v="114"/>
    <x v="10"/>
    <s v="Percent"/>
    <s v="Units"/>
    <x v="5"/>
    <n v="1E-3"/>
  </r>
  <r>
    <n v="200"/>
    <x v="3"/>
    <x v="114"/>
    <x v="10"/>
    <s v="Percent"/>
    <s v="Units"/>
    <x v="6"/>
    <n v="1E-3"/>
  </r>
  <r>
    <n v="205"/>
    <x v="7"/>
    <x v="114"/>
    <x v="10"/>
    <s v="Percent"/>
    <s v="Units"/>
    <x v="0"/>
    <n v="1E-3"/>
  </r>
  <r>
    <n v="205"/>
    <x v="7"/>
    <x v="114"/>
    <x v="10"/>
    <s v="Percent"/>
    <s v="Units"/>
    <x v="1"/>
    <n v="1E-3"/>
  </r>
  <r>
    <n v="205"/>
    <x v="7"/>
    <x v="114"/>
    <x v="10"/>
    <s v="Percent"/>
    <s v="Units"/>
    <x v="2"/>
    <n v="1E-3"/>
  </r>
  <r>
    <n v="205"/>
    <x v="7"/>
    <x v="114"/>
    <x v="10"/>
    <s v="Percent"/>
    <s v="Units"/>
    <x v="3"/>
    <n v="1E-3"/>
  </r>
  <r>
    <n v="205"/>
    <x v="7"/>
    <x v="114"/>
    <x v="10"/>
    <s v="Percent"/>
    <s v="Units"/>
    <x v="4"/>
    <n v="1E-3"/>
  </r>
  <r>
    <n v="205"/>
    <x v="7"/>
    <x v="114"/>
    <x v="10"/>
    <s v="Percent"/>
    <s v="Units"/>
    <x v="5"/>
    <n v="1E-3"/>
  </r>
  <r>
    <n v="205"/>
    <x v="7"/>
    <x v="114"/>
    <x v="10"/>
    <s v="Percent"/>
    <s v="Units"/>
    <x v="6"/>
    <n v="1E-3"/>
  </r>
  <r>
    <n v="200"/>
    <x v="3"/>
    <x v="156"/>
    <x v="10"/>
    <s v="Percent"/>
    <s v="Units"/>
    <x v="0"/>
    <n v="1E-3"/>
  </r>
  <r>
    <n v="200"/>
    <x v="3"/>
    <x v="156"/>
    <x v="10"/>
    <s v="Percent"/>
    <s v="Units"/>
    <x v="1"/>
    <n v="1E-3"/>
  </r>
  <r>
    <n v="200"/>
    <x v="3"/>
    <x v="156"/>
    <x v="10"/>
    <s v="Percent"/>
    <s v="Units"/>
    <x v="2"/>
    <n v="1E-3"/>
  </r>
  <r>
    <n v="200"/>
    <x v="3"/>
    <x v="156"/>
    <x v="10"/>
    <s v="Percent"/>
    <s v="Units"/>
    <x v="3"/>
    <n v="1E-3"/>
  </r>
  <r>
    <n v="200"/>
    <x v="3"/>
    <x v="156"/>
    <x v="10"/>
    <s v="Percent"/>
    <s v="Units"/>
    <x v="4"/>
    <n v="1E-3"/>
  </r>
  <r>
    <n v="200"/>
    <x v="3"/>
    <x v="156"/>
    <x v="10"/>
    <s v="Percent"/>
    <s v="Units"/>
    <x v="5"/>
    <n v="1E-3"/>
  </r>
  <r>
    <n v="200"/>
    <x v="3"/>
    <x v="156"/>
    <x v="10"/>
    <s v="Percent"/>
    <s v="Units"/>
    <x v="6"/>
    <n v="1E-3"/>
  </r>
  <r>
    <n v="505"/>
    <x v="4"/>
    <x v="122"/>
    <x v="10"/>
    <s v="Percent"/>
    <s v="Units"/>
    <x v="0"/>
    <n v="1E-3"/>
  </r>
  <r>
    <n v="505"/>
    <x v="4"/>
    <x v="122"/>
    <x v="10"/>
    <s v="Percent"/>
    <s v="Units"/>
    <x v="1"/>
    <n v="1E-3"/>
  </r>
  <r>
    <n v="505"/>
    <x v="4"/>
    <x v="122"/>
    <x v="10"/>
    <s v="Percent"/>
    <s v="Units"/>
    <x v="2"/>
    <n v="1E-3"/>
  </r>
  <r>
    <n v="505"/>
    <x v="4"/>
    <x v="122"/>
    <x v="10"/>
    <s v="Percent"/>
    <s v="Units"/>
    <x v="3"/>
    <n v="1E-3"/>
  </r>
  <r>
    <n v="505"/>
    <x v="4"/>
    <x v="122"/>
    <x v="10"/>
    <s v="Percent"/>
    <s v="Units"/>
    <x v="4"/>
    <n v="1E-3"/>
  </r>
  <r>
    <n v="505"/>
    <x v="4"/>
    <x v="122"/>
    <x v="10"/>
    <s v="Percent"/>
    <s v="Units"/>
    <x v="5"/>
    <n v="1E-3"/>
  </r>
  <r>
    <n v="505"/>
    <x v="4"/>
    <x v="122"/>
    <x v="10"/>
    <s v="Percent"/>
    <s v="Units"/>
    <x v="6"/>
    <n v="1E-3"/>
  </r>
  <r>
    <n v="200"/>
    <x v="3"/>
    <x v="122"/>
    <x v="10"/>
    <s v="Percent"/>
    <s v="Units"/>
    <x v="0"/>
    <n v="1E-3"/>
  </r>
  <r>
    <n v="200"/>
    <x v="3"/>
    <x v="122"/>
    <x v="10"/>
    <s v="Percent"/>
    <s v="Units"/>
    <x v="1"/>
    <n v="1E-3"/>
  </r>
  <r>
    <n v="200"/>
    <x v="3"/>
    <x v="122"/>
    <x v="10"/>
    <s v="Percent"/>
    <s v="Units"/>
    <x v="2"/>
    <n v="1E-3"/>
  </r>
  <r>
    <n v="200"/>
    <x v="3"/>
    <x v="122"/>
    <x v="10"/>
    <s v="Percent"/>
    <s v="Units"/>
    <x v="3"/>
    <n v="1E-3"/>
  </r>
  <r>
    <n v="200"/>
    <x v="3"/>
    <x v="122"/>
    <x v="10"/>
    <s v="Percent"/>
    <s v="Units"/>
    <x v="4"/>
    <n v="1E-3"/>
  </r>
  <r>
    <n v="200"/>
    <x v="3"/>
    <x v="122"/>
    <x v="10"/>
    <s v="Percent"/>
    <s v="Units"/>
    <x v="5"/>
    <n v="1E-3"/>
  </r>
  <r>
    <n v="200"/>
    <x v="3"/>
    <x v="122"/>
    <x v="10"/>
    <s v="Percent"/>
    <s v="Units"/>
    <x v="6"/>
    <n v="1E-3"/>
  </r>
  <r>
    <n v="200"/>
    <x v="3"/>
    <x v="165"/>
    <x v="10"/>
    <s v="Percent"/>
    <s v="Units"/>
    <x v="0"/>
    <n v="1E-3"/>
  </r>
  <r>
    <n v="200"/>
    <x v="3"/>
    <x v="165"/>
    <x v="10"/>
    <s v="Percent"/>
    <s v="Units"/>
    <x v="1"/>
    <n v="1E-3"/>
  </r>
  <r>
    <n v="200"/>
    <x v="3"/>
    <x v="165"/>
    <x v="10"/>
    <s v="Percent"/>
    <s v="Units"/>
    <x v="2"/>
    <n v="1E-3"/>
  </r>
  <r>
    <n v="200"/>
    <x v="3"/>
    <x v="165"/>
    <x v="10"/>
    <s v="Percent"/>
    <s v="Units"/>
    <x v="3"/>
    <n v="1E-3"/>
  </r>
  <r>
    <n v="200"/>
    <x v="3"/>
    <x v="165"/>
    <x v="10"/>
    <s v="Percent"/>
    <s v="Units"/>
    <x v="4"/>
    <n v="1E-3"/>
  </r>
  <r>
    <n v="200"/>
    <x v="3"/>
    <x v="165"/>
    <x v="10"/>
    <s v="Percent"/>
    <s v="Units"/>
    <x v="5"/>
    <n v="1E-3"/>
  </r>
  <r>
    <n v="200"/>
    <x v="3"/>
    <x v="165"/>
    <x v="10"/>
    <s v="Percent"/>
    <s v="Units"/>
    <x v="6"/>
    <n v="1E-3"/>
  </r>
  <r>
    <n v="205"/>
    <x v="7"/>
    <x v="137"/>
    <x v="10"/>
    <s v="Percent"/>
    <s v="Units"/>
    <x v="0"/>
    <n v="1E-3"/>
  </r>
  <r>
    <n v="205"/>
    <x v="7"/>
    <x v="137"/>
    <x v="10"/>
    <s v="Percent"/>
    <s v="Units"/>
    <x v="1"/>
    <n v="1E-3"/>
  </r>
  <r>
    <n v="205"/>
    <x v="7"/>
    <x v="137"/>
    <x v="10"/>
    <s v="Percent"/>
    <s v="Units"/>
    <x v="2"/>
    <n v="1E-3"/>
  </r>
  <r>
    <n v="205"/>
    <x v="7"/>
    <x v="137"/>
    <x v="10"/>
    <s v="Percent"/>
    <s v="Units"/>
    <x v="3"/>
    <n v="1E-3"/>
  </r>
  <r>
    <n v="205"/>
    <x v="7"/>
    <x v="137"/>
    <x v="10"/>
    <s v="Percent"/>
    <s v="Units"/>
    <x v="4"/>
    <n v="1E-3"/>
  </r>
  <r>
    <n v="205"/>
    <x v="7"/>
    <x v="137"/>
    <x v="10"/>
    <s v="Percent"/>
    <s v="Units"/>
    <x v="5"/>
    <n v="1E-3"/>
  </r>
  <r>
    <n v="205"/>
    <x v="7"/>
    <x v="137"/>
    <x v="10"/>
    <s v="Percent"/>
    <s v="Units"/>
    <x v="6"/>
    <n v="1E-3"/>
  </r>
  <r>
    <n v="505"/>
    <x v="4"/>
    <x v="142"/>
    <x v="10"/>
    <s v="Percent"/>
    <s v="Units"/>
    <x v="0"/>
    <n v="1E-3"/>
  </r>
  <r>
    <n v="505"/>
    <x v="4"/>
    <x v="142"/>
    <x v="10"/>
    <s v="Percent"/>
    <s v="Units"/>
    <x v="1"/>
    <n v="1E-3"/>
  </r>
  <r>
    <n v="505"/>
    <x v="4"/>
    <x v="142"/>
    <x v="10"/>
    <s v="Percent"/>
    <s v="Units"/>
    <x v="2"/>
    <n v="1E-3"/>
  </r>
  <r>
    <n v="505"/>
    <x v="4"/>
    <x v="142"/>
    <x v="10"/>
    <s v="Percent"/>
    <s v="Units"/>
    <x v="3"/>
    <n v="1E-3"/>
  </r>
  <r>
    <n v="505"/>
    <x v="4"/>
    <x v="142"/>
    <x v="10"/>
    <s v="Percent"/>
    <s v="Units"/>
    <x v="4"/>
    <n v="1E-3"/>
  </r>
  <r>
    <n v="505"/>
    <x v="4"/>
    <x v="142"/>
    <x v="10"/>
    <s v="Percent"/>
    <s v="Units"/>
    <x v="5"/>
    <n v="1E-3"/>
  </r>
  <r>
    <n v="505"/>
    <x v="4"/>
    <x v="142"/>
    <x v="10"/>
    <s v="Percent"/>
    <s v="Units"/>
    <x v="6"/>
    <n v="1E-3"/>
  </r>
  <r>
    <n v="603"/>
    <x v="12"/>
    <x v="165"/>
    <x v="10"/>
    <s v="Percent"/>
    <s v="Units"/>
    <x v="0"/>
    <n v="1E-3"/>
  </r>
  <r>
    <n v="603"/>
    <x v="12"/>
    <x v="165"/>
    <x v="10"/>
    <s v="Percent"/>
    <s v="Units"/>
    <x v="1"/>
    <n v="1E-3"/>
  </r>
  <r>
    <n v="603"/>
    <x v="12"/>
    <x v="165"/>
    <x v="10"/>
    <s v="Percent"/>
    <s v="Units"/>
    <x v="2"/>
    <n v="1E-3"/>
  </r>
  <r>
    <n v="603"/>
    <x v="12"/>
    <x v="165"/>
    <x v="10"/>
    <s v="Percent"/>
    <s v="Units"/>
    <x v="3"/>
    <n v="1E-3"/>
  </r>
  <r>
    <n v="603"/>
    <x v="12"/>
    <x v="165"/>
    <x v="10"/>
    <s v="Percent"/>
    <s v="Units"/>
    <x v="4"/>
    <n v="1E-3"/>
  </r>
  <r>
    <n v="603"/>
    <x v="12"/>
    <x v="165"/>
    <x v="10"/>
    <s v="Percent"/>
    <s v="Units"/>
    <x v="5"/>
    <n v="1E-3"/>
  </r>
  <r>
    <n v="603"/>
    <x v="12"/>
    <x v="165"/>
    <x v="10"/>
    <s v="Percent"/>
    <s v="Units"/>
    <x v="6"/>
    <n v="1E-3"/>
  </r>
  <r>
    <n v="200"/>
    <x v="3"/>
    <x v="111"/>
    <x v="10"/>
    <s v="Percent"/>
    <s v="Units"/>
    <x v="0"/>
    <n v="1E-3"/>
  </r>
  <r>
    <n v="200"/>
    <x v="3"/>
    <x v="111"/>
    <x v="10"/>
    <s v="Percent"/>
    <s v="Units"/>
    <x v="1"/>
    <n v="1E-3"/>
  </r>
  <r>
    <n v="200"/>
    <x v="3"/>
    <x v="111"/>
    <x v="10"/>
    <s v="Percent"/>
    <s v="Units"/>
    <x v="2"/>
    <n v="1E-3"/>
  </r>
  <r>
    <n v="200"/>
    <x v="3"/>
    <x v="111"/>
    <x v="10"/>
    <s v="Percent"/>
    <s v="Units"/>
    <x v="3"/>
    <n v="1E-3"/>
  </r>
  <r>
    <n v="200"/>
    <x v="3"/>
    <x v="111"/>
    <x v="10"/>
    <s v="Percent"/>
    <s v="Units"/>
    <x v="4"/>
    <n v="1E-3"/>
  </r>
  <r>
    <n v="200"/>
    <x v="3"/>
    <x v="111"/>
    <x v="10"/>
    <s v="Percent"/>
    <s v="Units"/>
    <x v="5"/>
    <n v="1E-3"/>
  </r>
  <r>
    <n v="200"/>
    <x v="3"/>
    <x v="111"/>
    <x v="10"/>
    <s v="Percent"/>
    <s v="Units"/>
    <x v="6"/>
    <n v="1E-3"/>
  </r>
  <r>
    <n v="505"/>
    <x v="4"/>
    <x v="156"/>
    <x v="10"/>
    <s v="Percent"/>
    <s v="Units"/>
    <x v="0"/>
    <n v="1E-3"/>
  </r>
  <r>
    <n v="505"/>
    <x v="4"/>
    <x v="156"/>
    <x v="10"/>
    <s v="Percent"/>
    <s v="Units"/>
    <x v="1"/>
    <n v="1E-3"/>
  </r>
  <r>
    <n v="505"/>
    <x v="4"/>
    <x v="156"/>
    <x v="10"/>
    <s v="Percent"/>
    <s v="Units"/>
    <x v="2"/>
    <n v="1E-3"/>
  </r>
  <r>
    <n v="505"/>
    <x v="4"/>
    <x v="156"/>
    <x v="10"/>
    <s v="Percent"/>
    <s v="Units"/>
    <x v="3"/>
    <n v="1E-3"/>
  </r>
  <r>
    <n v="505"/>
    <x v="4"/>
    <x v="156"/>
    <x v="10"/>
    <s v="Percent"/>
    <s v="Units"/>
    <x v="4"/>
    <n v="1E-3"/>
  </r>
  <r>
    <n v="505"/>
    <x v="4"/>
    <x v="156"/>
    <x v="10"/>
    <s v="Percent"/>
    <s v="Units"/>
    <x v="5"/>
    <n v="1E-3"/>
  </r>
  <r>
    <n v="505"/>
    <x v="4"/>
    <x v="156"/>
    <x v="10"/>
    <s v="Percent"/>
    <s v="Units"/>
    <x v="6"/>
    <n v="1E-3"/>
  </r>
  <r>
    <n v="200"/>
    <x v="3"/>
    <x v="142"/>
    <x v="10"/>
    <s v="Percent"/>
    <s v="Units"/>
    <x v="0"/>
    <n v="1E-3"/>
  </r>
  <r>
    <n v="200"/>
    <x v="3"/>
    <x v="142"/>
    <x v="10"/>
    <s v="Percent"/>
    <s v="Units"/>
    <x v="1"/>
    <n v="1E-3"/>
  </r>
  <r>
    <n v="200"/>
    <x v="3"/>
    <x v="142"/>
    <x v="10"/>
    <s v="Percent"/>
    <s v="Units"/>
    <x v="2"/>
    <n v="1E-3"/>
  </r>
  <r>
    <n v="200"/>
    <x v="3"/>
    <x v="142"/>
    <x v="10"/>
    <s v="Percent"/>
    <s v="Units"/>
    <x v="3"/>
    <n v="1E-3"/>
  </r>
  <r>
    <n v="200"/>
    <x v="3"/>
    <x v="142"/>
    <x v="10"/>
    <s v="Percent"/>
    <s v="Units"/>
    <x v="4"/>
    <n v="1E-3"/>
  </r>
  <r>
    <n v="200"/>
    <x v="3"/>
    <x v="142"/>
    <x v="10"/>
    <s v="Percent"/>
    <s v="Units"/>
    <x v="5"/>
    <n v="1E-3"/>
  </r>
  <r>
    <n v="200"/>
    <x v="3"/>
    <x v="142"/>
    <x v="10"/>
    <s v="Percent"/>
    <s v="Units"/>
    <x v="6"/>
    <n v="1E-3"/>
  </r>
  <r>
    <n v="163"/>
    <x v="5"/>
    <x v="24"/>
    <x v="13"/>
    <s v="Percent of potential GDP"/>
    <s v="Units"/>
    <x v="0"/>
    <n v="0.46700000000000003"/>
  </r>
  <r>
    <n v="163"/>
    <x v="5"/>
    <x v="24"/>
    <x v="13"/>
    <s v="Percent of potential GDP"/>
    <s v="Units"/>
    <x v="1"/>
    <n v="-1.9990000000000001"/>
  </r>
  <r>
    <n v="163"/>
    <x v="5"/>
    <x v="24"/>
    <x v="13"/>
    <s v="Percent of potential GDP"/>
    <s v="Units"/>
    <x v="2"/>
    <n v="2.2879999999999998"/>
  </r>
  <r>
    <n v="163"/>
    <x v="5"/>
    <x v="24"/>
    <x v="13"/>
    <s v="Percent of potential GDP"/>
    <s v="Units"/>
    <x v="3"/>
    <n v="0.57199999999999995"/>
  </r>
  <r>
    <n v="163"/>
    <x v="5"/>
    <x v="24"/>
    <x v="13"/>
    <s v="Percent of potential GDP"/>
    <s v="Units"/>
    <x v="4"/>
    <n v="0.36599999999999999"/>
  </r>
  <r>
    <n v="163"/>
    <x v="5"/>
    <x v="24"/>
    <x v="13"/>
    <s v="Percent of potential GDP"/>
    <s v="Units"/>
    <x v="5"/>
    <n v="0"/>
  </r>
  <r>
    <n v="163"/>
    <x v="5"/>
    <x v="24"/>
    <x v="13"/>
    <s v="Percent of potential GDP"/>
    <s v="Units"/>
    <x v="6"/>
    <n v="0"/>
  </r>
  <r>
    <n v="110"/>
    <x v="0"/>
    <x v="24"/>
    <x v="13"/>
    <s v="Percent of potential GDP"/>
    <s v="Units"/>
    <x v="0"/>
    <n v="0.46700000000000003"/>
  </r>
  <r>
    <n v="110"/>
    <x v="0"/>
    <x v="24"/>
    <x v="13"/>
    <s v="Percent of potential GDP"/>
    <s v="Units"/>
    <x v="1"/>
    <n v="-1.9990000000000001"/>
  </r>
  <r>
    <n v="110"/>
    <x v="0"/>
    <x v="24"/>
    <x v="13"/>
    <s v="Percent of potential GDP"/>
    <s v="Units"/>
    <x v="2"/>
    <n v="2.2879999999999998"/>
  </r>
  <r>
    <n v="110"/>
    <x v="0"/>
    <x v="24"/>
    <x v="13"/>
    <s v="Percent of potential GDP"/>
    <s v="Units"/>
    <x v="3"/>
    <n v="0.57199999999999995"/>
  </r>
  <r>
    <n v="110"/>
    <x v="0"/>
    <x v="24"/>
    <x v="13"/>
    <s v="Percent of potential GDP"/>
    <s v="Units"/>
    <x v="4"/>
    <n v="0.36599999999999999"/>
  </r>
  <r>
    <n v="110"/>
    <x v="0"/>
    <x v="24"/>
    <x v="13"/>
    <s v="Percent of potential GDP"/>
    <s v="Units"/>
    <x v="5"/>
    <n v="0"/>
  </r>
  <r>
    <n v="110"/>
    <x v="0"/>
    <x v="24"/>
    <x v="13"/>
    <s v="Percent of potential GDP"/>
    <s v="Units"/>
    <x v="6"/>
    <n v="0"/>
  </r>
  <r>
    <n v="110"/>
    <x v="0"/>
    <x v="46"/>
    <x v="12"/>
    <s v="Percent of potential GDP"/>
    <s v="Units"/>
    <x v="0"/>
    <n v="-9.1999999999999998E-2"/>
  </r>
  <r>
    <n v="110"/>
    <x v="0"/>
    <x v="46"/>
    <x v="12"/>
    <s v="Percent of potential GDP"/>
    <s v="Units"/>
    <x v="1"/>
    <n v="-2.2519999999999998"/>
  </r>
  <r>
    <n v="110"/>
    <x v="0"/>
    <x v="46"/>
    <x v="12"/>
    <s v="Percent of potential GDP"/>
    <s v="Units"/>
    <x v="2"/>
    <n v="-1.7969999999999999"/>
  </r>
  <r>
    <n v="110"/>
    <x v="0"/>
    <x v="46"/>
    <x v="12"/>
    <s v="Percent of potential GDP"/>
    <s v="Units"/>
    <x v="3"/>
    <n v="-1.3420000000000001"/>
  </r>
  <r>
    <n v="110"/>
    <x v="0"/>
    <x v="46"/>
    <x v="12"/>
    <s v="Percent of potential GDP"/>
    <s v="Units"/>
    <x v="4"/>
    <n v="0.30599999999999999"/>
  </r>
  <r>
    <n v="110"/>
    <x v="0"/>
    <x v="46"/>
    <x v="12"/>
    <s v="Percent of potential GDP"/>
    <s v="Units"/>
    <x v="5"/>
    <n v="-4.8000000000000001E-2"/>
  </r>
  <r>
    <n v="110"/>
    <x v="0"/>
    <x v="46"/>
    <x v="12"/>
    <s v="Percent of potential GDP"/>
    <s v="Units"/>
    <x v="6"/>
    <n v="4.3999999999999997E-2"/>
  </r>
  <r>
    <n v="163"/>
    <x v="5"/>
    <x v="46"/>
    <x v="12"/>
    <s v="Percent of potential GDP"/>
    <s v="Units"/>
    <x v="0"/>
    <n v="-9.1999999999999998E-2"/>
  </r>
  <r>
    <n v="163"/>
    <x v="5"/>
    <x v="46"/>
    <x v="12"/>
    <s v="Percent of potential GDP"/>
    <s v="Units"/>
    <x v="1"/>
    <n v="-2.2519999999999998"/>
  </r>
  <r>
    <n v="163"/>
    <x v="5"/>
    <x v="46"/>
    <x v="12"/>
    <s v="Percent of potential GDP"/>
    <s v="Units"/>
    <x v="2"/>
    <n v="-1.7969999999999999"/>
  </r>
  <r>
    <n v="163"/>
    <x v="5"/>
    <x v="46"/>
    <x v="12"/>
    <s v="Percent of potential GDP"/>
    <s v="Units"/>
    <x v="3"/>
    <n v="-1.3420000000000001"/>
  </r>
  <r>
    <n v="163"/>
    <x v="5"/>
    <x v="46"/>
    <x v="12"/>
    <s v="Percent of potential GDP"/>
    <s v="Units"/>
    <x v="4"/>
    <n v="0.30599999999999999"/>
  </r>
  <r>
    <n v="163"/>
    <x v="5"/>
    <x v="46"/>
    <x v="12"/>
    <s v="Percent of potential GDP"/>
    <s v="Units"/>
    <x v="5"/>
    <n v="-4.8000000000000001E-2"/>
  </r>
  <r>
    <n v="163"/>
    <x v="5"/>
    <x v="46"/>
    <x v="12"/>
    <s v="Percent of potential GDP"/>
    <s v="Units"/>
    <x v="6"/>
    <n v="4.3999999999999997E-2"/>
  </r>
  <r>
    <n v="110"/>
    <x v="0"/>
    <x v="22"/>
    <x v="12"/>
    <s v="Percent of potential GDP"/>
    <s v="Units"/>
    <x v="0"/>
    <n v="-8.6999999999999994E-2"/>
  </r>
  <r>
    <n v="110"/>
    <x v="0"/>
    <x v="22"/>
    <x v="12"/>
    <s v="Percent of potential GDP"/>
    <s v="Units"/>
    <x v="1"/>
    <n v="-1.5029999999999999"/>
  </r>
  <r>
    <n v="110"/>
    <x v="0"/>
    <x v="22"/>
    <x v="12"/>
    <s v="Percent of potential GDP"/>
    <s v="Units"/>
    <x v="2"/>
    <n v="-0.46899999999999997"/>
  </r>
  <r>
    <n v="110"/>
    <x v="0"/>
    <x v="22"/>
    <x v="12"/>
    <s v="Percent of potential GDP"/>
    <s v="Units"/>
    <x v="3"/>
    <n v="0.60199999999999998"/>
  </r>
  <r>
    <n v="110"/>
    <x v="0"/>
    <x v="22"/>
    <x v="12"/>
    <s v="Percent of potential GDP"/>
    <s v="Units"/>
    <x v="4"/>
    <n v="-1.0999999999999999E-2"/>
  </r>
  <r>
    <n v="110"/>
    <x v="0"/>
    <x v="22"/>
    <x v="12"/>
    <s v="Percent of potential GDP"/>
    <s v="Units"/>
    <x v="5"/>
    <n v="-0.05"/>
  </r>
  <r>
    <n v="110"/>
    <x v="0"/>
    <x v="22"/>
    <x v="12"/>
    <s v="Percent of potential GDP"/>
    <s v="Units"/>
    <x v="6"/>
    <n v="0.17899999999999999"/>
  </r>
  <r>
    <n v="123"/>
    <x v="9"/>
    <x v="22"/>
    <x v="12"/>
    <s v="Percent of potential GDP"/>
    <s v="Units"/>
    <x v="0"/>
    <n v="-8.6999999999999994E-2"/>
  </r>
  <r>
    <n v="123"/>
    <x v="9"/>
    <x v="22"/>
    <x v="12"/>
    <s v="Percent of potential GDP"/>
    <s v="Units"/>
    <x v="1"/>
    <n v="-1.5029999999999999"/>
  </r>
  <r>
    <n v="123"/>
    <x v="9"/>
    <x v="22"/>
    <x v="12"/>
    <s v="Percent of potential GDP"/>
    <s v="Units"/>
    <x v="2"/>
    <n v="-0.46899999999999997"/>
  </r>
  <r>
    <n v="123"/>
    <x v="9"/>
    <x v="22"/>
    <x v="12"/>
    <s v="Percent of potential GDP"/>
    <s v="Units"/>
    <x v="3"/>
    <n v="0.60199999999999998"/>
  </r>
  <r>
    <n v="123"/>
    <x v="9"/>
    <x v="22"/>
    <x v="12"/>
    <s v="Percent of potential GDP"/>
    <s v="Units"/>
    <x v="4"/>
    <n v="-1.0999999999999999E-2"/>
  </r>
  <r>
    <n v="123"/>
    <x v="9"/>
    <x v="22"/>
    <x v="12"/>
    <s v="Percent of potential GDP"/>
    <s v="Units"/>
    <x v="5"/>
    <n v="-0.05"/>
  </r>
  <r>
    <n v="123"/>
    <x v="9"/>
    <x v="22"/>
    <x v="12"/>
    <s v="Percent of potential GDP"/>
    <s v="Units"/>
    <x v="6"/>
    <n v="0.17899999999999999"/>
  </r>
  <r>
    <n v="1"/>
    <x v="2"/>
    <x v="52"/>
    <x v="6"/>
    <s v="Percent change"/>
    <s v="Units"/>
    <x v="0"/>
    <n v="45.383000000000003"/>
  </r>
  <r>
    <n v="1"/>
    <x v="2"/>
    <x v="52"/>
    <x v="6"/>
    <s v="Percent change"/>
    <s v="Units"/>
    <x v="1"/>
    <n v="-19.004999999999999"/>
  </r>
  <r>
    <n v="1"/>
    <x v="2"/>
    <x v="52"/>
    <x v="6"/>
    <s v="Percent change"/>
    <s v="Units"/>
    <x v="2"/>
    <n v="-25.356999999999999"/>
  </r>
  <r>
    <n v="1"/>
    <x v="2"/>
    <x v="52"/>
    <x v="6"/>
    <s v="Percent change"/>
    <s v="Units"/>
    <x v="3"/>
    <n v="-4.8819999999999997"/>
  </r>
  <r>
    <n v="1"/>
    <x v="2"/>
    <x v="52"/>
    <x v="6"/>
    <s v="Percent change"/>
    <s v="Units"/>
    <x v="4"/>
    <n v="4.1459999999999999"/>
  </r>
  <r>
    <n v="1"/>
    <x v="2"/>
    <x v="52"/>
    <x v="6"/>
    <s v="Percent change"/>
    <s v="Units"/>
    <x v="5"/>
    <n v="-0.108"/>
  </r>
  <r>
    <n v="1"/>
    <x v="2"/>
    <x v="52"/>
    <x v="6"/>
    <s v="Percent change"/>
    <s v="Units"/>
    <x v="6"/>
    <n v="-3.625"/>
  </r>
  <r>
    <n v="603"/>
    <x v="12"/>
    <x v="52"/>
    <x v="6"/>
    <s v="Percent change"/>
    <s v="Units"/>
    <x v="0"/>
    <n v="45.383000000000003"/>
  </r>
  <r>
    <n v="603"/>
    <x v="12"/>
    <x v="52"/>
    <x v="6"/>
    <s v="Percent change"/>
    <s v="Units"/>
    <x v="1"/>
    <n v="-19.004999999999999"/>
  </r>
  <r>
    <n v="603"/>
    <x v="12"/>
    <x v="52"/>
    <x v="6"/>
    <s v="Percent change"/>
    <s v="Units"/>
    <x v="2"/>
    <n v="-25.356999999999999"/>
  </r>
  <r>
    <n v="603"/>
    <x v="12"/>
    <x v="52"/>
    <x v="6"/>
    <s v="Percent change"/>
    <s v="Units"/>
    <x v="3"/>
    <n v="-4.8819999999999997"/>
  </r>
  <r>
    <n v="603"/>
    <x v="12"/>
    <x v="52"/>
    <x v="6"/>
    <s v="Percent change"/>
    <s v="Units"/>
    <x v="4"/>
    <n v="4.1459999999999999"/>
  </r>
  <r>
    <n v="603"/>
    <x v="12"/>
    <x v="52"/>
    <x v="6"/>
    <s v="Percent change"/>
    <s v="Units"/>
    <x v="5"/>
    <n v="-0.108"/>
  </r>
  <r>
    <n v="603"/>
    <x v="12"/>
    <x v="52"/>
    <x v="6"/>
    <s v="Percent change"/>
    <s v="Units"/>
    <x v="6"/>
    <n v="-3.625"/>
  </r>
  <r>
    <n v="200"/>
    <x v="3"/>
    <x v="52"/>
    <x v="6"/>
    <s v="Percent change"/>
    <s v="Units"/>
    <x v="0"/>
    <n v="45.383000000000003"/>
  </r>
  <r>
    <n v="200"/>
    <x v="3"/>
    <x v="52"/>
    <x v="6"/>
    <s v="Percent change"/>
    <s v="Units"/>
    <x v="1"/>
    <n v="-19.004999999999999"/>
  </r>
  <r>
    <n v="200"/>
    <x v="3"/>
    <x v="52"/>
    <x v="6"/>
    <s v="Percent change"/>
    <s v="Units"/>
    <x v="2"/>
    <n v="-25.356999999999999"/>
  </r>
  <r>
    <n v="200"/>
    <x v="3"/>
    <x v="52"/>
    <x v="6"/>
    <s v="Percent change"/>
    <s v="Units"/>
    <x v="3"/>
    <n v="-4.8819999999999997"/>
  </r>
  <r>
    <n v="200"/>
    <x v="3"/>
    <x v="52"/>
    <x v="6"/>
    <s v="Percent change"/>
    <s v="Units"/>
    <x v="4"/>
    <n v="4.1459999999999999"/>
  </r>
  <r>
    <n v="200"/>
    <x v="3"/>
    <x v="52"/>
    <x v="6"/>
    <s v="Percent change"/>
    <s v="Units"/>
    <x v="5"/>
    <n v="-0.108"/>
  </r>
  <r>
    <n v="200"/>
    <x v="3"/>
    <x v="52"/>
    <x v="6"/>
    <s v="Percent change"/>
    <s v="Units"/>
    <x v="6"/>
    <n v="-3.625"/>
  </r>
  <r>
    <n v="1"/>
    <x v="2"/>
    <x v="186"/>
    <x v="4"/>
    <s v="Percent change"/>
    <s v="Units"/>
    <x v="0"/>
    <n v="-1.8180000000000001"/>
  </r>
  <r>
    <n v="1"/>
    <x v="2"/>
    <x v="186"/>
    <x v="4"/>
    <s v="Percent change"/>
    <s v="Units"/>
    <x v="1"/>
    <n v="-0.27700000000000002"/>
  </r>
  <r>
    <n v="1"/>
    <x v="2"/>
    <x v="186"/>
    <x v="4"/>
    <s v="Percent change"/>
    <s v="Units"/>
    <x v="2"/>
    <n v="-6.14"/>
  </r>
  <r>
    <n v="1"/>
    <x v="2"/>
    <x v="186"/>
    <x v="4"/>
    <s v="Percent change"/>
    <s v="Units"/>
    <x v="3"/>
    <n v="-1.5509999999999999"/>
  </r>
  <r>
    <n v="1"/>
    <x v="2"/>
    <x v="186"/>
    <x v="4"/>
    <s v="Percent change"/>
    <s v="Units"/>
    <x v="4"/>
    <n v="8.0259999999999998"/>
  </r>
  <r>
    <n v="1"/>
    <x v="2"/>
    <x v="186"/>
    <x v="4"/>
    <s v="Percent change"/>
    <s v="Units"/>
    <x v="5"/>
    <n v="-0.112"/>
  </r>
  <r>
    <n v="1"/>
    <x v="2"/>
    <x v="186"/>
    <x v="4"/>
    <s v="Percent change"/>
    <s v="Units"/>
    <x v="6"/>
    <n v="11.228"/>
  </r>
  <r>
    <n v="200"/>
    <x v="3"/>
    <x v="186"/>
    <x v="4"/>
    <s v="Percent change"/>
    <s v="Units"/>
    <x v="0"/>
    <n v="-1.8180000000000001"/>
  </r>
  <r>
    <n v="200"/>
    <x v="3"/>
    <x v="186"/>
    <x v="4"/>
    <s v="Percent change"/>
    <s v="Units"/>
    <x v="1"/>
    <n v="-0.27700000000000002"/>
  </r>
  <r>
    <n v="200"/>
    <x v="3"/>
    <x v="186"/>
    <x v="4"/>
    <s v="Percent change"/>
    <s v="Units"/>
    <x v="2"/>
    <n v="-6.14"/>
  </r>
  <r>
    <n v="200"/>
    <x v="3"/>
    <x v="186"/>
    <x v="4"/>
    <s v="Percent change"/>
    <s v="Units"/>
    <x v="3"/>
    <n v="-1.5509999999999999"/>
  </r>
  <r>
    <n v="200"/>
    <x v="3"/>
    <x v="186"/>
    <x v="4"/>
    <s v="Percent change"/>
    <s v="Units"/>
    <x v="4"/>
    <n v="8.0259999999999998"/>
  </r>
  <r>
    <n v="200"/>
    <x v="3"/>
    <x v="186"/>
    <x v="4"/>
    <s v="Percent change"/>
    <s v="Units"/>
    <x v="5"/>
    <n v="-0.112"/>
  </r>
  <r>
    <n v="200"/>
    <x v="3"/>
    <x v="186"/>
    <x v="4"/>
    <s v="Percent change"/>
    <s v="Units"/>
    <x v="6"/>
    <n v="11.228"/>
  </r>
  <r>
    <n v="603"/>
    <x v="12"/>
    <x v="186"/>
    <x v="4"/>
    <s v="Percent change"/>
    <s v="Units"/>
    <x v="0"/>
    <n v="-1.8180000000000001"/>
  </r>
  <r>
    <n v="603"/>
    <x v="12"/>
    <x v="186"/>
    <x v="4"/>
    <s v="Percent change"/>
    <s v="Units"/>
    <x v="1"/>
    <n v="-0.27700000000000002"/>
  </r>
  <r>
    <n v="603"/>
    <x v="12"/>
    <x v="186"/>
    <x v="4"/>
    <s v="Percent change"/>
    <s v="Units"/>
    <x v="2"/>
    <n v="-6.14"/>
  </r>
  <r>
    <n v="603"/>
    <x v="12"/>
    <x v="186"/>
    <x v="4"/>
    <s v="Percent change"/>
    <s v="Units"/>
    <x v="3"/>
    <n v="-1.5509999999999999"/>
  </r>
  <r>
    <n v="603"/>
    <x v="12"/>
    <x v="186"/>
    <x v="4"/>
    <s v="Percent change"/>
    <s v="Units"/>
    <x v="4"/>
    <n v="8.0259999999999998"/>
  </r>
  <r>
    <n v="603"/>
    <x v="12"/>
    <x v="186"/>
    <x v="4"/>
    <s v="Percent change"/>
    <s v="Units"/>
    <x v="5"/>
    <n v="-0.112"/>
  </r>
  <r>
    <n v="603"/>
    <x v="12"/>
    <x v="186"/>
    <x v="4"/>
    <s v="Percent change"/>
    <s v="Units"/>
    <x v="6"/>
    <n v="11.228"/>
  </r>
  <r>
    <n v="200"/>
    <x v="3"/>
    <x v="141"/>
    <x v="4"/>
    <s v="Percent change"/>
    <s v="Units"/>
    <x v="0"/>
    <n v="6.2850000000000001"/>
  </r>
  <r>
    <n v="200"/>
    <x v="3"/>
    <x v="141"/>
    <x v="4"/>
    <s v="Percent change"/>
    <s v="Units"/>
    <x v="1"/>
    <n v="-28.207999999999998"/>
  </r>
  <r>
    <n v="200"/>
    <x v="3"/>
    <x v="141"/>
    <x v="4"/>
    <s v="Percent change"/>
    <s v="Units"/>
    <x v="2"/>
    <n v="9.3780000000000001"/>
  </r>
  <r>
    <n v="200"/>
    <x v="3"/>
    <x v="141"/>
    <x v="4"/>
    <s v="Percent change"/>
    <s v="Units"/>
    <x v="3"/>
    <n v="1.4"/>
  </r>
  <r>
    <n v="200"/>
    <x v="3"/>
    <x v="141"/>
    <x v="4"/>
    <s v="Percent change"/>
    <s v="Units"/>
    <x v="4"/>
    <n v="6.3280000000000003"/>
  </r>
  <r>
    <n v="200"/>
    <x v="3"/>
    <x v="141"/>
    <x v="4"/>
    <s v="Percent change"/>
    <s v="Units"/>
    <x v="5"/>
    <n v="-0.16900000000000001"/>
  </r>
  <r>
    <n v="200"/>
    <x v="3"/>
    <x v="141"/>
    <x v="4"/>
    <s v="Percent change"/>
    <s v="Units"/>
    <x v="6"/>
    <n v="16.515000000000001"/>
  </r>
  <r>
    <n v="603"/>
    <x v="12"/>
    <x v="141"/>
    <x v="4"/>
    <s v="Percent change"/>
    <s v="Units"/>
    <x v="0"/>
    <n v="6.2850000000000001"/>
  </r>
  <r>
    <n v="603"/>
    <x v="12"/>
    <x v="141"/>
    <x v="4"/>
    <s v="Percent change"/>
    <s v="Units"/>
    <x v="1"/>
    <n v="-28.207999999999998"/>
  </r>
  <r>
    <n v="603"/>
    <x v="12"/>
    <x v="141"/>
    <x v="4"/>
    <s v="Percent change"/>
    <s v="Units"/>
    <x v="2"/>
    <n v="9.3780000000000001"/>
  </r>
  <r>
    <n v="603"/>
    <x v="12"/>
    <x v="141"/>
    <x v="4"/>
    <s v="Percent change"/>
    <s v="Units"/>
    <x v="3"/>
    <n v="1.4"/>
  </r>
  <r>
    <n v="603"/>
    <x v="12"/>
    <x v="141"/>
    <x v="4"/>
    <s v="Percent change"/>
    <s v="Units"/>
    <x v="4"/>
    <n v="6.3280000000000003"/>
  </r>
  <r>
    <n v="603"/>
    <x v="12"/>
    <x v="141"/>
    <x v="4"/>
    <s v="Percent change"/>
    <s v="Units"/>
    <x v="5"/>
    <n v="-0.16900000000000001"/>
  </r>
  <r>
    <n v="603"/>
    <x v="12"/>
    <x v="141"/>
    <x v="4"/>
    <s v="Percent change"/>
    <s v="Units"/>
    <x v="6"/>
    <n v="16.515000000000001"/>
  </r>
  <r>
    <n v="1"/>
    <x v="2"/>
    <x v="141"/>
    <x v="4"/>
    <s v="Percent change"/>
    <s v="Units"/>
    <x v="0"/>
    <n v="6.2850000000000001"/>
  </r>
  <r>
    <n v="1"/>
    <x v="2"/>
    <x v="141"/>
    <x v="4"/>
    <s v="Percent change"/>
    <s v="Units"/>
    <x v="1"/>
    <n v="-28.207999999999998"/>
  </r>
  <r>
    <n v="1"/>
    <x v="2"/>
    <x v="141"/>
    <x v="4"/>
    <s v="Percent change"/>
    <s v="Units"/>
    <x v="2"/>
    <n v="9.3780000000000001"/>
  </r>
  <r>
    <n v="1"/>
    <x v="2"/>
    <x v="141"/>
    <x v="4"/>
    <s v="Percent change"/>
    <s v="Units"/>
    <x v="3"/>
    <n v="1.4"/>
  </r>
  <r>
    <n v="1"/>
    <x v="2"/>
    <x v="141"/>
    <x v="4"/>
    <s v="Percent change"/>
    <s v="Units"/>
    <x v="4"/>
    <n v="6.3280000000000003"/>
  </r>
  <r>
    <n v="1"/>
    <x v="2"/>
    <x v="141"/>
    <x v="4"/>
    <s v="Percent change"/>
    <s v="Units"/>
    <x v="5"/>
    <n v="-0.16900000000000001"/>
  </r>
  <r>
    <n v="1"/>
    <x v="2"/>
    <x v="141"/>
    <x v="4"/>
    <s v="Percent change"/>
    <s v="Units"/>
    <x v="6"/>
    <n v="16.515000000000001"/>
  </r>
  <r>
    <n v="123"/>
    <x v="9"/>
    <x v="67"/>
    <x v="8"/>
    <s v="Percent change"/>
    <s v="Units"/>
    <x v="0"/>
    <n v="1.679"/>
  </r>
  <r>
    <n v="123"/>
    <x v="9"/>
    <x v="67"/>
    <x v="8"/>
    <s v="Percent change"/>
    <s v="Units"/>
    <x v="1"/>
    <n v="-4.1859999999999999"/>
  </r>
  <r>
    <n v="123"/>
    <x v="9"/>
    <x v="67"/>
    <x v="8"/>
    <s v="Percent change"/>
    <s v="Units"/>
    <x v="2"/>
    <n v="0.41199999999999998"/>
  </r>
  <r>
    <n v="123"/>
    <x v="9"/>
    <x v="67"/>
    <x v="8"/>
    <s v="Percent change"/>
    <s v="Units"/>
    <x v="3"/>
    <n v="3.2069999999999999"/>
  </r>
  <r>
    <n v="123"/>
    <x v="9"/>
    <x v="67"/>
    <x v="8"/>
    <s v="Percent change"/>
    <s v="Units"/>
    <x v="4"/>
    <n v="-0.7"/>
  </r>
  <r>
    <n v="123"/>
    <x v="9"/>
    <x v="67"/>
    <x v="8"/>
    <s v="Percent change"/>
    <s v="Units"/>
    <x v="5"/>
    <n v="-0.2"/>
  </r>
  <r>
    <n v="123"/>
    <x v="9"/>
    <x v="67"/>
    <x v="8"/>
    <s v="Percent change"/>
    <s v="Units"/>
    <x v="6"/>
    <n v="0"/>
  </r>
  <r>
    <n v="1"/>
    <x v="2"/>
    <x v="67"/>
    <x v="8"/>
    <s v="Percent change"/>
    <s v="Units"/>
    <x v="0"/>
    <n v="1.679"/>
  </r>
  <r>
    <n v="1"/>
    <x v="2"/>
    <x v="67"/>
    <x v="8"/>
    <s v="Percent change"/>
    <s v="Units"/>
    <x v="1"/>
    <n v="-4.1859999999999999"/>
  </r>
  <r>
    <n v="1"/>
    <x v="2"/>
    <x v="67"/>
    <x v="8"/>
    <s v="Percent change"/>
    <s v="Units"/>
    <x v="2"/>
    <n v="0.41199999999999998"/>
  </r>
  <r>
    <n v="1"/>
    <x v="2"/>
    <x v="67"/>
    <x v="8"/>
    <s v="Percent change"/>
    <s v="Units"/>
    <x v="3"/>
    <n v="3.2069999999999999"/>
  </r>
  <r>
    <n v="1"/>
    <x v="2"/>
    <x v="67"/>
    <x v="8"/>
    <s v="Percent change"/>
    <s v="Units"/>
    <x v="4"/>
    <n v="-0.7"/>
  </r>
  <r>
    <n v="1"/>
    <x v="2"/>
    <x v="67"/>
    <x v="8"/>
    <s v="Percent change"/>
    <s v="Units"/>
    <x v="5"/>
    <n v="-0.2"/>
  </r>
  <r>
    <n v="1"/>
    <x v="2"/>
    <x v="67"/>
    <x v="8"/>
    <s v="Percent change"/>
    <s v="Units"/>
    <x v="6"/>
    <n v="0"/>
  </r>
  <r>
    <n v="110"/>
    <x v="0"/>
    <x v="67"/>
    <x v="8"/>
    <s v="Percent change"/>
    <s v="Units"/>
    <x v="0"/>
    <n v="1.679"/>
  </r>
  <r>
    <n v="110"/>
    <x v="0"/>
    <x v="67"/>
    <x v="8"/>
    <s v="Percent change"/>
    <s v="Units"/>
    <x v="1"/>
    <n v="-4.1859999999999999"/>
  </r>
  <r>
    <n v="110"/>
    <x v="0"/>
    <x v="67"/>
    <x v="8"/>
    <s v="Percent change"/>
    <s v="Units"/>
    <x v="2"/>
    <n v="0.41199999999999998"/>
  </r>
  <r>
    <n v="110"/>
    <x v="0"/>
    <x v="67"/>
    <x v="8"/>
    <s v="Percent change"/>
    <s v="Units"/>
    <x v="3"/>
    <n v="3.2069999999999999"/>
  </r>
  <r>
    <n v="110"/>
    <x v="0"/>
    <x v="67"/>
    <x v="8"/>
    <s v="Percent change"/>
    <s v="Units"/>
    <x v="4"/>
    <n v="-0.7"/>
  </r>
  <r>
    <n v="110"/>
    <x v="0"/>
    <x v="67"/>
    <x v="8"/>
    <s v="Percent change"/>
    <s v="Units"/>
    <x v="5"/>
    <n v="-0.2"/>
  </r>
  <r>
    <n v="110"/>
    <x v="0"/>
    <x v="67"/>
    <x v="8"/>
    <s v="Percent change"/>
    <s v="Units"/>
    <x v="6"/>
    <n v="0"/>
  </r>
  <r>
    <n v="123"/>
    <x v="9"/>
    <x v="28"/>
    <x v="4"/>
    <s v="Percent change"/>
    <s v="Units"/>
    <x v="0"/>
    <n v="2.903"/>
  </r>
  <r>
    <n v="123"/>
    <x v="9"/>
    <x v="28"/>
    <x v="4"/>
    <s v="Percent change"/>
    <s v="Units"/>
    <x v="1"/>
    <n v="-2.4340000000000002"/>
  </r>
  <r>
    <n v="123"/>
    <x v="9"/>
    <x v="28"/>
    <x v="4"/>
    <s v="Percent change"/>
    <s v="Units"/>
    <x v="2"/>
    <n v="14.930999999999999"/>
  </r>
  <r>
    <n v="123"/>
    <x v="9"/>
    <x v="28"/>
    <x v="4"/>
    <s v="Percent change"/>
    <s v="Units"/>
    <x v="3"/>
    <n v="8.6359999999999992"/>
  </r>
  <r>
    <n v="123"/>
    <x v="9"/>
    <x v="28"/>
    <x v="4"/>
    <s v="Percent change"/>
    <s v="Units"/>
    <x v="4"/>
    <n v="-0.56999999999999995"/>
  </r>
  <r>
    <n v="123"/>
    <x v="9"/>
    <x v="28"/>
    <x v="4"/>
    <s v="Percent change"/>
    <s v="Units"/>
    <x v="5"/>
    <n v="-0.23"/>
  </r>
  <r>
    <n v="123"/>
    <x v="9"/>
    <x v="28"/>
    <x v="4"/>
    <s v="Percent change"/>
    <s v="Units"/>
    <x v="6"/>
    <n v="7.4219999999999997"/>
  </r>
  <r>
    <n v="1"/>
    <x v="2"/>
    <x v="28"/>
    <x v="4"/>
    <s v="Percent change"/>
    <s v="Units"/>
    <x v="0"/>
    <n v="2.903"/>
  </r>
  <r>
    <n v="1"/>
    <x v="2"/>
    <x v="28"/>
    <x v="4"/>
    <s v="Percent change"/>
    <s v="Units"/>
    <x v="1"/>
    <n v="-2.4340000000000002"/>
  </r>
  <r>
    <n v="1"/>
    <x v="2"/>
    <x v="28"/>
    <x v="4"/>
    <s v="Percent change"/>
    <s v="Units"/>
    <x v="2"/>
    <n v="14.930999999999999"/>
  </r>
  <r>
    <n v="1"/>
    <x v="2"/>
    <x v="28"/>
    <x v="4"/>
    <s v="Percent change"/>
    <s v="Units"/>
    <x v="3"/>
    <n v="8.6359999999999992"/>
  </r>
  <r>
    <n v="1"/>
    <x v="2"/>
    <x v="28"/>
    <x v="4"/>
    <s v="Percent change"/>
    <s v="Units"/>
    <x v="4"/>
    <n v="-0.56999999999999995"/>
  </r>
  <r>
    <n v="1"/>
    <x v="2"/>
    <x v="28"/>
    <x v="4"/>
    <s v="Percent change"/>
    <s v="Units"/>
    <x v="5"/>
    <n v="-0.23"/>
  </r>
  <r>
    <n v="1"/>
    <x v="2"/>
    <x v="28"/>
    <x v="4"/>
    <s v="Percent change"/>
    <s v="Units"/>
    <x v="6"/>
    <n v="7.4219999999999997"/>
  </r>
  <r>
    <n v="110"/>
    <x v="0"/>
    <x v="28"/>
    <x v="4"/>
    <s v="Percent change"/>
    <s v="Units"/>
    <x v="0"/>
    <n v="2.903"/>
  </r>
  <r>
    <n v="110"/>
    <x v="0"/>
    <x v="28"/>
    <x v="4"/>
    <s v="Percent change"/>
    <s v="Units"/>
    <x v="1"/>
    <n v="-2.4340000000000002"/>
  </r>
  <r>
    <n v="110"/>
    <x v="0"/>
    <x v="28"/>
    <x v="4"/>
    <s v="Percent change"/>
    <s v="Units"/>
    <x v="2"/>
    <n v="14.930999999999999"/>
  </r>
  <r>
    <n v="110"/>
    <x v="0"/>
    <x v="28"/>
    <x v="4"/>
    <s v="Percent change"/>
    <s v="Units"/>
    <x v="3"/>
    <n v="8.6359999999999992"/>
  </r>
  <r>
    <n v="110"/>
    <x v="0"/>
    <x v="28"/>
    <x v="4"/>
    <s v="Percent change"/>
    <s v="Units"/>
    <x v="4"/>
    <n v="-0.56999999999999995"/>
  </r>
  <r>
    <n v="110"/>
    <x v="0"/>
    <x v="28"/>
    <x v="4"/>
    <s v="Percent change"/>
    <s v="Units"/>
    <x v="5"/>
    <n v="-0.23"/>
  </r>
  <r>
    <n v="110"/>
    <x v="0"/>
    <x v="28"/>
    <x v="4"/>
    <s v="Percent change"/>
    <s v="Units"/>
    <x v="6"/>
    <n v="7.4219999999999997"/>
  </r>
  <r>
    <n v="205"/>
    <x v="7"/>
    <x v="124"/>
    <x v="9"/>
    <s v="Percent of GDP"/>
    <s v="Units"/>
    <x v="0"/>
    <n v="-0.70199999999999996"/>
  </r>
  <r>
    <n v="205"/>
    <x v="7"/>
    <x v="124"/>
    <x v="9"/>
    <s v="Percent of GDP"/>
    <s v="Units"/>
    <x v="1"/>
    <n v="-3.0569999999999999"/>
  </r>
  <r>
    <n v="205"/>
    <x v="7"/>
    <x v="124"/>
    <x v="9"/>
    <s v="Percent of GDP"/>
    <s v="Units"/>
    <x v="2"/>
    <n v="5.407"/>
  </r>
  <r>
    <n v="205"/>
    <x v="7"/>
    <x v="124"/>
    <x v="9"/>
    <s v="Percent of GDP"/>
    <s v="Units"/>
    <x v="3"/>
    <n v="-3.9980000000000002"/>
  </r>
  <r>
    <n v="205"/>
    <x v="7"/>
    <x v="124"/>
    <x v="9"/>
    <s v="Percent of GDP"/>
    <s v="Units"/>
    <x v="4"/>
    <n v="0.96099999999999997"/>
  </r>
  <r>
    <n v="205"/>
    <x v="7"/>
    <x v="124"/>
    <x v="9"/>
    <s v="Percent of GDP"/>
    <s v="Units"/>
    <x v="5"/>
    <n v="-0.23200000000000001"/>
  </r>
  <r>
    <n v="205"/>
    <x v="7"/>
    <x v="124"/>
    <x v="9"/>
    <s v="Percent of GDP"/>
    <s v="Units"/>
    <x v="6"/>
    <n v="-0.93700000000000006"/>
  </r>
  <r>
    <n v="200"/>
    <x v="3"/>
    <x v="124"/>
    <x v="9"/>
    <s v="Percent of GDP"/>
    <s v="Units"/>
    <x v="0"/>
    <n v="-0.70199999999999996"/>
  </r>
  <r>
    <n v="200"/>
    <x v="3"/>
    <x v="124"/>
    <x v="9"/>
    <s v="Percent of GDP"/>
    <s v="Units"/>
    <x v="1"/>
    <n v="-3.0569999999999999"/>
  </r>
  <r>
    <n v="200"/>
    <x v="3"/>
    <x v="124"/>
    <x v="9"/>
    <s v="Percent of GDP"/>
    <s v="Units"/>
    <x v="2"/>
    <n v="5.407"/>
  </r>
  <r>
    <n v="200"/>
    <x v="3"/>
    <x v="124"/>
    <x v="9"/>
    <s v="Percent of GDP"/>
    <s v="Units"/>
    <x v="3"/>
    <n v="-3.9980000000000002"/>
  </r>
  <r>
    <n v="200"/>
    <x v="3"/>
    <x v="124"/>
    <x v="9"/>
    <s v="Percent of GDP"/>
    <s v="Units"/>
    <x v="4"/>
    <n v="0.96099999999999997"/>
  </r>
  <r>
    <n v="200"/>
    <x v="3"/>
    <x v="124"/>
    <x v="9"/>
    <s v="Percent of GDP"/>
    <s v="Units"/>
    <x v="5"/>
    <n v="-0.23200000000000001"/>
  </r>
  <r>
    <n v="200"/>
    <x v="3"/>
    <x v="124"/>
    <x v="9"/>
    <s v="Percent of GDP"/>
    <s v="Units"/>
    <x v="6"/>
    <n v="-0.93700000000000006"/>
  </r>
  <r>
    <n v="603"/>
    <x v="12"/>
    <x v="141"/>
    <x v="1"/>
    <s v="Percent change"/>
    <s v="Units"/>
    <x v="0"/>
    <n v="1.8069999999999999"/>
  </r>
  <r>
    <n v="603"/>
    <x v="12"/>
    <x v="141"/>
    <x v="1"/>
    <s v="Percent change"/>
    <s v="Units"/>
    <x v="1"/>
    <n v="1.2030000000000001"/>
  </r>
  <r>
    <n v="603"/>
    <x v="12"/>
    <x v="141"/>
    <x v="1"/>
    <s v="Percent change"/>
    <s v="Units"/>
    <x v="2"/>
    <n v="9.77"/>
  </r>
  <r>
    <n v="603"/>
    <x v="12"/>
    <x v="141"/>
    <x v="1"/>
    <s v="Percent change"/>
    <s v="Units"/>
    <x v="3"/>
    <n v="2.625"/>
  </r>
  <r>
    <n v="603"/>
    <x v="12"/>
    <x v="141"/>
    <x v="1"/>
    <s v="Percent change"/>
    <s v="Units"/>
    <x v="4"/>
    <n v="-1.0349999999999999"/>
  </r>
  <r>
    <n v="603"/>
    <x v="12"/>
    <x v="141"/>
    <x v="1"/>
    <s v="Percent change"/>
    <s v="Units"/>
    <x v="5"/>
    <n v="-0.23899999999999999"/>
  </r>
  <r>
    <n v="603"/>
    <x v="12"/>
    <x v="141"/>
    <x v="1"/>
    <s v="Percent change"/>
    <s v="Units"/>
    <x v="6"/>
    <n v="2.6110000000000002"/>
  </r>
  <r>
    <n v="200"/>
    <x v="3"/>
    <x v="141"/>
    <x v="1"/>
    <s v="Percent change"/>
    <s v="Units"/>
    <x v="0"/>
    <n v="1.8069999999999999"/>
  </r>
  <r>
    <n v="200"/>
    <x v="3"/>
    <x v="141"/>
    <x v="1"/>
    <s v="Percent change"/>
    <s v="Units"/>
    <x v="1"/>
    <n v="1.2030000000000001"/>
  </r>
  <r>
    <n v="200"/>
    <x v="3"/>
    <x v="141"/>
    <x v="1"/>
    <s v="Percent change"/>
    <s v="Units"/>
    <x v="2"/>
    <n v="9.77"/>
  </r>
  <r>
    <n v="200"/>
    <x v="3"/>
    <x v="141"/>
    <x v="1"/>
    <s v="Percent change"/>
    <s v="Units"/>
    <x v="3"/>
    <n v="2.625"/>
  </r>
  <r>
    <n v="200"/>
    <x v="3"/>
    <x v="141"/>
    <x v="1"/>
    <s v="Percent change"/>
    <s v="Units"/>
    <x v="4"/>
    <n v="-1.0349999999999999"/>
  </r>
  <r>
    <n v="200"/>
    <x v="3"/>
    <x v="141"/>
    <x v="1"/>
    <s v="Percent change"/>
    <s v="Units"/>
    <x v="5"/>
    <n v="-0.23899999999999999"/>
  </r>
  <r>
    <n v="200"/>
    <x v="3"/>
    <x v="141"/>
    <x v="1"/>
    <s v="Percent change"/>
    <s v="Units"/>
    <x v="6"/>
    <n v="2.6110000000000002"/>
  </r>
  <r>
    <n v="1"/>
    <x v="2"/>
    <x v="141"/>
    <x v="1"/>
    <s v="Percent change"/>
    <s v="Units"/>
    <x v="0"/>
    <n v="1.8069999999999999"/>
  </r>
  <r>
    <n v="1"/>
    <x v="2"/>
    <x v="141"/>
    <x v="1"/>
    <s v="Percent change"/>
    <s v="Units"/>
    <x v="1"/>
    <n v="1.2030000000000001"/>
  </r>
  <r>
    <n v="1"/>
    <x v="2"/>
    <x v="141"/>
    <x v="1"/>
    <s v="Percent change"/>
    <s v="Units"/>
    <x v="2"/>
    <n v="9.77"/>
  </r>
  <r>
    <n v="1"/>
    <x v="2"/>
    <x v="141"/>
    <x v="1"/>
    <s v="Percent change"/>
    <s v="Units"/>
    <x v="3"/>
    <n v="2.625"/>
  </r>
  <r>
    <n v="1"/>
    <x v="2"/>
    <x v="141"/>
    <x v="1"/>
    <s v="Percent change"/>
    <s v="Units"/>
    <x v="4"/>
    <n v="-1.0349999999999999"/>
  </r>
  <r>
    <n v="1"/>
    <x v="2"/>
    <x v="141"/>
    <x v="1"/>
    <s v="Percent change"/>
    <s v="Units"/>
    <x v="5"/>
    <n v="-0.23899999999999999"/>
  </r>
  <r>
    <n v="1"/>
    <x v="2"/>
    <x v="141"/>
    <x v="1"/>
    <s v="Percent change"/>
    <s v="Units"/>
    <x v="6"/>
    <n v="2.6110000000000002"/>
  </r>
  <r>
    <n v="110"/>
    <x v="0"/>
    <x v="13"/>
    <x v="13"/>
    <s v="Percent of potential GDP"/>
    <s v="Units"/>
    <x v="0"/>
    <n v="-0.70099999999999996"/>
  </r>
  <r>
    <n v="110"/>
    <x v="0"/>
    <x v="13"/>
    <x v="13"/>
    <s v="Percent of potential GDP"/>
    <s v="Units"/>
    <x v="1"/>
    <n v="-2.6429999999999998"/>
  </r>
  <r>
    <n v="110"/>
    <x v="0"/>
    <x v="13"/>
    <x v="13"/>
    <s v="Percent of potential GDP"/>
    <s v="Units"/>
    <x v="2"/>
    <n v="-0.376"/>
  </r>
  <r>
    <n v="110"/>
    <x v="0"/>
    <x v="13"/>
    <x v="13"/>
    <s v="Percent of potential GDP"/>
    <s v="Units"/>
    <x v="3"/>
    <n v="0.26100000000000001"/>
  </r>
  <r>
    <n v="110"/>
    <x v="0"/>
    <x v="13"/>
    <x v="13"/>
    <s v="Percent of potential GDP"/>
    <s v="Units"/>
    <x v="4"/>
    <n v="-0.42"/>
  </r>
  <r>
    <n v="110"/>
    <x v="0"/>
    <x v="13"/>
    <x v="13"/>
    <s v="Percent of potential GDP"/>
    <s v="Units"/>
    <x v="5"/>
    <n v="-0.252"/>
  </r>
  <r>
    <n v="110"/>
    <x v="0"/>
    <x v="13"/>
    <x v="13"/>
    <s v="Percent of potential GDP"/>
    <s v="Units"/>
    <x v="6"/>
    <n v="-0.02"/>
  </r>
  <r>
    <n v="200"/>
    <x v="3"/>
    <x v="86"/>
    <x v="4"/>
    <s v="Percent change"/>
    <s v="Units"/>
    <x v="0"/>
    <n v="2.5510000000000002"/>
  </r>
  <r>
    <n v="200"/>
    <x v="3"/>
    <x v="86"/>
    <x v="4"/>
    <s v="Percent change"/>
    <s v="Units"/>
    <x v="1"/>
    <n v="-9.5630000000000006"/>
  </r>
  <r>
    <n v="200"/>
    <x v="3"/>
    <x v="86"/>
    <x v="4"/>
    <s v="Percent change"/>
    <s v="Units"/>
    <x v="2"/>
    <n v="3.6059999999999999"/>
  </r>
  <r>
    <n v="200"/>
    <x v="3"/>
    <x v="86"/>
    <x v="4"/>
    <s v="Percent change"/>
    <s v="Units"/>
    <x v="3"/>
    <n v="35.866999999999997"/>
  </r>
  <r>
    <n v="200"/>
    <x v="3"/>
    <x v="86"/>
    <x v="4"/>
    <s v="Percent change"/>
    <s v="Units"/>
    <x v="4"/>
    <n v="-29.384"/>
  </r>
  <r>
    <n v="200"/>
    <x v="3"/>
    <x v="86"/>
    <x v="4"/>
    <s v="Percent change"/>
    <s v="Units"/>
    <x v="5"/>
    <n v="-0.30199999999999999"/>
  </r>
  <r>
    <n v="200"/>
    <x v="3"/>
    <x v="86"/>
    <x v="4"/>
    <s v="Percent change"/>
    <s v="Units"/>
    <x v="6"/>
    <n v="5.0039999999999996"/>
  </r>
  <r>
    <n v="1"/>
    <x v="2"/>
    <x v="86"/>
    <x v="4"/>
    <s v="Percent change"/>
    <s v="Units"/>
    <x v="0"/>
    <n v="2.5510000000000002"/>
  </r>
  <r>
    <n v="1"/>
    <x v="2"/>
    <x v="86"/>
    <x v="4"/>
    <s v="Percent change"/>
    <s v="Units"/>
    <x v="1"/>
    <n v="-9.5630000000000006"/>
  </r>
  <r>
    <n v="1"/>
    <x v="2"/>
    <x v="86"/>
    <x v="4"/>
    <s v="Percent change"/>
    <s v="Units"/>
    <x v="2"/>
    <n v="3.6059999999999999"/>
  </r>
  <r>
    <n v="1"/>
    <x v="2"/>
    <x v="86"/>
    <x v="4"/>
    <s v="Percent change"/>
    <s v="Units"/>
    <x v="3"/>
    <n v="35.866999999999997"/>
  </r>
  <r>
    <n v="1"/>
    <x v="2"/>
    <x v="86"/>
    <x v="4"/>
    <s v="Percent change"/>
    <s v="Units"/>
    <x v="4"/>
    <n v="-29.384"/>
  </r>
  <r>
    <n v="1"/>
    <x v="2"/>
    <x v="86"/>
    <x v="4"/>
    <s v="Percent change"/>
    <s v="Units"/>
    <x v="5"/>
    <n v="-0.30199999999999999"/>
  </r>
  <r>
    <n v="1"/>
    <x v="2"/>
    <x v="86"/>
    <x v="4"/>
    <s v="Percent change"/>
    <s v="Units"/>
    <x v="6"/>
    <n v="5.0039999999999996"/>
  </r>
  <r>
    <n v="400"/>
    <x v="11"/>
    <x v="86"/>
    <x v="4"/>
    <s v="Percent change"/>
    <s v="Units"/>
    <x v="0"/>
    <n v="2.5510000000000002"/>
  </r>
  <r>
    <n v="400"/>
    <x v="11"/>
    <x v="86"/>
    <x v="4"/>
    <s v="Percent change"/>
    <s v="Units"/>
    <x v="1"/>
    <n v="-9.5630000000000006"/>
  </r>
  <r>
    <n v="400"/>
    <x v="11"/>
    <x v="86"/>
    <x v="4"/>
    <s v="Percent change"/>
    <s v="Units"/>
    <x v="2"/>
    <n v="3.6059999999999999"/>
  </r>
  <r>
    <n v="400"/>
    <x v="11"/>
    <x v="86"/>
    <x v="4"/>
    <s v="Percent change"/>
    <s v="Units"/>
    <x v="3"/>
    <n v="35.866999999999997"/>
  </r>
  <r>
    <n v="400"/>
    <x v="11"/>
    <x v="86"/>
    <x v="4"/>
    <s v="Percent change"/>
    <s v="Units"/>
    <x v="4"/>
    <n v="-29.384"/>
  </r>
  <r>
    <n v="400"/>
    <x v="11"/>
    <x v="86"/>
    <x v="4"/>
    <s v="Percent change"/>
    <s v="Units"/>
    <x v="5"/>
    <n v="-0.30199999999999999"/>
  </r>
  <r>
    <n v="400"/>
    <x v="11"/>
    <x v="86"/>
    <x v="4"/>
    <s v="Percent change"/>
    <s v="Units"/>
    <x v="6"/>
    <n v="5.0039999999999996"/>
  </r>
  <r>
    <n v="200"/>
    <x v="3"/>
    <x v="181"/>
    <x v="6"/>
    <s v="Percent change"/>
    <s v="Units"/>
    <x v="0"/>
    <n v="-1.9970000000000001"/>
  </r>
  <r>
    <n v="200"/>
    <x v="3"/>
    <x v="181"/>
    <x v="6"/>
    <s v="Percent change"/>
    <s v="Units"/>
    <x v="1"/>
    <n v="-19.922000000000001"/>
  </r>
  <r>
    <n v="200"/>
    <x v="3"/>
    <x v="181"/>
    <x v="6"/>
    <s v="Percent change"/>
    <s v="Units"/>
    <x v="2"/>
    <n v="-3.05"/>
  </r>
  <r>
    <n v="200"/>
    <x v="3"/>
    <x v="181"/>
    <x v="6"/>
    <s v="Percent change"/>
    <s v="Units"/>
    <x v="3"/>
    <n v="8.0749999999999993"/>
  </r>
  <r>
    <n v="200"/>
    <x v="3"/>
    <x v="181"/>
    <x v="6"/>
    <s v="Percent change"/>
    <s v="Units"/>
    <x v="4"/>
    <n v="0.25900000000000001"/>
  </r>
  <r>
    <n v="200"/>
    <x v="3"/>
    <x v="181"/>
    <x v="6"/>
    <s v="Percent change"/>
    <s v="Units"/>
    <x v="5"/>
    <n v="-0.36599999999999999"/>
  </r>
  <r>
    <n v="200"/>
    <x v="3"/>
    <x v="181"/>
    <x v="6"/>
    <s v="Percent change"/>
    <s v="Units"/>
    <x v="6"/>
    <n v="0.91600000000000004"/>
  </r>
  <r>
    <n v="505"/>
    <x v="4"/>
    <x v="181"/>
    <x v="6"/>
    <s v="Percent change"/>
    <s v="Units"/>
    <x v="0"/>
    <n v="-1.9970000000000001"/>
  </r>
  <r>
    <n v="505"/>
    <x v="4"/>
    <x v="181"/>
    <x v="6"/>
    <s v="Percent change"/>
    <s v="Units"/>
    <x v="1"/>
    <n v="-19.922000000000001"/>
  </r>
  <r>
    <n v="505"/>
    <x v="4"/>
    <x v="181"/>
    <x v="6"/>
    <s v="Percent change"/>
    <s v="Units"/>
    <x v="2"/>
    <n v="-3.05"/>
  </r>
  <r>
    <n v="505"/>
    <x v="4"/>
    <x v="181"/>
    <x v="6"/>
    <s v="Percent change"/>
    <s v="Units"/>
    <x v="3"/>
    <n v="8.0749999999999993"/>
  </r>
  <r>
    <n v="505"/>
    <x v="4"/>
    <x v="181"/>
    <x v="6"/>
    <s v="Percent change"/>
    <s v="Units"/>
    <x v="4"/>
    <n v="0.25900000000000001"/>
  </r>
  <r>
    <n v="505"/>
    <x v="4"/>
    <x v="181"/>
    <x v="6"/>
    <s v="Percent change"/>
    <s v="Units"/>
    <x v="5"/>
    <n v="-0.36599999999999999"/>
  </r>
  <r>
    <n v="505"/>
    <x v="4"/>
    <x v="181"/>
    <x v="6"/>
    <s v="Percent change"/>
    <s v="Units"/>
    <x v="6"/>
    <n v="0.91600000000000004"/>
  </r>
  <r>
    <n v="1"/>
    <x v="2"/>
    <x v="181"/>
    <x v="6"/>
    <s v="Percent change"/>
    <s v="Units"/>
    <x v="0"/>
    <n v="-1.9970000000000001"/>
  </r>
  <r>
    <n v="1"/>
    <x v="2"/>
    <x v="181"/>
    <x v="6"/>
    <s v="Percent change"/>
    <s v="Units"/>
    <x v="1"/>
    <n v="-19.922000000000001"/>
  </r>
  <r>
    <n v="1"/>
    <x v="2"/>
    <x v="181"/>
    <x v="6"/>
    <s v="Percent change"/>
    <s v="Units"/>
    <x v="2"/>
    <n v="-3.05"/>
  </r>
  <r>
    <n v="1"/>
    <x v="2"/>
    <x v="181"/>
    <x v="6"/>
    <s v="Percent change"/>
    <s v="Units"/>
    <x v="3"/>
    <n v="8.0749999999999993"/>
  </r>
  <r>
    <n v="1"/>
    <x v="2"/>
    <x v="181"/>
    <x v="6"/>
    <s v="Percent change"/>
    <s v="Units"/>
    <x v="4"/>
    <n v="0.25900000000000001"/>
  </r>
  <r>
    <n v="1"/>
    <x v="2"/>
    <x v="181"/>
    <x v="6"/>
    <s v="Percent change"/>
    <s v="Units"/>
    <x v="5"/>
    <n v="-0.36599999999999999"/>
  </r>
  <r>
    <n v="1"/>
    <x v="2"/>
    <x v="181"/>
    <x v="6"/>
    <s v="Percent change"/>
    <s v="Units"/>
    <x v="6"/>
    <n v="0.91600000000000004"/>
  </r>
  <r>
    <n v="603"/>
    <x v="12"/>
    <x v="102"/>
    <x v="9"/>
    <s v="Percent of GDP"/>
    <s v="Units"/>
    <x v="0"/>
    <n v="-3.2440000000000002"/>
  </r>
  <r>
    <n v="603"/>
    <x v="12"/>
    <x v="102"/>
    <x v="9"/>
    <s v="Percent of GDP"/>
    <s v="Units"/>
    <x v="1"/>
    <n v="-3.1880000000000002"/>
  </r>
  <r>
    <n v="603"/>
    <x v="12"/>
    <x v="102"/>
    <x v="9"/>
    <s v="Percent of GDP"/>
    <s v="Units"/>
    <x v="2"/>
    <n v="-2.984"/>
  </r>
  <r>
    <n v="603"/>
    <x v="12"/>
    <x v="102"/>
    <x v="9"/>
    <s v="Percent of GDP"/>
    <s v="Units"/>
    <x v="3"/>
    <n v="-1.1100000000000001"/>
  </r>
  <r>
    <n v="603"/>
    <x v="12"/>
    <x v="102"/>
    <x v="9"/>
    <s v="Percent of GDP"/>
    <s v="Units"/>
    <x v="4"/>
    <n v="-0.65300000000000002"/>
  </r>
  <r>
    <n v="603"/>
    <x v="12"/>
    <x v="102"/>
    <x v="9"/>
    <s v="Percent of GDP"/>
    <s v="Units"/>
    <x v="5"/>
    <n v="-0.379"/>
  </r>
  <r>
    <n v="603"/>
    <x v="12"/>
    <x v="102"/>
    <x v="9"/>
    <s v="Percent of GDP"/>
    <s v="Units"/>
    <x v="6"/>
    <n v="-0.442"/>
  </r>
  <r>
    <n v="200"/>
    <x v="3"/>
    <x v="102"/>
    <x v="9"/>
    <s v="Percent of GDP"/>
    <s v="Units"/>
    <x v="0"/>
    <n v="-3.2440000000000002"/>
  </r>
  <r>
    <n v="200"/>
    <x v="3"/>
    <x v="102"/>
    <x v="9"/>
    <s v="Percent of GDP"/>
    <s v="Units"/>
    <x v="1"/>
    <n v="-3.1880000000000002"/>
  </r>
  <r>
    <n v="200"/>
    <x v="3"/>
    <x v="102"/>
    <x v="9"/>
    <s v="Percent of GDP"/>
    <s v="Units"/>
    <x v="2"/>
    <n v="-2.984"/>
  </r>
  <r>
    <n v="200"/>
    <x v="3"/>
    <x v="102"/>
    <x v="9"/>
    <s v="Percent of GDP"/>
    <s v="Units"/>
    <x v="3"/>
    <n v="-1.1100000000000001"/>
  </r>
  <r>
    <n v="200"/>
    <x v="3"/>
    <x v="102"/>
    <x v="9"/>
    <s v="Percent of GDP"/>
    <s v="Units"/>
    <x v="4"/>
    <n v="-0.65300000000000002"/>
  </r>
  <r>
    <n v="200"/>
    <x v="3"/>
    <x v="102"/>
    <x v="9"/>
    <s v="Percent of GDP"/>
    <s v="Units"/>
    <x v="5"/>
    <n v="-0.379"/>
  </r>
  <r>
    <n v="200"/>
    <x v="3"/>
    <x v="102"/>
    <x v="9"/>
    <s v="Percent of GDP"/>
    <s v="Units"/>
    <x v="6"/>
    <n v="-0.442"/>
  </r>
  <r>
    <n v="163"/>
    <x v="5"/>
    <x v="61"/>
    <x v="13"/>
    <s v="Percent of potential GDP"/>
    <s v="Units"/>
    <x v="0"/>
    <n v="1.1180000000000001"/>
  </r>
  <r>
    <n v="163"/>
    <x v="5"/>
    <x v="61"/>
    <x v="13"/>
    <s v="Percent of potential GDP"/>
    <s v="Units"/>
    <x v="1"/>
    <n v="-3.07"/>
  </r>
  <r>
    <n v="163"/>
    <x v="5"/>
    <x v="61"/>
    <x v="13"/>
    <s v="Percent of potential GDP"/>
    <s v="Units"/>
    <x v="2"/>
    <n v="-0.997"/>
  </r>
  <r>
    <n v="163"/>
    <x v="5"/>
    <x v="61"/>
    <x v="13"/>
    <s v="Percent of potential GDP"/>
    <s v="Units"/>
    <x v="3"/>
    <n v="-0.41899999999999998"/>
  </r>
  <r>
    <n v="163"/>
    <x v="5"/>
    <x v="61"/>
    <x v="13"/>
    <s v="Percent of potential GDP"/>
    <s v="Units"/>
    <x v="4"/>
    <n v="-0.42899999999999999"/>
  </r>
  <r>
    <n v="163"/>
    <x v="5"/>
    <x v="61"/>
    <x v="13"/>
    <s v="Percent of potential GDP"/>
    <s v="Units"/>
    <x v="5"/>
    <n v="-0.40200000000000002"/>
  </r>
  <r>
    <n v="163"/>
    <x v="5"/>
    <x v="61"/>
    <x v="13"/>
    <s v="Percent of potential GDP"/>
    <s v="Units"/>
    <x v="6"/>
    <n v="-6.2E-2"/>
  </r>
  <r>
    <n v="110"/>
    <x v="0"/>
    <x v="61"/>
    <x v="13"/>
    <s v="Percent of potential GDP"/>
    <s v="Units"/>
    <x v="0"/>
    <n v="1.1180000000000001"/>
  </r>
  <r>
    <n v="110"/>
    <x v="0"/>
    <x v="61"/>
    <x v="13"/>
    <s v="Percent of potential GDP"/>
    <s v="Units"/>
    <x v="1"/>
    <n v="-3.07"/>
  </r>
  <r>
    <n v="110"/>
    <x v="0"/>
    <x v="61"/>
    <x v="13"/>
    <s v="Percent of potential GDP"/>
    <s v="Units"/>
    <x v="2"/>
    <n v="-0.997"/>
  </r>
  <r>
    <n v="110"/>
    <x v="0"/>
    <x v="61"/>
    <x v="13"/>
    <s v="Percent of potential GDP"/>
    <s v="Units"/>
    <x v="3"/>
    <n v="-0.41899999999999998"/>
  </r>
  <r>
    <n v="110"/>
    <x v="0"/>
    <x v="61"/>
    <x v="13"/>
    <s v="Percent of potential GDP"/>
    <s v="Units"/>
    <x v="4"/>
    <n v="-0.42899999999999999"/>
  </r>
  <r>
    <n v="110"/>
    <x v="0"/>
    <x v="61"/>
    <x v="13"/>
    <s v="Percent of potential GDP"/>
    <s v="Units"/>
    <x v="5"/>
    <n v="-0.40200000000000002"/>
  </r>
  <r>
    <n v="110"/>
    <x v="0"/>
    <x v="61"/>
    <x v="13"/>
    <s v="Percent of potential GDP"/>
    <s v="Units"/>
    <x v="6"/>
    <n v="-6.2E-2"/>
  </r>
  <r>
    <n v="400"/>
    <x v="11"/>
    <x v="188"/>
    <x v="9"/>
    <s v="Percent of GDP"/>
    <s v="Units"/>
    <x v="0"/>
    <n v="0.253"/>
  </r>
  <r>
    <n v="400"/>
    <x v="11"/>
    <x v="188"/>
    <x v="9"/>
    <s v="Percent of GDP"/>
    <s v="Units"/>
    <x v="1"/>
    <n v="0.26900000000000002"/>
  </r>
  <r>
    <n v="400"/>
    <x v="11"/>
    <x v="188"/>
    <x v="9"/>
    <s v="Percent of GDP"/>
    <s v="Units"/>
    <x v="2"/>
    <n v="-0.85"/>
  </r>
  <r>
    <n v="400"/>
    <x v="11"/>
    <x v="188"/>
    <x v="9"/>
    <s v="Percent of GDP"/>
    <s v="Units"/>
    <x v="3"/>
    <n v="2.3E-2"/>
  </r>
  <r>
    <n v="400"/>
    <x v="11"/>
    <x v="188"/>
    <x v="9"/>
    <s v="Percent of GDP"/>
    <s v="Units"/>
    <x v="4"/>
    <n v="0.05"/>
  </r>
  <r>
    <n v="400"/>
    <x v="11"/>
    <x v="188"/>
    <x v="9"/>
    <s v="Percent of GDP"/>
    <s v="Units"/>
    <x v="5"/>
    <n v="-0.46500000000000002"/>
  </r>
  <r>
    <n v="400"/>
    <x v="11"/>
    <x v="188"/>
    <x v="9"/>
    <s v="Percent of GDP"/>
    <s v="Units"/>
    <x v="6"/>
    <n v="-1.3109999999999999"/>
  </r>
  <r>
    <n v="200"/>
    <x v="3"/>
    <x v="188"/>
    <x v="9"/>
    <s v="Percent of GDP"/>
    <s v="Units"/>
    <x v="0"/>
    <n v="0.253"/>
  </r>
  <r>
    <n v="200"/>
    <x v="3"/>
    <x v="188"/>
    <x v="9"/>
    <s v="Percent of GDP"/>
    <s v="Units"/>
    <x v="1"/>
    <n v="0.26900000000000002"/>
  </r>
  <r>
    <n v="200"/>
    <x v="3"/>
    <x v="188"/>
    <x v="9"/>
    <s v="Percent of GDP"/>
    <s v="Units"/>
    <x v="2"/>
    <n v="-0.85"/>
  </r>
  <r>
    <n v="200"/>
    <x v="3"/>
    <x v="188"/>
    <x v="9"/>
    <s v="Percent of GDP"/>
    <s v="Units"/>
    <x v="3"/>
    <n v="2.3E-2"/>
  </r>
  <r>
    <n v="200"/>
    <x v="3"/>
    <x v="188"/>
    <x v="9"/>
    <s v="Percent of GDP"/>
    <s v="Units"/>
    <x v="4"/>
    <n v="0.05"/>
  </r>
  <r>
    <n v="200"/>
    <x v="3"/>
    <x v="188"/>
    <x v="9"/>
    <s v="Percent of GDP"/>
    <s v="Units"/>
    <x v="5"/>
    <n v="-0.46500000000000002"/>
  </r>
  <r>
    <n v="200"/>
    <x v="3"/>
    <x v="188"/>
    <x v="9"/>
    <s v="Percent of GDP"/>
    <s v="Units"/>
    <x v="6"/>
    <n v="-1.3109999999999999"/>
  </r>
  <r>
    <n v="110"/>
    <x v="0"/>
    <x v="51"/>
    <x v="13"/>
    <s v="Percent of potential GDP"/>
    <s v="Units"/>
    <x v="0"/>
    <n v="0.74"/>
  </r>
  <r>
    <n v="110"/>
    <x v="0"/>
    <x v="51"/>
    <x v="13"/>
    <s v="Percent of potential GDP"/>
    <s v="Units"/>
    <x v="1"/>
    <n v="-2.2389999999999999"/>
  </r>
  <r>
    <n v="110"/>
    <x v="0"/>
    <x v="51"/>
    <x v="13"/>
    <s v="Percent of potential GDP"/>
    <s v="Units"/>
    <x v="2"/>
    <n v="1.744"/>
  </r>
  <r>
    <n v="110"/>
    <x v="0"/>
    <x v="51"/>
    <x v="13"/>
    <s v="Percent of potential GDP"/>
    <s v="Units"/>
    <x v="3"/>
    <n v="2.2000000000000002"/>
  </r>
  <r>
    <n v="110"/>
    <x v="0"/>
    <x v="51"/>
    <x v="13"/>
    <s v="Percent of potential GDP"/>
    <s v="Units"/>
    <x v="4"/>
    <n v="0.71799999999999997"/>
  </r>
  <r>
    <n v="110"/>
    <x v="0"/>
    <x v="51"/>
    <x v="13"/>
    <s v="Percent of potential GDP"/>
    <s v="Units"/>
    <x v="5"/>
    <n v="-0.47"/>
  </r>
  <r>
    <n v="110"/>
    <x v="0"/>
    <x v="51"/>
    <x v="13"/>
    <s v="Percent of potential GDP"/>
    <s v="Units"/>
    <x v="6"/>
    <n v="-0.82299999999999995"/>
  </r>
  <r>
    <n v="200"/>
    <x v="3"/>
    <x v="125"/>
    <x v="6"/>
    <s v="Percent change"/>
    <s v="Units"/>
    <x v="0"/>
    <n v="1.9730000000000001"/>
  </r>
  <r>
    <n v="200"/>
    <x v="3"/>
    <x v="125"/>
    <x v="6"/>
    <s v="Percent change"/>
    <s v="Units"/>
    <x v="1"/>
    <n v="21.326000000000001"/>
  </r>
  <r>
    <n v="200"/>
    <x v="3"/>
    <x v="125"/>
    <x v="6"/>
    <s v="Percent change"/>
    <s v="Units"/>
    <x v="2"/>
    <n v="15.731999999999999"/>
  </r>
  <r>
    <n v="200"/>
    <x v="3"/>
    <x v="125"/>
    <x v="6"/>
    <s v="Percent change"/>
    <s v="Units"/>
    <x v="3"/>
    <n v="-0.79900000000000004"/>
  </r>
  <r>
    <n v="200"/>
    <x v="3"/>
    <x v="125"/>
    <x v="6"/>
    <s v="Percent change"/>
    <s v="Units"/>
    <x v="4"/>
    <n v="4.9880000000000004"/>
  </r>
  <r>
    <n v="200"/>
    <x v="3"/>
    <x v="125"/>
    <x v="6"/>
    <s v="Percent change"/>
    <s v="Units"/>
    <x v="5"/>
    <n v="-0.47799999999999998"/>
  </r>
  <r>
    <n v="200"/>
    <x v="3"/>
    <x v="125"/>
    <x v="6"/>
    <s v="Percent change"/>
    <s v="Units"/>
    <x v="6"/>
    <n v="7.72"/>
  </r>
  <r>
    <n v="1"/>
    <x v="2"/>
    <x v="125"/>
    <x v="6"/>
    <s v="Percent change"/>
    <s v="Units"/>
    <x v="0"/>
    <n v="1.9730000000000001"/>
  </r>
  <r>
    <n v="1"/>
    <x v="2"/>
    <x v="125"/>
    <x v="6"/>
    <s v="Percent change"/>
    <s v="Units"/>
    <x v="1"/>
    <n v="21.326000000000001"/>
  </r>
  <r>
    <n v="1"/>
    <x v="2"/>
    <x v="125"/>
    <x v="6"/>
    <s v="Percent change"/>
    <s v="Units"/>
    <x v="2"/>
    <n v="15.731999999999999"/>
  </r>
  <r>
    <n v="1"/>
    <x v="2"/>
    <x v="125"/>
    <x v="6"/>
    <s v="Percent change"/>
    <s v="Units"/>
    <x v="3"/>
    <n v="-0.79900000000000004"/>
  </r>
  <r>
    <n v="1"/>
    <x v="2"/>
    <x v="125"/>
    <x v="6"/>
    <s v="Percent change"/>
    <s v="Units"/>
    <x v="4"/>
    <n v="4.9880000000000004"/>
  </r>
  <r>
    <n v="1"/>
    <x v="2"/>
    <x v="125"/>
    <x v="6"/>
    <s v="Percent change"/>
    <s v="Units"/>
    <x v="5"/>
    <n v="-0.47799999999999998"/>
  </r>
  <r>
    <n v="1"/>
    <x v="2"/>
    <x v="125"/>
    <x v="6"/>
    <s v="Percent change"/>
    <s v="Units"/>
    <x v="6"/>
    <n v="7.72"/>
  </r>
  <r>
    <n v="603"/>
    <x v="12"/>
    <x v="125"/>
    <x v="6"/>
    <s v="Percent change"/>
    <s v="Units"/>
    <x v="0"/>
    <n v="1.9730000000000001"/>
  </r>
  <r>
    <n v="603"/>
    <x v="12"/>
    <x v="125"/>
    <x v="6"/>
    <s v="Percent change"/>
    <s v="Units"/>
    <x v="1"/>
    <n v="21.326000000000001"/>
  </r>
  <r>
    <n v="603"/>
    <x v="12"/>
    <x v="125"/>
    <x v="6"/>
    <s v="Percent change"/>
    <s v="Units"/>
    <x v="2"/>
    <n v="15.731999999999999"/>
  </r>
  <r>
    <n v="603"/>
    <x v="12"/>
    <x v="125"/>
    <x v="6"/>
    <s v="Percent change"/>
    <s v="Units"/>
    <x v="3"/>
    <n v="-0.79900000000000004"/>
  </r>
  <r>
    <n v="603"/>
    <x v="12"/>
    <x v="125"/>
    <x v="6"/>
    <s v="Percent change"/>
    <s v="Units"/>
    <x v="4"/>
    <n v="4.9880000000000004"/>
  </r>
  <r>
    <n v="603"/>
    <x v="12"/>
    <x v="125"/>
    <x v="6"/>
    <s v="Percent change"/>
    <s v="Units"/>
    <x v="5"/>
    <n v="-0.47799999999999998"/>
  </r>
  <r>
    <n v="603"/>
    <x v="12"/>
    <x v="125"/>
    <x v="6"/>
    <s v="Percent change"/>
    <s v="Units"/>
    <x v="6"/>
    <n v="7.72"/>
  </r>
  <r>
    <n v="1"/>
    <x v="2"/>
    <x v="123"/>
    <x v="6"/>
    <s v="Percent change"/>
    <s v="Units"/>
    <x v="0"/>
    <n v="3.0619999999999998"/>
  </r>
  <r>
    <n v="1"/>
    <x v="2"/>
    <x v="123"/>
    <x v="6"/>
    <s v="Percent change"/>
    <s v="Units"/>
    <x v="1"/>
    <n v="-35.96"/>
  </r>
  <r>
    <n v="1"/>
    <x v="2"/>
    <x v="123"/>
    <x v="6"/>
    <s v="Percent change"/>
    <s v="Units"/>
    <x v="2"/>
    <n v="29.57"/>
  </r>
  <r>
    <n v="1"/>
    <x v="2"/>
    <x v="123"/>
    <x v="6"/>
    <s v="Percent change"/>
    <s v="Units"/>
    <x v="3"/>
    <n v="22.42"/>
  </r>
  <r>
    <n v="1"/>
    <x v="2"/>
    <x v="123"/>
    <x v="6"/>
    <s v="Percent change"/>
    <s v="Units"/>
    <x v="4"/>
    <n v="-2.718"/>
  </r>
  <r>
    <n v="1"/>
    <x v="2"/>
    <x v="123"/>
    <x v="6"/>
    <s v="Percent change"/>
    <s v="Units"/>
    <x v="5"/>
    <n v="-0.48799999999999999"/>
  </r>
  <r>
    <n v="1"/>
    <x v="2"/>
    <x v="123"/>
    <x v="6"/>
    <s v="Percent change"/>
    <s v="Units"/>
    <x v="6"/>
    <n v="11.567"/>
  </r>
  <r>
    <n v="200"/>
    <x v="3"/>
    <x v="123"/>
    <x v="6"/>
    <s v="Percent change"/>
    <s v="Units"/>
    <x v="0"/>
    <n v="3.0619999999999998"/>
  </r>
  <r>
    <n v="200"/>
    <x v="3"/>
    <x v="123"/>
    <x v="6"/>
    <s v="Percent change"/>
    <s v="Units"/>
    <x v="1"/>
    <n v="-35.96"/>
  </r>
  <r>
    <n v="200"/>
    <x v="3"/>
    <x v="123"/>
    <x v="6"/>
    <s v="Percent change"/>
    <s v="Units"/>
    <x v="2"/>
    <n v="29.57"/>
  </r>
  <r>
    <n v="200"/>
    <x v="3"/>
    <x v="123"/>
    <x v="6"/>
    <s v="Percent change"/>
    <s v="Units"/>
    <x v="3"/>
    <n v="22.42"/>
  </r>
  <r>
    <n v="200"/>
    <x v="3"/>
    <x v="123"/>
    <x v="6"/>
    <s v="Percent change"/>
    <s v="Units"/>
    <x v="4"/>
    <n v="-2.718"/>
  </r>
  <r>
    <n v="200"/>
    <x v="3"/>
    <x v="123"/>
    <x v="6"/>
    <s v="Percent change"/>
    <s v="Units"/>
    <x v="5"/>
    <n v="-0.48799999999999999"/>
  </r>
  <r>
    <n v="200"/>
    <x v="3"/>
    <x v="123"/>
    <x v="6"/>
    <s v="Percent change"/>
    <s v="Units"/>
    <x v="6"/>
    <n v="11.567"/>
  </r>
  <r>
    <n v="505"/>
    <x v="4"/>
    <x v="123"/>
    <x v="6"/>
    <s v="Percent change"/>
    <s v="Units"/>
    <x v="0"/>
    <n v="3.0619999999999998"/>
  </r>
  <r>
    <n v="505"/>
    <x v="4"/>
    <x v="123"/>
    <x v="6"/>
    <s v="Percent change"/>
    <s v="Units"/>
    <x v="1"/>
    <n v="-35.96"/>
  </r>
  <r>
    <n v="505"/>
    <x v="4"/>
    <x v="123"/>
    <x v="6"/>
    <s v="Percent change"/>
    <s v="Units"/>
    <x v="2"/>
    <n v="29.57"/>
  </r>
  <r>
    <n v="505"/>
    <x v="4"/>
    <x v="123"/>
    <x v="6"/>
    <s v="Percent change"/>
    <s v="Units"/>
    <x v="3"/>
    <n v="22.42"/>
  </r>
  <r>
    <n v="505"/>
    <x v="4"/>
    <x v="123"/>
    <x v="6"/>
    <s v="Percent change"/>
    <s v="Units"/>
    <x v="4"/>
    <n v="-2.718"/>
  </r>
  <r>
    <n v="505"/>
    <x v="4"/>
    <x v="123"/>
    <x v="6"/>
    <s v="Percent change"/>
    <s v="Units"/>
    <x v="5"/>
    <n v="-0.48799999999999999"/>
  </r>
  <r>
    <n v="505"/>
    <x v="4"/>
    <x v="123"/>
    <x v="6"/>
    <s v="Percent change"/>
    <s v="Units"/>
    <x v="6"/>
    <n v="11.567"/>
  </r>
  <r>
    <n v="1"/>
    <x v="2"/>
    <x v="11"/>
    <x v="4"/>
    <s v="Percent change"/>
    <s v="Units"/>
    <x v="0"/>
    <n v="1.1639999999999999"/>
  </r>
  <r>
    <n v="1"/>
    <x v="2"/>
    <x v="11"/>
    <x v="4"/>
    <s v="Percent change"/>
    <s v="Units"/>
    <x v="1"/>
    <n v="-7.0190000000000001"/>
  </r>
  <r>
    <n v="1"/>
    <x v="2"/>
    <x v="11"/>
    <x v="4"/>
    <s v="Percent change"/>
    <s v="Units"/>
    <x v="2"/>
    <n v="7.2169999999999996"/>
  </r>
  <r>
    <n v="1"/>
    <x v="2"/>
    <x v="11"/>
    <x v="4"/>
    <s v="Percent change"/>
    <s v="Units"/>
    <x v="3"/>
    <n v="8.6820000000000004"/>
  </r>
  <r>
    <n v="1"/>
    <x v="2"/>
    <x v="11"/>
    <x v="4"/>
    <s v="Percent change"/>
    <s v="Units"/>
    <x v="4"/>
    <n v="-6.9370000000000003"/>
  </r>
  <r>
    <n v="1"/>
    <x v="2"/>
    <x v="11"/>
    <x v="4"/>
    <s v="Percent change"/>
    <s v="Units"/>
    <x v="5"/>
    <n v="-0.49199999999999999"/>
  </r>
  <r>
    <n v="1"/>
    <x v="2"/>
    <x v="11"/>
    <x v="4"/>
    <s v="Percent change"/>
    <s v="Units"/>
    <x v="6"/>
    <n v="2.2679999999999998"/>
  </r>
  <r>
    <n v="205"/>
    <x v="7"/>
    <x v="11"/>
    <x v="4"/>
    <s v="Percent change"/>
    <s v="Units"/>
    <x v="0"/>
    <n v="1.1639999999999999"/>
  </r>
  <r>
    <n v="205"/>
    <x v="7"/>
    <x v="11"/>
    <x v="4"/>
    <s v="Percent change"/>
    <s v="Units"/>
    <x v="1"/>
    <n v="-7.0190000000000001"/>
  </r>
  <r>
    <n v="205"/>
    <x v="7"/>
    <x v="11"/>
    <x v="4"/>
    <s v="Percent change"/>
    <s v="Units"/>
    <x v="2"/>
    <n v="7.2169999999999996"/>
  </r>
  <r>
    <n v="205"/>
    <x v="7"/>
    <x v="11"/>
    <x v="4"/>
    <s v="Percent change"/>
    <s v="Units"/>
    <x v="3"/>
    <n v="8.6820000000000004"/>
  </r>
  <r>
    <n v="205"/>
    <x v="7"/>
    <x v="11"/>
    <x v="4"/>
    <s v="Percent change"/>
    <s v="Units"/>
    <x v="4"/>
    <n v="-6.9370000000000003"/>
  </r>
  <r>
    <n v="205"/>
    <x v="7"/>
    <x v="11"/>
    <x v="4"/>
    <s v="Percent change"/>
    <s v="Units"/>
    <x v="5"/>
    <n v="-0.49199999999999999"/>
  </r>
  <r>
    <n v="205"/>
    <x v="7"/>
    <x v="11"/>
    <x v="4"/>
    <s v="Percent change"/>
    <s v="Units"/>
    <x v="6"/>
    <n v="2.2679999999999998"/>
  </r>
  <r>
    <n v="200"/>
    <x v="3"/>
    <x v="11"/>
    <x v="4"/>
    <s v="Percent change"/>
    <s v="Units"/>
    <x v="0"/>
    <n v="1.1639999999999999"/>
  </r>
  <r>
    <n v="200"/>
    <x v="3"/>
    <x v="11"/>
    <x v="4"/>
    <s v="Percent change"/>
    <s v="Units"/>
    <x v="1"/>
    <n v="-7.0190000000000001"/>
  </r>
  <r>
    <n v="200"/>
    <x v="3"/>
    <x v="11"/>
    <x v="4"/>
    <s v="Percent change"/>
    <s v="Units"/>
    <x v="2"/>
    <n v="7.2169999999999996"/>
  </r>
  <r>
    <n v="200"/>
    <x v="3"/>
    <x v="11"/>
    <x v="4"/>
    <s v="Percent change"/>
    <s v="Units"/>
    <x v="3"/>
    <n v="8.6820000000000004"/>
  </r>
  <r>
    <n v="200"/>
    <x v="3"/>
    <x v="11"/>
    <x v="4"/>
    <s v="Percent change"/>
    <s v="Units"/>
    <x v="4"/>
    <n v="-6.9370000000000003"/>
  </r>
  <r>
    <n v="200"/>
    <x v="3"/>
    <x v="11"/>
    <x v="4"/>
    <s v="Percent change"/>
    <s v="Units"/>
    <x v="5"/>
    <n v="-0.49199999999999999"/>
  </r>
  <r>
    <n v="200"/>
    <x v="3"/>
    <x v="11"/>
    <x v="4"/>
    <s v="Percent change"/>
    <s v="Units"/>
    <x v="6"/>
    <n v="2.2679999999999998"/>
  </r>
  <r>
    <n v="163"/>
    <x v="5"/>
    <x v="21"/>
    <x v="6"/>
    <s v="Percent change"/>
    <s v="Units"/>
    <x v="0"/>
    <n v="-0.38300000000000001"/>
  </r>
  <r>
    <n v="163"/>
    <x v="5"/>
    <x v="21"/>
    <x v="6"/>
    <s v="Percent change"/>
    <s v="Units"/>
    <x v="1"/>
    <n v="-6.6189999999999998"/>
  </r>
  <r>
    <n v="163"/>
    <x v="5"/>
    <x v="21"/>
    <x v="6"/>
    <s v="Percent change"/>
    <s v="Units"/>
    <x v="2"/>
    <n v="15.292"/>
  </r>
  <r>
    <n v="163"/>
    <x v="5"/>
    <x v="21"/>
    <x v="6"/>
    <s v="Percent change"/>
    <s v="Units"/>
    <x v="3"/>
    <n v="5.4260000000000002"/>
  </r>
  <r>
    <n v="163"/>
    <x v="5"/>
    <x v="21"/>
    <x v="6"/>
    <s v="Percent change"/>
    <s v="Units"/>
    <x v="4"/>
    <n v="-2.7629999999999999"/>
  </r>
  <r>
    <n v="163"/>
    <x v="5"/>
    <x v="21"/>
    <x v="6"/>
    <s v="Percent change"/>
    <s v="Units"/>
    <x v="5"/>
    <n v="-0.503"/>
  </r>
  <r>
    <n v="163"/>
    <x v="5"/>
    <x v="21"/>
    <x v="6"/>
    <s v="Percent change"/>
    <s v="Units"/>
    <x v="6"/>
    <n v="3.625"/>
  </r>
  <r>
    <n v="1"/>
    <x v="2"/>
    <x v="21"/>
    <x v="6"/>
    <s v="Percent change"/>
    <s v="Units"/>
    <x v="0"/>
    <n v="-0.38300000000000001"/>
  </r>
  <r>
    <n v="1"/>
    <x v="2"/>
    <x v="21"/>
    <x v="6"/>
    <s v="Percent change"/>
    <s v="Units"/>
    <x v="1"/>
    <n v="-6.6189999999999998"/>
  </r>
  <r>
    <n v="1"/>
    <x v="2"/>
    <x v="21"/>
    <x v="6"/>
    <s v="Percent change"/>
    <s v="Units"/>
    <x v="2"/>
    <n v="15.292"/>
  </r>
  <r>
    <n v="1"/>
    <x v="2"/>
    <x v="21"/>
    <x v="6"/>
    <s v="Percent change"/>
    <s v="Units"/>
    <x v="3"/>
    <n v="5.4260000000000002"/>
  </r>
  <r>
    <n v="1"/>
    <x v="2"/>
    <x v="21"/>
    <x v="6"/>
    <s v="Percent change"/>
    <s v="Units"/>
    <x v="4"/>
    <n v="-2.7629999999999999"/>
  </r>
  <r>
    <n v="1"/>
    <x v="2"/>
    <x v="21"/>
    <x v="6"/>
    <s v="Percent change"/>
    <s v="Units"/>
    <x v="5"/>
    <n v="-0.503"/>
  </r>
  <r>
    <n v="1"/>
    <x v="2"/>
    <x v="21"/>
    <x v="6"/>
    <s v="Percent change"/>
    <s v="Units"/>
    <x v="6"/>
    <n v="3.625"/>
  </r>
  <r>
    <n v="110"/>
    <x v="0"/>
    <x v="21"/>
    <x v="6"/>
    <s v="Percent change"/>
    <s v="Units"/>
    <x v="0"/>
    <n v="-0.38300000000000001"/>
  </r>
  <r>
    <n v="110"/>
    <x v="0"/>
    <x v="21"/>
    <x v="6"/>
    <s v="Percent change"/>
    <s v="Units"/>
    <x v="1"/>
    <n v="-6.6189999999999998"/>
  </r>
  <r>
    <n v="110"/>
    <x v="0"/>
    <x v="21"/>
    <x v="6"/>
    <s v="Percent change"/>
    <s v="Units"/>
    <x v="2"/>
    <n v="15.292"/>
  </r>
  <r>
    <n v="110"/>
    <x v="0"/>
    <x v="21"/>
    <x v="6"/>
    <s v="Percent change"/>
    <s v="Units"/>
    <x v="3"/>
    <n v="5.4260000000000002"/>
  </r>
  <r>
    <n v="110"/>
    <x v="0"/>
    <x v="21"/>
    <x v="6"/>
    <s v="Percent change"/>
    <s v="Units"/>
    <x v="4"/>
    <n v="-2.7629999999999999"/>
  </r>
  <r>
    <n v="110"/>
    <x v="0"/>
    <x v="21"/>
    <x v="6"/>
    <s v="Percent change"/>
    <s v="Units"/>
    <x v="5"/>
    <n v="-0.503"/>
  </r>
  <r>
    <n v="110"/>
    <x v="0"/>
    <x v="21"/>
    <x v="6"/>
    <s v="Percent change"/>
    <s v="Units"/>
    <x v="6"/>
    <n v="3.625"/>
  </r>
  <r>
    <n v="998"/>
    <x v="6"/>
    <x v="115"/>
    <x v="8"/>
    <s v="Percent change"/>
    <s v="Units"/>
    <x v="0"/>
    <n v="4.0339999999999998"/>
  </r>
  <r>
    <n v="998"/>
    <x v="6"/>
    <x v="115"/>
    <x v="8"/>
    <s v="Percent change"/>
    <s v="Units"/>
    <x v="1"/>
    <n v="-0.96499999999999997"/>
  </r>
  <r>
    <n v="998"/>
    <x v="6"/>
    <x v="115"/>
    <x v="8"/>
    <s v="Percent change"/>
    <s v="Units"/>
    <x v="2"/>
    <n v="7.2489999999999997"/>
  </r>
  <r>
    <n v="998"/>
    <x v="6"/>
    <x v="115"/>
    <x v="8"/>
    <s v="Percent change"/>
    <s v="Units"/>
    <x v="3"/>
    <n v="-0.46100000000000002"/>
  </r>
  <r>
    <n v="998"/>
    <x v="6"/>
    <x v="115"/>
    <x v="8"/>
    <s v="Percent change"/>
    <s v="Units"/>
    <x v="4"/>
    <n v="-3.0059999999999998"/>
  </r>
  <r>
    <n v="998"/>
    <x v="6"/>
    <x v="115"/>
    <x v="8"/>
    <s v="Percent change"/>
    <s v="Units"/>
    <x v="5"/>
    <n v="-0.52800000000000002"/>
  </r>
  <r>
    <n v="998"/>
    <x v="6"/>
    <x v="115"/>
    <x v="8"/>
    <s v="Percent change"/>
    <s v="Units"/>
    <x v="6"/>
    <n v="2.1789999999999998"/>
  </r>
  <r>
    <n v="110"/>
    <x v="0"/>
    <x v="115"/>
    <x v="8"/>
    <s v="Percent change"/>
    <s v="Units"/>
    <x v="0"/>
    <n v="4.0339999999999998"/>
  </r>
  <r>
    <n v="110"/>
    <x v="0"/>
    <x v="115"/>
    <x v="8"/>
    <s v="Percent change"/>
    <s v="Units"/>
    <x v="1"/>
    <n v="-0.96499999999999997"/>
  </r>
  <r>
    <n v="110"/>
    <x v="0"/>
    <x v="115"/>
    <x v="8"/>
    <s v="Percent change"/>
    <s v="Units"/>
    <x v="2"/>
    <n v="7.2489999999999997"/>
  </r>
  <r>
    <n v="110"/>
    <x v="0"/>
    <x v="115"/>
    <x v="8"/>
    <s v="Percent change"/>
    <s v="Units"/>
    <x v="3"/>
    <n v="-0.46100000000000002"/>
  </r>
  <r>
    <n v="110"/>
    <x v="0"/>
    <x v="115"/>
    <x v="8"/>
    <s v="Percent change"/>
    <s v="Units"/>
    <x v="4"/>
    <n v="-3.0059999999999998"/>
  </r>
  <r>
    <n v="110"/>
    <x v="0"/>
    <x v="115"/>
    <x v="8"/>
    <s v="Percent change"/>
    <s v="Units"/>
    <x v="5"/>
    <n v="-0.52800000000000002"/>
  </r>
  <r>
    <n v="110"/>
    <x v="0"/>
    <x v="115"/>
    <x v="8"/>
    <s v="Percent change"/>
    <s v="Units"/>
    <x v="6"/>
    <n v="2.1789999999999998"/>
  </r>
  <r>
    <n v="1"/>
    <x v="2"/>
    <x v="115"/>
    <x v="8"/>
    <s v="Percent change"/>
    <s v="Units"/>
    <x v="0"/>
    <n v="4.0339999999999998"/>
  </r>
  <r>
    <n v="1"/>
    <x v="2"/>
    <x v="115"/>
    <x v="8"/>
    <s v="Percent change"/>
    <s v="Units"/>
    <x v="1"/>
    <n v="-0.96499999999999997"/>
  </r>
  <r>
    <n v="1"/>
    <x v="2"/>
    <x v="115"/>
    <x v="8"/>
    <s v="Percent change"/>
    <s v="Units"/>
    <x v="2"/>
    <n v="7.2489999999999997"/>
  </r>
  <r>
    <n v="1"/>
    <x v="2"/>
    <x v="115"/>
    <x v="8"/>
    <s v="Percent change"/>
    <s v="Units"/>
    <x v="3"/>
    <n v="-0.46100000000000002"/>
  </r>
  <r>
    <n v="1"/>
    <x v="2"/>
    <x v="115"/>
    <x v="8"/>
    <s v="Percent change"/>
    <s v="Units"/>
    <x v="4"/>
    <n v="-3.0059999999999998"/>
  </r>
  <r>
    <n v="1"/>
    <x v="2"/>
    <x v="115"/>
    <x v="8"/>
    <s v="Percent change"/>
    <s v="Units"/>
    <x v="5"/>
    <n v="-0.52800000000000002"/>
  </r>
  <r>
    <n v="1"/>
    <x v="2"/>
    <x v="115"/>
    <x v="8"/>
    <s v="Percent change"/>
    <s v="Units"/>
    <x v="6"/>
    <n v="2.1789999999999998"/>
  </r>
  <r>
    <n v="163"/>
    <x v="5"/>
    <x v="115"/>
    <x v="8"/>
    <s v="Percent change"/>
    <s v="Units"/>
    <x v="0"/>
    <n v="4.0339999999999998"/>
  </r>
  <r>
    <n v="163"/>
    <x v="5"/>
    <x v="115"/>
    <x v="8"/>
    <s v="Percent change"/>
    <s v="Units"/>
    <x v="1"/>
    <n v="-0.96499999999999997"/>
  </r>
  <r>
    <n v="163"/>
    <x v="5"/>
    <x v="115"/>
    <x v="8"/>
    <s v="Percent change"/>
    <s v="Units"/>
    <x v="2"/>
    <n v="7.2489999999999997"/>
  </r>
  <r>
    <n v="163"/>
    <x v="5"/>
    <x v="115"/>
    <x v="8"/>
    <s v="Percent change"/>
    <s v="Units"/>
    <x v="3"/>
    <n v="-0.46100000000000002"/>
  </r>
  <r>
    <n v="163"/>
    <x v="5"/>
    <x v="115"/>
    <x v="8"/>
    <s v="Percent change"/>
    <s v="Units"/>
    <x v="4"/>
    <n v="-3.0059999999999998"/>
  </r>
  <r>
    <n v="163"/>
    <x v="5"/>
    <x v="115"/>
    <x v="8"/>
    <s v="Percent change"/>
    <s v="Units"/>
    <x v="5"/>
    <n v="-0.52800000000000002"/>
  </r>
  <r>
    <n v="163"/>
    <x v="5"/>
    <x v="115"/>
    <x v="8"/>
    <s v="Percent change"/>
    <s v="Units"/>
    <x v="6"/>
    <n v="2.1789999999999998"/>
  </r>
  <r>
    <n v="123"/>
    <x v="9"/>
    <x v="13"/>
    <x v="12"/>
    <s v="Percent of potential GDP"/>
    <s v="Units"/>
    <x v="0"/>
    <n v="0.54100000000000004"/>
  </r>
  <r>
    <n v="123"/>
    <x v="9"/>
    <x v="13"/>
    <x v="12"/>
    <s v="Percent of potential GDP"/>
    <s v="Units"/>
    <x v="1"/>
    <n v="-1.5229999999999999"/>
  </r>
  <r>
    <n v="123"/>
    <x v="9"/>
    <x v="13"/>
    <x v="12"/>
    <s v="Percent of potential GDP"/>
    <s v="Units"/>
    <x v="2"/>
    <n v="8.5000000000000006E-2"/>
  </r>
  <r>
    <n v="123"/>
    <x v="9"/>
    <x v="13"/>
    <x v="12"/>
    <s v="Percent of potential GDP"/>
    <s v="Units"/>
    <x v="3"/>
    <n v="-1.6839999999999999"/>
  </r>
  <r>
    <n v="123"/>
    <x v="9"/>
    <x v="13"/>
    <x v="12"/>
    <s v="Percent of potential GDP"/>
    <s v="Units"/>
    <x v="4"/>
    <n v="-0.90300000000000002"/>
  </r>
  <r>
    <n v="123"/>
    <x v="9"/>
    <x v="13"/>
    <x v="12"/>
    <s v="Percent of potential GDP"/>
    <s v="Units"/>
    <x v="5"/>
    <n v="-0.53"/>
  </r>
  <r>
    <n v="123"/>
    <x v="9"/>
    <x v="13"/>
    <x v="12"/>
    <s v="Percent of potential GDP"/>
    <s v="Units"/>
    <x v="6"/>
    <n v="0.13500000000000001"/>
  </r>
  <r>
    <n v="110"/>
    <x v="0"/>
    <x v="13"/>
    <x v="12"/>
    <s v="Percent of potential GDP"/>
    <s v="Units"/>
    <x v="0"/>
    <n v="0.54100000000000004"/>
  </r>
  <r>
    <n v="110"/>
    <x v="0"/>
    <x v="13"/>
    <x v="12"/>
    <s v="Percent of potential GDP"/>
    <s v="Units"/>
    <x v="1"/>
    <n v="-1.5229999999999999"/>
  </r>
  <r>
    <n v="110"/>
    <x v="0"/>
    <x v="13"/>
    <x v="12"/>
    <s v="Percent of potential GDP"/>
    <s v="Units"/>
    <x v="2"/>
    <n v="8.5000000000000006E-2"/>
  </r>
  <r>
    <n v="110"/>
    <x v="0"/>
    <x v="13"/>
    <x v="12"/>
    <s v="Percent of potential GDP"/>
    <s v="Units"/>
    <x v="3"/>
    <n v="-1.6839999999999999"/>
  </r>
  <r>
    <n v="110"/>
    <x v="0"/>
    <x v="13"/>
    <x v="12"/>
    <s v="Percent of potential GDP"/>
    <s v="Units"/>
    <x v="4"/>
    <n v="-0.90300000000000002"/>
  </r>
  <r>
    <n v="110"/>
    <x v="0"/>
    <x v="13"/>
    <x v="12"/>
    <s v="Percent of potential GDP"/>
    <s v="Units"/>
    <x v="5"/>
    <n v="-0.53"/>
  </r>
  <r>
    <n v="110"/>
    <x v="0"/>
    <x v="13"/>
    <x v="12"/>
    <s v="Percent of potential GDP"/>
    <s v="Units"/>
    <x v="6"/>
    <n v="0.13500000000000001"/>
  </r>
  <r>
    <n v="123"/>
    <x v="9"/>
    <x v="20"/>
    <x v="12"/>
    <s v="Percent of potential GDP"/>
    <s v="Units"/>
    <x v="0"/>
    <n v="-1.621"/>
  </r>
  <r>
    <n v="123"/>
    <x v="9"/>
    <x v="20"/>
    <x v="12"/>
    <s v="Percent of potential GDP"/>
    <s v="Units"/>
    <x v="1"/>
    <n v="-2.694"/>
  </r>
  <r>
    <n v="123"/>
    <x v="9"/>
    <x v="20"/>
    <x v="12"/>
    <s v="Percent of potential GDP"/>
    <s v="Units"/>
    <x v="2"/>
    <n v="-2.3159999999999998"/>
  </r>
  <r>
    <n v="123"/>
    <x v="9"/>
    <x v="20"/>
    <x v="12"/>
    <s v="Percent of potential GDP"/>
    <s v="Units"/>
    <x v="3"/>
    <n v="-0.48899999999999999"/>
  </r>
  <r>
    <n v="123"/>
    <x v="9"/>
    <x v="20"/>
    <x v="12"/>
    <s v="Percent of potential GDP"/>
    <s v="Units"/>
    <x v="4"/>
    <n v="-0.46899999999999997"/>
  </r>
  <r>
    <n v="123"/>
    <x v="9"/>
    <x v="20"/>
    <x v="12"/>
    <s v="Percent of potential GDP"/>
    <s v="Units"/>
    <x v="5"/>
    <n v="-0.53900000000000003"/>
  </r>
  <r>
    <n v="123"/>
    <x v="9"/>
    <x v="20"/>
    <x v="12"/>
    <s v="Percent of potential GDP"/>
    <s v="Units"/>
    <x v="6"/>
    <n v="-0.60899999999999999"/>
  </r>
  <r>
    <n v="110"/>
    <x v="0"/>
    <x v="20"/>
    <x v="9"/>
    <s v="Percent of GDP"/>
    <s v="Units"/>
    <x v="0"/>
    <n v="-1.776"/>
  </r>
  <r>
    <n v="110"/>
    <x v="0"/>
    <x v="20"/>
    <x v="9"/>
    <s v="Percent of GDP"/>
    <s v="Units"/>
    <x v="1"/>
    <n v="-2.9169999999999998"/>
  </r>
  <r>
    <n v="110"/>
    <x v="0"/>
    <x v="20"/>
    <x v="9"/>
    <s v="Percent of GDP"/>
    <s v="Units"/>
    <x v="2"/>
    <n v="-2.0640000000000001"/>
  </r>
  <r>
    <n v="110"/>
    <x v="0"/>
    <x v="20"/>
    <x v="9"/>
    <s v="Percent of GDP"/>
    <s v="Units"/>
    <x v="3"/>
    <n v="-0.48899999999999999"/>
  </r>
  <r>
    <n v="110"/>
    <x v="0"/>
    <x v="20"/>
    <x v="9"/>
    <s v="Percent of GDP"/>
    <s v="Units"/>
    <x v="4"/>
    <n v="-0.46899999999999997"/>
  </r>
  <r>
    <n v="110"/>
    <x v="0"/>
    <x v="20"/>
    <x v="9"/>
    <s v="Percent of GDP"/>
    <s v="Units"/>
    <x v="5"/>
    <n v="-0.53900000000000003"/>
  </r>
  <r>
    <n v="110"/>
    <x v="0"/>
    <x v="20"/>
    <x v="9"/>
    <s v="Percent of GDP"/>
    <s v="Units"/>
    <x v="6"/>
    <n v="-0.60899999999999999"/>
  </r>
  <r>
    <n v="123"/>
    <x v="9"/>
    <x v="20"/>
    <x v="9"/>
    <s v="Percent of GDP"/>
    <s v="Units"/>
    <x v="0"/>
    <n v="-1.776"/>
  </r>
  <r>
    <n v="123"/>
    <x v="9"/>
    <x v="20"/>
    <x v="9"/>
    <s v="Percent of GDP"/>
    <s v="Units"/>
    <x v="1"/>
    <n v="-2.9169999999999998"/>
  </r>
  <r>
    <n v="123"/>
    <x v="9"/>
    <x v="20"/>
    <x v="9"/>
    <s v="Percent of GDP"/>
    <s v="Units"/>
    <x v="2"/>
    <n v="-2.0640000000000001"/>
  </r>
  <r>
    <n v="123"/>
    <x v="9"/>
    <x v="20"/>
    <x v="9"/>
    <s v="Percent of GDP"/>
    <s v="Units"/>
    <x v="3"/>
    <n v="-0.48899999999999999"/>
  </r>
  <r>
    <n v="123"/>
    <x v="9"/>
    <x v="20"/>
    <x v="9"/>
    <s v="Percent of GDP"/>
    <s v="Units"/>
    <x v="4"/>
    <n v="-0.46899999999999997"/>
  </r>
  <r>
    <n v="123"/>
    <x v="9"/>
    <x v="20"/>
    <x v="9"/>
    <s v="Percent of GDP"/>
    <s v="Units"/>
    <x v="5"/>
    <n v="-0.53900000000000003"/>
  </r>
  <r>
    <n v="123"/>
    <x v="9"/>
    <x v="20"/>
    <x v="9"/>
    <s v="Percent of GDP"/>
    <s v="Units"/>
    <x v="6"/>
    <n v="-0.60899999999999999"/>
  </r>
  <r>
    <n v="110"/>
    <x v="0"/>
    <x v="20"/>
    <x v="12"/>
    <s v="Percent of potential GDP"/>
    <s v="Units"/>
    <x v="0"/>
    <n v="-1.621"/>
  </r>
  <r>
    <n v="110"/>
    <x v="0"/>
    <x v="20"/>
    <x v="12"/>
    <s v="Percent of potential GDP"/>
    <s v="Units"/>
    <x v="1"/>
    <n v="-2.694"/>
  </r>
  <r>
    <n v="110"/>
    <x v="0"/>
    <x v="20"/>
    <x v="12"/>
    <s v="Percent of potential GDP"/>
    <s v="Units"/>
    <x v="2"/>
    <n v="-2.3159999999999998"/>
  </r>
  <r>
    <n v="110"/>
    <x v="0"/>
    <x v="20"/>
    <x v="12"/>
    <s v="Percent of potential GDP"/>
    <s v="Units"/>
    <x v="3"/>
    <n v="-0.48899999999999999"/>
  </r>
  <r>
    <n v="110"/>
    <x v="0"/>
    <x v="20"/>
    <x v="12"/>
    <s v="Percent of potential GDP"/>
    <s v="Units"/>
    <x v="4"/>
    <n v="-0.46899999999999997"/>
  </r>
  <r>
    <n v="110"/>
    <x v="0"/>
    <x v="20"/>
    <x v="12"/>
    <s v="Percent of potential GDP"/>
    <s v="Units"/>
    <x v="5"/>
    <n v="-0.53900000000000003"/>
  </r>
  <r>
    <n v="110"/>
    <x v="0"/>
    <x v="20"/>
    <x v="12"/>
    <s v="Percent of potential GDP"/>
    <s v="Units"/>
    <x v="6"/>
    <n v="-0.60899999999999999"/>
  </r>
  <r>
    <n v="110"/>
    <x v="0"/>
    <x v="21"/>
    <x v="4"/>
    <s v="Percent change"/>
    <s v="Units"/>
    <x v="0"/>
    <n v="4.8000000000000001E-2"/>
  </r>
  <r>
    <n v="110"/>
    <x v="0"/>
    <x v="21"/>
    <x v="4"/>
    <s v="Percent change"/>
    <s v="Units"/>
    <x v="1"/>
    <n v="-6.399"/>
  </r>
  <r>
    <n v="110"/>
    <x v="0"/>
    <x v="21"/>
    <x v="4"/>
    <s v="Percent change"/>
    <s v="Units"/>
    <x v="2"/>
    <n v="14.718"/>
  </r>
  <r>
    <n v="110"/>
    <x v="0"/>
    <x v="21"/>
    <x v="4"/>
    <s v="Percent change"/>
    <s v="Units"/>
    <x v="3"/>
    <n v="7.1959999999999997"/>
  </r>
  <r>
    <n v="110"/>
    <x v="0"/>
    <x v="21"/>
    <x v="4"/>
    <s v="Percent change"/>
    <s v="Units"/>
    <x v="4"/>
    <n v="-3.3239999999999998"/>
  </r>
  <r>
    <n v="110"/>
    <x v="0"/>
    <x v="21"/>
    <x v="4"/>
    <s v="Percent change"/>
    <s v="Units"/>
    <x v="5"/>
    <n v="-0.55600000000000005"/>
  </r>
  <r>
    <n v="110"/>
    <x v="0"/>
    <x v="21"/>
    <x v="4"/>
    <s v="Percent change"/>
    <s v="Units"/>
    <x v="6"/>
    <n v="2.92"/>
  </r>
  <r>
    <n v="163"/>
    <x v="5"/>
    <x v="21"/>
    <x v="4"/>
    <s v="Percent change"/>
    <s v="Units"/>
    <x v="0"/>
    <n v="4.8000000000000001E-2"/>
  </r>
  <r>
    <n v="163"/>
    <x v="5"/>
    <x v="21"/>
    <x v="4"/>
    <s v="Percent change"/>
    <s v="Units"/>
    <x v="1"/>
    <n v="-6.399"/>
  </r>
  <r>
    <n v="163"/>
    <x v="5"/>
    <x v="21"/>
    <x v="4"/>
    <s v="Percent change"/>
    <s v="Units"/>
    <x v="2"/>
    <n v="14.718"/>
  </r>
  <r>
    <n v="163"/>
    <x v="5"/>
    <x v="21"/>
    <x v="4"/>
    <s v="Percent change"/>
    <s v="Units"/>
    <x v="3"/>
    <n v="7.1959999999999997"/>
  </r>
  <r>
    <n v="163"/>
    <x v="5"/>
    <x v="21"/>
    <x v="4"/>
    <s v="Percent change"/>
    <s v="Units"/>
    <x v="4"/>
    <n v="-3.3239999999999998"/>
  </r>
  <r>
    <n v="163"/>
    <x v="5"/>
    <x v="21"/>
    <x v="4"/>
    <s v="Percent change"/>
    <s v="Units"/>
    <x v="5"/>
    <n v="-0.55600000000000005"/>
  </r>
  <r>
    <n v="163"/>
    <x v="5"/>
    <x v="21"/>
    <x v="4"/>
    <s v="Percent change"/>
    <s v="Units"/>
    <x v="6"/>
    <n v="2.92"/>
  </r>
  <r>
    <n v="1"/>
    <x v="2"/>
    <x v="21"/>
    <x v="4"/>
    <s v="Percent change"/>
    <s v="Units"/>
    <x v="0"/>
    <n v="4.8000000000000001E-2"/>
  </r>
  <r>
    <n v="1"/>
    <x v="2"/>
    <x v="21"/>
    <x v="4"/>
    <s v="Percent change"/>
    <s v="Units"/>
    <x v="1"/>
    <n v="-6.399"/>
  </r>
  <r>
    <n v="1"/>
    <x v="2"/>
    <x v="21"/>
    <x v="4"/>
    <s v="Percent change"/>
    <s v="Units"/>
    <x v="2"/>
    <n v="14.718"/>
  </r>
  <r>
    <n v="1"/>
    <x v="2"/>
    <x v="21"/>
    <x v="4"/>
    <s v="Percent change"/>
    <s v="Units"/>
    <x v="3"/>
    <n v="7.1959999999999997"/>
  </r>
  <r>
    <n v="1"/>
    <x v="2"/>
    <x v="21"/>
    <x v="4"/>
    <s v="Percent change"/>
    <s v="Units"/>
    <x v="4"/>
    <n v="-3.3239999999999998"/>
  </r>
  <r>
    <n v="1"/>
    <x v="2"/>
    <x v="21"/>
    <x v="4"/>
    <s v="Percent change"/>
    <s v="Units"/>
    <x v="5"/>
    <n v="-0.55600000000000005"/>
  </r>
  <r>
    <n v="1"/>
    <x v="2"/>
    <x v="21"/>
    <x v="4"/>
    <s v="Percent change"/>
    <s v="Units"/>
    <x v="6"/>
    <n v="2.92"/>
  </r>
  <r>
    <n v="119"/>
    <x v="1"/>
    <x v="9"/>
    <x v="13"/>
    <s v="Percent of potential GDP"/>
    <s v="Units"/>
    <x v="0"/>
    <n v="0.35799999999999998"/>
  </r>
  <r>
    <n v="119"/>
    <x v="1"/>
    <x v="9"/>
    <x v="13"/>
    <s v="Percent of potential GDP"/>
    <s v="Units"/>
    <x v="1"/>
    <n v="-3.3570000000000002"/>
  </r>
  <r>
    <n v="119"/>
    <x v="1"/>
    <x v="9"/>
    <x v="13"/>
    <s v="Percent of potential GDP"/>
    <s v="Units"/>
    <x v="2"/>
    <n v="-1.4359999999999999"/>
  </r>
  <r>
    <n v="119"/>
    <x v="1"/>
    <x v="9"/>
    <x v="13"/>
    <s v="Percent of potential GDP"/>
    <s v="Units"/>
    <x v="3"/>
    <n v="0.76300000000000001"/>
  </r>
  <r>
    <n v="119"/>
    <x v="1"/>
    <x v="9"/>
    <x v="13"/>
    <s v="Percent of potential GDP"/>
    <s v="Units"/>
    <x v="4"/>
    <n v="-3.5999999999999997E-2"/>
  </r>
  <r>
    <n v="119"/>
    <x v="1"/>
    <x v="9"/>
    <x v="13"/>
    <s v="Percent of potential GDP"/>
    <s v="Units"/>
    <x v="5"/>
    <n v="-0.57199999999999995"/>
  </r>
  <r>
    <n v="119"/>
    <x v="1"/>
    <x v="9"/>
    <x v="13"/>
    <s v="Percent of potential GDP"/>
    <s v="Units"/>
    <x v="6"/>
    <n v="-0.115"/>
  </r>
  <r>
    <n v="110"/>
    <x v="0"/>
    <x v="9"/>
    <x v="13"/>
    <s v="Percent of potential GDP"/>
    <s v="Units"/>
    <x v="0"/>
    <n v="0.35799999999999998"/>
  </r>
  <r>
    <n v="110"/>
    <x v="0"/>
    <x v="9"/>
    <x v="13"/>
    <s v="Percent of potential GDP"/>
    <s v="Units"/>
    <x v="1"/>
    <n v="-3.3570000000000002"/>
  </r>
  <r>
    <n v="110"/>
    <x v="0"/>
    <x v="9"/>
    <x v="13"/>
    <s v="Percent of potential GDP"/>
    <s v="Units"/>
    <x v="2"/>
    <n v="-1.4359999999999999"/>
  </r>
  <r>
    <n v="110"/>
    <x v="0"/>
    <x v="9"/>
    <x v="13"/>
    <s v="Percent of potential GDP"/>
    <s v="Units"/>
    <x v="3"/>
    <n v="0.76300000000000001"/>
  </r>
  <r>
    <n v="110"/>
    <x v="0"/>
    <x v="9"/>
    <x v="13"/>
    <s v="Percent of potential GDP"/>
    <s v="Units"/>
    <x v="4"/>
    <n v="-3.5999999999999997E-2"/>
  </r>
  <r>
    <n v="110"/>
    <x v="0"/>
    <x v="9"/>
    <x v="13"/>
    <s v="Percent of potential GDP"/>
    <s v="Units"/>
    <x v="5"/>
    <n v="-0.57199999999999995"/>
  </r>
  <r>
    <n v="110"/>
    <x v="0"/>
    <x v="9"/>
    <x v="13"/>
    <s v="Percent of potential GDP"/>
    <s v="Units"/>
    <x v="6"/>
    <n v="-0.115"/>
  </r>
  <r>
    <n v="1"/>
    <x v="2"/>
    <x v="187"/>
    <x v="4"/>
    <s v="Percent change"/>
    <s v="Units"/>
    <x v="0"/>
    <n v="5.4939999999999998"/>
  </r>
  <r>
    <n v="1"/>
    <x v="2"/>
    <x v="187"/>
    <x v="4"/>
    <s v="Percent change"/>
    <s v="Units"/>
    <x v="1"/>
    <n v="11.223000000000001"/>
  </r>
  <r>
    <n v="1"/>
    <x v="2"/>
    <x v="187"/>
    <x v="4"/>
    <s v="Percent change"/>
    <s v="Units"/>
    <x v="2"/>
    <n v="0.93100000000000005"/>
  </r>
  <r>
    <n v="1"/>
    <x v="2"/>
    <x v="187"/>
    <x v="4"/>
    <s v="Percent change"/>
    <s v="Units"/>
    <x v="3"/>
    <n v="-25.942"/>
  </r>
  <r>
    <n v="1"/>
    <x v="2"/>
    <x v="187"/>
    <x v="4"/>
    <s v="Percent change"/>
    <s v="Units"/>
    <x v="4"/>
    <n v="-51.701000000000001"/>
  </r>
  <r>
    <n v="1"/>
    <x v="2"/>
    <x v="187"/>
    <x v="4"/>
    <s v="Percent change"/>
    <s v="Units"/>
    <x v="5"/>
    <n v="-0.58499999999999996"/>
  </r>
  <r>
    <n v="1"/>
    <x v="2"/>
    <x v="187"/>
    <x v="4"/>
    <s v="Percent change"/>
    <s v="Units"/>
    <x v="6"/>
    <n v="9.0180000000000007"/>
  </r>
  <r>
    <n v="400"/>
    <x v="11"/>
    <x v="187"/>
    <x v="4"/>
    <s v="Percent change"/>
    <s v="Units"/>
    <x v="0"/>
    <n v="5.4939999999999998"/>
  </r>
  <r>
    <n v="400"/>
    <x v="11"/>
    <x v="187"/>
    <x v="4"/>
    <s v="Percent change"/>
    <s v="Units"/>
    <x v="1"/>
    <n v="11.223000000000001"/>
  </r>
  <r>
    <n v="400"/>
    <x v="11"/>
    <x v="187"/>
    <x v="4"/>
    <s v="Percent change"/>
    <s v="Units"/>
    <x v="2"/>
    <n v="0.93100000000000005"/>
  </r>
  <r>
    <n v="400"/>
    <x v="11"/>
    <x v="187"/>
    <x v="4"/>
    <s v="Percent change"/>
    <s v="Units"/>
    <x v="3"/>
    <n v="-25.942"/>
  </r>
  <r>
    <n v="400"/>
    <x v="11"/>
    <x v="187"/>
    <x v="4"/>
    <s v="Percent change"/>
    <s v="Units"/>
    <x v="4"/>
    <n v="-51.701000000000001"/>
  </r>
  <r>
    <n v="400"/>
    <x v="11"/>
    <x v="187"/>
    <x v="4"/>
    <s v="Percent change"/>
    <s v="Units"/>
    <x v="5"/>
    <n v="-0.58499999999999996"/>
  </r>
  <r>
    <n v="400"/>
    <x v="11"/>
    <x v="187"/>
    <x v="4"/>
    <s v="Percent change"/>
    <s v="Units"/>
    <x v="6"/>
    <n v="9.0180000000000007"/>
  </r>
  <r>
    <n v="200"/>
    <x v="3"/>
    <x v="187"/>
    <x v="4"/>
    <s v="Percent change"/>
    <s v="Units"/>
    <x v="0"/>
    <n v="5.4939999999999998"/>
  </r>
  <r>
    <n v="200"/>
    <x v="3"/>
    <x v="187"/>
    <x v="4"/>
    <s v="Percent change"/>
    <s v="Units"/>
    <x v="1"/>
    <n v="11.223000000000001"/>
  </r>
  <r>
    <n v="200"/>
    <x v="3"/>
    <x v="187"/>
    <x v="4"/>
    <s v="Percent change"/>
    <s v="Units"/>
    <x v="2"/>
    <n v="0.93100000000000005"/>
  </r>
  <r>
    <n v="200"/>
    <x v="3"/>
    <x v="187"/>
    <x v="4"/>
    <s v="Percent change"/>
    <s v="Units"/>
    <x v="3"/>
    <n v="-25.942"/>
  </r>
  <r>
    <n v="200"/>
    <x v="3"/>
    <x v="187"/>
    <x v="4"/>
    <s v="Percent change"/>
    <s v="Units"/>
    <x v="4"/>
    <n v="-51.701000000000001"/>
  </r>
  <r>
    <n v="200"/>
    <x v="3"/>
    <x v="187"/>
    <x v="4"/>
    <s v="Percent change"/>
    <s v="Units"/>
    <x v="5"/>
    <n v="-0.58499999999999996"/>
  </r>
  <r>
    <n v="200"/>
    <x v="3"/>
    <x v="187"/>
    <x v="4"/>
    <s v="Percent change"/>
    <s v="Units"/>
    <x v="6"/>
    <n v="9.0180000000000007"/>
  </r>
  <r>
    <n v="110"/>
    <x v="0"/>
    <x v="13"/>
    <x v="9"/>
    <s v="Percent of GDP"/>
    <s v="Units"/>
    <x v="0"/>
    <n v="0.372"/>
  </r>
  <r>
    <n v="110"/>
    <x v="0"/>
    <x v="13"/>
    <x v="9"/>
    <s v="Percent of GDP"/>
    <s v="Units"/>
    <x v="1"/>
    <n v="-2.2330000000000001"/>
  </r>
  <r>
    <n v="110"/>
    <x v="0"/>
    <x v="13"/>
    <x v="9"/>
    <s v="Percent of GDP"/>
    <s v="Units"/>
    <x v="2"/>
    <n v="-0.02"/>
  </r>
  <r>
    <n v="110"/>
    <x v="0"/>
    <x v="13"/>
    <x v="9"/>
    <s v="Percent of GDP"/>
    <s v="Units"/>
    <x v="3"/>
    <n v="-1.6040000000000001"/>
  </r>
  <r>
    <n v="110"/>
    <x v="0"/>
    <x v="13"/>
    <x v="9"/>
    <s v="Percent of GDP"/>
    <s v="Units"/>
    <x v="4"/>
    <n v="-1.016"/>
  </r>
  <r>
    <n v="110"/>
    <x v="0"/>
    <x v="13"/>
    <x v="9"/>
    <s v="Percent of GDP"/>
    <s v="Units"/>
    <x v="5"/>
    <n v="-0.59699999999999998"/>
  </r>
  <r>
    <n v="110"/>
    <x v="0"/>
    <x v="13"/>
    <x v="9"/>
    <s v="Percent of GDP"/>
    <s v="Units"/>
    <x v="6"/>
    <n v="0.13"/>
  </r>
  <r>
    <n v="123"/>
    <x v="9"/>
    <x v="13"/>
    <x v="9"/>
    <s v="Percent of GDP"/>
    <s v="Units"/>
    <x v="0"/>
    <n v="0.372"/>
  </r>
  <r>
    <n v="123"/>
    <x v="9"/>
    <x v="13"/>
    <x v="9"/>
    <s v="Percent of GDP"/>
    <s v="Units"/>
    <x v="1"/>
    <n v="-2.2330000000000001"/>
  </r>
  <r>
    <n v="123"/>
    <x v="9"/>
    <x v="13"/>
    <x v="9"/>
    <s v="Percent of GDP"/>
    <s v="Units"/>
    <x v="2"/>
    <n v="-0.02"/>
  </r>
  <r>
    <n v="123"/>
    <x v="9"/>
    <x v="13"/>
    <x v="9"/>
    <s v="Percent of GDP"/>
    <s v="Units"/>
    <x v="3"/>
    <n v="-1.6040000000000001"/>
  </r>
  <r>
    <n v="123"/>
    <x v="9"/>
    <x v="13"/>
    <x v="9"/>
    <s v="Percent of GDP"/>
    <s v="Units"/>
    <x v="4"/>
    <n v="-1.016"/>
  </r>
  <r>
    <n v="123"/>
    <x v="9"/>
    <x v="13"/>
    <x v="9"/>
    <s v="Percent of GDP"/>
    <s v="Units"/>
    <x v="5"/>
    <n v="-0.59699999999999998"/>
  </r>
  <r>
    <n v="123"/>
    <x v="9"/>
    <x v="13"/>
    <x v="9"/>
    <s v="Percent of GDP"/>
    <s v="Units"/>
    <x v="6"/>
    <n v="0.13"/>
  </r>
  <r>
    <n v="903"/>
    <x v="8"/>
    <x v="135"/>
    <x v="4"/>
    <s v="Percent change"/>
    <s v="Units"/>
    <x v="0"/>
    <n v="8.8770000000000007"/>
  </r>
  <r>
    <n v="903"/>
    <x v="8"/>
    <x v="135"/>
    <x v="4"/>
    <s v="Percent change"/>
    <s v="Units"/>
    <x v="1"/>
    <n v="-10.932"/>
  </r>
  <r>
    <n v="903"/>
    <x v="8"/>
    <x v="135"/>
    <x v="4"/>
    <s v="Percent change"/>
    <s v="Units"/>
    <x v="2"/>
    <n v="14.278"/>
  </r>
  <r>
    <n v="903"/>
    <x v="8"/>
    <x v="135"/>
    <x v="4"/>
    <s v="Percent change"/>
    <s v="Units"/>
    <x v="3"/>
    <n v="11.41"/>
  </r>
  <r>
    <n v="903"/>
    <x v="8"/>
    <x v="135"/>
    <x v="4"/>
    <s v="Percent change"/>
    <s v="Units"/>
    <x v="4"/>
    <n v="-0.13200000000000001"/>
  </r>
  <r>
    <n v="903"/>
    <x v="8"/>
    <x v="135"/>
    <x v="4"/>
    <s v="Percent change"/>
    <s v="Units"/>
    <x v="5"/>
    <n v="-0.60799999999999998"/>
  </r>
  <r>
    <n v="903"/>
    <x v="8"/>
    <x v="135"/>
    <x v="4"/>
    <s v="Percent change"/>
    <s v="Units"/>
    <x v="6"/>
    <n v="3.4159999999999999"/>
  </r>
  <r>
    <n v="200"/>
    <x v="3"/>
    <x v="135"/>
    <x v="4"/>
    <s v="Percent change"/>
    <s v="Units"/>
    <x v="0"/>
    <n v="8.8770000000000007"/>
  </r>
  <r>
    <n v="200"/>
    <x v="3"/>
    <x v="135"/>
    <x v="4"/>
    <s v="Percent change"/>
    <s v="Units"/>
    <x v="1"/>
    <n v="-10.932"/>
  </r>
  <r>
    <n v="200"/>
    <x v="3"/>
    <x v="135"/>
    <x v="4"/>
    <s v="Percent change"/>
    <s v="Units"/>
    <x v="2"/>
    <n v="14.278"/>
  </r>
  <r>
    <n v="200"/>
    <x v="3"/>
    <x v="135"/>
    <x v="4"/>
    <s v="Percent change"/>
    <s v="Units"/>
    <x v="3"/>
    <n v="11.41"/>
  </r>
  <r>
    <n v="200"/>
    <x v="3"/>
    <x v="135"/>
    <x v="4"/>
    <s v="Percent change"/>
    <s v="Units"/>
    <x v="4"/>
    <n v="-0.13200000000000001"/>
  </r>
  <r>
    <n v="200"/>
    <x v="3"/>
    <x v="135"/>
    <x v="4"/>
    <s v="Percent change"/>
    <s v="Units"/>
    <x v="5"/>
    <n v="-0.60799999999999998"/>
  </r>
  <r>
    <n v="200"/>
    <x v="3"/>
    <x v="135"/>
    <x v="4"/>
    <s v="Percent change"/>
    <s v="Units"/>
    <x v="6"/>
    <n v="3.4159999999999999"/>
  </r>
  <r>
    <n v="1"/>
    <x v="2"/>
    <x v="135"/>
    <x v="4"/>
    <s v="Percent change"/>
    <s v="Units"/>
    <x v="0"/>
    <n v="8.8770000000000007"/>
  </r>
  <r>
    <n v="1"/>
    <x v="2"/>
    <x v="135"/>
    <x v="4"/>
    <s v="Percent change"/>
    <s v="Units"/>
    <x v="1"/>
    <n v="-10.932"/>
  </r>
  <r>
    <n v="1"/>
    <x v="2"/>
    <x v="135"/>
    <x v="4"/>
    <s v="Percent change"/>
    <s v="Units"/>
    <x v="2"/>
    <n v="14.278"/>
  </r>
  <r>
    <n v="1"/>
    <x v="2"/>
    <x v="135"/>
    <x v="4"/>
    <s v="Percent change"/>
    <s v="Units"/>
    <x v="3"/>
    <n v="11.41"/>
  </r>
  <r>
    <n v="1"/>
    <x v="2"/>
    <x v="135"/>
    <x v="4"/>
    <s v="Percent change"/>
    <s v="Units"/>
    <x v="4"/>
    <n v="-0.13200000000000001"/>
  </r>
  <r>
    <n v="1"/>
    <x v="2"/>
    <x v="135"/>
    <x v="4"/>
    <s v="Percent change"/>
    <s v="Units"/>
    <x v="5"/>
    <n v="-0.60799999999999998"/>
  </r>
  <r>
    <n v="1"/>
    <x v="2"/>
    <x v="135"/>
    <x v="4"/>
    <s v="Percent change"/>
    <s v="Units"/>
    <x v="6"/>
    <n v="3.4159999999999999"/>
  </r>
  <r>
    <n v="110"/>
    <x v="0"/>
    <x v="76"/>
    <x v="12"/>
    <s v="Percent of potential GDP"/>
    <s v="Units"/>
    <x v="0"/>
    <n v="1.9279999999999999"/>
  </r>
  <r>
    <n v="110"/>
    <x v="0"/>
    <x v="76"/>
    <x v="12"/>
    <s v="Percent of potential GDP"/>
    <s v="Units"/>
    <x v="1"/>
    <n v="1.077"/>
  </r>
  <r>
    <n v="110"/>
    <x v="0"/>
    <x v="76"/>
    <x v="12"/>
    <s v="Percent of potential GDP"/>
    <s v="Units"/>
    <x v="2"/>
    <n v="0.43"/>
  </r>
  <r>
    <n v="110"/>
    <x v="0"/>
    <x v="76"/>
    <x v="12"/>
    <s v="Percent of potential GDP"/>
    <s v="Units"/>
    <x v="3"/>
    <n v="-0.36199999999999999"/>
  </r>
  <r>
    <n v="110"/>
    <x v="0"/>
    <x v="76"/>
    <x v="12"/>
    <s v="Percent of potential GDP"/>
    <s v="Units"/>
    <x v="4"/>
    <n v="0.21199999999999999"/>
  </r>
  <r>
    <n v="110"/>
    <x v="0"/>
    <x v="76"/>
    <x v="12"/>
    <s v="Percent of potential GDP"/>
    <s v="Units"/>
    <x v="5"/>
    <n v="-0.65700000000000003"/>
  </r>
  <r>
    <n v="110"/>
    <x v="0"/>
    <x v="76"/>
    <x v="12"/>
    <s v="Percent of potential GDP"/>
    <s v="Units"/>
    <x v="6"/>
    <n v="-1.0900000000000001"/>
  </r>
  <r>
    <n v="163"/>
    <x v="5"/>
    <x v="76"/>
    <x v="12"/>
    <s v="Percent of potential GDP"/>
    <s v="Units"/>
    <x v="0"/>
    <n v="1.9279999999999999"/>
  </r>
  <r>
    <n v="163"/>
    <x v="5"/>
    <x v="76"/>
    <x v="12"/>
    <s v="Percent of potential GDP"/>
    <s v="Units"/>
    <x v="1"/>
    <n v="1.077"/>
  </r>
  <r>
    <n v="163"/>
    <x v="5"/>
    <x v="76"/>
    <x v="12"/>
    <s v="Percent of potential GDP"/>
    <s v="Units"/>
    <x v="2"/>
    <n v="0.43"/>
  </r>
  <r>
    <n v="163"/>
    <x v="5"/>
    <x v="76"/>
    <x v="12"/>
    <s v="Percent of potential GDP"/>
    <s v="Units"/>
    <x v="3"/>
    <n v="-0.36199999999999999"/>
  </r>
  <r>
    <n v="163"/>
    <x v="5"/>
    <x v="76"/>
    <x v="12"/>
    <s v="Percent of potential GDP"/>
    <s v="Units"/>
    <x v="4"/>
    <n v="0.21199999999999999"/>
  </r>
  <r>
    <n v="163"/>
    <x v="5"/>
    <x v="76"/>
    <x v="12"/>
    <s v="Percent of potential GDP"/>
    <s v="Units"/>
    <x v="5"/>
    <n v="-0.65700000000000003"/>
  </r>
  <r>
    <n v="163"/>
    <x v="5"/>
    <x v="76"/>
    <x v="12"/>
    <s v="Percent of potential GDP"/>
    <s v="Units"/>
    <x v="6"/>
    <n v="-1.0900000000000001"/>
  </r>
  <r>
    <n v="998"/>
    <x v="6"/>
    <x v="22"/>
    <x v="9"/>
    <s v="Percent of GDP"/>
    <s v="Units"/>
    <x v="0"/>
    <n v="0.53800000000000003"/>
  </r>
  <r>
    <n v="998"/>
    <x v="6"/>
    <x v="22"/>
    <x v="9"/>
    <s v="Percent of GDP"/>
    <s v="Units"/>
    <x v="1"/>
    <n v="-2.8039999999999998"/>
  </r>
  <r>
    <n v="998"/>
    <x v="6"/>
    <x v="22"/>
    <x v="9"/>
    <s v="Percent of GDP"/>
    <s v="Units"/>
    <x v="2"/>
    <n v="1.4999999999999999E-2"/>
  </r>
  <r>
    <n v="998"/>
    <x v="6"/>
    <x v="22"/>
    <x v="9"/>
    <s v="Percent of GDP"/>
    <s v="Units"/>
    <x v="3"/>
    <n v="1.2589999999999999"/>
  </r>
  <r>
    <n v="998"/>
    <x v="6"/>
    <x v="22"/>
    <x v="9"/>
    <s v="Percent of GDP"/>
    <s v="Units"/>
    <x v="4"/>
    <n v="-7.3999999999999996E-2"/>
  </r>
  <r>
    <n v="998"/>
    <x v="6"/>
    <x v="22"/>
    <x v="9"/>
    <s v="Percent of GDP"/>
    <s v="Units"/>
    <x v="5"/>
    <n v="-0.66100000000000003"/>
  </r>
  <r>
    <n v="998"/>
    <x v="6"/>
    <x v="22"/>
    <x v="9"/>
    <s v="Percent of GDP"/>
    <s v="Units"/>
    <x v="6"/>
    <n v="-0.16800000000000001"/>
  </r>
  <r>
    <n v="123"/>
    <x v="9"/>
    <x v="22"/>
    <x v="9"/>
    <s v="Percent of GDP"/>
    <s v="Units"/>
    <x v="0"/>
    <n v="0.53800000000000003"/>
  </r>
  <r>
    <n v="123"/>
    <x v="9"/>
    <x v="22"/>
    <x v="9"/>
    <s v="Percent of GDP"/>
    <s v="Units"/>
    <x v="1"/>
    <n v="-2.8039999999999998"/>
  </r>
  <r>
    <n v="123"/>
    <x v="9"/>
    <x v="22"/>
    <x v="9"/>
    <s v="Percent of GDP"/>
    <s v="Units"/>
    <x v="2"/>
    <n v="1.4999999999999999E-2"/>
  </r>
  <r>
    <n v="123"/>
    <x v="9"/>
    <x v="22"/>
    <x v="9"/>
    <s v="Percent of GDP"/>
    <s v="Units"/>
    <x v="3"/>
    <n v="1.2589999999999999"/>
  </r>
  <r>
    <n v="123"/>
    <x v="9"/>
    <x v="22"/>
    <x v="9"/>
    <s v="Percent of GDP"/>
    <s v="Units"/>
    <x v="4"/>
    <n v="-7.3999999999999996E-2"/>
  </r>
  <r>
    <n v="123"/>
    <x v="9"/>
    <x v="22"/>
    <x v="9"/>
    <s v="Percent of GDP"/>
    <s v="Units"/>
    <x v="5"/>
    <n v="-0.66100000000000003"/>
  </r>
  <r>
    <n v="123"/>
    <x v="9"/>
    <x v="22"/>
    <x v="9"/>
    <s v="Percent of GDP"/>
    <s v="Units"/>
    <x v="6"/>
    <n v="-0.16800000000000001"/>
  </r>
  <r>
    <n v="110"/>
    <x v="0"/>
    <x v="22"/>
    <x v="9"/>
    <s v="Percent of GDP"/>
    <s v="Units"/>
    <x v="0"/>
    <n v="0.53800000000000003"/>
  </r>
  <r>
    <n v="110"/>
    <x v="0"/>
    <x v="22"/>
    <x v="9"/>
    <s v="Percent of GDP"/>
    <s v="Units"/>
    <x v="1"/>
    <n v="-2.8039999999999998"/>
  </r>
  <r>
    <n v="110"/>
    <x v="0"/>
    <x v="22"/>
    <x v="9"/>
    <s v="Percent of GDP"/>
    <s v="Units"/>
    <x v="2"/>
    <n v="1.4999999999999999E-2"/>
  </r>
  <r>
    <n v="110"/>
    <x v="0"/>
    <x v="22"/>
    <x v="9"/>
    <s v="Percent of GDP"/>
    <s v="Units"/>
    <x v="3"/>
    <n v="1.2589999999999999"/>
  </r>
  <r>
    <n v="110"/>
    <x v="0"/>
    <x v="22"/>
    <x v="9"/>
    <s v="Percent of GDP"/>
    <s v="Units"/>
    <x v="4"/>
    <n v="-7.3999999999999996E-2"/>
  </r>
  <r>
    <n v="110"/>
    <x v="0"/>
    <x v="22"/>
    <x v="9"/>
    <s v="Percent of GDP"/>
    <s v="Units"/>
    <x v="5"/>
    <n v="-0.66100000000000003"/>
  </r>
  <r>
    <n v="110"/>
    <x v="0"/>
    <x v="22"/>
    <x v="9"/>
    <s v="Percent of GDP"/>
    <s v="Units"/>
    <x v="6"/>
    <n v="-0.16800000000000001"/>
  </r>
  <r>
    <n v="119"/>
    <x v="1"/>
    <x v="5"/>
    <x v="6"/>
    <s v="Percent change"/>
    <s v="Units"/>
    <x v="0"/>
    <n v="2.718"/>
  </r>
  <r>
    <n v="119"/>
    <x v="1"/>
    <x v="5"/>
    <x v="6"/>
    <s v="Percent change"/>
    <s v="Units"/>
    <x v="1"/>
    <n v="-16.003"/>
  </r>
  <r>
    <n v="119"/>
    <x v="1"/>
    <x v="5"/>
    <x v="6"/>
    <s v="Percent change"/>
    <s v="Units"/>
    <x v="2"/>
    <n v="6.1420000000000003"/>
  </r>
  <r>
    <n v="119"/>
    <x v="1"/>
    <x v="5"/>
    <x v="6"/>
    <s v="Percent change"/>
    <s v="Units"/>
    <x v="3"/>
    <n v="14.608000000000001"/>
  </r>
  <r>
    <n v="119"/>
    <x v="1"/>
    <x v="5"/>
    <x v="6"/>
    <s v="Percent change"/>
    <s v="Units"/>
    <x v="4"/>
    <n v="-1.635"/>
  </r>
  <r>
    <n v="119"/>
    <x v="1"/>
    <x v="5"/>
    <x v="6"/>
    <s v="Percent change"/>
    <s v="Units"/>
    <x v="5"/>
    <n v="-0.74"/>
  </r>
  <r>
    <n v="119"/>
    <x v="1"/>
    <x v="5"/>
    <x v="6"/>
    <s v="Percent change"/>
    <s v="Units"/>
    <x v="6"/>
    <n v="-0.17499999999999999"/>
  </r>
  <r>
    <n v="1"/>
    <x v="2"/>
    <x v="5"/>
    <x v="6"/>
    <s v="Percent change"/>
    <s v="Units"/>
    <x v="0"/>
    <n v="2.718"/>
  </r>
  <r>
    <n v="1"/>
    <x v="2"/>
    <x v="5"/>
    <x v="6"/>
    <s v="Percent change"/>
    <s v="Units"/>
    <x v="1"/>
    <n v="-16.003"/>
  </r>
  <r>
    <n v="1"/>
    <x v="2"/>
    <x v="5"/>
    <x v="6"/>
    <s v="Percent change"/>
    <s v="Units"/>
    <x v="2"/>
    <n v="6.1420000000000003"/>
  </r>
  <r>
    <n v="1"/>
    <x v="2"/>
    <x v="5"/>
    <x v="6"/>
    <s v="Percent change"/>
    <s v="Units"/>
    <x v="3"/>
    <n v="14.608000000000001"/>
  </r>
  <r>
    <n v="1"/>
    <x v="2"/>
    <x v="5"/>
    <x v="6"/>
    <s v="Percent change"/>
    <s v="Units"/>
    <x v="4"/>
    <n v="-1.635"/>
  </r>
  <r>
    <n v="1"/>
    <x v="2"/>
    <x v="5"/>
    <x v="6"/>
    <s v="Percent change"/>
    <s v="Units"/>
    <x v="5"/>
    <n v="-0.74"/>
  </r>
  <r>
    <n v="1"/>
    <x v="2"/>
    <x v="5"/>
    <x v="6"/>
    <s v="Percent change"/>
    <s v="Units"/>
    <x v="6"/>
    <n v="-0.17499999999999999"/>
  </r>
  <r>
    <n v="110"/>
    <x v="0"/>
    <x v="5"/>
    <x v="6"/>
    <s v="Percent change"/>
    <s v="Units"/>
    <x v="0"/>
    <n v="2.718"/>
  </r>
  <r>
    <n v="110"/>
    <x v="0"/>
    <x v="5"/>
    <x v="6"/>
    <s v="Percent change"/>
    <s v="Units"/>
    <x v="1"/>
    <n v="-16.003"/>
  </r>
  <r>
    <n v="110"/>
    <x v="0"/>
    <x v="5"/>
    <x v="6"/>
    <s v="Percent change"/>
    <s v="Units"/>
    <x v="2"/>
    <n v="6.1420000000000003"/>
  </r>
  <r>
    <n v="110"/>
    <x v="0"/>
    <x v="5"/>
    <x v="6"/>
    <s v="Percent change"/>
    <s v="Units"/>
    <x v="3"/>
    <n v="14.608000000000001"/>
  </r>
  <r>
    <n v="110"/>
    <x v="0"/>
    <x v="5"/>
    <x v="6"/>
    <s v="Percent change"/>
    <s v="Units"/>
    <x v="4"/>
    <n v="-1.635"/>
  </r>
  <r>
    <n v="110"/>
    <x v="0"/>
    <x v="5"/>
    <x v="6"/>
    <s v="Percent change"/>
    <s v="Units"/>
    <x v="5"/>
    <n v="-0.74"/>
  </r>
  <r>
    <n v="110"/>
    <x v="0"/>
    <x v="5"/>
    <x v="6"/>
    <s v="Percent change"/>
    <s v="Units"/>
    <x v="6"/>
    <n v="-0.17499999999999999"/>
  </r>
  <r>
    <n v="119"/>
    <x v="1"/>
    <x v="9"/>
    <x v="12"/>
    <s v="Percent of potential GDP"/>
    <s v="Units"/>
    <x v="0"/>
    <n v="-0.22700000000000001"/>
  </r>
  <r>
    <n v="119"/>
    <x v="1"/>
    <x v="9"/>
    <x v="12"/>
    <s v="Percent of potential GDP"/>
    <s v="Units"/>
    <x v="1"/>
    <n v="-8.2260000000000009"/>
  </r>
  <r>
    <n v="119"/>
    <x v="1"/>
    <x v="9"/>
    <x v="12"/>
    <s v="Percent of potential GDP"/>
    <s v="Units"/>
    <x v="2"/>
    <n v="-1.8759999999999999"/>
  </r>
  <r>
    <n v="119"/>
    <x v="1"/>
    <x v="9"/>
    <x v="12"/>
    <s v="Percent of potential GDP"/>
    <s v="Units"/>
    <x v="3"/>
    <n v="-0.41"/>
  </r>
  <r>
    <n v="119"/>
    <x v="1"/>
    <x v="9"/>
    <x v="12"/>
    <s v="Percent of potential GDP"/>
    <s v="Units"/>
    <x v="4"/>
    <n v="-0.65"/>
  </r>
  <r>
    <n v="119"/>
    <x v="1"/>
    <x v="9"/>
    <x v="12"/>
    <s v="Percent of potential GDP"/>
    <s v="Units"/>
    <x v="5"/>
    <n v="-0.80300000000000005"/>
  </r>
  <r>
    <n v="119"/>
    <x v="1"/>
    <x v="9"/>
    <x v="12"/>
    <s v="Percent of potential GDP"/>
    <s v="Units"/>
    <x v="6"/>
    <n v="-0.80900000000000005"/>
  </r>
  <r>
    <n v="110"/>
    <x v="0"/>
    <x v="9"/>
    <x v="12"/>
    <s v="Percent of potential GDP"/>
    <s v="Units"/>
    <x v="0"/>
    <n v="-0.22700000000000001"/>
  </r>
  <r>
    <n v="110"/>
    <x v="0"/>
    <x v="9"/>
    <x v="12"/>
    <s v="Percent of potential GDP"/>
    <s v="Units"/>
    <x v="1"/>
    <n v="-8.2260000000000009"/>
  </r>
  <r>
    <n v="110"/>
    <x v="0"/>
    <x v="9"/>
    <x v="12"/>
    <s v="Percent of potential GDP"/>
    <s v="Units"/>
    <x v="2"/>
    <n v="-1.8759999999999999"/>
  </r>
  <r>
    <n v="110"/>
    <x v="0"/>
    <x v="9"/>
    <x v="12"/>
    <s v="Percent of potential GDP"/>
    <s v="Units"/>
    <x v="3"/>
    <n v="-0.41"/>
  </r>
  <r>
    <n v="110"/>
    <x v="0"/>
    <x v="9"/>
    <x v="12"/>
    <s v="Percent of potential GDP"/>
    <s v="Units"/>
    <x v="4"/>
    <n v="-0.65"/>
  </r>
  <r>
    <n v="110"/>
    <x v="0"/>
    <x v="9"/>
    <x v="12"/>
    <s v="Percent of potential GDP"/>
    <s v="Units"/>
    <x v="5"/>
    <n v="-0.80300000000000005"/>
  </r>
  <r>
    <n v="110"/>
    <x v="0"/>
    <x v="9"/>
    <x v="12"/>
    <s v="Percent of potential GDP"/>
    <s v="Units"/>
    <x v="6"/>
    <n v="-0.80900000000000005"/>
  </r>
  <r>
    <n v="505"/>
    <x v="4"/>
    <x v="92"/>
    <x v="9"/>
    <s v="Percent of GDP"/>
    <s v="Units"/>
    <x v="0"/>
    <n v="-1.8109999999999999"/>
  </r>
  <r>
    <n v="505"/>
    <x v="4"/>
    <x v="92"/>
    <x v="9"/>
    <s v="Percent of GDP"/>
    <s v="Units"/>
    <x v="1"/>
    <n v="2.5499999999999998"/>
  </r>
  <r>
    <n v="505"/>
    <x v="4"/>
    <x v="92"/>
    <x v="9"/>
    <s v="Percent of GDP"/>
    <s v="Units"/>
    <x v="2"/>
    <n v="0.182"/>
  </r>
  <r>
    <n v="505"/>
    <x v="4"/>
    <x v="92"/>
    <x v="9"/>
    <s v="Percent of GDP"/>
    <s v="Units"/>
    <x v="3"/>
    <n v="0.66700000000000004"/>
  </r>
  <r>
    <n v="505"/>
    <x v="4"/>
    <x v="92"/>
    <x v="9"/>
    <s v="Percent of GDP"/>
    <s v="Units"/>
    <x v="5"/>
    <n v="-0.82"/>
  </r>
  <r>
    <n v="505"/>
    <x v="4"/>
    <x v="92"/>
    <x v="9"/>
    <s v="Percent of GDP"/>
    <s v="Units"/>
    <x v="6"/>
    <n v="-1.2410000000000001"/>
  </r>
  <r>
    <n v="200"/>
    <x v="3"/>
    <x v="92"/>
    <x v="9"/>
    <s v="Percent of GDP"/>
    <s v="Units"/>
    <x v="0"/>
    <n v="-1.8109999999999999"/>
  </r>
  <r>
    <n v="200"/>
    <x v="3"/>
    <x v="92"/>
    <x v="9"/>
    <s v="Percent of GDP"/>
    <s v="Units"/>
    <x v="1"/>
    <n v="2.5499999999999998"/>
  </r>
  <r>
    <n v="200"/>
    <x v="3"/>
    <x v="92"/>
    <x v="9"/>
    <s v="Percent of GDP"/>
    <s v="Units"/>
    <x v="2"/>
    <n v="0.182"/>
  </r>
  <r>
    <n v="200"/>
    <x v="3"/>
    <x v="92"/>
    <x v="9"/>
    <s v="Percent of GDP"/>
    <s v="Units"/>
    <x v="3"/>
    <n v="0.66700000000000004"/>
  </r>
  <r>
    <n v="200"/>
    <x v="3"/>
    <x v="92"/>
    <x v="9"/>
    <s v="Percent of GDP"/>
    <s v="Units"/>
    <x v="5"/>
    <n v="-0.82"/>
  </r>
  <r>
    <n v="200"/>
    <x v="3"/>
    <x v="92"/>
    <x v="9"/>
    <s v="Percent of GDP"/>
    <s v="Units"/>
    <x v="6"/>
    <n v="-1.2410000000000001"/>
  </r>
  <r>
    <n v="205"/>
    <x v="7"/>
    <x v="177"/>
    <x v="9"/>
    <s v="Percent of GDP"/>
    <s v="Units"/>
    <x v="0"/>
    <n v="-2.895"/>
  </r>
  <r>
    <n v="205"/>
    <x v="7"/>
    <x v="177"/>
    <x v="9"/>
    <s v="Percent of GDP"/>
    <s v="Units"/>
    <x v="1"/>
    <n v="-8.5649999999999995"/>
  </r>
  <r>
    <n v="205"/>
    <x v="7"/>
    <x v="177"/>
    <x v="9"/>
    <s v="Percent of GDP"/>
    <s v="Units"/>
    <x v="2"/>
    <n v="-3.2959999999999998"/>
  </r>
  <r>
    <n v="205"/>
    <x v="7"/>
    <x v="177"/>
    <x v="9"/>
    <s v="Percent of GDP"/>
    <s v="Units"/>
    <x v="3"/>
    <n v="-0.48199999999999998"/>
  </r>
  <r>
    <n v="205"/>
    <x v="7"/>
    <x v="177"/>
    <x v="9"/>
    <s v="Percent of GDP"/>
    <s v="Units"/>
    <x v="4"/>
    <n v="-0.93400000000000005"/>
  </r>
  <r>
    <n v="205"/>
    <x v="7"/>
    <x v="177"/>
    <x v="9"/>
    <s v="Percent of GDP"/>
    <s v="Units"/>
    <x v="5"/>
    <n v="-0.83099999999999996"/>
  </r>
  <r>
    <n v="205"/>
    <x v="7"/>
    <x v="177"/>
    <x v="9"/>
    <s v="Percent of GDP"/>
    <s v="Units"/>
    <x v="6"/>
    <n v="-1.123"/>
  </r>
  <r>
    <n v="200"/>
    <x v="3"/>
    <x v="177"/>
    <x v="9"/>
    <s v="Percent of GDP"/>
    <s v="Units"/>
    <x v="0"/>
    <n v="-2.895"/>
  </r>
  <r>
    <n v="200"/>
    <x v="3"/>
    <x v="177"/>
    <x v="9"/>
    <s v="Percent of GDP"/>
    <s v="Units"/>
    <x v="1"/>
    <n v="-8.5649999999999995"/>
  </r>
  <r>
    <n v="200"/>
    <x v="3"/>
    <x v="177"/>
    <x v="9"/>
    <s v="Percent of GDP"/>
    <s v="Units"/>
    <x v="2"/>
    <n v="-3.2959999999999998"/>
  </r>
  <r>
    <n v="200"/>
    <x v="3"/>
    <x v="177"/>
    <x v="9"/>
    <s v="Percent of GDP"/>
    <s v="Units"/>
    <x v="3"/>
    <n v="-0.48199999999999998"/>
  </r>
  <r>
    <n v="200"/>
    <x v="3"/>
    <x v="177"/>
    <x v="9"/>
    <s v="Percent of GDP"/>
    <s v="Units"/>
    <x v="4"/>
    <n v="-0.93400000000000005"/>
  </r>
  <r>
    <n v="200"/>
    <x v="3"/>
    <x v="177"/>
    <x v="9"/>
    <s v="Percent of GDP"/>
    <s v="Units"/>
    <x v="5"/>
    <n v="-0.83099999999999996"/>
  </r>
  <r>
    <n v="200"/>
    <x v="3"/>
    <x v="177"/>
    <x v="9"/>
    <s v="Percent of GDP"/>
    <s v="Units"/>
    <x v="6"/>
    <n v="-1.123"/>
  </r>
  <r>
    <n v="110"/>
    <x v="0"/>
    <x v="6"/>
    <x v="13"/>
    <s v="Percent of potential GDP"/>
    <s v="Units"/>
    <x v="0"/>
    <n v="0"/>
  </r>
  <r>
    <n v="110"/>
    <x v="0"/>
    <x v="6"/>
    <x v="13"/>
    <s v="Percent of potential GDP"/>
    <s v="Units"/>
    <x v="1"/>
    <n v="-4.4989999999999997"/>
  </r>
  <r>
    <n v="110"/>
    <x v="0"/>
    <x v="6"/>
    <x v="13"/>
    <s v="Percent of potential GDP"/>
    <s v="Units"/>
    <x v="2"/>
    <n v="-2.0739999999999998"/>
  </r>
  <r>
    <n v="110"/>
    <x v="0"/>
    <x v="6"/>
    <x v="13"/>
    <s v="Percent of potential GDP"/>
    <s v="Units"/>
    <x v="3"/>
    <n v="-0.89200000000000002"/>
  </r>
  <r>
    <n v="110"/>
    <x v="0"/>
    <x v="6"/>
    <x v="13"/>
    <s v="Percent of potential GDP"/>
    <s v="Units"/>
    <x v="4"/>
    <n v="-0.91200000000000003"/>
  </r>
  <r>
    <n v="110"/>
    <x v="0"/>
    <x v="6"/>
    <x v="13"/>
    <s v="Percent of potential GDP"/>
    <s v="Units"/>
    <x v="5"/>
    <n v="-0.83899999999999997"/>
  </r>
  <r>
    <n v="110"/>
    <x v="0"/>
    <x v="6"/>
    <x v="13"/>
    <s v="Percent of potential GDP"/>
    <s v="Units"/>
    <x v="6"/>
    <n v="-0.74399999999999999"/>
  </r>
  <r>
    <n v="119"/>
    <x v="1"/>
    <x v="6"/>
    <x v="13"/>
    <s v="Percent of potential GDP"/>
    <s v="Units"/>
    <x v="0"/>
    <n v="0"/>
  </r>
  <r>
    <n v="119"/>
    <x v="1"/>
    <x v="6"/>
    <x v="13"/>
    <s v="Percent of potential GDP"/>
    <s v="Units"/>
    <x v="1"/>
    <n v="-4.4989999999999997"/>
  </r>
  <r>
    <n v="119"/>
    <x v="1"/>
    <x v="6"/>
    <x v="13"/>
    <s v="Percent of potential GDP"/>
    <s v="Units"/>
    <x v="2"/>
    <n v="-2.0739999999999998"/>
  </r>
  <r>
    <n v="119"/>
    <x v="1"/>
    <x v="6"/>
    <x v="13"/>
    <s v="Percent of potential GDP"/>
    <s v="Units"/>
    <x v="3"/>
    <n v="-0.89200000000000002"/>
  </r>
  <r>
    <n v="119"/>
    <x v="1"/>
    <x v="6"/>
    <x v="13"/>
    <s v="Percent of potential GDP"/>
    <s v="Units"/>
    <x v="4"/>
    <n v="-0.91200000000000003"/>
  </r>
  <r>
    <n v="119"/>
    <x v="1"/>
    <x v="6"/>
    <x v="13"/>
    <s v="Percent of potential GDP"/>
    <s v="Units"/>
    <x v="5"/>
    <n v="-0.83899999999999997"/>
  </r>
  <r>
    <n v="119"/>
    <x v="1"/>
    <x v="6"/>
    <x v="13"/>
    <s v="Percent of potential GDP"/>
    <s v="Units"/>
    <x v="6"/>
    <n v="-0.74399999999999999"/>
  </r>
  <r>
    <n v="163"/>
    <x v="5"/>
    <x v="6"/>
    <x v="13"/>
    <s v="Percent of potential GDP"/>
    <s v="Units"/>
    <x v="0"/>
    <n v="0"/>
  </r>
  <r>
    <n v="163"/>
    <x v="5"/>
    <x v="6"/>
    <x v="13"/>
    <s v="Percent of potential GDP"/>
    <s v="Units"/>
    <x v="1"/>
    <n v="-4.4989999999999997"/>
  </r>
  <r>
    <n v="163"/>
    <x v="5"/>
    <x v="6"/>
    <x v="13"/>
    <s v="Percent of potential GDP"/>
    <s v="Units"/>
    <x v="2"/>
    <n v="-2.0739999999999998"/>
  </r>
  <r>
    <n v="163"/>
    <x v="5"/>
    <x v="6"/>
    <x v="13"/>
    <s v="Percent of potential GDP"/>
    <s v="Units"/>
    <x v="3"/>
    <n v="-0.89200000000000002"/>
  </r>
  <r>
    <n v="163"/>
    <x v="5"/>
    <x v="6"/>
    <x v="13"/>
    <s v="Percent of potential GDP"/>
    <s v="Units"/>
    <x v="4"/>
    <n v="-0.91200000000000003"/>
  </r>
  <r>
    <n v="163"/>
    <x v="5"/>
    <x v="6"/>
    <x v="13"/>
    <s v="Percent of potential GDP"/>
    <s v="Units"/>
    <x v="5"/>
    <n v="-0.83899999999999997"/>
  </r>
  <r>
    <n v="163"/>
    <x v="5"/>
    <x v="6"/>
    <x v="13"/>
    <s v="Percent of potential GDP"/>
    <s v="Units"/>
    <x v="6"/>
    <n v="-0.74399999999999999"/>
  </r>
  <r>
    <n v="603"/>
    <x v="12"/>
    <x v="161"/>
    <x v="9"/>
    <s v="Percent of GDP"/>
    <s v="Units"/>
    <x v="0"/>
    <n v="-6.6870000000000003"/>
  </r>
  <r>
    <n v="603"/>
    <x v="12"/>
    <x v="161"/>
    <x v="9"/>
    <s v="Percent of GDP"/>
    <s v="Units"/>
    <x v="1"/>
    <n v="-4.5140000000000002"/>
  </r>
  <r>
    <n v="603"/>
    <x v="12"/>
    <x v="161"/>
    <x v="9"/>
    <s v="Percent of GDP"/>
    <s v="Units"/>
    <x v="2"/>
    <n v="-4.4870000000000001"/>
  </r>
  <r>
    <n v="603"/>
    <x v="12"/>
    <x v="161"/>
    <x v="9"/>
    <s v="Percent of GDP"/>
    <s v="Units"/>
    <x v="3"/>
    <n v="-3.77"/>
  </r>
  <r>
    <n v="603"/>
    <x v="12"/>
    <x v="161"/>
    <x v="9"/>
    <s v="Percent of GDP"/>
    <s v="Units"/>
    <x v="4"/>
    <n v="-1.137"/>
  </r>
  <r>
    <n v="603"/>
    <x v="12"/>
    <x v="161"/>
    <x v="9"/>
    <s v="Percent of GDP"/>
    <s v="Units"/>
    <x v="5"/>
    <n v="-0.86599999999999999"/>
  </r>
  <r>
    <n v="603"/>
    <x v="12"/>
    <x v="161"/>
    <x v="9"/>
    <s v="Percent of GDP"/>
    <s v="Units"/>
    <x v="6"/>
    <n v="-2.7490000000000001"/>
  </r>
  <r>
    <n v="200"/>
    <x v="3"/>
    <x v="161"/>
    <x v="9"/>
    <s v="Percent of GDP"/>
    <s v="Units"/>
    <x v="0"/>
    <n v="-6.6870000000000003"/>
  </r>
  <r>
    <n v="200"/>
    <x v="3"/>
    <x v="161"/>
    <x v="9"/>
    <s v="Percent of GDP"/>
    <s v="Units"/>
    <x v="1"/>
    <n v="-4.5140000000000002"/>
  </r>
  <r>
    <n v="200"/>
    <x v="3"/>
    <x v="161"/>
    <x v="9"/>
    <s v="Percent of GDP"/>
    <s v="Units"/>
    <x v="2"/>
    <n v="-4.4870000000000001"/>
  </r>
  <r>
    <n v="200"/>
    <x v="3"/>
    <x v="161"/>
    <x v="9"/>
    <s v="Percent of GDP"/>
    <s v="Units"/>
    <x v="3"/>
    <n v="-3.77"/>
  </r>
  <r>
    <n v="200"/>
    <x v="3"/>
    <x v="161"/>
    <x v="9"/>
    <s v="Percent of GDP"/>
    <s v="Units"/>
    <x v="4"/>
    <n v="-1.137"/>
  </r>
  <r>
    <n v="200"/>
    <x v="3"/>
    <x v="161"/>
    <x v="9"/>
    <s v="Percent of GDP"/>
    <s v="Units"/>
    <x v="5"/>
    <n v="-0.86599999999999999"/>
  </r>
  <r>
    <n v="200"/>
    <x v="3"/>
    <x v="161"/>
    <x v="9"/>
    <s v="Percent of GDP"/>
    <s v="Units"/>
    <x v="6"/>
    <n v="-2.7490000000000001"/>
  </r>
  <r>
    <n v="119"/>
    <x v="1"/>
    <x v="2"/>
    <x v="12"/>
    <s v="Percent of potential GDP"/>
    <s v="Units"/>
    <x v="0"/>
    <n v="1.323"/>
  </r>
  <r>
    <n v="119"/>
    <x v="1"/>
    <x v="2"/>
    <x v="12"/>
    <s v="Percent of potential GDP"/>
    <s v="Units"/>
    <x v="1"/>
    <n v="-2.8929999999999998"/>
  </r>
  <r>
    <n v="119"/>
    <x v="1"/>
    <x v="2"/>
    <x v="12"/>
    <s v="Percent of potential GDP"/>
    <s v="Units"/>
    <x v="2"/>
    <n v="-3.0110000000000001"/>
  </r>
  <r>
    <n v="119"/>
    <x v="1"/>
    <x v="2"/>
    <x v="12"/>
    <s v="Percent of potential GDP"/>
    <s v="Units"/>
    <x v="3"/>
    <n v="-2.2210000000000001"/>
  </r>
  <r>
    <n v="119"/>
    <x v="1"/>
    <x v="2"/>
    <x v="12"/>
    <s v="Percent of potential GDP"/>
    <s v="Units"/>
    <x v="4"/>
    <n v="-1.871"/>
  </r>
  <r>
    <n v="119"/>
    <x v="1"/>
    <x v="2"/>
    <x v="12"/>
    <s v="Percent of potential GDP"/>
    <s v="Units"/>
    <x v="5"/>
    <n v="-0.877"/>
  </r>
  <r>
    <n v="119"/>
    <x v="1"/>
    <x v="2"/>
    <x v="12"/>
    <s v="Percent of potential GDP"/>
    <s v="Units"/>
    <x v="6"/>
    <n v="-0.79800000000000004"/>
  </r>
  <r>
    <n v="110"/>
    <x v="0"/>
    <x v="2"/>
    <x v="12"/>
    <s v="Percent of potential GDP"/>
    <s v="Units"/>
    <x v="0"/>
    <n v="1.323"/>
  </r>
  <r>
    <n v="110"/>
    <x v="0"/>
    <x v="2"/>
    <x v="12"/>
    <s v="Percent of potential GDP"/>
    <s v="Units"/>
    <x v="1"/>
    <n v="-2.8929999999999998"/>
  </r>
  <r>
    <n v="110"/>
    <x v="0"/>
    <x v="2"/>
    <x v="12"/>
    <s v="Percent of potential GDP"/>
    <s v="Units"/>
    <x v="2"/>
    <n v="-3.0110000000000001"/>
  </r>
  <r>
    <n v="110"/>
    <x v="0"/>
    <x v="2"/>
    <x v="12"/>
    <s v="Percent of potential GDP"/>
    <s v="Units"/>
    <x v="3"/>
    <n v="-2.2210000000000001"/>
  </r>
  <r>
    <n v="110"/>
    <x v="0"/>
    <x v="2"/>
    <x v="12"/>
    <s v="Percent of potential GDP"/>
    <s v="Units"/>
    <x v="4"/>
    <n v="-1.871"/>
  </r>
  <r>
    <n v="110"/>
    <x v="0"/>
    <x v="2"/>
    <x v="12"/>
    <s v="Percent of potential GDP"/>
    <s v="Units"/>
    <x v="5"/>
    <n v="-0.877"/>
  </r>
  <r>
    <n v="110"/>
    <x v="0"/>
    <x v="2"/>
    <x v="12"/>
    <s v="Percent of potential GDP"/>
    <s v="Units"/>
    <x v="6"/>
    <n v="-0.79800000000000004"/>
  </r>
  <r>
    <n v="163"/>
    <x v="5"/>
    <x v="2"/>
    <x v="12"/>
    <s v="Percent of potential GDP"/>
    <s v="Units"/>
    <x v="0"/>
    <n v="1.323"/>
  </r>
  <r>
    <n v="163"/>
    <x v="5"/>
    <x v="2"/>
    <x v="12"/>
    <s v="Percent of potential GDP"/>
    <s v="Units"/>
    <x v="1"/>
    <n v="-2.8929999999999998"/>
  </r>
  <r>
    <n v="163"/>
    <x v="5"/>
    <x v="2"/>
    <x v="12"/>
    <s v="Percent of potential GDP"/>
    <s v="Units"/>
    <x v="2"/>
    <n v="-3.0110000000000001"/>
  </r>
  <r>
    <n v="163"/>
    <x v="5"/>
    <x v="2"/>
    <x v="12"/>
    <s v="Percent of potential GDP"/>
    <s v="Units"/>
    <x v="3"/>
    <n v="-2.2210000000000001"/>
  </r>
  <r>
    <n v="163"/>
    <x v="5"/>
    <x v="2"/>
    <x v="12"/>
    <s v="Percent of potential GDP"/>
    <s v="Units"/>
    <x v="4"/>
    <n v="-1.871"/>
  </r>
  <r>
    <n v="163"/>
    <x v="5"/>
    <x v="2"/>
    <x v="12"/>
    <s v="Percent of potential GDP"/>
    <s v="Units"/>
    <x v="5"/>
    <n v="-0.877"/>
  </r>
  <r>
    <n v="163"/>
    <x v="5"/>
    <x v="2"/>
    <x v="12"/>
    <s v="Percent of potential GDP"/>
    <s v="Units"/>
    <x v="6"/>
    <n v="-0.79800000000000004"/>
  </r>
  <r>
    <n v="1"/>
    <x v="2"/>
    <x v="149"/>
    <x v="6"/>
    <s v="Percent change"/>
    <s v="Units"/>
    <x v="0"/>
    <n v="12.641999999999999"/>
  </r>
  <r>
    <n v="1"/>
    <x v="2"/>
    <x v="149"/>
    <x v="6"/>
    <s v="Percent change"/>
    <s v="Units"/>
    <x v="1"/>
    <n v="-2.6760000000000002"/>
  </r>
  <r>
    <n v="1"/>
    <x v="2"/>
    <x v="149"/>
    <x v="6"/>
    <s v="Percent change"/>
    <s v="Units"/>
    <x v="2"/>
    <n v="30.114000000000001"/>
  </r>
  <r>
    <n v="1"/>
    <x v="2"/>
    <x v="149"/>
    <x v="6"/>
    <s v="Percent change"/>
    <s v="Units"/>
    <x v="3"/>
    <n v="8.59"/>
  </r>
  <r>
    <n v="1"/>
    <x v="2"/>
    <x v="149"/>
    <x v="6"/>
    <s v="Percent change"/>
    <s v="Units"/>
    <x v="4"/>
    <n v="-12.821999999999999"/>
  </r>
  <r>
    <n v="1"/>
    <x v="2"/>
    <x v="149"/>
    <x v="6"/>
    <s v="Percent change"/>
    <s v="Units"/>
    <x v="5"/>
    <n v="-0.88500000000000001"/>
  </r>
  <r>
    <n v="1"/>
    <x v="2"/>
    <x v="149"/>
    <x v="6"/>
    <s v="Percent change"/>
    <s v="Units"/>
    <x v="6"/>
    <n v="2.573"/>
  </r>
  <r>
    <n v="200"/>
    <x v="3"/>
    <x v="149"/>
    <x v="6"/>
    <s v="Percent change"/>
    <s v="Units"/>
    <x v="0"/>
    <n v="12.641999999999999"/>
  </r>
  <r>
    <n v="200"/>
    <x v="3"/>
    <x v="149"/>
    <x v="6"/>
    <s v="Percent change"/>
    <s v="Units"/>
    <x v="1"/>
    <n v="-2.6760000000000002"/>
  </r>
  <r>
    <n v="200"/>
    <x v="3"/>
    <x v="149"/>
    <x v="6"/>
    <s v="Percent change"/>
    <s v="Units"/>
    <x v="2"/>
    <n v="30.114000000000001"/>
  </r>
  <r>
    <n v="200"/>
    <x v="3"/>
    <x v="149"/>
    <x v="6"/>
    <s v="Percent change"/>
    <s v="Units"/>
    <x v="3"/>
    <n v="8.59"/>
  </r>
  <r>
    <n v="200"/>
    <x v="3"/>
    <x v="149"/>
    <x v="6"/>
    <s v="Percent change"/>
    <s v="Units"/>
    <x v="4"/>
    <n v="-12.821999999999999"/>
  </r>
  <r>
    <n v="200"/>
    <x v="3"/>
    <x v="149"/>
    <x v="6"/>
    <s v="Percent change"/>
    <s v="Units"/>
    <x v="5"/>
    <n v="-0.88500000000000001"/>
  </r>
  <r>
    <n v="200"/>
    <x v="3"/>
    <x v="149"/>
    <x v="6"/>
    <s v="Percent change"/>
    <s v="Units"/>
    <x v="6"/>
    <n v="2.573"/>
  </r>
  <r>
    <n v="505"/>
    <x v="4"/>
    <x v="149"/>
    <x v="6"/>
    <s v="Percent change"/>
    <s v="Units"/>
    <x v="0"/>
    <n v="12.641999999999999"/>
  </r>
  <r>
    <n v="505"/>
    <x v="4"/>
    <x v="149"/>
    <x v="6"/>
    <s v="Percent change"/>
    <s v="Units"/>
    <x v="1"/>
    <n v="-2.6760000000000002"/>
  </r>
  <r>
    <n v="505"/>
    <x v="4"/>
    <x v="149"/>
    <x v="6"/>
    <s v="Percent change"/>
    <s v="Units"/>
    <x v="2"/>
    <n v="30.114000000000001"/>
  </r>
  <r>
    <n v="505"/>
    <x v="4"/>
    <x v="149"/>
    <x v="6"/>
    <s v="Percent change"/>
    <s v="Units"/>
    <x v="3"/>
    <n v="8.59"/>
  </r>
  <r>
    <n v="505"/>
    <x v="4"/>
    <x v="149"/>
    <x v="6"/>
    <s v="Percent change"/>
    <s v="Units"/>
    <x v="4"/>
    <n v="-12.821999999999999"/>
  </r>
  <r>
    <n v="505"/>
    <x v="4"/>
    <x v="149"/>
    <x v="6"/>
    <s v="Percent change"/>
    <s v="Units"/>
    <x v="5"/>
    <n v="-0.88500000000000001"/>
  </r>
  <r>
    <n v="505"/>
    <x v="4"/>
    <x v="149"/>
    <x v="6"/>
    <s v="Percent change"/>
    <s v="Units"/>
    <x v="6"/>
    <n v="2.573"/>
  </r>
  <r>
    <n v="163"/>
    <x v="5"/>
    <x v="53"/>
    <x v="9"/>
    <s v="Percent of GDP"/>
    <s v="Units"/>
    <x v="0"/>
    <n v="-5.8999999999999997E-2"/>
  </r>
  <r>
    <n v="163"/>
    <x v="5"/>
    <x v="53"/>
    <x v="9"/>
    <s v="Percent of GDP"/>
    <s v="Units"/>
    <x v="1"/>
    <n v="-10.513"/>
  </r>
  <r>
    <n v="163"/>
    <x v="5"/>
    <x v="53"/>
    <x v="9"/>
    <s v="Percent of GDP"/>
    <s v="Units"/>
    <x v="2"/>
    <n v="-7.5"/>
  </r>
  <r>
    <n v="163"/>
    <x v="5"/>
    <x v="53"/>
    <x v="9"/>
    <s v="Percent of GDP"/>
    <s v="Units"/>
    <x v="3"/>
    <n v="-2.4009999999999998"/>
  </r>
  <r>
    <n v="163"/>
    <x v="5"/>
    <x v="53"/>
    <x v="9"/>
    <s v="Percent of GDP"/>
    <s v="Units"/>
    <x v="4"/>
    <n v="-1.65"/>
  </r>
  <r>
    <n v="163"/>
    <x v="5"/>
    <x v="53"/>
    <x v="9"/>
    <s v="Percent of GDP"/>
    <s v="Units"/>
    <x v="5"/>
    <n v="-0.93200000000000005"/>
  </r>
  <r>
    <n v="163"/>
    <x v="5"/>
    <x v="53"/>
    <x v="9"/>
    <s v="Percent of GDP"/>
    <s v="Units"/>
    <x v="6"/>
    <n v="-0.877"/>
  </r>
  <r>
    <n v="998"/>
    <x v="6"/>
    <x v="53"/>
    <x v="9"/>
    <s v="Percent of GDP"/>
    <s v="Units"/>
    <x v="0"/>
    <n v="-5.8999999999999997E-2"/>
  </r>
  <r>
    <n v="998"/>
    <x v="6"/>
    <x v="53"/>
    <x v="9"/>
    <s v="Percent of GDP"/>
    <s v="Units"/>
    <x v="1"/>
    <n v="-10.513"/>
  </r>
  <r>
    <n v="998"/>
    <x v="6"/>
    <x v="53"/>
    <x v="9"/>
    <s v="Percent of GDP"/>
    <s v="Units"/>
    <x v="2"/>
    <n v="-7.5"/>
  </r>
  <r>
    <n v="998"/>
    <x v="6"/>
    <x v="53"/>
    <x v="9"/>
    <s v="Percent of GDP"/>
    <s v="Units"/>
    <x v="3"/>
    <n v="-2.4009999999999998"/>
  </r>
  <r>
    <n v="998"/>
    <x v="6"/>
    <x v="53"/>
    <x v="9"/>
    <s v="Percent of GDP"/>
    <s v="Units"/>
    <x v="4"/>
    <n v="-1.65"/>
  </r>
  <r>
    <n v="998"/>
    <x v="6"/>
    <x v="53"/>
    <x v="9"/>
    <s v="Percent of GDP"/>
    <s v="Units"/>
    <x v="5"/>
    <n v="-0.93200000000000005"/>
  </r>
  <r>
    <n v="998"/>
    <x v="6"/>
    <x v="53"/>
    <x v="9"/>
    <s v="Percent of GDP"/>
    <s v="Units"/>
    <x v="6"/>
    <n v="-0.877"/>
  </r>
  <r>
    <n v="110"/>
    <x v="0"/>
    <x v="53"/>
    <x v="9"/>
    <s v="Percent of GDP"/>
    <s v="Units"/>
    <x v="0"/>
    <n v="-5.8999999999999997E-2"/>
  </r>
  <r>
    <n v="110"/>
    <x v="0"/>
    <x v="53"/>
    <x v="9"/>
    <s v="Percent of GDP"/>
    <s v="Units"/>
    <x v="1"/>
    <n v="-10.513"/>
  </r>
  <r>
    <n v="110"/>
    <x v="0"/>
    <x v="53"/>
    <x v="9"/>
    <s v="Percent of GDP"/>
    <s v="Units"/>
    <x v="2"/>
    <n v="-7.5"/>
  </r>
  <r>
    <n v="110"/>
    <x v="0"/>
    <x v="53"/>
    <x v="9"/>
    <s v="Percent of GDP"/>
    <s v="Units"/>
    <x v="3"/>
    <n v="-2.4009999999999998"/>
  </r>
  <r>
    <n v="110"/>
    <x v="0"/>
    <x v="53"/>
    <x v="9"/>
    <s v="Percent of GDP"/>
    <s v="Units"/>
    <x v="4"/>
    <n v="-1.65"/>
  </r>
  <r>
    <n v="110"/>
    <x v="0"/>
    <x v="53"/>
    <x v="9"/>
    <s v="Percent of GDP"/>
    <s v="Units"/>
    <x v="5"/>
    <n v="-0.93200000000000005"/>
  </r>
  <r>
    <n v="110"/>
    <x v="0"/>
    <x v="53"/>
    <x v="9"/>
    <s v="Percent of GDP"/>
    <s v="Units"/>
    <x v="6"/>
    <n v="-0.877"/>
  </r>
  <r>
    <n v="200"/>
    <x v="3"/>
    <x v="32"/>
    <x v="4"/>
    <s v="Percent change"/>
    <s v="Units"/>
    <x v="0"/>
    <n v="5.423"/>
  </r>
  <r>
    <n v="200"/>
    <x v="3"/>
    <x v="32"/>
    <x v="4"/>
    <s v="Percent change"/>
    <s v="Units"/>
    <x v="1"/>
    <n v="-16.899000000000001"/>
  </r>
  <r>
    <n v="200"/>
    <x v="3"/>
    <x v="32"/>
    <x v="4"/>
    <s v="Percent change"/>
    <s v="Units"/>
    <x v="2"/>
    <n v="6.4370000000000003"/>
  </r>
  <r>
    <n v="200"/>
    <x v="3"/>
    <x v="32"/>
    <x v="4"/>
    <s v="Percent change"/>
    <s v="Units"/>
    <x v="3"/>
    <n v="12.606999999999999"/>
  </r>
  <r>
    <n v="200"/>
    <x v="3"/>
    <x v="32"/>
    <x v="4"/>
    <s v="Percent change"/>
    <s v="Units"/>
    <x v="4"/>
    <n v="6.6840000000000002"/>
  </r>
  <r>
    <n v="200"/>
    <x v="3"/>
    <x v="32"/>
    <x v="4"/>
    <s v="Percent change"/>
    <s v="Units"/>
    <x v="5"/>
    <n v="-0.96699999999999997"/>
  </r>
  <r>
    <n v="200"/>
    <x v="3"/>
    <x v="32"/>
    <x v="4"/>
    <s v="Percent change"/>
    <s v="Units"/>
    <x v="6"/>
    <n v="7.9480000000000004"/>
  </r>
  <r>
    <n v="505"/>
    <x v="4"/>
    <x v="32"/>
    <x v="4"/>
    <s v="Percent change"/>
    <s v="Units"/>
    <x v="0"/>
    <n v="5.423"/>
  </r>
  <r>
    <n v="505"/>
    <x v="4"/>
    <x v="32"/>
    <x v="4"/>
    <s v="Percent change"/>
    <s v="Units"/>
    <x v="1"/>
    <n v="-16.899000000000001"/>
  </r>
  <r>
    <n v="505"/>
    <x v="4"/>
    <x v="32"/>
    <x v="4"/>
    <s v="Percent change"/>
    <s v="Units"/>
    <x v="2"/>
    <n v="6.4370000000000003"/>
  </r>
  <r>
    <n v="505"/>
    <x v="4"/>
    <x v="32"/>
    <x v="4"/>
    <s v="Percent change"/>
    <s v="Units"/>
    <x v="3"/>
    <n v="12.606999999999999"/>
  </r>
  <r>
    <n v="505"/>
    <x v="4"/>
    <x v="32"/>
    <x v="4"/>
    <s v="Percent change"/>
    <s v="Units"/>
    <x v="4"/>
    <n v="6.6840000000000002"/>
  </r>
  <r>
    <n v="505"/>
    <x v="4"/>
    <x v="32"/>
    <x v="4"/>
    <s v="Percent change"/>
    <s v="Units"/>
    <x v="5"/>
    <n v="-0.96699999999999997"/>
  </r>
  <r>
    <n v="505"/>
    <x v="4"/>
    <x v="32"/>
    <x v="4"/>
    <s v="Percent change"/>
    <s v="Units"/>
    <x v="6"/>
    <n v="7.9480000000000004"/>
  </r>
  <r>
    <n v="510"/>
    <x v="10"/>
    <x v="32"/>
    <x v="4"/>
    <s v="Percent change"/>
    <s v="Units"/>
    <x v="0"/>
    <n v="5.423"/>
  </r>
  <r>
    <n v="510"/>
    <x v="10"/>
    <x v="32"/>
    <x v="4"/>
    <s v="Percent change"/>
    <s v="Units"/>
    <x v="1"/>
    <n v="-16.899000000000001"/>
  </r>
  <r>
    <n v="510"/>
    <x v="10"/>
    <x v="32"/>
    <x v="4"/>
    <s v="Percent change"/>
    <s v="Units"/>
    <x v="2"/>
    <n v="6.4370000000000003"/>
  </r>
  <r>
    <n v="510"/>
    <x v="10"/>
    <x v="32"/>
    <x v="4"/>
    <s v="Percent change"/>
    <s v="Units"/>
    <x v="3"/>
    <n v="12.606999999999999"/>
  </r>
  <r>
    <n v="510"/>
    <x v="10"/>
    <x v="32"/>
    <x v="4"/>
    <s v="Percent change"/>
    <s v="Units"/>
    <x v="4"/>
    <n v="6.6840000000000002"/>
  </r>
  <r>
    <n v="510"/>
    <x v="10"/>
    <x v="32"/>
    <x v="4"/>
    <s v="Percent change"/>
    <s v="Units"/>
    <x v="5"/>
    <n v="-0.96699999999999997"/>
  </r>
  <r>
    <n v="510"/>
    <x v="10"/>
    <x v="32"/>
    <x v="4"/>
    <s v="Percent change"/>
    <s v="Units"/>
    <x v="6"/>
    <n v="7.9480000000000004"/>
  </r>
  <r>
    <n v="1"/>
    <x v="2"/>
    <x v="32"/>
    <x v="4"/>
    <s v="Percent change"/>
    <s v="Units"/>
    <x v="0"/>
    <n v="5.423"/>
  </r>
  <r>
    <n v="1"/>
    <x v="2"/>
    <x v="32"/>
    <x v="4"/>
    <s v="Percent change"/>
    <s v="Units"/>
    <x v="1"/>
    <n v="-16.899000000000001"/>
  </r>
  <r>
    <n v="1"/>
    <x v="2"/>
    <x v="32"/>
    <x v="4"/>
    <s v="Percent change"/>
    <s v="Units"/>
    <x v="2"/>
    <n v="6.4370000000000003"/>
  </r>
  <r>
    <n v="1"/>
    <x v="2"/>
    <x v="32"/>
    <x v="4"/>
    <s v="Percent change"/>
    <s v="Units"/>
    <x v="3"/>
    <n v="12.606999999999999"/>
  </r>
  <r>
    <n v="1"/>
    <x v="2"/>
    <x v="32"/>
    <x v="4"/>
    <s v="Percent change"/>
    <s v="Units"/>
    <x v="4"/>
    <n v="6.6840000000000002"/>
  </r>
  <r>
    <n v="1"/>
    <x v="2"/>
    <x v="32"/>
    <x v="4"/>
    <s v="Percent change"/>
    <s v="Units"/>
    <x v="5"/>
    <n v="-0.96699999999999997"/>
  </r>
  <r>
    <n v="1"/>
    <x v="2"/>
    <x v="32"/>
    <x v="4"/>
    <s v="Percent change"/>
    <s v="Units"/>
    <x v="6"/>
    <n v="7.9480000000000004"/>
  </r>
  <r>
    <n v="200"/>
    <x v="3"/>
    <x v="142"/>
    <x v="9"/>
    <s v="Percent of GDP"/>
    <s v="Units"/>
    <x v="0"/>
    <n v="1.5069999999999999"/>
  </r>
  <r>
    <n v="200"/>
    <x v="3"/>
    <x v="142"/>
    <x v="9"/>
    <s v="Percent of GDP"/>
    <s v="Units"/>
    <x v="1"/>
    <n v="5.4080000000000004"/>
  </r>
  <r>
    <n v="200"/>
    <x v="3"/>
    <x v="142"/>
    <x v="9"/>
    <s v="Percent of GDP"/>
    <s v="Units"/>
    <x v="2"/>
    <n v="1.7450000000000001"/>
  </r>
  <r>
    <n v="200"/>
    <x v="3"/>
    <x v="142"/>
    <x v="9"/>
    <s v="Percent of GDP"/>
    <s v="Units"/>
    <x v="3"/>
    <n v="5.3689999999999998"/>
  </r>
  <r>
    <n v="200"/>
    <x v="3"/>
    <x v="142"/>
    <x v="9"/>
    <s v="Percent of GDP"/>
    <s v="Units"/>
    <x v="4"/>
    <n v="3.044"/>
  </r>
  <r>
    <n v="200"/>
    <x v="3"/>
    <x v="142"/>
    <x v="9"/>
    <s v="Percent of GDP"/>
    <s v="Units"/>
    <x v="5"/>
    <n v="-0.98399999999999999"/>
  </r>
  <r>
    <n v="200"/>
    <x v="3"/>
    <x v="142"/>
    <x v="9"/>
    <s v="Percent of GDP"/>
    <s v="Units"/>
    <x v="6"/>
    <n v="-2.1509999999999998"/>
  </r>
  <r>
    <n v="505"/>
    <x v="4"/>
    <x v="142"/>
    <x v="9"/>
    <s v="Percent of GDP"/>
    <s v="Units"/>
    <x v="0"/>
    <n v="1.5069999999999999"/>
  </r>
  <r>
    <n v="505"/>
    <x v="4"/>
    <x v="142"/>
    <x v="9"/>
    <s v="Percent of GDP"/>
    <s v="Units"/>
    <x v="1"/>
    <n v="5.4080000000000004"/>
  </r>
  <r>
    <n v="505"/>
    <x v="4"/>
    <x v="142"/>
    <x v="9"/>
    <s v="Percent of GDP"/>
    <s v="Units"/>
    <x v="2"/>
    <n v="1.7450000000000001"/>
  </r>
  <r>
    <n v="505"/>
    <x v="4"/>
    <x v="142"/>
    <x v="9"/>
    <s v="Percent of GDP"/>
    <s v="Units"/>
    <x v="3"/>
    <n v="5.3689999999999998"/>
  </r>
  <r>
    <n v="505"/>
    <x v="4"/>
    <x v="142"/>
    <x v="9"/>
    <s v="Percent of GDP"/>
    <s v="Units"/>
    <x v="4"/>
    <n v="3.044"/>
  </r>
  <r>
    <n v="505"/>
    <x v="4"/>
    <x v="142"/>
    <x v="9"/>
    <s v="Percent of GDP"/>
    <s v="Units"/>
    <x v="5"/>
    <n v="-0.98399999999999999"/>
  </r>
  <r>
    <n v="505"/>
    <x v="4"/>
    <x v="142"/>
    <x v="9"/>
    <s v="Percent of GDP"/>
    <s v="Units"/>
    <x v="6"/>
    <n v="-2.1509999999999998"/>
  </r>
  <r>
    <n v="200"/>
    <x v="3"/>
    <x v="132"/>
    <x v="9"/>
    <s v="Percent of GDP"/>
    <s v="Units"/>
    <x v="0"/>
    <n v="-4.0119999999999996"/>
  </r>
  <r>
    <n v="200"/>
    <x v="3"/>
    <x v="132"/>
    <x v="9"/>
    <s v="Percent of GDP"/>
    <s v="Units"/>
    <x v="1"/>
    <n v="-6.1550000000000002"/>
  </r>
  <r>
    <n v="200"/>
    <x v="3"/>
    <x v="132"/>
    <x v="9"/>
    <s v="Percent of GDP"/>
    <s v="Units"/>
    <x v="2"/>
    <n v="-4.6399999999999997"/>
  </r>
  <r>
    <n v="200"/>
    <x v="3"/>
    <x v="132"/>
    <x v="9"/>
    <s v="Percent of GDP"/>
    <s v="Units"/>
    <x v="3"/>
    <n v="-4.1680000000000001"/>
  </r>
  <r>
    <n v="200"/>
    <x v="3"/>
    <x v="132"/>
    <x v="9"/>
    <s v="Percent of GDP"/>
    <s v="Units"/>
    <x v="4"/>
    <n v="-2.04"/>
  </r>
  <r>
    <n v="200"/>
    <x v="3"/>
    <x v="132"/>
    <x v="9"/>
    <s v="Percent of GDP"/>
    <s v="Units"/>
    <x v="5"/>
    <n v="-0.998"/>
  </r>
  <r>
    <n v="200"/>
    <x v="3"/>
    <x v="132"/>
    <x v="9"/>
    <s v="Percent of GDP"/>
    <s v="Units"/>
    <x v="6"/>
    <n v="-0.96199999999999997"/>
  </r>
  <r>
    <n v="205"/>
    <x v="7"/>
    <x v="132"/>
    <x v="9"/>
    <s v="Percent of GDP"/>
    <s v="Units"/>
    <x v="0"/>
    <n v="-4.0119999999999996"/>
  </r>
  <r>
    <n v="205"/>
    <x v="7"/>
    <x v="132"/>
    <x v="9"/>
    <s v="Percent of GDP"/>
    <s v="Units"/>
    <x v="1"/>
    <n v="-6.1550000000000002"/>
  </r>
  <r>
    <n v="205"/>
    <x v="7"/>
    <x v="132"/>
    <x v="9"/>
    <s v="Percent of GDP"/>
    <s v="Units"/>
    <x v="2"/>
    <n v="-4.6399999999999997"/>
  </r>
  <r>
    <n v="205"/>
    <x v="7"/>
    <x v="132"/>
    <x v="9"/>
    <s v="Percent of GDP"/>
    <s v="Units"/>
    <x v="3"/>
    <n v="-4.1680000000000001"/>
  </r>
  <r>
    <n v="205"/>
    <x v="7"/>
    <x v="132"/>
    <x v="9"/>
    <s v="Percent of GDP"/>
    <s v="Units"/>
    <x v="4"/>
    <n v="-2.04"/>
  </r>
  <r>
    <n v="205"/>
    <x v="7"/>
    <x v="132"/>
    <x v="9"/>
    <s v="Percent of GDP"/>
    <s v="Units"/>
    <x v="5"/>
    <n v="-0.998"/>
  </r>
  <r>
    <n v="205"/>
    <x v="7"/>
    <x v="132"/>
    <x v="9"/>
    <s v="Percent of GDP"/>
    <s v="Units"/>
    <x v="6"/>
    <n v="-0.96199999999999997"/>
  </r>
  <r>
    <n v="200"/>
    <x v="3"/>
    <x v="187"/>
    <x v="8"/>
    <s v="Percent change"/>
    <s v="Units"/>
    <x v="0"/>
    <n v="2.1"/>
  </r>
  <r>
    <n v="200"/>
    <x v="3"/>
    <x v="187"/>
    <x v="8"/>
    <s v="Percent change"/>
    <s v="Units"/>
    <x v="1"/>
    <n v="-8.5"/>
  </r>
  <r>
    <n v="200"/>
    <x v="3"/>
    <x v="187"/>
    <x v="8"/>
    <s v="Percent change"/>
    <s v="Units"/>
    <x v="2"/>
    <n v="-1"/>
  </r>
  <r>
    <n v="200"/>
    <x v="3"/>
    <x v="187"/>
    <x v="8"/>
    <s v="Percent change"/>
    <s v="Units"/>
    <x v="3"/>
    <n v="1.5"/>
  </r>
  <r>
    <n v="200"/>
    <x v="3"/>
    <x v="187"/>
    <x v="8"/>
    <s v="Percent change"/>
    <s v="Units"/>
    <x v="4"/>
    <n v="-2"/>
  </r>
  <r>
    <n v="200"/>
    <x v="3"/>
    <x v="187"/>
    <x v="8"/>
    <s v="Percent change"/>
    <s v="Units"/>
    <x v="5"/>
    <n v="-1"/>
  </r>
  <r>
    <n v="200"/>
    <x v="3"/>
    <x v="187"/>
    <x v="8"/>
    <s v="Percent change"/>
    <s v="Units"/>
    <x v="6"/>
    <n v="1.5"/>
  </r>
  <r>
    <n v="1"/>
    <x v="2"/>
    <x v="187"/>
    <x v="8"/>
    <s v="Percent change"/>
    <s v="Units"/>
    <x v="0"/>
    <n v="2.1"/>
  </r>
  <r>
    <n v="1"/>
    <x v="2"/>
    <x v="187"/>
    <x v="8"/>
    <s v="Percent change"/>
    <s v="Units"/>
    <x v="1"/>
    <n v="-8.5"/>
  </r>
  <r>
    <n v="1"/>
    <x v="2"/>
    <x v="187"/>
    <x v="8"/>
    <s v="Percent change"/>
    <s v="Units"/>
    <x v="2"/>
    <n v="-1"/>
  </r>
  <r>
    <n v="1"/>
    <x v="2"/>
    <x v="187"/>
    <x v="8"/>
    <s v="Percent change"/>
    <s v="Units"/>
    <x v="3"/>
    <n v="1.5"/>
  </r>
  <r>
    <n v="1"/>
    <x v="2"/>
    <x v="187"/>
    <x v="8"/>
    <s v="Percent change"/>
    <s v="Units"/>
    <x v="4"/>
    <n v="-2"/>
  </r>
  <r>
    <n v="1"/>
    <x v="2"/>
    <x v="187"/>
    <x v="8"/>
    <s v="Percent change"/>
    <s v="Units"/>
    <x v="5"/>
    <n v="-1"/>
  </r>
  <r>
    <n v="1"/>
    <x v="2"/>
    <x v="187"/>
    <x v="8"/>
    <s v="Percent change"/>
    <s v="Units"/>
    <x v="6"/>
    <n v="1.5"/>
  </r>
  <r>
    <n v="400"/>
    <x v="11"/>
    <x v="187"/>
    <x v="8"/>
    <s v="Percent change"/>
    <s v="Units"/>
    <x v="0"/>
    <n v="2.1"/>
  </r>
  <r>
    <n v="400"/>
    <x v="11"/>
    <x v="187"/>
    <x v="8"/>
    <s v="Percent change"/>
    <s v="Units"/>
    <x v="1"/>
    <n v="-8.5"/>
  </r>
  <r>
    <n v="400"/>
    <x v="11"/>
    <x v="187"/>
    <x v="8"/>
    <s v="Percent change"/>
    <s v="Units"/>
    <x v="2"/>
    <n v="-1"/>
  </r>
  <r>
    <n v="400"/>
    <x v="11"/>
    <x v="187"/>
    <x v="8"/>
    <s v="Percent change"/>
    <s v="Units"/>
    <x v="3"/>
    <n v="1.5"/>
  </r>
  <r>
    <n v="400"/>
    <x v="11"/>
    <x v="187"/>
    <x v="8"/>
    <s v="Percent change"/>
    <s v="Units"/>
    <x v="4"/>
    <n v="-2"/>
  </r>
  <r>
    <n v="400"/>
    <x v="11"/>
    <x v="187"/>
    <x v="8"/>
    <s v="Percent change"/>
    <s v="Units"/>
    <x v="5"/>
    <n v="-1"/>
  </r>
  <r>
    <n v="400"/>
    <x v="11"/>
    <x v="187"/>
    <x v="8"/>
    <s v="Percent change"/>
    <s v="Units"/>
    <x v="6"/>
    <n v="1.5"/>
  </r>
  <r>
    <n v="205"/>
    <x v="7"/>
    <x v="105"/>
    <x v="9"/>
    <s v="Percent of GDP"/>
    <s v="Units"/>
    <x v="0"/>
    <n v="-20.225000000000001"/>
  </r>
  <r>
    <n v="205"/>
    <x v="7"/>
    <x v="105"/>
    <x v="9"/>
    <s v="Percent of GDP"/>
    <s v="Units"/>
    <x v="1"/>
    <n v="-11.954000000000001"/>
  </r>
  <r>
    <n v="205"/>
    <x v="7"/>
    <x v="105"/>
    <x v="9"/>
    <s v="Percent of GDP"/>
    <s v="Units"/>
    <x v="2"/>
    <n v="-5.6890000000000001"/>
  </r>
  <r>
    <n v="205"/>
    <x v="7"/>
    <x v="105"/>
    <x v="9"/>
    <s v="Percent of GDP"/>
    <s v="Units"/>
    <x v="3"/>
    <n v="-2.6890000000000001"/>
  </r>
  <r>
    <n v="205"/>
    <x v="7"/>
    <x v="105"/>
    <x v="9"/>
    <s v="Percent of GDP"/>
    <s v="Units"/>
    <x v="4"/>
    <n v="-1.5309999999999999"/>
  </r>
  <r>
    <n v="205"/>
    <x v="7"/>
    <x v="105"/>
    <x v="9"/>
    <s v="Percent of GDP"/>
    <s v="Units"/>
    <x v="5"/>
    <n v="-1.006"/>
  </r>
  <r>
    <n v="205"/>
    <x v="7"/>
    <x v="105"/>
    <x v="9"/>
    <s v="Percent of GDP"/>
    <s v="Units"/>
    <x v="6"/>
    <n v="-0.216"/>
  </r>
  <r>
    <n v="200"/>
    <x v="3"/>
    <x v="105"/>
    <x v="9"/>
    <s v="Percent of GDP"/>
    <s v="Units"/>
    <x v="0"/>
    <n v="-20.225000000000001"/>
  </r>
  <r>
    <n v="200"/>
    <x v="3"/>
    <x v="105"/>
    <x v="9"/>
    <s v="Percent of GDP"/>
    <s v="Units"/>
    <x v="1"/>
    <n v="-11.954000000000001"/>
  </r>
  <r>
    <n v="200"/>
    <x v="3"/>
    <x v="105"/>
    <x v="9"/>
    <s v="Percent of GDP"/>
    <s v="Units"/>
    <x v="2"/>
    <n v="-5.6890000000000001"/>
  </r>
  <r>
    <n v="200"/>
    <x v="3"/>
    <x v="105"/>
    <x v="9"/>
    <s v="Percent of GDP"/>
    <s v="Units"/>
    <x v="3"/>
    <n v="-2.6890000000000001"/>
  </r>
  <r>
    <n v="200"/>
    <x v="3"/>
    <x v="105"/>
    <x v="9"/>
    <s v="Percent of GDP"/>
    <s v="Units"/>
    <x v="4"/>
    <n v="-1.5309999999999999"/>
  </r>
  <r>
    <n v="200"/>
    <x v="3"/>
    <x v="105"/>
    <x v="9"/>
    <s v="Percent of GDP"/>
    <s v="Units"/>
    <x v="5"/>
    <n v="-1.006"/>
  </r>
  <r>
    <n v="200"/>
    <x v="3"/>
    <x v="105"/>
    <x v="9"/>
    <s v="Percent of GDP"/>
    <s v="Units"/>
    <x v="6"/>
    <n v="-0.216"/>
  </r>
  <r>
    <n v="1"/>
    <x v="2"/>
    <x v="182"/>
    <x v="6"/>
    <s v="Percent change"/>
    <s v="Units"/>
    <x v="0"/>
    <n v="8.6999999999999994E-2"/>
  </r>
  <r>
    <n v="1"/>
    <x v="2"/>
    <x v="182"/>
    <x v="6"/>
    <s v="Percent change"/>
    <s v="Units"/>
    <x v="1"/>
    <n v="1.7390000000000001"/>
  </r>
  <r>
    <n v="1"/>
    <x v="2"/>
    <x v="182"/>
    <x v="6"/>
    <s v="Percent change"/>
    <s v="Units"/>
    <x v="2"/>
    <n v="8.5090000000000003"/>
  </r>
  <r>
    <n v="1"/>
    <x v="2"/>
    <x v="182"/>
    <x v="6"/>
    <s v="Percent change"/>
    <s v="Units"/>
    <x v="3"/>
    <n v="-1.3979999999999999"/>
  </r>
  <r>
    <n v="1"/>
    <x v="2"/>
    <x v="182"/>
    <x v="6"/>
    <s v="Percent change"/>
    <s v="Units"/>
    <x v="4"/>
    <n v="26.094999999999999"/>
  </r>
  <r>
    <n v="1"/>
    <x v="2"/>
    <x v="182"/>
    <x v="6"/>
    <s v="Percent change"/>
    <s v="Units"/>
    <x v="5"/>
    <n v="-1.01"/>
  </r>
  <r>
    <n v="1"/>
    <x v="2"/>
    <x v="182"/>
    <x v="6"/>
    <s v="Percent change"/>
    <s v="Units"/>
    <x v="6"/>
    <n v="1.7789999999999999"/>
  </r>
  <r>
    <n v="163"/>
    <x v="5"/>
    <x v="27"/>
    <x v="13"/>
    <s v="Percent of potential GDP"/>
    <s v="Units"/>
    <x v="0"/>
    <n v="0.70499999999999996"/>
  </r>
  <r>
    <n v="163"/>
    <x v="5"/>
    <x v="27"/>
    <x v="13"/>
    <s v="Percent of potential GDP"/>
    <s v="Units"/>
    <x v="1"/>
    <n v="-2.0659999999999998"/>
  </r>
  <r>
    <n v="163"/>
    <x v="5"/>
    <x v="27"/>
    <x v="13"/>
    <s v="Percent of potential GDP"/>
    <s v="Units"/>
    <x v="2"/>
    <n v="-2.335"/>
  </r>
  <r>
    <n v="163"/>
    <x v="5"/>
    <x v="27"/>
    <x v="13"/>
    <s v="Percent of potential GDP"/>
    <s v="Units"/>
    <x v="3"/>
    <n v="1.484"/>
  </r>
  <r>
    <n v="163"/>
    <x v="5"/>
    <x v="27"/>
    <x v="13"/>
    <s v="Percent of potential GDP"/>
    <s v="Units"/>
    <x v="4"/>
    <n v="-0.26500000000000001"/>
  </r>
  <r>
    <n v="163"/>
    <x v="5"/>
    <x v="27"/>
    <x v="13"/>
    <s v="Percent of potential GDP"/>
    <s v="Units"/>
    <x v="5"/>
    <n v="-1.01"/>
  </r>
  <r>
    <n v="163"/>
    <x v="5"/>
    <x v="27"/>
    <x v="13"/>
    <s v="Percent of potential GDP"/>
    <s v="Units"/>
    <x v="6"/>
    <n v="-0.52300000000000002"/>
  </r>
  <r>
    <n v="200"/>
    <x v="3"/>
    <x v="182"/>
    <x v="6"/>
    <s v="Percent change"/>
    <s v="Units"/>
    <x v="0"/>
    <n v="8.6999999999999994E-2"/>
  </r>
  <r>
    <n v="200"/>
    <x v="3"/>
    <x v="182"/>
    <x v="6"/>
    <s v="Percent change"/>
    <s v="Units"/>
    <x v="1"/>
    <n v="1.7390000000000001"/>
  </r>
  <r>
    <n v="200"/>
    <x v="3"/>
    <x v="182"/>
    <x v="6"/>
    <s v="Percent change"/>
    <s v="Units"/>
    <x v="2"/>
    <n v="8.5090000000000003"/>
  </r>
  <r>
    <n v="200"/>
    <x v="3"/>
    <x v="182"/>
    <x v="6"/>
    <s v="Percent change"/>
    <s v="Units"/>
    <x v="3"/>
    <n v="-1.3979999999999999"/>
  </r>
  <r>
    <n v="200"/>
    <x v="3"/>
    <x v="182"/>
    <x v="6"/>
    <s v="Percent change"/>
    <s v="Units"/>
    <x v="4"/>
    <n v="26.094999999999999"/>
  </r>
  <r>
    <n v="200"/>
    <x v="3"/>
    <x v="182"/>
    <x v="6"/>
    <s v="Percent change"/>
    <s v="Units"/>
    <x v="5"/>
    <n v="-1.01"/>
  </r>
  <r>
    <n v="200"/>
    <x v="3"/>
    <x v="182"/>
    <x v="6"/>
    <s v="Percent change"/>
    <s v="Units"/>
    <x v="6"/>
    <n v="1.7789999999999999"/>
  </r>
  <r>
    <n v="110"/>
    <x v="0"/>
    <x v="27"/>
    <x v="13"/>
    <s v="Percent of potential GDP"/>
    <s v="Units"/>
    <x v="0"/>
    <n v="0.70499999999999996"/>
  </r>
  <r>
    <n v="110"/>
    <x v="0"/>
    <x v="27"/>
    <x v="13"/>
    <s v="Percent of potential GDP"/>
    <s v="Units"/>
    <x v="1"/>
    <n v="-2.0659999999999998"/>
  </r>
  <r>
    <n v="110"/>
    <x v="0"/>
    <x v="27"/>
    <x v="13"/>
    <s v="Percent of potential GDP"/>
    <s v="Units"/>
    <x v="2"/>
    <n v="-2.335"/>
  </r>
  <r>
    <n v="110"/>
    <x v="0"/>
    <x v="27"/>
    <x v="13"/>
    <s v="Percent of potential GDP"/>
    <s v="Units"/>
    <x v="3"/>
    <n v="1.484"/>
  </r>
  <r>
    <n v="110"/>
    <x v="0"/>
    <x v="27"/>
    <x v="13"/>
    <s v="Percent of potential GDP"/>
    <s v="Units"/>
    <x v="4"/>
    <n v="-0.26500000000000001"/>
  </r>
  <r>
    <n v="110"/>
    <x v="0"/>
    <x v="27"/>
    <x v="13"/>
    <s v="Percent of potential GDP"/>
    <s v="Units"/>
    <x v="5"/>
    <n v="-1.01"/>
  </r>
  <r>
    <n v="110"/>
    <x v="0"/>
    <x v="27"/>
    <x v="13"/>
    <s v="Percent of potential GDP"/>
    <s v="Units"/>
    <x v="6"/>
    <n v="-0.52300000000000002"/>
  </r>
  <r>
    <n v="603"/>
    <x v="12"/>
    <x v="182"/>
    <x v="6"/>
    <s v="Percent change"/>
    <s v="Units"/>
    <x v="0"/>
    <n v="8.6999999999999994E-2"/>
  </r>
  <r>
    <n v="603"/>
    <x v="12"/>
    <x v="182"/>
    <x v="6"/>
    <s v="Percent change"/>
    <s v="Units"/>
    <x v="1"/>
    <n v="1.7390000000000001"/>
  </r>
  <r>
    <n v="603"/>
    <x v="12"/>
    <x v="182"/>
    <x v="6"/>
    <s v="Percent change"/>
    <s v="Units"/>
    <x v="2"/>
    <n v="8.5090000000000003"/>
  </r>
  <r>
    <n v="603"/>
    <x v="12"/>
    <x v="182"/>
    <x v="6"/>
    <s v="Percent change"/>
    <s v="Units"/>
    <x v="3"/>
    <n v="-1.3979999999999999"/>
  </r>
  <r>
    <n v="603"/>
    <x v="12"/>
    <x v="182"/>
    <x v="6"/>
    <s v="Percent change"/>
    <s v="Units"/>
    <x v="4"/>
    <n v="26.094999999999999"/>
  </r>
  <r>
    <n v="603"/>
    <x v="12"/>
    <x v="182"/>
    <x v="6"/>
    <s v="Percent change"/>
    <s v="Units"/>
    <x v="5"/>
    <n v="-1.01"/>
  </r>
  <r>
    <n v="603"/>
    <x v="12"/>
    <x v="182"/>
    <x v="6"/>
    <s v="Percent change"/>
    <s v="Units"/>
    <x v="6"/>
    <n v="1.7789999999999999"/>
  </r>
  <r>
    <n v="603"/>
    <x v="12"/>
    <x v="185"/>
    <x v="9"/>
    <s v="Percent of GDP"/>
    <s v="Units"/>
    <x v="0"/>
    <n v="-9.2999999999999999E-2"/>
  </r>
  <r>
    <n v="603"/>
    <x v="12"/>
    <x v="185"/>
    <x v="9"/>
    <s v="Percent of GDP"/>
    <s v="Units"/>
    <x v="1"/>
    <n v="1.181"/>
  </r>
  <r>
    <n v="603"/>
    <x v="12"/>
    <x v="185"/>
    <x v="9"/>
    <s v="Percent of GDP"/>
    <s v="Units"/>
    <x v="2"/>
    <n v="-1.446"/>
  </r>
  <r>
    <n v="603"/>
    <x v="12"/>
    <x v="185"/>
    <x v="9"/>
    <s v="Percent of GDP"/>
    <s v="Units"/>
    <x v="3"/>
    <n v="4.1639999999999997"/>
  </r>
  <r>
    <n v="603"/>
    <x v="12"/>
    <x v="185"/>
    <x v="9"/>
    <s v="Percent of GDP"/>
    <s v="Units"/>
    <x v="4"/>
    <n v="-1.2549999999999999"/>
  </r>
  <r>
    <n v="603"/>
    <x v="12"/>
    <x v="185"/>
    <x v="9"/>
    <s v="Percent of GDP"/>
    <s v="Units"/>
    <x v="5"/>
    <n v="-1.0489999999999999"/>
  </r>
  <r>
    <n v="603"/>
    <x v="12"/>
    <x v="185"/>
    <x v="9"/>
    <s v="Percent of GDP"/>
    <s v="Units"/>
    <x v="6"/>
    <n v="-0.68700000000000006"/>
  </r>
  <r>
    <n v="200"/>
    <x v="3"/>
    <x v="185"/>
    <x v="9"/>
    <s v="Percent of GDP"/>
    <s v="Units"/>
    <x v="0"/>
    <n v="-9.2999999999999999E-2"/>
  </r>
  <r>
    <n v="200"/>
    <x v="3"/>
    <x v="185"/>
    <x v="9"/>
    <s v="Percent of GDP"/>
    <s v="Units"/>
    <x v="1"/>
    <n v="1.181"/>
  </r>
  <r>
    <n v="200"/>
    <x v="3"/>
    <x v="185"/>
    <x v="9"/>
    <s v="Percent of GDP"/>
    <s v="Units"/>
    <x v="2"/>
    <n v="-1.446"/>
  </r>
  <r>
    <n v="200"/>
    <x v="3"/>
    <x v="185"/>
    <x v="9"/>
    <s v="Percent of GDP"/>
    <s v="Units"/>
    <x v="3"/>
    <n v="4.1639999999999997"/>
  </r>
  <r>
    <n v="200"/>
    <x v="3"/>
    <x v="185"/>
    <x v="9"/>
    <s v="Percent of GDP"/>
    <s v="Units"/>
    <x v="4"/>
    <n v="-1.2549999999999999"/>
  </r>
  <r>
    <n v="200"/>
    <x v="3"/>
    <x v="185"/>
    <x v="9"/>
    <s v="Percent of GDP"/>
    <s v="Units"/>
    <x v="5"/>
    <n v="-1.0489999999999999"/>
  </r>
  <r>
    <n v="200"/>
    <x v="3"/>
    <x v="185"/>
    <x v="9"/>
    <s v="Percent of GDP"/>
    <s v="Units"/>
    <x v="6"/>
    <n v="-0.68700000000000006"/>
  </r>
  <r>
    <n v="200"/>
    <x v="3"/>
    <x v="150"/>
    <x v="9"/>
    <s v="Percent of GDP"/>
    <s v="Units"/>
    <x v="0"/>
    <n v="-2.927"/>
  </r>
  <r>
    <n v="200"/>
    <x v="3"/>
    <x v="150"/>
    <x v="9"/>
    <s v="Percent of GDP"/>
    <s v="Units"/>
    <x v="1"/>
    <n v="-7.8109999999999999"/>
  </r>
  <r>
    <n v="200"/>
    <x v="3"/>
    <x v="150"/>
    <x v="9"/>
    <s v="Percent of GDP"/>
    <s v="Units"/>
    <x v="2"/>
    <n v="-1.244"/>
  </r>
  <r>
    <n v="200"/>
    <x v="3"/>
    <x v="150"/>
    <x v="9"/>
    <s v="Percent of GDP"/>
    <s v="Units"/>
    <x v="3"/>
    <n v="-0.73599999999999999"/>
  </r>
  <r>
    <n v="200"/>
    <x v="3"/>
    <x v="150"/>
    <x v="9"/>
    <s v="Percent of GDP"/>
    <s v="Units"/>
    <x v="4"/>
    <n v="-0.20599999999999999"/>
  </r>
  <r>
    <n v="200"/>
    <x v="3"/>
    <x v="150"/>
    <x v="9"/>
    <s v="Percent of GDP"/>
    <s v="Units"/>
    <x v="5"/>
    <n v="-1.071"/>
  </r>
  <r>
    <n v="200"/>
    <x v="3"/>
    <x v="150"/>
    <x v="9"/>
    <s v="Percent of GDP"/>
    <s v="Units"/>
    <x v="6"/>
    <n v="-1.1659999999999999"/>
  </r>
  <r>
    <n v="903"/>
    <x v="8"/>
    <x v="150"/>
    <x v="9"/>
    <s v="Percent of GDP"/>
    <s v="Units"/>
    <x v="0"/>
    <n v="-2.927"/>
  </r>
  <r>
    <n v="903"/>
    <x v="8"/>
    <x v="150"/>
    <x v="9"/>
    <s v="Percent of GDP"/>
    <s v="Units"/>
    <x v="1"/>
    <n v="-7.8109999999999999"/>
  </r>
  <r>
    <n v="903"/>
    <x v="8"/>
    <x v="150"/>
    <x v="9"/>
    <s v="Percent of GDP"/>
    <s v="Units"/>
    <x v="2"/>
    <n v="-1.244"/>
  </r>
  <r>
    <n v="903"/>
    <x v="8"/>
    <x v="150"/>
    <x v="9"/>
    <s v="Percent of GDP"/>
    <s v="Units"/>
    <x v="3"/>
    <n v="-0.73599999999999999"/>
  </r>
  <r>
    <n v="903"/>
    <x v="8"/>
    <x v="150"/>
    <x v="9"/>
    <s v="Percent of GDP"/>
    <s v="Units"/>
    <x v="4"/>
    <n v="-0.20599999999999999"/>
  </r>
  <r>
    <n v="903"/>
    <x v="8"/>
    <x v="150"/>
    <x v="9"/>
    <s v="Percent of GDP"/>
    <s v="Units"/>
    <x v="5"/>
    <n v="-1.071"/>
  </r>
  <r>
    <n v="903"/>
    <x v="8"/>
    <x v="150"/>
    <x v="9"/>
    <s v="Percent of GDP"/>
    <s v="Units"/>
    <x v="6"/>
    <n v="-1.1659999999999999"/>
  </r>
  <r>
    <n v="200"/>
    <x v="3"/>
    <x v="139"/>
    <x v="6"/>
    <s v="Percent change"/>
    <s v="Units"/>
    <x v="0"/>
    <n v="-20.401"/>
  </r>
  <r>
    <n v="200"/>
    <x v="3"/>
    <x v="139"/>
    <x v="6"/>
    <s v="Percent change"/>
    <s v="Units"/>
    <x v="1"/>
    <n v="-17.492000000000001"/>
  </r>
  <r>
    <n v="200"/>
    <x v="3"/>
    <x v="139"/>
    <x v="6"/>
    <s v="Percent change"/>
    <s v="Units"/>
    <x v="2"/>
    <n v="13.693"/>
  </r>
  <r>
    <n v="200"/>
    <x v="3"/>
    <x v="139"/>
    <x v="6"/>
    <s v="Percent change"/>
    <s v="Units"/>
    <x v="3"/>
    <n v="21.315000000000001"/>
  </r>
  <r>
    <n v="200"/>
    <x v="3"/>
    <x v="139"/>
    <x v="6"/>
    <s v="Percent change"/>
    <s v="Units"/>
    <x v="4"/>
    <n v="12.673999999999999"/>
  </r>
  <r>
    <n v="200"/>
    <x v="3"/>
    <x v="139"/>
    <x v="6"/>
    <s v="Percent change"/>
    <s v="Units"/>
    <x v="5"/>
    <n v="-1.073"/>
  </r>
  <r>
    <n v="200"/>
    <x v="3"/>
    <x v="139"/>
    <x v="6"/>
    <s v="Percent change"/>
    <s v="Units"/>
    <x v="6"/>
    <n v="5.327"/>
  </r>
  <r>
    <n v="603"/>
    <x v="12"/>
    <x v="139"/>
    <x v="6"/>
    <s v="Percent change"/>
    <s v="Units"/>
    <x v="0"/>
    <n v="-20.401"/>
  </r>
  <r>
    <n v="603"/>
    <x v="12"/>
    <x v="139"/>
    <x v="6"/>
    <s v="Percent change"/>
    <s v="Units"/>
    <x v="1"/>
    <n v="-17.492000000000001"/>
  </r>
  <r>
    <n v="603"/>
    <x v="12"/>
    <x v="139"/>
    <x v="6"/>
    <s v="Percent change"/>
    <s v="Units"/>
    <x v="2"/>
    <n v="13.693"/>
  </r>
  <r>
    <n v="603"/>
    <x v="12"/>
    <x v="139"/>
    <x v="6"/>
    <s v="Percent change"/>
    <s v="Units"/>
    <x v="3"/>
    <n v="21.315000000000001"/>
  </r>
  <r>
    <n v="603"/>
    <x v="12"/>
    <x v="139"/>
    <x v="6"/>
    <s v="Percent change"/>
    <s v="Units"/>
    <x v="4"/>
    <n v="12.673999999999999"/>
  </r>
  <r>
    <n v="603"/>
    <x v="12"/>
    <x v="139"/>
    <x v="6"/>
    <s v="Percent change"/>
    <s v="Units"/>
    <x v="5"/>
    <n v="-1.073"/>
  </r>
  <r>
    <n v="603"/>
    <x v="12"/>
    <x v="139"/>
    <x v="6"/>
    <s v="Percent change"/>
    <s v="Units"/>
    <x v="6"/>
    <n v="5.327"/>
  </r>
  <r>
    <n v="1"/>
    <x v="2"/>
    <x v="139"/>
    <x v="6"/>
    <s v="Percent change"/>
    <s v="Units"/>
    <x v="0"/>
    <n v="-20.401"/>
  </r>
  <r>
    <n v="1"/>
    <x v="2"/>
    <x v="139"/>
    <x v="6"/>
    <s v="Percent change"/>
    <s v="Units"/>
    <x v="1"/>
    <n v="-17.492000000000001"/>
  </r>
  <r>
    <n v="1"/>
    <x v="2"/>
    <x v="139"/>
    <x v="6"/>
    <s v="Percent change"/>
    <s v="Units"/>
    <x v="2"/>
    <n v="13.693"/>
  </r>
  <r>
    <n v="1"/>
    <x v="2"/>
    <x v="139"/>
    <x v="6"/>
    <s v="Percent change"/>
    <s v="Units"/>
    <x v="3"/>
    <n v="21.315000000000001"/>
  </r>
  <r>
    <n v="1"/>
    <x v="2"/>
    <x v="139"/>
    <x v="6"/>
    <s v="Percent change"/>
    <s v="Units"/>
    <x v="4"/>
    <n v="12.673999999999999"/>
  </r>
  <r>
    <n v="1"/>
    <x v="2"/>
    <x v="139"/>
    <x v="6"/>
    <s v="Percent change"/>
    <s v="Units"/>
    <x v="5"/>
    <n v="-1.073"/>
  </r>
  <r>
    <n v="1"/>
    <x v="2"/>
    <x v="139"/>
    <x v="6"/>
    <s v="Percent change"/>
    <s v="Units"/>
    <x v="6"/>
    <n v="5.327"/>
  </r>
  <r>
    <n v="110"/>
    <x v="0"/>
    <x v="30"/>
    <x v="13"/>
    <s v="Percent of potential GDP"/>
    <s v="Units"/>
    <x v="0"/>
    <n v="0.2"/>
  </r>
  <r>
    <n v="110"/>
    <x v="0"/>
    <x v="30"/>
    <x v="13"/>
    <s v="Percent of potential GDP"/>
    <s v="Units"/>
    <x v="1"/>
    <n v="-0.67300000000000004"/>
  </r>
  <r>
    <n v="110"/>
    <x v="0"/>
    <x v="30"/>
    <x v="13"/>
    <s v="Percent of potential GDP"/>
    <s v="Units"/>
    <x v="2"/>
    <n v="1.377"/>
  </r>
  <r>
    <n v="110"/>
    <x v="0"/>
    <x v="30"/>
    <x v="13"/>
    <s v="Percent of potential GDP"/>
    <s v="Units"/>
    <x v="3"/>
    <n v="2.1040000000000001"/>
  </r>
  <r>
    <n v="110"/>
    <x v="0"/>
    <x v="30"/>
    <x v="13"/>
    <s v="Percent of potential GDP"/>
    <s v="Units"/>
    <x v="4"/>
    <n v="-0.55200000000000005"/>
  </r>
  <r>
    <n v="110"/>
    <x v="0"/>
    <x v="30"/>
    <x v="13"/>
    <s v="Percent of potential GDP"/>
    <s v="Units"/>
    <x v="5"/>
    <n v="-1.0820000000000001"/>
  </r>
  <r>
    <n v="110"/>
    <x v="0"/>
    <x v="30"/>
    <x v="13"/>
    <s v="Percent of potential GDP"/>
    <s v="Units"/>
    <x v="6"/>
    <n v="-1.101"/>
  </r>
  <r>
    <n v="400"/>
    <x v="11"/>
    <x v="86"/>
    <x v="9"/>
    <s v="Percent of GDP"/>
    <s v="Units"/>
    <x v="0"/>
    <n v="8.9550000000000001"/>
  </r>
  <r>
    <n v="400"/>
    <x v="11"/>
    <x v="86"/>
    <x v="9"/>
    <s v="Percent of GDP"/>
    <s v="Units"/>
    <x v="1"/>
    <n v="-6.44"/>
  </r>
  <r>
    <n v="400"/>
    <x v="11"/>
    <x v="86"/>
    <x v="9"/>
    <s v="Percent of GDP"/>
    <s v="Units"/>
    <x v="2"/>
    <n v="4.2050000000000001"/>
  </r>
  <r>
    <n v="400"/>
    <x v="11"/>
    <x v="86"/>
    <x v="9"/>
    <s v="Percent of GDP"/>
    <s v="Units"/>
    <x v="3"/>
    <n v="5.9749999999999996"/>
  </r>
  <r>
    <n v="400"/>
    <x v="11"/>
    <x v="86"/>
    <x v="9"/>
    <s v="Percent of GDP"/>
    <s v="Units"/>
    <x v="4"/>
    <n v="1.65"/>
  </r>
  <r>
    <n v="400"/>
    <x v="11"/>
    <x v="86"/>
    <x v="9"/>
    <s v="Percent of GDP"/>
    <s v="Units"/>
    <x v="5"/>
    <n v="-1.103"/>
  </r>
  <r>
    <n v="400"/>
    <x v="11"/>
    <x v="86"/>
    <x v="9"/>
    <s v="Percent of GDP"/>
    <s v="Units"/>
    <x v="6"/>
    <n v="-1.8660000000000001"/>
  </r>
  <r>
    <n v="200"/>
    <x v="3"/>
    <x v="86"/>
    <x v="9"/>
    <s v="Percent of GDP"/>
    <s v="Units"/>
    <x v="0"/>
    <n v="8.9550000000000001"/>
  </r>
  <r>
    <n v="200"/>
    <x v="3"/>
    <x v="86"/>
    <x v="9"/>
    <s v="Percent of GDP"/>
    <s v="Units"/>
    <x v="1"/>
    <n v="-6.44"/>
  </r>
  <r>
    <n v="200"/>
    <x v="3"/>
    <x v="86"/>
    <x v="9"/>
    <s v="Percent of GDP"/>
    <s v="Units"/>
    <x v="2"/>
    <n v="4.2050000000000001"/>
  </r>
  <r>
    <n v="200"/>
    <x v="3"/>
    <x v="86"/>
    <x v="9"/>
    <s v="Percent of GDP"/>
    <s v="Units"/>
    <x v="3"/>
    <n v="5.9749999999999996"/>
  </r>
  <r>
    <n v="200"/>
    <x v="3"/>
    <x v="86"/>
    <x v="9"/>
    <s v="Percent of GDP"/>
    <s v="Units"/>
    <x v="4"/>
    <n v="1.65"/>
  </r>
  <r>
    <n v="200"/>
    <x v="3"/>
    <x v="86"/>
    <x v="9"/>
    <s v="Percent of GDP"/>
    <s v="Units"/>
    <x v="5"/>
    <n v="-1.103"/>
  </r>
  <r>
    <n v="200"/>
    <x v="3"/>
    <x v="86"/>
    <x v="9"/>
    <s v="Percent of GDP"/>
    <s v="Units"/>
    <x v="6"/>
    <n v="-1.8660000000000001"/>
  </r>
  <r>
    <n v="119"/>
    <x v="1"/>
    <x v="9"/>
    <x v="9"/>
    <s v="Percent of GDP"/>
    <s v="Units"/>
    <x v="0"/>
    <n v="-1.7000000000000001E-2"/>
  </r>
  <r>
    <n v="119"/>
    <x v="1"/>
    <x v="9"/>
    <x v="9"/>
    <s v="Percent of GDP"/>
    <s v="Units"/>
    <x v="1"/>
    <n v="-10.949"/>
  </r>
  <r>
    <n v="119"/>
    <x v="1"/>
    <x v="9"/>
    <x v="9"/>
    <s v="Percent of GDP"/>
    <s v="Units"/>
    <x v="2"/>
    <n v="-2.919"/>
  </r>
  <r>
    <n v="119"/>
    <x v="1"/>
    <x v="9"/>
    <x v="9"/>
    <s v="Percent of GDP"/>
    <s v="Units"/>
    <x v="3"/>
    <n v="0.109"/>
  </r>
  <r>
    <n v="119"/>
    <x v="1"/>
    <x v="9"/>
    <x v="9"/>
    <s v="Percent of GDP"/>
    <s v="Units"/>
    <x v="4"/>
    <n v="-0.59499999999999997"/>
  </r>
  <r>
    <n v="119"/>
    <x v="1"/>
    <x v="9"/>
    <x v="9"/>
    <s v="Percent of GDP"/>
    <s v="Units"/>
    <x v="5"/>
    <n v="-1.133"/>
  </r>
  <r>
    <n v="119"/>
    <x v="1"/>
    <x v="9"/>
    <x v="9"/>
    <s v="Percent of GDP"/>
    <s v="Units"/>
    <x v="6"/>
    <n v="-0.90100000000000002"/>
  </r>
  <r>
    <n v="110"/>
    <x v="0"/>
    <x v="9"/>
    <x v="9"/>
    <s v="Percent of GDP"/>
    <s v="Units"/>
    <x v="0"/>
    <n v="-1.7000000000000001E-2"/>
  </r>
  <r>
    <n v="110"/>
    <x v="0"/>
    <x v="9"/>
    <x v="9"/>
    <s v="Percent of GDP"/>
    <s v="Units"/>
    <x v="1"/>
    <n v="-10.949"/>
  </r>
  <r>
    <n v="110"/>
    <x v="0"/>
    <x v="9"/>
    <x v="9"/>
    <s v="Percent of GDP"/>
    <s v="Units"/>
    <x v="2"/>
    <n v="-2.919"/>
  </r>
  <r>
    <n v="110"/>
    <x v="0"/>
    <x v="9"/>
    <x v="9"/>
    <s v="Percent of GDP"/>
    <s v="Units"/>
    <x v="3"/>
    <n v="0.109"/>
  </r>
  <r>
    <n v="110"/>
    <x v="0"/>
    <x v="9"/>
    <x v="9"/>
    <s v="Percent of GDP"/>
    <s v="Units"/>
    <x v="4"/>
    <n v="-0.59499999999999997"/>
  </r>
  <r>
    <n v="110"/>
    <x v="0"/>
    <x v="9"/>
    <x v="9"/>
    <s v="Percent of GDP"/>
    <s v="Units"/>
    <x v="5"/>
    <n v="-1.133"/>
  </r>
  <r>
    <n v="110"/>
    <x v="0"/>
    <x v="9"/>
    <x v="9"/>
    <s v="Percent of GDP"/>
    <s v="Units"/>
    <x v="6"/>
    <n v="-0.90100000000000002"/>
  </r>
  <r>
    <n v="110"/>
    <x v="0"/>
    <x v="5"/>
    <x v="13"/>
    <s v="Percent of potential GDP"/>
    <s v="Units"/>
    <x v="0"/>
    <n v="-3.7999999999999999E-2"/>
  </r>
  <r>
    <n v="110"/>
    <x v="0"/>
    <x v="5"/>
    <x v="13"/>
    <s v="Percent of potential GDP"/>
    <s v="Units"/>
    <x v="1"/>
    <n v="-3.5920000000000001"/>
  </r>
  <r>
    <n v="110"/>
    <x v="0"/>
    <x v="5"/>
    <x v="13"/>
    <s v="Percent of potential GDP"/>
    <s v="Units"/>
    <x v="2"/>
    <n v="0.52800000000000002"/>
  </r>
  <r>
    <n v="110"/>
    <x v="0"/>
    <x v="5"/>
    <x v="13"/>
    <s v="Percent of potential GDP"/>
    <s v="Units"/>
    <x v="3"/>
    <n v="1.806"/>
  </r>
  <r>
    <n v="110"/>
    <x v="0"/>
    <x v="5"/>
    <x v="13"/>
    <s v="Percent of potential GDP"/>
    <s v="Units"/>
    <x v="4"/>
    <n v="-0.26300000000000001"/>
  </r>
  <r>
    <n v="110"/>
    <x v="0"/>
    <x v="5"/>
    <x v="13"/>
    <s v="Percent of potential GDP"/>
    <s v="Units"/>
    <x v="5"/>
    <n v="-1.1479999999999999"/>
  </r>
  <r>
    <n v="110"/>
    <x v="0"/>
    <x v="5"/>
    <x v="13"/>
    <s v="Percent of potential GDP"/>
    <s v="Units"/>
    <x v="6"/>
    <n v="-1.0649999999999999"/>
  </r>
  <r>
    <n v="119"/>
    <x v="1"/>
    <x v="5"/>
    <x v="13"/>
    <s v="Percent of potential GDP"/>
    <s v="Units"/>
    <x v="0"/>
    <n v="-3.7999999999999999E-2"/>
  </r>
  <r>
    <n v="119"/>
    <x v="1"/>
    <x v="5"/>
    <x v="13"/>
    <s v="Percent of potential GDP"/>
    <s v="Units"/>
    <x v="1"/>
    <n v="-3.5920000000000001"/>
  </r>
  <r>
    <n v="119"/>
    <x v="1"/>
    <x v="5"/>
    <x v="13"/>
    <s v="Percent of potential GDP"/>
    <s v="Units"/>
    <x v="2"/>
    <n v="0.52800000000000002"/>
  </r>
  <r>
    <n v="119"/>
    <x v="1"/>
    <x v="5"/>
    <x v="13"/>
    <s v="Percent of potential GDP"/>
    <s v="Units"/>
    <x v="3"/>
    <n v="1.806"/>
  </r>
  <r>
    <n v="119"/>
    <x v="1"/>
    <x v="5"/>
    <x v="13"/>
    <s v="Percent of potential GDP"/>
    <s v="Units"/>
    <x v="4"/>
    <n v="-0.26300000000000001"/>
  </r>
  <r>
    <n v="119"/>
    <x v="1"/>
    <x v="5"/>
    <x v="13"/>
    <s v="Percent of potential GDP"/>
    <s v="Units"/>
    <x v="5"/>
    <n v="-1.1479999999999999"/>
  </r>
  <r>
    <n v="119"/>
    <x v="1"/>
    <x v="5"/>
    <x v="13"/>
    <s v="Percent of potential GDP"/>
    <s v="Units"/>
    <x v="6"/>
    <n v="-1.0649999999999999"/>
  </r>
  <r>
    <n v="1"/>
    <x v="2"/>
    <x v="5"/>
    <x v="4"/>
    <s v="Percent change"/>
    <s v="Units"/>
    <x v="0"/>
    <n v="1.9970000000000001"/>
  </r>
  <r>
    <n v="1"/>
    <x v="2"/>
    <x v="5"/>
    <x v="4"/>
    <s v="Percent change"/>
    <s v="Units"/>
    <x v="1"/>
    <n v="-11.47"/>
  </r>
  <r>
    <n v="1"/>
    <x v="2"/>
    <x v="5"/>
    <x v="4"/>
    <s v="Percent change"/>
    <s v="Units"/>
    <x v="2"/>
    <n v="4.9409999999999998"/>
  </r>
  <r>
    <n v="1"/>
    <x v="2"/>
    <x v="5"/>
    <x v="4"/>
    <s v="Percent change"/>
    <s v="Units"/>
    <x v="3"/>
    <n v="8.9700000000000006"/>
  </r>
  <r>
    <n v="1"/>
    <x v="2"/>
    <x v="5"/>
    <x v="4"/>
    <s v="Percent change"/>
    <s v="Units"/>
    <x v="4"/>
    <n v="-1.36"/>
  </r>
  <r>
    <n v="1"/>
    <x v="2"/>
    <x v="5"/>
    <x v="4"/>
    <s v="Percent change"/>
    <s v="Units"/>
    <x v="5"/>
    <n v="-1.161"/>
  </r>
  <r>
    <n v="1"/>
    <x v="2"/>
    <x v="5"/>
    <x v="4"/>
    <s v="Percent change"/>
    <s v="Units"/>
    <x v="6"/>
    <n v="0.71699999999999997"/>
  </r>
  <r>
    <n v="119"/>
    <x v="1"/>
    <x v="5"/>
    <x v="4"/>
    <s v="Percent change"/>
    <s v="Units"/>
    <x v="0"/>
    <n v="1.9970000000000001"/>
  </r>
  <r>
    <n v="119"/>
    <x v="1"/>
    <x v="5"/>
    <x v="4"/>
    <s v="Percent change"/>
    <s v="Units"/>
    <x v="1"/>
    <n v="-11.47"/>
  </r>
  <r>
    <n v="119"/>
    <x v="1"/>
    <x v="5"/>
    <x v="4"/>
    <s v="Percent change"/>
    <s v="Units"/>
    <x v="2"/>
    <n v="4.9409999999999998"/>
  </r>
  <r>
    <n v="119"/>
    <x v="1"/>
    <x v="5"/>
    <x v="4"/>
    <s v="Percent change"/>
    <s v="Units"/>
    <x v="3"/>
    <n v="8.9700000000000006"/>
  </r>
  <r>
    <n v="119"/>
    <x v="1"/>
    <x v="5"/>
    <x v="4"/>
    <s v="Percent change"/>
    <s v="Units"/>
    <x v="4"/>
    <n v="-1.36"/>
  </r>
  <r>
    <n v="119"/>
    <x v="1"/>
    <x v="5"/>
    <x v="4"/>
    <s v="Percent change"/>
    <s v="Units"/>
    <x v="5"/>
    <n v="-1.161"/>
  </r>
  <r>
    <n v="119"/>
    <x v="1"/>
    <x v="5"/>
    <x v="4"/>
    <s v="Percent change"/>
    <s v="Units"/>
    <x v="6"/>
    <n v="0.71699999999999997"/>
  </r>
  <r>
    <n v="110"/>
    <x v="0"/>
    <x v="5"/>
    <x v="4"/>
    <s v="Percent change"/>
    <s v="Units"/>
    <x v="0"/>
    <n v="1.9970000000000001"/>
  </r>
  <r>
    <n v="110"/>
    <x v="0"/>
    <x v="5"/>
    <x v="4"/>
    <s v="Percent change"/>
    <s v="Units"/>
    <x v="1"/>
    <n v="-11.47"/>
  </r>
  <r>
    <n v="110"/>
    <x v="0"/>
    <x v="5"/>
    <x v="4"/>
    <s v="Percent change"/>
    <s v="Units"/>
    <x v="2"/>
    <n v="4.9409999999999998"/>
  </r>
  <r>
    <n v="110"/>
    <x v="0"/>
    <x v="5"/>
    <x v="4"/>
    <s v="Percent change"/>
    <s v="Units"/>
    <x v="3"/>
    <n v="8.9700000000000006"/>
  </r>
  <r>
    <n v="110"/>
    <x v="0"/>
    <x v="5"/>
    <x v="4"/>
    <s v="Percent change"/>
    <s v="Units"/>
    <x v="4"/>
    <n v="-1.36"/>
  </r>
  <r>
    <n v="110"/>
    <x v="0"/>
    <x v="5"/>
    <x v="4"/>
    <s v="Percent change"/>
    <s v="Units"/>
    <x v="5"/>
    <n v="-1.161"/>
  </r>
  <r>
    <n v="110"/>
    <x v="0"/>
    <x v="5"/>
    <x v="4"/>
    <s v="Percent change"/>
    <s v="Units"/>
    <x v="6"/>
    <n v="0.71699999999999997"/>
  </r>
  <r>
    <n v="1"/>
    <x v="2"/>
    <x v="183"/>
    <x v="4"/>
    <s v="Percent change"/>
    <s v="Units"/>
    <x v="0"/>
    <n v="12.35"/>
  </r>
  <r>
    <n v="1"/>
    <x v="2"/>
    <x v="183"/>
    <x v="4"/>
    <s v="Percent change"/>
    <s v="Units"/>
    <x v="1"/>
    <n v="-29.504000000000001"/>
  </r>
  <r>
    <n v="1"/>
    <x v="2"/>
    <x v="183"/>
    <x v="4"/>
    <s v="Percent change"/>
    <s v="Units"/>
    <x v="2"/>
    <n v="37.323999999999998"/>
  </r>
  <r>
    <n v="1"/>
    <x v="2"/>
    <x v="183"/>
    <x v="4"/>
    <s v="Percent change"/>
    <s v="Units"/>
    <x v="3"/>
    <n v="4.4379999999999997"/>
  </r>
  <r>
    <n v="1"/>
    <x v="2"/>
    <x v="183"/>
    <x v="4"/>
    <s v="Percent change"/>
    <s v="Units"/>
    <x v="4"/>
    <n v="1.155"/>
  </r>
  <r>
    <n v="1"/>
    <x v="2"/>
    <x v="183"/>
    <x v="4"/>
    <s v="Percent change"/>
    <s v="Units"/>
    <x v="5"/>
    <n v="-1.1659999999999999"/>
  </r>
  <r>
    <n v="1"/>
    <x v="2"/>
    <x v="183"/>
    <x v="4"/>
    <s v="Percent change"/>
    <s v="Units"/>
    <x v="6"/>
    <n v="1.266"/>
  </r>
  <r>
    <n v="200"/>
    <x v="3"/>
    <x v="183"/>
    <x v="4"/>
    <s v="Percent change"/>
    <s v="Units"/>
    <x v="0"/>
    <n v="12.35"/>
  </r>
  <r>
    <n v="200"/>
    <x v="3"/>
    <x v="183"/>
    <x v="4"/>
    <s v="Percent change"/>
    <s v="Units"/>
    <x v="1"/>
    <n v="-29.504000000000001"/>
  </r>
  <r>
    <n v="200"/>
    <x v="3"/>
    <x v="183"/>
    <x v="4"/>
    <s v="Percent change"/>
    <s v="Units"/>
    <x v="2"/>
    <n v="37.323999999999998"/>
  </r>
  <r>
    <n v="200"/>
    <x v="3"/>
    <x v="183"/>
    <x v="4"/>
    <s v="Percent change"/>
    <s v="Units"/>
    <x v="3"/>
    <n v="4.4379999999999997"/>
  </r>
  <r>
    <n v="200"/>
    <x v="3"/>
    <x v="183"/>
    <x v="4"/>
    <s v="Percent change"/>
    <s v="Units"/>
    <x v="4"/>
    <n v="1.155"/>
  </r>
  <r>
    <n v="200"/>
    <x v="3"/>
    <x v="183"/>
    <x v="4"/>
    <s v="Percent change"/>
    <s v="Units"/>
    <x v="5"/>
    <n v="-1.1659999999999999"/>
  </r>
  <r>
    <n v="200"/>
    <x v="3"/>
    <x v="183"/>
    <x v="4"/>
    <s v="Percent change"/>
    <s v="Units"/>
    <x v="6"/>
    <n v="1.266"/>
  </r>
  <r>
    <n v="400"/>
    <x v="11"/>
    <x v="183"/>
    <x v="4"/>
    <s v="Percent change"/>
    <s v="Units"/>
    <x v="0"/>
    <n v="12.35"/>
  </r>
  <r>
    <n v="400"/>
    <x v="11"/>
    <x v="183"/>
    <x v="4"/>
    <s v="Percent change"/>
    <s v="Units"/>
    <x v="1"/>
    <n v="-29.504000000000001"/>
  </r>
  <r>
    <n v="400"/>
    <x v="11"/>
    <x v="183"/>
    <x v="4"/>
    <s v="Percent change"/>
    <s v="Units"/>
    <x v="2"/>
    <n v="37.323999999999998"/>
  </r>
  <r>
    <n v="400"/>
    <x v="11"/>
    <x v="183"/>
    <x v="4"/>
    <s v="Percent change"/>
    <s v="Units"/>
    <x v="3"/>
    <n v="4.4379999999999997"/>
  </r>
  <r>
    <n v="400"/>
    <x v="11"/>
    <x v="183"/>
    <x v="4"/>
    <s v="Percent change"/>
    <s v="Units"/>
    <x v="4"/>
    <n v="1.155"/>
  </r>
  <r>
    <n v="400"/>
    <x v="11"/>
    <x v="183"/>
    <x v="4"/>
    <s v="Percent change"/>
    <s v="Units"/>
    <x v="5"/>
    <n v="-1.1659999999999999"/>
  </r>
  <r>
    <n v="400"/>
    <x v="11"/>
    <x v="183"/>
    <x v="4"/>
    <s v="Percent change"/>
    <s v="Units"/>
    <x v="6"/>
    <n v="1.266"/>
  </r>
  <r>
    <n v="163"/>
    <x v="5"/>
    <x v="53"/>
    <x v="12"/>
    <s v="Percent of potential GDP"/>
    <s v="Units"/>
    <x v="0"/>
    <n v="2.843"/>
  </r>
  <r>
    <n v="163"/>
    <x v="5"/>
    <x v="53"/>
    <x v="12"/>
    <s v="Percent of potential GDP"/>
    <s v="Units"/>
    <x v="1"/>
    <n v="-2.4129999999999998"/>
  </r>
  <r>
    <n v="163"/>
    <x v="5"/>
    <x v="53"/>
    <x v="12"/>
    <s v="Percent of potential GDP"/>
    <s v="Units"/>
    <x v="2"/>
    <n v="-3.9489999999999998"/>
  </r>
  <r>
    <n v="163"/>
    <x v="5"/>
    <x v="53"/>
    <x v="12"/>
    <s v="Percent of potential GDP"/>
    <s v="Units"/>
    <x v="3"/>
    <n v="-1.7609999999999999"/>
  </r>
  <r>
    <n v="163"/>
    <x v="5"/>
    <x v="53"/>
    <x v="12"/>
    <s v="Percent of potential GDP"/>
    <s v="Units"/>
    <x v="4"/>
    <n v="-1.649"/>
  </r>
  <r>
    <n v="163"/>
    <x v="5"/>
    <x v="53"/>
    <x v="12"/>
    <s v="Percent of potential GDP"/>
    <s v="Units"/>
    <x v="5"/>
    <n v="-1.2050000000000001"/>
  </r>
  <r>
    <n v="163"/>
    <x v="5"/>
    <x v="53"/>
    <x v="12"/>
    <s v="Percent of potential GDP"/>
    <s v="Units"/>
    <x v="6"/>
    <n v="-1.23"/>
  </r>
  <r>
    <n v="110"/>
    <x v="0"/>
    <x v="53"/>
    <x v="12"/>
    <s v="Percent of potential GDP"/>
    <s v="Units"/>
    <x v="0"/>
    <n v="2.843"/>
  </r>
  <r>
    <n v="110"/>
    <x v="0"/>
    <x v="53"/>
    <x v="12"/>
    <s v="Percent of potential GDP"/>
    <s v="Units"/>
    <x v="1"/>
    <n v="-2.4129999999999998"/>
  </r>
  <r>
    <n v="110"/>
    <x v="0"/>
    <x v="53"/>
    <x v="12"/>
    <s v="Percent of potential GDP"/>
    <s v="Units"/>
    <x v="2"/>
    <n v="-3.9489999999999998"/>
  </r>
  <r>
    <n v="110"/>
    <x v="0"/>
    <x v="53"/>
    <x v="12"/>
    <s v="Percent of potential GDP"/>
    <s v="Units"/>
    <x v="3"/>
    <n v="-1.7609999999999999"/>
  </r>
  <r>
    <n v="110"/>
    <x v="0"/>
    <x v="53"/>
    <x v="12"/>
    <s v="Percent of potential GDP"/>
    <s v="Units"/>
    <x v="4"/>
    <n v="-1.649"/>
  </r>
  <r>
    <n v="110"/>
    <x v="0"/>
    <x v="53"/>
    <x v="12"/>
    <s v="Percent of potential GDP"/>
    <s v="Units"/>
    <x v="5"/>
    <n v="-1.2050000000000001"/>
  </r>
  <r>
    <n v="110"/>
    <x v="0"/>
    <x v="53"/>
    <x v="12"/>
    <s v="Percent of potential GDP"/>
    <s v="Units"/>
    <x v="6"/>
    <n v="-1.23"/>
  </r>
  <r>
    <n v="603"/>
    <x v="12"/>
    <x v="185"/>
    <x v="4"/>
    <s v="Percent change"/>
    <s v="Units"/>
    <x v="0"/>
    <n v="12.518000000000001"/>
  </r>
  <r>
    <n v="603"/>
    <x v="12"/>
    <x v="185"/>
    <x v="4"/>
    <s v="Percent change"/>
    <s v="Units"/>
    <x v="1"/>
    <n v="2.117"/>
  </r>
  <r>
    <n v="603"/>
    <x v="12"/>
    <x v="185"/>
    <x v="4"/>
    <s v="Percent change"/>
    <s v="Units"/>
    <x v="2"/>
    <n v="-8.3339999999999996"/>
  </r>
  <r>
    <n v="603"/>
    <x v="12"/>
    <x v="185"/>
    <x v="4"/>
    <s v="Percent change"/>
    <s v="Units"/>
    <x v="3"/>
    <n v="6.5039999999999996"/>
  </r>
  <r>
    <n v="603"/>
    <x v="12"/>
    <x v="185"/>
    <x v="4"/>
    <s v="Percent change"/>
    <s v="Units"/>
    <x v="4"/>
    <n v="10.744"/>
  </r>
  <r>
    <n v="603"/>
    <x v="12"/>
    <x v="185"/>
    <x v="4"/>
    <s v="Percent change"/>
    <s v="Units"/>
    <x v="5"/>
    <n v="-1.2410000000000001"/>
  </r>
  <r>
    <n v="603"/>
    <x v="12"/>
    <x v="185"/>
    <x v="4"/>
    <s v="Percent change"/>
    <s v="Units"/>
    <x v="6"/>
    <n v="4.7039999999999997"/>
  </r>
  <r>
    <n v="1"/>
    <x v="2"/>
    <x v="185"/>
    <x v="4"/>
    <s v="Percent change"/>
    <s v="Units"/>
    <x v="0"/>
    <n v="12.518000000000001"/>
  </r>
  <r>
    <n v="1"/>
    <x v="2"/>
    <x v="185"/>
    <x v="4"/>
    <s v="Percent change"/>
    <s v="Units"/>
    <x v="1"/>
    <n v="2.117"/>
  </r>
  <r>
    <n v="1"/>
    <x v="2"/>
    <x v="185"/>
    <x v="4"/>
    <s v="Percent change"/>
    <s v="Units"/>
    <x v="2"/>
    <n v="-8.3339999999999996"/>
  </r>
  <r>
    <n v="1"/>
    <x v="2"/>
    <x v="185"/>
    <x v="4"/>
    <s v="Percent change"/>
    <s v="Units"/>
    <x v="3"/>
    <n v="6.5039999999999996"/>
  </r>
  <r>
    <n v="1"/>
    <x v="2"/>
    <x v="185"/>
    <x v="4"/>
    <s v="Percent change"/>
    <s v="Units"/>
    <x v="4"/>
    <n v="10.744"/>
  </r>
  <r>
    <n v="1"/>
    <x v="2"/>
    <x v="185"/>
    <x v="4"/>
    <s v="Percent change"/>
    <s v="Units"/>
    <x v="5"/>
    <n v="-1.2410000000000001"/>
  </r>
  <r>
    <n v="1"/>
    <x v="2"/>
    <x v="185"/>
    <x v="4"/>
    <s v="Percent change"/>
    <s v="Units"/>
    <x v="6"/>
    <n v="4.7039999999999997"/>
  </r>
  <r>
    <n v="200"/>
    <x v="3"/>
    <x v="185"/>
    <x v="4"/>
    <s v="Percent change"/>
    <s v="Units"/>
    <x v="0"/>
    <n v="12.518000000000001"/>
  </r>
  <r>
    <n v="200"/>
    <x v="3"/>
    <x v="185"/>
    <x v="4"/>
    <s v="Percent change"/>
    <s v="Units"/>
    <x v="1"/>
    <n v="2.117"/>
  </r>
  <r>
    <n v="200"/>
    <x v="3"/>
    <x v="185"/>
    <x v="4"/>
    <s v="Percent change"/>
    <s v="Units"/>
    <x v="2"/>
    <n v="-8.3339999999999996"/>
  </r>
  <r>
    <n v="200"/>
    <x v="3"/>
    <x v="185"/>
    <x v="4"/>
    <s v="Percent change"/>
    <s v="Units"/>
    <x v="3"/>
    <n v="6.5039999999999996"/>
  </r>
  <r>
    <n v="200"/>
    <x v="3"/>
    <x v="185"/>
    <x v="4"/>
    <s v="Percent change"/>
    <s v="Units"/>
    <x v="4"/>
    <n v="10.744"/>
  </r>
  <r>
    <n v="200"/>
    <x v="3"/>
    <x v="185"/>
    <x v="4"/>
    <s v="Percent change"/>
    <s v="Units"/>
    <x v="5"/>
    <n v="-1.2410000000000001"/>
  </r>
  <r>
    <n v="200"/>
    <x v="3"/>
    <x v="185"/>
    <x v="4"/>
    <s v="Percent change"/>
    <s v="Units"/>
    <x v="6"/>
    <n v="4.7039999999999997"/>
  </r>
  <r>
    <n v="119"/>
    <x v="1"/>
    <x v="2"/>
    <x v="13"/>
    <s v="Percent of potential GDP"/>
    <s v="Units"/>
    <x v="0"/>
    <n v="0.35699999999999998"/>
  </r>
  <r>
    <n v="119"/>
    <x v="1"/>
    <x v="2"/>
    <x v="13"/>
    <s v="Percent of potential GDP"/>
    <s v="Units"/>
    <x v="1"/>
    <n v="-3.1360000000000001"/>
  </r>
  <r>
    <n v="119"/>
    <x v="1"/>
    <x v="2"/>
    <x v="13"/>
    <s v="Percent of potential GDP"/>
    <s v="Units"/>
    <x v="2"/>
    <n v="-1.07"/>
  </r>
  <r>
    <n v="119"/>
    <x v="1"/>
    <x v="2"/>
    <x v="13"/>
    <s v="Percent of potential GDP"/>
    <s v="Units"/>
    <x v="3"/>
    <n v="0.755"/>
  </r>
  <r>
    <n v="119"/>
    <x v="1"/>
    <x v="2"/>
    <x v="13"/>
    <s v="Percent of potential GDP"/>
    <s v="Units"/>
    <x v="4"/>
    <n v="-0.47299999999999998"/>
  </r>
  <r>
    <n v="119"/>
    <x v="1"/>
    <x v="2"/>
    <x v="13"/>
    <s v="Percent of potential GDP"/>
    <s v="Units"/>
    <x v="5"/>
    <n v="-1.262"/>
  </r>
  <r>
    <n v="119"/>
    <x v="1"/>
    <x v="2"/>
    <x v="13"/>
    <s v="Percent of potential GDP"/>
    <s v="Units"/>
    <x v="6"/>
    <n v="-0.89400000000000002"/>
  </r>
  <r>
    <n v="163"/>
    <x v="5"/>
    <x v="2"/>
    <x v="13"/>
    <s v="Percent of potential GDP"/>
    <s v="Units"/>
    <x v="0"/>
    <n v="0.35699999999999998"/>
  </r>
  <r>
    <n v="163"/>
    <x v="5"/>
    <x v="2"/>
    <x v="13"/>
    <s v="Percent of potential GDP"/>
    <s v="Units"/>
    <x v="1"/>
    <n v="-3.1360000000000001"/>
  </r>
  <r>
    <n v="163"/>
    <x v="5"/>
    <x v="2"/>
    <x v="13"/>
    <s v="Percent of potential GDP"/>
    <s v="Units"/>
    <x v="2"/>
    <n v="-1.07"/>
  </r>
  <r>
    <n v="163"/>
    <x v="5"/>
    <x v="2"/>
    <x v="13"/>
    <s v="Percent of potential GDP"/>
    <s v="Units"/>
    <x v="3"/>
    <n v="0.755"/>
  </r>
  <r>
    <n v="163"/>
    <x v="5"/>
    <x v="2"/>
    <x v="13"/>
    <s v="Percent of potential GDP"/>
    <s v="Units"/>
    <x v="4"/>
    <n v="-0.47299999999999998"/>
  </r>
  <r>
    <n v="163"/>
    <x v="5"/>
    <x v="2"/>
    <x v="13"/>
    <s v="Percent of potential GDP"/>
    <s v="Units"/>
    <x v="5"/>
    <n v="-1.262"/>
  </r>
  <r>
    <n v="163"/>
    <x v="5"/>
    <x v="2"/>
    <x v="13"/>
    <s v="Percent of potential GDP"/>
    <s v="Units"/>
    <x v="6"/>
    <n v="-0.89400000000000002"/>
  </r>
  <r>
    <n v="110"/>
    <x v="0"/>
    <x v="2"/>
    <x v="13"/>
    <s v="Percent of potential GDP"/>
    <s v="Units"/>
    <x v="0"/>
    <n v="0.35699999999999998"/>
  </r>
  <r>
    <n v="110"/>
    <x v="0"/>
    <x v="2"/>
    <x v="13"/>
    <s v="Percent of potential GDP"/>
    <s v="Units"/>
    <x v="1"/>
    <n v="-3.1360000000000001"/>
  </r>
  <r>
    <n v="110"/>
    <x v="0"/>
    <x v="2"/>
    <x v="13"/>
    <s v="Percent of potential GDP"/>
    <s v="Units"/>
    <x v="2"/>
    <n v="-1.07"/>
  </r>
  <r>
    <n v="110"/>
    <x v="0"/>
    <x v="2"/>
    <x v="13"/>
    <s v="Percent of potential GDP"/>
    <s v="Units"/>
    <x v="3"/>
    <n v="0.755"/>
  </r>
  <r>
    <n v="110"/>
    <x v="0"/>
    <x v="2"/>
    <x v="13"/>
    <s v="Percent of potential GDP"/>
    <s v="Units"/>
    <x v="4"/>
    <n v="-0.47299999999999998"/>
  </r>
  <r>
    <n v="110"/>
    <x v="0"/>
    <x v="2"/>
    <x v="13"/>
    <s v="Percent of potential GDP"/>
    <s v="Units"/>
    <x v="5"/>
    <n v="-1.262"/>
  </r>
  <r>
    <n v="110"/>
    <x v="0"/>
    <x v="2"/>
    <x v="13"/>
    <s v="Percent of potential GDP"/>
    <s v="Units"/>
    <x v="6"/>
    <n v="-0.89400000000000002"/>
  </r>
  <r>
    <n v="110"/>
    <x v="0"/>
    <x v="12"/>
    <x v="9"/>
    <s v="Percent of GDP"/>
    <s v="Units"/>
    <x v="0"/>
    <n v="-4.4039999999999999"/>
  </r>
  <r>
    <n v="110"/>
    <x v="0"/>
    <x v="12"/>
    <x v="9"/>
    <s v="Percent of GDP"/>
    <s v="Units"/>
    <x v="1"/>
    <n v="-8.718"/>
  </r>
  <r>
    <n v="110"/>
    <x v="0"/>
    <x v="12"/>
    <x v="9"/>
    <s v="Percent of GDP"/>
    <s v="Units"/>
    <x v="2"/>
    <n v="-6.4569999999999999"/>
  </r>
  <r>
    <n v="110"/>
    <x v="0"/>
    <x v="12"/>
    <x v="9"/>
    <s v="Percent of GDP"/>
    <s v="Units"/>
    <x v="3"/>
    <n v="-2.2549999999999999"/>
  </r>
  <r>
    <n v="110"/>
    <x v="0"/>
    <x v="12"/>
    <x v="9"/>
    <s v="Percent of GDP"/>
    <s v="Units"/>
    <x v="4"/>
    <n v="-0.94499999999999995"/>
  </r>
  <r>
    <n v="110"/>
    <x v="0"/>
    <x v="12"/>
    <x v="9"/>
    <s v="Percent of GDP"/>
    <s v="Units"/>
    <x v="5"/>
    <n v="-1.3380000000000001"/>
  </r>
  <r>
    <n v="110"/>
    <x v="0"/>
    <x v="12"/>
    <x v="9"/>
    <s v="Percent of GDP"/>
    <s v="Units"/>
    <x v="6"/>
    <n v="-1.403"/>
  </r>
  <r>
    <n v="123"/>
    <x v="9"/>
    <x v="12"/>
    <x v="9"/>
    <s v="Percent of GDP"/>
    <s v="Units"/>
    <x v="0"/>
    <n v="-4.4039999999999999"/>
  </r>
  <r>
    <n v="123"/>
    <x v="9"/>
    <x v="12"/>
    <x v="9"/>
    <s v="Percent of GDP"/>
    <s v="Units"/>
    <x v="1"/>
    <n v="-8.718"/>
  </r>
  <r>
    <n v="123"/>
    <x v="9"/>
    <x v="12"/>
    <x v="9"/>
    <s v="Percent of GDP"/>
    <s v="Units"/>
    <x v="2"/>
    <n v="-6.4569999999999999"/>
  </r>
  <r>
    <n v="123"/>
    <x v="9"/>
    <x v="12"/>
    <x v="9"/>
    <s v="Percent of GDP"/>
    <s v="Units"/>
    <x v="3"/>
    <n v="-2.2549999999999999"/>
  </r>
  <r>
    <n v="123"/>
    <x v="9"/>
    <x v="12"/>
    <x v="9"/>
    <s v="Percent of GDP"/>
    <s v="Units"/>
    <x v="4"/>
    <n v="-0.94499999999999995"/>
  </r>
  <r>
    <n v="123"/>
    <x v="9"/>
    <x v="12"/>
    <x v="9"/>
    <s v="Percent of GDP"/>
    <s v="Units"/>
    <x v="5"/>
    <n v="-1.3380000000000001"/>
  </r>
  <r>
    <n v="123"/>
    <x v="9"/>
    <x v="12"/>
    <x v="9"/>
    <s v="Percent of GDP"/>
    <s v="Units"/>
    <x v="6"/>
    <n v="-1.403"/>
  </r>
  <r>
    <n v="400"/>
    <x v="11"/>
    <x v="119"/>
    <x v="9"/>
    <s v="Percent of GDP"/>
    <s v="Units"/>
    <x v="0"/>
    <n v="-7.3999999999999996E-2"/>
  </r>
  <r>
    <n v="400"/>
    <x v="11"/>
    <x v="119"/>
    <x v="9"/>
    <s v="Percent of GDP"/>
    <s v="Units"/>
    <x v="1"/>
    <n v="-3.0619999999999998"/>
  </r>
  <r>
    <n v="400"/>
    <x v="11"/>
    <x v="119"/>
    <x v="9"/>
    <s v="Percent of GDP"/>
    <s v="Units"/>
    <x v="2"/>
    <n v="-0.70699999999999996"/>
  </r>
  <r>
    <n v="400"/>
    <x v="11"/>
    <x v="119"/>
    <x v="9"/>
    <s v="Percent of GDP"/>
    <s v="Units"/>
    <x v="3"/>
    <n v="-0.27700000000000002"/>
  </r>
  <r>
    <n v="400"/>
    <x v="11"/>
    <x v="119"/>
    <x v="9"/>
    <s v="Percent of GDP"/>
    <s v="Units"/>
    <x v="4"/>
    <n v="2.004"/>
  </r>
  <r>
    <n v="400"/>
    <x v="11"/>
    <x v="119"/>
    <x v="9"/>
    <s v="Percent of GDP"/>
    <s v="Units"/>
    <x v="5"/>
    <n v="-1.363"/>
  </r>
  <r>
    <n v="400"/>
    <x v="11"/>
    <x v="119"/>
    <x v="9"/>
    <s v="Percent of GDP"/>
    <s v="Units"/>
    <x v="6"/>
    <n v="-1.954"/>
  </r>
  <r>
    <n v="200"/>
    <x v="3"/>
    <x v="119"/>
    <x v="9"/>
    <s v="Percent of GDP"/>
    <s v="Units"/>
    <x v="0"/>
    <n v="-7.3999999999999996E-2"/>
  </r>
  <r>
    <n v="200"/>
    <x v="3"/>
    <x v="119"/>
    <x v="9"/>
    <s v="Percent of GDP"/>
    <s v="Units"/>
    <x v="1"/>
    <n v="-3.0619999999999998"/>
  </r>
  <r>
    <n v="200"/>
    <x v="3"/>
    <x v="119"/>
    <x v="9"/>
    <s v="Percent of GDP"/>
    <s v="Units"/>
    <x v="2"/>
    <n v="-0.70699999999999996"/>
  </r>
  <r>
    <n v="200"/>
    <x v="3"/>
    <x v="119"/>
    <x v="9"/>
    <s v="Percent of GDP"/>
    <s v="Units"/>
    <x v="3"/>
    <n v="-0.27700000000000002"/>
  </r>
  <r>
    <n v="200"/>
    <x v="3"/>
    <x v="119"/>
    <x v="9"/>
    <s v="Percent of GDP"/>
    <s v="Units"/>
    <x v="4"/>
    <n v="2.004"/>
  </r>
  <r>
    <n v="200"/>
    <x v="3"/>
    <x v="119"/>
    <x v="9"/>
    <s v="Percent of GDP"/>
    <s v="Units"/>
    <x v="5"/>
    <n v="-1.363"/>
  </r>
  <r>
    <n v="200"/>
    <x v="3"/>
    <x v="119"/>
    <x v="9"/>
    <s v="Percent of GDP"/>
    <s v="Units"/>
    <x v="6"/>
    <n v="-1.954"/>
  </r>
  <r>
    <n v="603"/>
    <x v="12"/>
    <x v="141"/>
    <x v="9"/>
    <s v="Percent of GDP"/>
    <s v="Units"/>
    <x v="0"/>
    <n v="0.99099999999999999"/>
  </r>
  <r>
    <n v="603"/>
    <x v="12"/>
    <x v="141"/>
    <x v="9"/>
    <s v="Percent of GDP"/>
    <s v="Units"/>
    <x v="1"/>
    <n v="-14.833"/>
  </r>
  <r>
    <n v="603"/>
    <x v="12"/>
    <x v="141"/>
    <x v="9"/>
    <s v="Percent of GDP"/>
    <s v="Units"/>
    <x v="2"/>
    <n v="-5.5910000000000002"/>
  </r>
  <r>
    <n v="603"/>
    <x v="12"/>
    <x v="141"/>
    <x v="9"/>
    <s v="Percent of GDP"/>
    <s v="Units"/>
    <x v="3"/>
    <n v="-0.79500000000000004"/>
  </r>
  <r>
    <n v="603"/>
    <x v="12"/>
    <x v="141"/>
    <x v="9"/>
    <s v="Percent of GDP"/>
    <s v="Units"/>
    <x v="4"/>
    <n v="-1.4830000000000001"/>
  </r>
  <r>
    <n v="603"/>
    <x v="12"/>
    <x v="141"/>
    <x v="9"/>
    <s v="Percent of GDP"/>
    <s v="Units"/>
    <x v="5"/>
    <n v="-1.409"/>
  </r>
  <r>
    <n v="603"/>
    <x v="12"/>
    <x v="141"/>
    <x v="9"/>
    <s v="Percent of GDP"/>
    <s v="Units"/>
    <x v="6"/>
    <n v="-0.44700000000000001"/>
  </r>
  <r>
    <n v="200"/>
    <x v="3"/>
    <x v="141"/>
    <x v="9"/>
    <s v="Percent of GDP"/>
    <s v="Units"/>
    <x v="0"/>
    <n v="0.99099999999999999"/>
  </r>
  <r>
    <n v="200"/>
    <x v="3"/>
    <x v="141"/>
    <x v="9"/>
    <s v="Percent of GDP"/>
    <s v="Units"/>
    <x v="1"/>
    <n v="-14.833"/>
  </r>
  <r>
    <n v="200"/>
    <x v="3"/>
    <x v="141"/>
    <x v="9"/>
    <s v="Percent of GDP"/>
    <s v="Units"/>
    <x v="2"/>
    <n v="-5.5910000000000002"/>
  </r>
  <r>
    <n v="200"/>
    <x v="3"/>
    <x v="141"/>
    <x v="9"/>
    <s v="Percent of GDP"/>
    <s v="Units"/>
    <x v="3"/>
    <n v="-0.79500000000000004"/>
  </r>
  <r>
    <n v="200"/>
    <x v="3"/>
    <x v="141"/>
    <x v="9"/>
    <s v="Percent of GDP"/>
    <s v="Units"/>
    <x v="4"/>
    <n v="-1.4830000000000001"/>
  </r>
  <r>
    <n v="200"/>
    <x v="3"/>
    <x v="141"/>
    <x v="9"/>
    <s v="Percent of GDP"/>
    <s v="Units"/>
    <x v="5"/>
    <n v="-1.409"/>
  </r>
  <r>
    <n v="200"/>
    <x v="3"/>
    <x v="141"/>
    <x v="9"/>
    <s v="Percent of GDP"/>
    <s v="Units"/>
    <x v="6"/>
    <n v="-0.44700000000000001"/>
  </r>
  <r>
    <n v="505"/>
    <x v="4"/>
    <x v="181"/>
    <x v="9"/>
    <s v="Percent of GDP"/>
    <s v="Units"/>
    <x v="0"/>
    <n v="-3.2029999999999998"/>
  </r>
  <r>
    <n v="505"/>
    <x v="4"/>
    <x v="181"/>
    <x v="9"/>
    <s v="Percent of GDP"/>
    <s v="Units"/>
    <x v="1"/>
    <n v="-5.5590000000000002"/>
  </r>
  <r>
    <n v="505"/>
    <x v="4"/>
    <x v="181"/>
    <x v="9"/>
    <s v="Percent of GDP"/>
    <s v="Units"/>
    <x v="2"/>
    <n v="-0.66900000000000004"/>
  </r>
  <r>
    <n v="505"/>
    <x v="4"/>
    <x v="181"/>
    <x v="9"/>
    <s v="Percent of GDP"/>
    <s v="Units"/>
    <x v="3"/>
    <n v="5.8999999999999997E-2"/>
  </r>
  <r>
    <n v="505"/>
    <x v="4"/>
    <x v="181"/>
    <x v="9"/>
    <s v="Percent of GDP"/>
    <s v="Units"/>
    <x v="4"/>
    <n v="-0.42499999999999999"/>
  </r>
  <r>
    <n v="505"/>
    <x v="4"/>
    <x v="181"/>
    <x v="9"/>
    <s v="Percent of GDP"/>
    <s v="Units"/>
    <x v="5"/>
    <n v="-1.417"/>
  </r>
  <r>
    <n v="505"/>
    <x v="4"/>
    <x v="181"/>
    <x v="9"/>
    <s v="Percent of GDP"/>
    <s v="Units"/>
    <x v="6"/>
    <n v="-1.2470000000000001"/>
  </r>
  <r>
    <n v="200"/>
    <x v="3"/>
    <x v="181"/>
    <x v="9"/>
    <s v="Percent of GDP"/>
    <s v="Units"/>
    <x v="0"/>
    <n v="-3.2029999999999998"/>
  </r>
  <r>
    <n v="200"/>
    <x v="3"/>
    <x v="181"/>
    <x v="9"/>
    <s v="Percent of GDP"/>
    <s v="Units"/>
    <x v="1"/>
    <n v="-5.5590000000000002"/>
  </r>
  <r>
    <n v="200"/>
    <x v="3"/>
    <x v="181"/>
    <x v="9"/>
    <s v="Percent of GDP"/>
    <s v="Units"/>
    <x v="2"/>
    <n v="-0.66900000000000004"/>
  </r>
  <r>
    <n v="200"/>
    <x v="3"/>
    <x v="181"/>
    <x v="9"/>
    <s v="Percent of GDP"/>
    <s v="Units"/>
    <x v="3"/>
    <n v="5.8999999999999997E-2"/>
  </r>
  <r>
    <n v="200"/>
    <x v="3"/>
    <x v="181"/>
    <x v="9"/>
    <s v="Percent of GDP"/>
    <s v="Units"/>
    <x v="4"/>
    <n v="-0.42499999999999999"/>
  </r>
  <r>
    <n v="200"/>
    <x v="3"/>
    <x v="181"/>
    <x v="9"/>
    <s v="Percent of GDP"/>
    <s v="Units"/>
    <x v="5"/>
    <n v="-1.417"/>
  </r>
  <r>
    <n v="200"/>
    <x v="3"/>
    <x v="181"/>
    <x v="9"/>
    <s v="Percent of GDP"/>
    <s v="Units"/>
    <x v="6"/>
    <n v="-1.2470000000000001"/>
  </r>
  <r>
    <n v="205"/>
    <x v="7"/>
    <x v="66"/>
    <x v="6"/>
    <s v="Percent change"/>
    <s v="Units"/>
    <x v="0"/>
    <n v="0.373"/>
  </r>
  <r>
    <n v="205"/>
    <x v="7"/>
    <x v="66"/>
    <x v="6"/>
    <s v="Percent change"/>
    <s v="Units"/>
    <x v="1"/>
    <n v="-17.297999999999998"/>
  </r>
  <r>
    <n v="205"/>
    <x v="7"/>
    <x v="66"/>
    <x v="6"/>
    <s v="Percent change"/>
    <s v="Units"/>
    <x v="2"/>
    <n v="19.058"/>
  </r>
  <r>
    <n v="205"/>
    <x v="7"/>
    <x v="66"/>
    <x v="6"/>
    <s v="Percent change"/>
    <s v="Units"/>
    <x v="3"/>
    <n v="9.5609999999999999"/>
  </r>
  <r>
    <n v="205"/>
    <x v="7"/>
    <x v="66"/>
    <x v="6"/>
    <s v="Percent change"/>
    <s v="Units"/>
    <x v="4"/>
    <n v="2.8010000000000002"/>
  </r>
  <r>
    <n v="205"/>
    <x v="7"/>
    <x v="66"/>
    <x v="6"/>
    <s v="Percent change"/>
    <s v="Units"/>
    <x v="5"/>
    <n v="-1.4259999999999999"/>
  </r>
  <r>
    <n v="205"/>
    <x v="7"/>
    <x v="66"/>
    <x v="6"/>
    <s v="Percent change"/>
    <s v="Units"/>
    <x v="6"/>
    <n v="0.48199999999999998"/>
  </r>
  <r>
    <n v="200"/>
    <x v="3"/>
    <x v="66"/>
    <x v="6"/>
    <s v="Percent change"/>
    <s v="Units"/>
    <x v="0"/>
    <n v="0.373"/>
  </r>
  <r>
    <n v="200"/>
    <x v="3"/>
    <x v="66"/>
    <x v="6"/>
    <s v="Percent change"/>
    <s v="Units"/>
    <x v="1"/>
    <n v="-17.297999999999998"/>
  </r>
  <r>
    <n v="200"/>
    <x v="3"/>
    <x v="66"/>
    <x v="6"/>
    <s v="Percent change"/>
    <s v="Units"/>
    <x v="2"/>
    <n v="19.058"/>
  </r>
  <r>
    <n v="200"/>
    <x v="3"/>
    <x v="66"/>
    <x v="6"/>
    <s v="Percent change"/>
    <s v="Units"/>
    <x v="3"/>
    <n v="9.5609999999999999"/>
  </r>
  <r>
    <n v="200"/>
    <x v="3"/>
    <x v="66"/>
    <x v="6"/>
    <s v="Percent change"/>
    <s v="Units"/>
    <x v="4"/>
    <n v="2.8010000000000002"/>
  </r>
  <r>
    <n v="200"/>
    <x v="3"/>
    <x v="66"/>
    <x v="6"/>
    <s v="Percent change"/>
    <s v="Units"/>
    <x v="5"/>
    <n v="-1.4259999999999999"/>
  </r>
  <r>
    <n v="200"/>
    <x v="3"/>
    <x v="66"/>
    <x v="6"/>
    <s v="Percent change"/>
    <s v="Units"/>
    <x v="6"/>
    <n v="0.48199999999999998"/>
  </r>
  <r>
    <n v="1"/>
    <x v="2"/>
    <x v="66"/>
    <x v="6"/>
    <s v="Percent change"/>
    <s v="Units"/>
    <x v="0"/>
    <n v="0.373"/>
  </r>
  <r>
    <n v="1"/>
    <x v="2"/>
    <x v="66"/>
    <x v="6"/>
    <s v="Percent change"/>
    <s v="Units"/>
    <x v="1"/>
    <n v="-17.297999999999998"/>
  </r>
  <r>
    <n v="1"/>
    <x v="2"/>
    <x v="66"/>
    <x v="6"/>
    <s v="Percent change"/>
    <s v="Units"/>
    <x v="2"/>
    <n v="19.058"/>
  </r>
  <r>
    <n v="1"/>
    <x v="2"/>
    <x v="66"/>
    <x v="6"/>
    <s v="Percent change"/>
    <s v="Units"/>
    <x v="3"/>
    <n v="9.5609999999999999"/>
  </r>
  <r>
    <n v="1"/>
    <x v="2"/>
    <x v="66"/>
    <x v="6"/>
    <s v="Percent change"/>
    <s v="Units"/>
    <x v="4"/>
    <n v="2.8010000000000002"/>
  </r>
  <r>
    <n v="1"/>
    <x v="2"/>
    <x v="66"/>
    <x v="6"/>
    <s v="Percent change"/>
    <s v="Units"/>
    <x v="5"/>
    <n v="-1.4259999999999999"/>
  </r>
  <r>
    <n v="1"/>
    <x v="2"/>
    <x v="66"/>
    <x v="6"/>
    <s v="Percent change"/>
    <s v="Units"/>
    <x v="6"/>
    <n v="0.48199999999999998"/>
  </r>
  <r>
    <n v="200"/>
    <x v="3"/>
    <x v="48"/>
    <x v="4"/>
    <s v="Percent change"/>
    <s v="Units"/>
    <x v="0"/>
    <n v="1.2230000000000001"/>
  </r>
  <r>
    <n v="200"/>
    <x v="3"/>
    <x v="48"/>
    <x v="4"/>
    <s v="Percent change"/>
    <s v="Units"/>
    <x v="1"/>
    <n v="-13.882"/>
  </r>
  <r>
    <n v="200"/>
    <x v="3"/>
    <x v="48"/>
    <x v="4"/>
    <s v="Percent change"/>
    <s v="Units"/>
    <x v="2"/>
    <n v="12.532999999999999"/>
  </r>
  <r>
    <n v="200"/>
    <x v="3"/>
    <x v="48"/>
    <x v="4"/>
    <s v="Percent change"/>
    <s v="Units"/>
    <x v="3"/>
    <n v="3.3410000000000002"/>
  </r>
  <r>
    <n v="200"/>
    <x v="3"/>
    <x v="48"/>
    <x v="4"/>
    <s v="Percent change"/>
    <s v="Units"/>
    <x v="4"/>
    <n v="3.4409999999999998"/>
  </r>
  <r>
    <n v="200"/>
    <x v="3"/>
    <x v="48"/>
    <x v="4"/>
    <s v="Percent change"/>
    <s v="Units"/>
    <x v="5"/>
    <n v="-1.4319999999999999"/>
  </r>
  <r>
    <n v="200"/>
    <x v="3"/>
    <x v="48"/>
    <x v="4"/>
    <s v="Percent change"/>
    <s v="Units"/>
    <x v="6"/>
    <n v="2.0299999999999998"/>
  </r>
  <r>
    <n v="1"/>
    <x v="2"/>
    <x v="48"/>
    <x v="4"/>
    <s v="Percent change"/>
    <s v="Units"/>
    <x v="0"/>
    <n v="1.2230000000000001"/>
  </r>
  <r>
    <n v="1"/>
    <x v="2"/>
    <x v="48"/>
    <x v="4"/>
    <s v="Percent change"/>
    <s v="Units"/>
    <x v="1"/>
    <n v="-13.882"/>
  </r>
  <r>
    <n v="1"/>
    <x v="2"/>
    <x v="48"/>
    <x v="4"/>
    <s v="Percent change"/>
    <s v="Units"/>
    <x v="2"/>
    <n v="12.532999999999999"/>
  </r>
  <r>
    <n v="1"/>
    <x v="2"/>
    <x v="48"/>
    <x v="4"/>
    <s v="Percent change"/>
    <s v="Units"/>
    <x v="3"/>
    <n v="3.3410000000000002"/>
  </r>
  <r>
    <n v="1"/>
    <x v="2"/>
    <x v="48"/>
    <x v="4"/>
    <s v="Percent change"/>
    <s v="Units"/>
    <x v="4"/>
    <n v="3.4409999999999998"/>
  </r>
  <r>
    <n v="1"/>
    <x v="2"/>
    <x v="48"/>
    <x v="4"/>
    <s v="Percent change"/>
    <s v="Units"/>
    <x v="5"/>
    <n v="-1.4319999999999999"/>
  </r>
  <r>
    <n v="1"/>
    <x v="2"/>
    <x v="48"/>
    <x v="4"/>
    <s v="Percent change"/>
    <s v="Units"/>
    <x v="6"/>
    <n v="2.0299999999999998"/>
  </r>
  <r>
    <n v="205"/>
    <x v="7"/>
    <x v="48"/>
    <x v="4"/>
    <s v="Percent change"/>
    <s v="Units"/>
    <x v="0"/>
    <n v="1.2230000000000001"/>
  </r>
  <r>
    <n v="205"/>
    <x v="7"/>
    <x v="48"/>
    <x v="4"/>
    <s v="Percent change"/>
    <s v="Units"/>
    <x v="1"/>
    <n v="-13.882"/>
  </r>
  <r>
    <n v="205"/>
    <x v="7"/>
    <x v="48"/>
    <x v="4"/>
    <s v="Percent change"/>
    <s v="Units"/>
    <x v="2"/>
    <n v="12.532999999999999"/>
  </r>
  <r>
    <n v="205"/>
    <x v="7"/>
    <x v="48"/>
    <x v="4"/>
    <s v="Percent change"/>
    <s v="Units"/>
    <x v="3"/>
    <n v="3.3410000000000002"/>
  </r>
  <r>
    <n v="205"/>
    <x v="7"/>
    <x v="48"/>
    <x v="4"/>
    <s v="Percent change"/>
    <s v="Units"/>
    <x v="4"/>
    <n v="3.4409999999999998"/>
  </r>
  <r>
    <n v="205"/>
    <x v="7"/>
    <x v="48"/>
    <x v="4"/>
    <s v="Percent change"/>
    <s v="Units"/>
    <x v="5"/>
    <n v="-1.4319999999999999"/>
  </r>
  <r>
    <n v="205"/>
    <x v="7"/>
    <x v="48"/>
    <x v="4"/>
    <s v="Percent change"/>
    <s v="Units"/>
    <x v="6"/>
    <n v="2.0299999999999998"/>
  </r>
  <r>
    <n v="1"/>
    <x v="2"/>
    <x v="58"/>
    <x v="8"/>
    <s v="Percent change"/>
    <s v="Units"/>
    <x v="0"/>
    <n v="1.3819999999999999"/>
  </r>
  <r>
    <n v="1"/>
    <x v="2"/>
    <x v="58"/>
    <x v="8"/>
    <s v="Percent change"/>
    <s v="Units"/>
    <x v="1"/>
    <n v="-5.274"/>
  </r>
  <r>
    <n v="1"/>
    <x v="2"/>
    <x v="58"/>
    <x v="8"/>
    <s v="Percent change"/>
    <s v="Units"/>
    <x v="2"/>
    <n v="1.698"/>
  </r>
  <r>
    <n v="1"/>
    <x v="2"/>
    <x v="58"/>
    <x v="8"/>
    <s v="Percent change"/>
    <s v="Units"/>
    <x v="3"/>
    <n v="6.1379999999999999"/>
  </r>
  <r>
    <n v="1"/>
    <x v="2"/>
    <x v="58"/>
    <x v="8"/>
    <s v="Percent change"/>
    <s v="Units"/>
    <x v="4"/>
    <n v="-2.2309999999999999"/>
  </r>
  <r>
    <n v="1"/>
    <x v="2"/>
    <x v="58"/>
    <x v="8"/>
    <s v="Percent change"/>
    <s v="Units"/>
    <x v="5"/>
    <n v="-1.4370000000000001"/>
  </r>
  <r>
    <n v="1"/>
    <x v="2"/>
    <x v="58"/>
    <x v="8"/>
    <s v="Percent change"/>
    <s v="Units"/>
    <x v="6"/>
    <n v="3.8029999999999999"/>
  </r>
  <r>
    <n v="400"/>
    <x v="11"/>
    <x v="58"/>
    <x v="8"/>
    <s v="Percent change"/>
    <s v="Units"/>
    <x v="0"/>
    <n v="1.3819999999999999"/>
  </r>
  <r>
    <n v="400"/>
    <x v="11"/>
    <x v="58"/>
    <x v="8"/>
    <s v="Percent change"/>
    <s v="Units"/>
    <x v="1"/>
    <n v="-5.274"/>
  </r>
  <r>
    <n v="400"/>
    <x v="11"/>
    <x v="58"/>
    <x v="8"/>
    <s v="Percent change"/>
    <s v="Units"/>
    <x v="2"/>
    <n v="1.698"/>
  </r>
  <r>
    <n v="400"/>
    <x v="11"/>
    <x v="58"/>
    <x v="8"/>
    <s v="Percent change"/>
    <s v="Units"/>
    <x v="3"/>
    <n v="6.1379999999999999"/>
  </r>
  <r>
    <n v="400"/>
    <x v="11"/>
    <x v="58"/>
    <x v="8"/>
    <s v="Percent change"/>
    <s v="Units"/>
    <x v="4"/>
    <n v="-2.2309999999999999"/>
  </r>
  <r>
    <n v="400"/>
    <x v="11"/>
    <x v="58"/>
    <x v="8"/>
    <s v="Percent change"/>
    <s v="Units"/>
    <x v="5"/>
    <n v="-1.4370000000000001"/>
  </r>
  <r>
    <n v="400"/>
    <x v="11"/>
    <x v="58"/>
    <x v="8"/>
    <s v="Percent change"/>
    <s v="Units"/>
    <x v="6"/>
    <n v="3.8029999999999999"/>
  </r>
  <r>
    <n v="200"/>
    <x v="3"/>
    <x v="58"/>
    <x v="8"/>
    <s v="Percent change"/>
    <s v="Units"/>
    <x v="0"/>
    <n v="1.3819999999999999"/>
  </r>
  <r>
    <n v="200"/>
    <x v="3"/>
    <x v="58"/>
    <x v="8"/>
    <s v="Percent change"/>
    <s v="Units"/>
    <x v="1"/>
    <n v="-5.274"/>
  </r>
  <r>
    <n v="200"/>
    <x v="3"/>
    <x v="58"/>
    <x v="8"/>
    <s v="Percent change"/>
    <s v="Units"/>
    <x v="2"/>
    <n v="1.698"/>
  </r>
  <r>
    <n v="200"/>
    <x v="3"/>
    <x v="58"/>
    <x v="8"/>
    <s v="Percent change"/>
    <s v="Units"/>
    <x v="3"/>
    <n v="6.1379999999999999"/>
  </r>
  <r>
    <n v="200"/>
    <x v="3"/>
    <x v="58"/>
    <x v="8"/>
    <s v="Percent change"/>
    <s v="Units"/>
    <x v="4"/>
    <n v="-2.2309999999999999"/>
  </r>
  <r>
    <n v="200"/>
    <x v="3"/>
    <x v="58"/>
    <x v="8"/>
    <s v="Percent change"/>
    <s v="Units"/>
    <x v="5"/>
    <n v="-1.4370000000000001"/>
  </r>
  <r>
    <n v="200"/>
    <x v="3"/>
    <x v="58"/>
    <x v="8"/>
    <s v="Percent change"/>
    <s v="Units"/>
    <x v="6"/>
    <n v="3.8029999999999999"/>
  </r>
  <r>
    <n v="123"/>
    <x v="9"/>
    <x v="12"/>
    <x v="12"/>
    <s v="Percent of potential GDP"/>
    <s v="Units"/>
    <x v="0"/>
    <n v="-4.1070000000000002"/>
  </r>
  <r>
    <n v="123"/>
    <x v="9"/>
    <x v="12"/>
    <x v="12"/>
    <s v="Percent of potential GDP"/>
    <s v="Units"/>
    <x v="1"/>
    <n v="-7.8460000000000001"/>
  </r>
  <r>
    <n v="123"/>
    <x v="9"/>
    <x v="12"/>
    <x v="12"/>
    <s v="Percent of potential GDP"/>
    <s v="Units"/>
    <x v="2"/>
    <n v="-5.9720000000000004"/>
  </r>
  <r>
    <n v="123"/>
    <x v="9"/>
    <x v="12"/>
    <x v="12"/>
    <s v="Percent of potential GDP"/>
    <s v="Units"/>
    <x v="3"/>
    <n v="-2.3170000000000002"/>
  </r>
  <r>
    <n v="123"/>
    <x v="9"/>
    <x v="12"/>
    <x v="12"/>
    <s v="Percent of potential GDP"/>
    <s v="Units"/>
    <x v="4"/>
    <n v="-1.149"/>
  </r>
  <r>
    <n v="123"/>
    <x v="9"/>
    <x v="12"/>
    <x v="12"/>
    <s v="Percent of potential GDP"/>
    <s v="Units"/>
    <x v="5"/>
    <n v="-1.48"/>
  </r>
  <r>
    <n v="123"/>
    <x v="9"/>
    <x v="12"/>
    <x v="12"/>
    <s v="Percent of potential GDP"/>
    <s v="Units"/>
    <x v="6"/>
    <n v="-1.4690000000000001"/>
  </r>
  <r>
    <n v="110"/>
    <x v="0"/>
    <x v="12"/>
    <x v="12"/>
    <s v="Percent of potential GDP"/>
    <s v="Units"/>
    <x v="0"/>
    <n v="-4.1070000000000002"/>
  </r>
  <r>
    <n v="110"/>
    <x v="0"/>
    <x v="12"/>
    <x v="12"/>
    <s v="Percent of potential GDP"/>
    <s v="Units"/>
    <x v="1"/>
    <n v="-7.8460000000000001"/>
  </r>
  <r>
    <n v="110"/>
    <x v="0"/>
    <x v="12"/>
    <x v="12"/>
    <s v="Percent of potential GDP"/>
    <s v="Units"/>
    <x v="2"/>
    <n v="-5.9720000000000004"/>
  </r>
  <r>
    <n v="110"/>
    <x v="0"/>
    <x v="12"/>
    <x v="12"/>
    <s v="Percent of potential GDP"/>
    <s v="Units"/>
    <x v="3"/>
    <n v="-2.3170000000000002"/>
  </r>
  <r>
    <n v="110"/>
    <x v="0"/>
    <x v="12"/>
    <x v="12"/>
    <s v="Percent of potential GDP"/>
    <s v="Units"/>
    <x v="4"/>
    <n v="-1.149"/>
  </r>
  <r>
    <n v="110"/>
    <x v="0"/>
    <x v="12"/>
    <x v="12"/>
    <s v="Percent of potential GDP"/>
    <s v="Units"/>
    <x v="5"/>
    <n v="-1.48"/>
  </r>
  <r>
    <n v="110"/>
    <x v="0"/>
    <x v="12"/>
    <x v="12"/>
    <s v="Percent of potential GDP"/>
    <s v="Units"/>
    <x v="6"/>
    <n v="-1.4690000000000001"/>
  </r>
  <r>
    <n v="110"/>
    <x v="0"/>
    <x v="22"/>
    <x v="13"/>
    <s v="Percent of potential GDP"/>
    <s v="Units"/>
    <x v="0"/>
    <n v="1.5820000000000001"/>
  </r>
  <r>
    <n v="110"/>
    <x v="0"/>
    <x v="22"/>
    <x v="13"/>
    <s v="Percent of potential GDP"/>
    <s v="Units"/>
    <x v="1"/>
    <n v="-3.0390000000000001"/>
  </r>
  <r>
    <n v="110"/>
    <x v="0"/>
    <x v="22"/>
    <x v="13"/>
    <s v="Percent of potential GDP"/>
    <s v="Units"/>
    <x v="2"/>
    <n v="1.208"/>
  </r>
  <r>
    <n v="110"/>
    <x v="0"/>
    <x v="22"/>
    <x v="13"/>
    <s v="Percent of potential GDP"/>
    <s v="Units"/>
    <x v="3"/>
    <n v="1.6970000000000001"/>
  </r>
  <r>
    <n v="110"/>
    <x v="0"/>
    <x v="22"/>
    <x v="13"/>
    <s v="Percent of potential GDP"/>
    <s v="Units"/>
    <x v="4"/>
    <n v="-0.157"/>
  </r>
  <r>
    <n v="110"/>
    <x v="0"/>
    <x v="22"/>
    <x v="13"/>
    <s v="Percent of potential GDP"/>
    <s v="Units"/>
    <x v="5"/>
    <n v="-1.502"/>
  </r>
  <r>
    <n v="110"/>
    <x v="0"/>
    <x v="22"/>
    <x v="13"/>
    <s v="Percent of potential GDP"/>
    <s v="Units"/>
    <x v="6"/>
    <n v="-0.88900000000000001"/>
  </r>
  <r>
    <n v="163"/>
    <x v="5"/>
    <x v="78"/>
    <x v="9"/>
    <s v="Percent of GDP"/>
    <s v="Units"/>
    <x v="0"/>
    <n v="2.2200000000000002"/>
  </r>
  <r>
    <n v="163"/>
    <x v="5"/>
    <x v="78"/>
    <x v="9"/>
    <s v="Percent of GDP"/>
    <s v="Units"/>
    <x v="1"/>
    <n v="-7.2919999999999998"/>
  </r>
  <r>
    <n v="163"/>
    <x v="5"/>
    <x v="78"/>
    <x v="9"/>
    <s v="Percent of GDP"/>
    <s v="Units"/>
    <x v="2"/>
    <n v="-2.5009999999999999"/>
  </r>
  <r>
    <n v="163"/>
    <x v="5"/>
    <x v="78"/>
    <x v="9"/>
    <s v="Percent of GDP"/>
    <s v="Units"/>
    <x v="3"/>
    <n v="0.111"/>
  </r>
  <r>
    <n v="163"/>
    <x v="5"/>
    <x v="78"/>
    <x v="9"/>
    <s v="Percent of GDP"/>
    <s v="Units"/>
    <x v="4"/>
    <n v="0.21099999999999999"/>
  </r>
  <r>
    <n v="163"/>
    <x v="5"/>
    <x v="78"/>
    <x v="9"/>
    <s v="Percent of GDP"/>
    <s v="Units"/>
    <x v="5"/>
    <n v="-1.5129999999999999"/>
  </r>
  <r>
    <n v="163"/>
    <x v="5"/>
    <x v="78"/>
    <x v="9"/>
    <s v="Percent of GDP"/>
    <s v="Units"/>
    <x v="6"/>
    <n v="-1.34"/>
  </r>
  <r>
    <n v="998"/>
    <x v="6"/>
    <x v="78"/>
    <x v="9"/>
    <s v="Percent of GDP"/>
    <s v="Units"/>
    <x v="0"/>
    <n v="2.2200000000000002"/>
  </r>
  <r>
    <n v="998"/>
    <x v="6"/>
    <x v="78"/>
    <x v="9"/>
    <s v="Percent of GDP"/>
    <s v="Units"/>
    <x v="1"/>
    <n v="-7.2919999999999998"/>
  </r>
  <r>
    <n v="998"/>
    <x v="6"/>
    <x v="78"/>
    <x v="9"/>
    <s v="Percent of GDP"/>
    <s v="Units"/>
    <x v="2"/>
    <n v="-2.5009999999999999"/>
  </r>
  <r>
    <n v="998"/>
    <x v="6"/>
    <x v="78"/>
    <x v="9"/>
    <s v="Percent of GDP"/>
    <s v="Units"/>
    <x v="3"/>
    <n v="0.111"/>
  </r>
  <r>
    <n v="998"/>
    <x v="6"/>
    <x v="78"/>
    <x v="9"/>
    <s v="Percent of GDP"/>
    <s v="Units"/>
    <x v="4"/>
    <n v="0.21099999999999999"/>
  </r>
  <r>
    <n v="998"/>
    <x v="6"/>
    <x v="78"/>
    <x v="9"/>
    <s v="Percent of GDP"/>
    <s v="Units"/>
    <x v="5"/>
    <n v="-1.5129999999999999"/>
  </r>
  <r>
    <n v="998"/>
    <x v="6"/>
    <x v="78"/>
    <x v="9"/>
    <s v="Percent of GDP"/>
    <s v="Units"/>
    <x v="6"/>
    <n v="-1.34"/>
  </r>
  <r>
    <n v="110"/>
    <x v="0"/>
    <x v="78"/>
    <x v="9"/>
    <s v="Percent of GDP"/>
    <s v="Units"/>
    <x v="0"/>
    <n v="2.2200000000000002"/>
  </r>
  <r>
    <n v="110"/>
    <x v="0"/>
    <x v="78"/>
    <x v="9"/>
    <s v="Percent of GDP"/>
    <s v="Units"/>
    <x v="1"/>
    <n v="-7.2919999999999998"/>
  </r>
  <r>
    <n v="110"/>
    <x v="0"/>
    <x v="78"/>
    <x v="9"/>
    <s v="Percent of GDP"/>
    <s v="Units"/>
    <x v="2"/>
    <n v="-2.5009999999999999"/>
  </r>
  <r>
    <n v="110"/>
    <x v="0"/>
    <x v="78"/>
    <x v="9"/>
    <s v="Percent of GDP"/>
    <s v="Units"/>
    <x v="3"/>
    <n v="0.111"/>
  </r>
  <r>
    <n v="110"/>
    <x v="0"/>
    <x v="78"/>
    <x v="9"/>
    <s v="Percent of GDP"/>
    <s v="Units"/>
    <x v="4"/>
    <n v="0.21099999999999999"/>
  </r>
  <r>
    <n v="110"/>
    <x v="0"/>
    <x v="78"/>
    <x v="9"/>
    <s v="Percent of GDP"/>
    <s v="Units"/>
    <x v="5"/>
    <n v="-1.5129999999999999"/>
  </r>
  <r>
    <n v="110"/>
    <x v="0"/>
    <x v="78"/>
    <x v="9"/>
    <s v="Percent of GDP"/>
    <s v="Units"/>
    <x v="6"/>
    <n v="-1.34"/>
  </r>
  <r>
    <n v="998"/>
    <x v="6"/>
    <x v="2"/>
    <x v="9"/>
    <s v="Percent of GDP"/>
    <s v="Units"/>
    <x v="0"/>
    <n v="1.526"/>
  </r>
  <r>
    <n v="998"/>
    <x v="6"/>
    <x v="2"/>
    <x v="9"/>
    <s v="Percent of GDP"/>
    <s v="Units"/>
    <x v="1"/>
    <n v="-4.3390000000000004"/>
  </r>
  <r>
    <n v="998"/>
    <x v="6"/>
    <x v="2"/>
    <x v="9"/>
    <s v="Percent of GDP"/>
    <s v="Units"/>
    <x v="2"/>
    <n v="-3.5870000000000002"/>
  </r>
  <r>
    <n v="998"/>
    <x v="6"/>
    <x v="2"/>
    <x v="9"/>
    <s v="Percent of GDP"/>
    <s v="Units"/>
    <x v="3"/>
    <n v="-2.5"/>
  </r>
  <r>
    <n v="998"/>
    <x v="6"/>
    <x v="2"/>
    <x v="9"/>
    <s v="Percent of GDP"/>
    <s v="Units"/>
    <x v="4"/>
    <n v="-2.12"/>
  </r>
  <r>
    <n v="998"/>
    <x v="6"/>
    <x v="2"/>
    <x v="9"/>
    <s v="Percent of GDP"/>
    <s v="Units"/>
    <x v="5"/>
    <n v="-1.5249999999999999"/>
  </r>
  <r>
    <n v="998"/>
    <x v="6"/>
    <x v="2"/>
    <x v="9"/>
    <s v="Percent of GDP"/>
    <s v="Units"/>
    <x v="6"/>
    <n v="-1.256"/>
  </r>
  <r>
    <n v="119"/>
    <x v="1"/>
    <x v="2"/>
    <x v="9"/>
    <s v="Percent of GDP"/>
    <s v="Units"/>
    <x v="0"/>
    <n v="1.526"/>
  </r>
  <r>
    <n v="119"/>
    <x v="1"/>
    <x v="2"/>
    <x v="9"/>
    <s v="Percent of GDP"/>
    <s v="Units"/>
    <x v="1"/>
    <n v="-4.3390000000000004"/>
  </r>
  <r>
    <n v="119"/>
    <x v="1"/>
    <x v="2"/>
    <x v="9"/>
    <s v="Percent of GDP"/>
    <s v="Units"/>
    <x v="2"/>
    <n v="-3.5870000000000002"/>
  </r>
  <r>
    <n v="119"/>
    <x v="1"/>
    <x v="2"/>
    <x v="9"/>
    <s v="Percent of GDP"/>
    <s v="Units"/>
    <x v="3"/>
    <n v="-2.5"/>
  </r>
  <r>
    <n v="119"/>
    <x v="1"/>
    <x v="2"/>
    <x v="9"/>
    <s v="Percent of GDP"/>
    <s v="Units"/>
    <x v="4"/>
    <n v="-2.12"/>
  </r>
  <r>
    <n v="119"/>
    <x v="1"/>
    <x v="2"/>
    <x v="9"/>
    <s v="Percent of GDP"/>
    <s v="Units"/>
    <x v="5"/>
    <n v="-1.5249999999999999"/>
  </r>
  <r>
    <n v="119"/>
    <x v="1"/>
    <x v="2"/>
    <x v="9"/>
    <s v="Percent of GDP"/>
    <s v="Units"/>
    <x v="6"/>
    <n v="-1.256"/>
  </r>
  <r>
    <n v="163"/>
    <x v="5"/>
    <x v="2"/>
    <x v="9"/>
    <s v="Percent of GDP"/>
    <s v="Units"/>
    <x v="0"/>
    <n v="1.526"/>
  </r>
  <r>
    <n v="163"/>
    <x v="5"/>
    <x v="2"/>
    <x v="9"/>
    <s v="Percent of GDP"/>
    <s v="Units"/>
    <x v="1"/>
    <n v="-4.3390000000000004"/>
  </r>
  <r>
    <n v="163"/>
    <x v="5"/>
    <x v="2"/>
    <x v="9"/>
    <s v="Percent of GDP"/>
    <s v="Units"/>
    <x v="2"/>
    <n v="-3.5870000000000002"/>
  </r>
  <r>
    <n v="163"/>
    <x v="5"/>
    <x v="2"/>
    <x v="9"/>
    <s v="Percent of GDP"/>
    <s v="Units"/>
    <x v="3"/>
    <n v="-2.5"/>
  </r>
  <r>
    <n v="163"/>
    <x v="5"/>
    <x v="2"/>
    <x v="9"/>
    <s v="Percent of GDP"/>
    <s v="Units"/>
    <x v="4"/>
    <n v="-2.12"/>
  </r>
  <r>
    <n v="163"/>
    <x v="5"/>
    <x v="2"/>
    <x v="9"/>
    <s v="Percent of GDP"/>
    <s v="Units"/>
    <x v="5"/>
    <n v="-1.5249999999999999"/>
  </r>
  <r>
    <n v="163"/>
    <x v="5"/>
    <x v="2"/>
    <x v="9"/>
    <s v="Percent of GDP"/>
    <s v="Units"/>
    <x v="6"/>
    <n v="-1.256"/>
  </r>
  <r>
    <n v="110"/>
    <x v="0"/>
    <x v="2"/>
    <x v="9"/>
    <s v="Percent of GDP"/>
    <s v="Units"/>
    <x v="0"/>
    <n v="1.526"/>
  </r>
  <r>
    <n v="110"/>
    <x v="0"/>
    <x v="2"/>
    <x v="9"/>
    <s v="Percent of GDP"/>
    <s v="Units"/>
    <x v="1"/>
    <n v="-4.3390000000000004"/>
  </r>
  <r>
    <n v="110"/>
    <x v="0"/>
    <x v="2"/>
    <x v="9"/>
    <s v="Percent of GDP"/>
    <s v="Units"/>
    <x v="2"/>
    <n v="-3.5870000000000002"/>
  </r>
  <r>
    <n v="110"/>
    <x v="0"/>
    <x v="2"/>
    <x v="9"/>
    <s v="Percent of GDP"/>
    <s v="Units"/>
    <x v="3"/>
    <n v="-2.5"/>
  </r>
  <r>
    <n v="110"/>
    <x v="0"/>
    <x v="2"/>
    <x v="9"/>
    <s v="Percent of GDP"/>
    <s v="Units"/>
    <x v="4"/>
    <n v="-2.12"/>
  </r>
  <r>
    <n v="110"/>
    <x v="0"/>
    <x v="2"/>
    <x v="9"/>
    <s v="Percent of GDP"/>
    <s v="Units"/>
    <x v="5"/>
    <n v="-1.5249999999999999"/>
  </r>
  <r>
    <n v="110"/>
    <x v="0"/>
    <x v="2"/>
    <x v="9"/>
    <s v="Percent of GDP"/>
    <s v="Units"/>
    <x v="6"/>
    <n v="-1.256"/>
  </r>
  <r>
    <n v="200"/>
    <x v="3"/>
    <x v="89"/>
    <x v="9"/>
    <s v="Percent of GDP"/>
    <s v="Units"/>
    <x v="0"/>
    <n v="-2.363"/>
  </r>
  <r>
    <n v="200"/>
    <x v="3"/>
    <x v="89"/>
    <x v="9"/>
    <s v="Percent of GDP"/>
    <s v="Units"/>
    <x v="1"/>
    <n v="-3.1989999999999998"/>
  </r>
  <r>
    <n v="200"/>
    <x v="3"/>
    <x v="89"/>
    <x v="9"/>
    <s v="Percent of GDP"/>
    <s v="Units"/>
    <x v="2"/>
    <n v="-1.7509999999999999"/>
  </r>
  <r>
    <n v="200"/>
    <x v="3"/>
    <x v="89"/>
    <x v="9"/>
    <s v="Percent of GDP"/>
    <s v="Units"/>
    <x v="3"/>
    <n v="-0.52200000000000002"/>
  </r>
  <r>
    <n v="200"/>
    <x v="3"/>
    <x v="89"/>
    <x v="9"/>
    <s v="Percent of GDP"/>
    <s v="Units"/>
    <x v="4"/>
    <n v="-2.2440000000000002"/>
  </r>
  <r>
    <n v="200"/>
    <x v="3"/>
    <x v="89"/>
    <x v="9"/>
    <s v="Percent of GDP"/>
    <s v="Units"/>
    <x v="5"/>
    <n v="-1.571"/>
  </r>
  <r>
    <n v="200"/>
    <x v="3"/>
    <x v="89"/>
    <x v="9"/>
    <s v="Percent of GDP"/>
    <s v="Units"/>
    <x v="6"/>
    <n v="-1.179"/>
  </r>
  <r>
    <n v="603"/>
    <x v="12"/>
    <x v="89"/>
    <x v="9"/>
    <s v="Percent of GDP"/>
    <s v="Units"/>
    <x v="0"/>
    <n v="-2.363"/>
  </r>
  <r>
    <n v="603"/>
    <x v="12"/>
    <x v="89"/>
    <x v="9"/>
    <s v="Percent of GDP"/>
    <s v="Units"/>
    <x v="1"/>
    <n v="-3.1989999999999998"/>
  </r>
  <r>
    <n v="603"/>
    <x v="12"/>
    <x v="89"/>
    <x v="9"/>
    <s v="Percent of GDP"/>
    <s v="Units"/>
    <x v="2"/>
    <n v="-1.7509999999999999"/>
  </r>
  <r>
    <n v="603"/>
    <x v="12"/>
    <x v="89"/>
    <x v="9"/>
    <s v="Percent of GDP"/>
    <s v="Units"/>
    <x v="3"/>
    <n v="-0.52200000000000002"/>
  </r>
  <r>
    <n v="603"/>
    <x v="12"/>
    <x v="89"/>
    <x v="9"/>
    <s v="Percent of GDP"/>
    <s v="Units"/>
    <x v="4"/>
    <n v="-2.2440000000000002"/>
  </r>
  <r>
    <n v="603"/>
    <x v="12"/>
    <x v="89"/>
    <x v="9"/>
    <s v="Percent of GDP"/>
    <s v="Units"/>
    <x v="5"/>
    <n v="-1.571"/>
  </r>
  <r>
    <n v="603"/>
    <x v="12"/>
    <x v="89"/>
    <x v="9"/>
    <s v="Percent of GDP"/>
    <s v="Units"/>
    <x v="6"/>
    <n v="-1.179"/>
  </r>
  <r>
    <n v="200"/>
    <x v="3"/>
    <x v="91"/>
    <x v="9"/>
    <s v="Percent of GDP"/>
    <s v="Units"/>
    <x v="0"/>
    <n v="0.91"/>
  </r>
  <r>
    <n v="200"/>
    <x v="3"/>
    <x v="91"/>
    <x v="9"/>
    <s v="Percent of GDP"/>
    <s v="Units"/>
    <x v="1"/>
    <n v="-2.87"/>
  </r>
  <r>
    <n v="200"/>
    <x v="3"/>
    <x v="91"/>
    <x v="9"/>
    <s v="Percent of GDP"/>
    <s v="Units"/>
    <x v="2"/>
    <n v="-1.738"/>
  </r>
  <r>
    <n v="200"/>
    <x v="3"/>
    <x v="91"/>
    <x v="9"/>
    <s v="Percent of GDP"/>
    <s v="Units"/>
    <x v="3"/>
    <n v="-4.5010000000000003"/>
  </r>
  <r>
    <n v="200"/>
    <x v="3"/>
    <x v="91"/>
    <x v="9"/>
    <s v="Percent of GDP"/>
    <s v="Units"/>
    <x v="4"/>
    <n v="-2.3140000000000001"/>
  </r>
  <r>
    <n v="200"/>
    <x v="3"/>
    <x v="91"/>
    <x v="9"/>
    <s v="Percent of GDP"/>
    <s v="Units"/>
    <x v="5"/>
    <n v="-1.6359999999999999"/>
  </r>
  <r>
    <n v="200"/>
    <x v="3"/>
    <x v="91"/>
    <x v="9"/>
    <s v="Percent of GDP"/>
    <s v="Units"/>
    <x v="6"/>
    <n v="-1.623"/>
  </r>
  <r>
    <n v="200"/>
    <x v="3"/>
    <x v="159"/>
    <x v="9"/>
    <s v="Percent of GDP"/>
    <s v="Units"/>
    <x v="0"/>
    <n v="3.5270000000000001"/>
  </r>
  <r>
    <n v="200"/>
    <x v="3"/>
    <x v="159"/>
    <x v="9"/>
    <s v="Percent of GDP"/>
    <s v="Units"/>
    <x v="1"/>
    <n v="-4.7949999999999999"/>
  </r>
  <r>
    <n v="200"/>
    <x v="3"/>
    <x v="159"/>
    <x v="9"/>
    <s v="Percent of GDP"/>
    <s v="Units"/>
    <x v="2"/>
    <n v="-4.7"/>
  </r>
  <r>
    <n v="200"/>
    <x v="3"/>
    <x v="159"/>
    <x v="9"/>
    <s v="Percent of GDP"/>
    <s v="Units"/>
    <x v="3"/>
    <n v="-2.0009999999999999"/>
  </r>
  <r>
    <n v="200"/>
    <x v="3"/>
    <x v="159"/>
    <x v="9"/>
    <s v="Percent of GDP"/>
    <s v="Units"/>
    <x v="4"/>
    <n v="-1.9610000000000001"/>
  </r>
  <r>
    <n v="200"/>
    <x v="3"/>
    <x v="159"/>
    <x v="9"/>
    <s v="Percent of GDP"/>
    <s v="Units"/>
    <x v="5"/>
    <n v="-1.6359999999999999"/>
  </r>
  <r>
    <n v="200"/>
    <x v="3"/>
    <x v="159"/>
    <x v="9"/>
    <s v="Percent of GDP"/>
    <s v="Units"/>
    <x v="6"/>
    <n v="-0.38700000000000001"/>
  </r>
  <r>
    <n v="903"/>
    <x v="8"/>
    <x v="91"/>
    <x v="9"/>
    <s v="Percent of GDP"/>
    <s v="Units"/>
    <x v="0"/>
    <n v="0.91"/>
  </r>
  <r>
    <n v="903"/>
    <x v="8"/>
    <x v="91"/>
    <x v="9"/>
    <s v="Percent of GDP"/>
    <s v="Units"/>
    <x v="1"/>
    <n v="-2.87"/>
  </r>
  <r>
    <n v="903"/>
    <x v="8"/>
    <x v="91"/>
    <x v="9"/>
    <s v="Percent of GDP"/>
    <s v="Units"/>
    <x v="2"/>
    <n v="-1.738"/>
  </r>
  <r>
    <n v="903"/>
    <x v="8"/>
    <x v="91"/>
    <x v="9"/>
    <s v="Percent of GDP"/>
    <s v="Units"/>
    <x v="3"/>
    <n v="-4.5010000000000003"/>
  </r>
  <r>
    <n v="903"/>
    <x v="8"/>
    <x v="91"/>
    <x v="9"/>
    <s v="Percent of GDP"/>
    <s v="Units"/>
    <x v="4"/>
    <n v="-2.3140000000000001"/>
  </r>
  <r>
    <n v="903"/>
    <x v="8"/>
    <x v="91"/>
    <x v="9"/>
    <s v="Percent of GDP"/>
    <s v="Units"/>
    <x v="5"/>
    <n v="-1.6359999999999999"/>
  </r>
  <r>
    <n v="903"/>
    <x v="8"/>
    <x v="91"/>
    <x v="9"/>
    <s v="Percent of GDP"/>
    <s v="Units"/>
    <x v="6"/>
    <n v="-1.623"/>
  </r>
  <r>
    <n v="205"/>
    <x v="7"/>
    <x v="159"/>
    <x v="9"/>
    <s v="Percent of GDP"/>
    <s v="Units"/>
    <x v="0"/>
    <n v="3.5270000000000001"/>
  </r>
  <r>
    <n v="205"/>
    <x v="7"/>
    <x v="159"/>
    <x v="9"/>
    <s v="Percent of GDP"/>
    <s v="Units"/>
    <x v="1"/>
    <n v="-4.7949999999999999"/>
  </r>
  <r>
    <n v="205"/>
    <x v="7"/>
    <x v="159"/>
    <x v="9"/>
    <s v="Percent of GDP"/>
    <s v="Units"/>
    <x v="2"/>
    <n v="-4.7"/>
  </r>
  <r>
    <n v="205"/>
    <x v="7"/>
    <x v="159"/>
    <x v="9"/>
    <s v="Percent of GDP"/>
    <s v="Units"/>
    <x v="3"/>
    <n v="-2.0009999999999999"/>
  </r>
  <r>
    <n v="205"/>
    <x v="7"/>
    <x v="159"/>
    <x v="9"/>
    <s v="Percent of GDP"/>
    <s v="Units"/>
    <x v="4"/>
    <n v="-1.9610000000000001"/>
  </r>
  <r>
    <n v="205"/>
    <x v="7"/>
    <x v="159"/>
    <x v="9"/>
    <s v="Percent of GDP"/>
    <s v="Units"/>
    <x v="5"/>
    <n v="-1.6359999999999999"/>
  </r>
  <r>
    <n v="205"/>
    <x v="7"/>
    <x v="159"/>
    <x v="9"/>
    <s v="Percent of GDP"/>
    <s v="Units"/>
    <x v="6"/>
    <n v="-0.38700000000000001"/>
  </r>
  <r>
    <n v="200"/>
    <x v="3"/>
    <x v="134"/>
    <x v="9"/>
    <s v="Percent of GDP"/>
    <s v="Units"/>
    <x v="0"/>
    <n v="2.6480000000000001"/>
  </r>
  <r>
    <n v="200"/>
    <x v="3"/>
    <x v="134"/>
    <x v="9"/>
    <s v="Percent of GDP"/>
    <s v="Units"/>
    <x v="1"/>
    <n v="2.7839999999999998"/>
  </r>
  <r>
    <n v="200"/>
    <x v="3"/>
    <x v="134"/>
    <x v="9"/>
    <s v="Percent of GDP"/>
    <s v="Units"/>
    <x v="2"/>
    <n v="2.5979999999999999"/>
  </r>
  <r>
    <n v="200"/>
    <x v="3"/>
    <x v="134"/>
    <x v="9"/>
    <s v="Percent of GDP"/>
    <s v="Units"/>
    <x v="3"/>
    <n v="-3.0209999999999999"/>
  </r>
  <r>
    <n v="200"/>
    <x v="3"/>
    <x v="134"/>
    <x v="9"/>
    <s v="Percent of GDP"/>
    <s v="Units"/>
    <x v="4"/>
    <n v="-2.5019999999999998"/>
  </r>
  <r>
    <n v="200"/>
    <x v="3"/>
    <x v="134"/>
    <x v="9"/>
    <s v="Percent of GDP"/>
    <s v="Units"/>
    <x v="5"/>
    <n v="-1.675"/>
  </r>
  <r>
    <n v="200"/>
    <x v="3"/>
    <x v="134"/>
    <x v="9"/>
    <s v="Percent of GDP"/>
    <s v="Units"/>
    <x v="6"/>
    <n v="-1.264"/>
  </r>
  <r>
    <n v="400"/>
    <x v="11"/>
    <x v="134"/>
    <x v="9"/>
    <s v="Percent of GDP"/>
    <s v="Units"/>
    <x v="0"/>
    <n v="2.6480000000000001"/>
  </r>
  <r>
    <n v="400"/>
    <x v="11"/>
    <x v="134"/>
    <x v="9"/>
    <s v="Percent of GDP"/>
    <s v="Units"/>
    <x v="1"/>
    <n v="2.7839999999999998"/>
  </r>
  <r>
    <n v="400"/>
    <x v="11"/>
    <x v="134"/>
    <x v="9"/>
    <s v="Percent of GDP"/>
    <s v="Units"/>
    <x v="2"/>
    <n v="2.5979999999999999"/>
  </r>
  <r>
    <n v="400"/>
    <x v="11"/>
    <x v="134"/>
    <x v="9"/>
    <s v="Percent of GDP"/>
    <s v="Units"/>
    <x v="3"/>
    <n v="-3.0209999999999999"/>
  </r>
  <r>
    <n v="400"/>
    <x v="11"/>
    <x v="134"/>
    <x v="9"/>
    <s v="Percent of GDP"/>
    <s v="Units"/>
    <x v="4"/>
    <n v="-2.5019999999999998"/>
  </r>
  <r>
    <n v="400"/>
    <x v="11"/>
    <x v="134"/>
    <x v="9"/>
    <s v="Percent of GDP"/>
    <s v="Units"/>
    <x v="5"/>
    <n v="-1.675"/>
  </r>
  <r>
    <n v="400"/>
    <x v="11"/>
    <x v="134"/>
    <x v="9"/>
    <s v="Percent of GDP"/>
    <s v="Units"/>
    <x v="6"/>
    <n v="-1.264"/>
  </r>
  <r>
    <n v="110"/>
    <x v="0"/>
    <x v="76"/>
    <x v="13"/>
    <s v="Percent of potential GDP"/>
    <s v="Units"/>
    <x v="0"/>
    <n v="0.72099999999999997"/>
  </r>
  <r>
    <n v="110"/>
    <x v="0"/>
    <x v="76"/>
    <x v="13"/>
    <s v="Percent of potential GDP"/>
    <s v="Units"/>
    <x v="1"/>
    <n v="-1.7290000000000001"/>
  </r>
  <r>
    <n v="110"/>
    <x v="0"/>
    <x v="76"/>
    <x v="13"/>
    <s v="Percent of potential GDP"/>
    <s v="Units"/>
    <x v="2"/>
    <n v="2.895"/>
  </r>
  <r>
    <n v="110"/>
    <x v="0"/>
    <x v="76"/>
    <x v="13"/>
    <s v="Percent of potential GDP"/>
    <s v="Units"/>
    <x v="3"/>
    <n v="2.0640000000000001"/>
  </r>
  <r>
    <n v="110"/>
    <x v="0"/>
    <x v="76"/>
    <x v="13"/>
    <s v="Percent of potential GDP"/>
    <s v="Units"/>
    <x v="4"/>
    <n v="-1.0029999999999999"/>
  </r>
  <r>
    <n v="110"/>
    <x v="0"/>
    <x v="76"/>
    <x v="13"/>
    <s v="Percent of potential GDP"/>
    <s v="Units"/>
    <x v="5"/>
    <n v="-1.6890000000000001"/>
  </r>
  <r>
    <n v="110"/>
    <x v="0"/>
    <x v="76"/>
    <x v="13"/>
    <s v="Percent of potential GDP"/>
    <s v="Units"/>
    <x v="6"/>
    <n v="-0.80500000000000005"/>
  </r>
  <r>
    <n v="163"/>
    <x v="5"/>
    <x v="76"/>
    <x v="13"/>
    <s v="Percent of potential GDP"/>
    <s v="Units"/>
    <x v="0"/>
    <n v="0.72099999999999997"/>
  </r>
  <r>
    <n v="163"/>
    <x v="5"/>
    <x v="76"/>
    <x v="13"/>
    <s v="Percent of potential GDP"/>
    <s v="Units"/>
    <x v="1"/>
    <n v="-1.7290000000000001"/>
  </r>
  <r>
    <n v="163"/>
    <x v="5"/>
    <x v="76"/>
    <x v="13"/>
    <s v="Percent of potential GDP"/>
    <s v="Units"/>
    <x v="2"/>
    <n v="2.895"/>
  </r>
  <r>
    <n v="163"/>
    <x v="5"/>
    <x v="76"/>
    <x v="13"/>
    <s v="Percent of potential GDP"/>
    <s v="Units"/>
    <x v="3"/>
    <n v="2.0640000000000001"/>
  </r>
  <r>
    <n v="163"/>
    <x v="5"/>
    <x v="76"/>
    <x v="13"/>
    <s v="Percent of potential GDP"/>
    <s v="Units"/>
    <x v="4"/>
    <n v="-1.0029999999999999"/>
  </r>
  <r>
    <n v="163"/>
    <x v="5"/>
    <x v="76"/>
    <x v="13"/>
    <s v="Percent of potential GDP"/>
    <s v="Units"/>
    <x v="5"/>
    <n v="-1.6890000000000001"/>
  </r>
  <r>
    <n v="163"/>
    <x v="5"/>
    <x v="76"/>
    <x v="13"/>
    <s v="Percent of potential GDP"/>
    <s v="Units"/>
    <x v="6"/>
    <n v="-0.80500000000000005"/>
  </r>
  <r>
    <n v="505"/>
    <x v="4"/>
    <x v="112"/>
    <x v="9"/>
    <s v="Percent of GDP"/>
    <s v="Units"/>
    <x v="0"/>
    <n v="2.1880000000000002"/>
  </r>
  <r>
    <n v="505"/>
    <x v="4"/>
    <x v="112"/>
    <x v="9"/>
    <s v="Percent of GDP"/>
    <s v="Units"/>
    <x v="1"/>
    <n v="-2.528"/>
  </r>
  <r>
    <n v="505"/>
    <x v="4"/>
    <x v="112"/>
    <x v="9"/>
    <s v="Percent of GDP"/>
    <s v="Units"/>
    <x v="2"/>
    <n v="-5.1769999999999996"/>
  </r>
  <r>
    <n v="505"/>
    <x v="4"/>
    <x v="112"/>
    <x v="9"/>
    <s v="Percent of GDP"/>
    <s v="Units"/>
    <x v="3"/>
    <n v="0.245"/>
  </r>
  <r>
    <n v="505"/>
    <x v="4"/>
    <x v="112"/>
    <x v="9"/>
    <s v="Percent of GDP"/>
    <s v="Units"/>
    <x v="4"/>
    <n v="-2.2480000000000002"/>
  </r>
  <r>
    <n v="505"/>
    <x v="4"/>
    <x v="112"/>
    <x v="9"/>
    <s v="Percent of GDP"/>
    <s v="Units"/>
    <x v="5"/>
    <n v="-1.7190000000000001"/>
  </r>
  <r>
    <n v="505"/>
    <x v="4"/>
    <x v="112"/>
    <x v="9"/>
    <s v="Percent of GDP"/>
    <s v="Units"/>
    <x v="6"/>
    <n v="-1.6719999999999999"/>
  </r>
  <r>
    <n v="200"/>
    <x v="3"/>
    <x v="112"/>
    <x v="9"/>
    <s v="Percent of GDP"/>
    <s v="Units"/>
    <x v="0"/>
    <n v="2.1880000000000002"/>
  </r>
  <r>
    <n v="200"/>
    <x v="3"/>
    <x v="112"/>
    <x v="9"/>
    <s v="Percent of GDP"/>
    <s v="Units"/>
    <x v="1"/>
    <n v="-2.528"/>
  </r>
  <r>
    <n v="200"/>
    <x v="3"/>
    <x v="112"/>
    <x v="9"/>
    <s v="Percent of GDP"/>
    <s v="Units"/>
    <x v="2"/>
    <n v="-5.1769999999999996"/>
  </r>
  <r>
    <n v="200"/>
    <x v="3"/>
    <x v="112"/>
    <x v="9"/>
    <s v="Percent of GDP"/>
    <s v="Units"/>
    <x v="3"/>
    <n v="0.245"/>
  </r>
  <r>
    <n v="200"/>
    <x v="3"/>
    <x v="112"/>
    <x v="9"/>
    <s v="Percent of GDP"/>
    <s v="Units"/>
    <x v="4"/>
    <n v="-2.2480000000000002"/>
  </r>
  <r>
    <n v="200"/>
    <x v="3"/>
    <x v="112"/>
    <x v="9"/>
    <s v="Percent of GDP"/>
    <s v="Units"/>
    <x v="5"/>
    <n v="-1.7190000000000001"/>
  </r>
  <r>
    <n v="200"/>
    <x v="3"/>
    <x v="112"/>
    <x v="9"/>
    <s v="Percent of GDP"/>
    <s v="Units"/>
    <x v="6"/>
    <n v="-1.6719999999999999"/>
  </r>
  <r>
    <n v="200"/>
    <x v="3"/>
    <x v="131"/>
    <x v="9"/>
    <s v="Percent of GDP"/>
    <s v="Units"/>
    <x v="0"/>
    <n v="8.7999999999999995E-2"/>
  </r>
  <r>
    <n v="200"/>
    <x v="3"/>
    <x v="131"/>
    <x v="9"/>
    <s v="Percent of GDP"/>
    <s v="Units"/>
    <x v="1"/>
    <n v="-4.4930000000000003"/>
  </r>
  <r>
    <n v="200"/>
    <x v="3"/>
    <x v="131"/>
    <x v="9"/>
    <s v="Percent of GDP"/>
    <s v="Units"/>
    <x v="2"/>
    <n v="-3.1389999999999998"/>
  </r>
  <r>
    <n v="200"/>
    <x v="3"/>
    <x v="131"/>
    <x v="9"/>
    <s v="Percent of GDP"/>
    <s v="Units"/>
    <x v="3"/>
    <n v="1.65"/>
  </r>
  <r>
    <n v="200"/>
    <x v="3"/>
    <x v="131"/>
    <x v="9"/>
    <s v="Percent of GDP"/>
    <s v="Units"/>
    <x v="4"/>
    <n v="-1.23"/>
  </r>
  <r>
    <n v="200"/>
    <x v="3"/>
    <x v="131"/>
    <x v="9"/>
    <s v="Percent of GDP"/>
    <s v="Units"/>
    <x v="5"/>
    <n v="-1.726"/>
  </r>
  <r>
    <n v="200"/>
    <x v="3"/>
    <x v="131"/>
    <x v="9"/>
    <s v="Percent of GDP"/>
    <s v="Units"/>
    <x v="6"/>
    <n v="-1.6020000000000001"/>
  </r>
  <r>
    <n v="205"/>
    <x v="7"/>
    <x v="131"/>
    <x v="9"/>
    <s v="Percent of GDP"/>
    <s v="Units"/>
    <x v="0"/>
    <n v="8.7999999999999995E-2"/>
  </r>
  <r>
    <n v="205"/>
    <x v="7"/>
    <x v="131"/>
    <x v="9"/>
    <s v="Percent of GDP"/>
    <s v="Units"/>
    <x v="1"/>
    <n v="-4.4930000000000003"/>
  </r>
  <r>
    <n v="205"/>
    <x v="7"/>
    <x v="131"/>
    <x v="9"/>
    <s v="Percent of GDP"/>
    <s v="Units"/>
    <x v="2"/>
    <n v="-3.1389999999999998"/>
  </r>
  <r>
    <n v="205"/>
    <x v="7"/>
    <x v="131"/>
    <x v="9"/>
    <s v="Percent of GDP"/>
    <s v="Units"/>
    <x v="3"/>
    <n v="1.65"/>
  </r>
  <r>
    <n v="205"/>
    <x v="7"/>
    <x v="131"/>
    <x v="9"/>
    <s v="Percent of GDP"/>
    <s v="Units"/>
    <x v="4"/>
    <n v="-1.23"/>
  </r>
  <r>
    <n v="205"/>
    <x v="7"/>
    <x v="131"/>
    <x v="9"/>
    <s v="Percent of GDP"/>
    <s v="Units"/>
    <x v="5"/>
    <n v="-1.726"/>
  </r>
  <r>
    <n v="205"/>
    <x v="7"/>
    <x v="131"/>
    <x v="9"/>
    <s v="Percent of GDP"/>
    <s v="Units"/>
    <x v="6"/>
    <n v="-1.6020000000000001"/>
  </r>
  <r>
    <n v="163"/>
    <x v="5"/>
    <x v="45"/>
    <x v="12"/>
    <s v="Percent of potential GDP"/>
    <s v="Units"/>
    <x v="0"/>
    <n v="-1.3069999999999999"/>
  </r>
  <r>
    <n v="163"/>
    <x v="5"/>
    <x v="45"/>
    <x v="12"/>
    <s v="Percent of potential GDP"/>
    <s v="Units"/>
    <x v="1"/>
    <n v="-3.57"/>
  </r>
  <r>
    <n v="163"/>
    <x v="5"/>
    <x v="45"/>
    <x v="12"/>
    <s v="Percent of potential GDP"/>
    <s v="Units"/>
    <x v="2"/>
    <n v="-2.46"/>
  </r>
  <r>
    <n v="163"/>
    <x v="5"/>
    <x v="45"/>
    <x v="12"/>
    <s v="Percent of potential GDP"/>
    <s v="Units"/>
    <x v="3"/>
    <n v="-1.01"/>
  </r>
  <r>
    <n v="163"/>
    <x v="5"/>
    <x v="45"/>
    <x v="12"/>
    <s v="Percent of potential GDP"/>
    <s v="Units"/>
    <x v="4"/>
    <n v="-1.5009999999999999"/>
  </r>
  <r>
    <n v="163"/>
    <x v="5"/>
    <x v="45"/>
    <x v="12"/>
    <s v="Percent of potential GDP"/>
    <s v="Units"/>
    <x v="5"/>
    <n v="-1.75"/>
  </r>
  <r>
    <n v="163"/>
    <x v="5"/>
    <x v="45"/>
    <x v="12"/>
    <s v="Percent of potential GDP"/>
    <s v="Units"/>
    <x v="6"/>
    <n v="-2.2080000000000002"/>
  </r>
  <r>
    <n v="110"/>
    <x v="0"/>
    <x v="45"/>
    <x v="12"/>
    <s v="Percent of potential GDP"/>
    <s v="Units"/>
    <x v="0"/>
    <n v="-1.3069999999999999"/>
  </r>
  <r>
    <n v="110"/>
    <x v="0"/>
    <x v="45"/>
    <x v="12"/>
    <s v="Percent of potential GDP"/>
    <s v="Units"/>
    <x v="1"/>
    <n v="-3.57"/>
  </r>
  <r>
    <n v="110"/>
    <x v="0"/>
    <x v="45"/>
    <x v="12"/>
    <s v="Percent of potential GDP"/>
    <s v="Units"/>
    <x v="2"/>
    <n v="-2.46"/>
  </r>
  <r>
    <n v="110"/>
    <x v="0"/>
    <x v="45"/>
    <x v="12"/>
    <s v="Percent of potential GDP"/>
    <s v="Units"/>
    <x v="3"/>
    <n v="-1.01"/>
  </r>
  <r>
    <n v="110"/>
    <x v="0"/>
    <x v="45"/>
    <x v="12"/>
    <s v="Percent of potential GDP"/>
    <s v="Units"/>
    <x v="4"/>
    <n v="-1.5009999999999999"/>
  </r>
  <r>
    <n v="110"/>
    <x v="0"/>
    <x v="45"/>
    <x v="12"/>
    <s v="Percent of potential GDP"/>
    <s v="Units"/>
    <x v="5"/>
    <n v="-1.75"/>
  </r>
  <r>
    <n v="110"/>
    <x v="0"/>
    <x v="45"/>
    <x v="12"/>
    <s v="Percent of potential GDP"/>
    <s v="Units"/>
    <x v="6"/>
    <n v="-2.2080000000000002"/>
  </r>
  <r>
    <n v="205"/>
    <x v="7"/>
    <x v="68"/>
    <x v="9"/>
    <s v="Percent of GDP"/>
    <s v="Units"/>
    <x v="0"/>
    <n v="-2.2360000000000002"/>
  </r>
  <r>
    <n v="205"/>
    <x v="7"/>
    <x v="68"/>
    <x v="9"/>
    <s v="Percent of GDP"/>
    <s v="Units"/>
    <x v="1"/>
    <n v="-4.91"/>
  </r>
  <r>
    <n v="205"/>
    <x v="7"/>
    <x v="68"/>
    <x v="9"/>
    <s v="Percent of GDP"/>
    <s v="Units"/>
    <x v="2"/>
    <n v="-1.1679999999999999"/>
  </r>
  <r>
    <n v="205"/>
    <x v="7"/>
    <x v="68"/>
    <x v="9"/>
    <s v="Percent of GDP"/>
    <s v="Units"/>
    <x v="3"/>
    <n v="-1.7070000000000001"/>
  </r>
  <r>
    <n v="205"/>
    <x v="7"/>
    <x v="68"/>
    <x v="9"/>
    <s v="Percent of GDP"/>
    <s v="Units"/>
    <x v="4"/>
    <n v="-1.361"/>
  </r>
  <r>
    <n v="205"/>
    <x v="7"/>
    <x v="68"/>
    <x v="9"/>
    <s v="Percent of GDP"/>
    <s v="Units"/>
    <x v="5"/>
    <n v="-1.7609999999999999"/>
  </r>
  <r>
    <n v="205"/>
    <x v="7"/>
    <x v="68"/>
    <x v="9"/>
    <s v="Percent of GDP"/>
    <s v="Units"/>
    <x v="6"/>
    <n v="-2.399"/>
  </r>
  <r>
    <n v="200"/>
    <x v="3"/>
    <x v="68"/>
    <x v="9"/>
    <s v="Percent of GDP"/>
    <s v="Units"/>
    <x v="0"/>
    <n v="-2.2360000000000002"/>
  </r>
  <r>
    <n v="200"/>
    <x v="3"/>
    <x v="68"/>
    <x v="9"/>
    <s v="Percent of GDP"/>
    <s v="Units"/>
    <x v="1"/>
    <n v="-4.91"/>
  </r>
  <r>
    <n v="200"/>
    <x v="3"/>
    <x v="68"/>
    <x v="9"/>
    <s v="Percent of GDP"/>
    <s v="Units"/>
    <x v="2"/>
    <n v="-1.1679999999999999"/>
  </r>
  <r>
    <n v="200"/>
    <x v="3"/>
    <x v="68"/>
    <x v="9"/>
    <s v="Percent of GDP"/>
    <s v="Units"/>
    <x v="3"/>
    <n v="-1.7070000000000001"/>
  </r>
  <r>
    <n v="200"/>
    <x v="3"/>
    <x v="68"/>
    <x v="9"/>
    <s v="Percent of GDP"/>
    <s v="Units"/>
    <x v="4"/>
    <n v="-1.361"/>
  </r>
  <r>
    <n v="200"/>
    <x v="3"/>
    <x v="68"/>
    <x v="9"/>
    <s v="Percent of GDP"/>
    <s v="Units"/>
    <x v="5"/>
    <n v="-1.7609999999999999"/>
  </r>
  <r>
    <n v="200"/>
    <x v="3"/>
    <x v="68"/>
    <x v="9"/>
    <s v="Percent of GDP"/>
    <s v="Units"/>
    <x v="6"/>
    <n v="-2.399"/>
  </r>
  <r>
    <n v="110"/>
    <x v="0"/>
    <x v="44"/>
    <x v="12"/>
    <s v="Percent of potential GDP"/>
    <s v="Units"/>
    <x v="0"/>
    <n v="-0.78700000000000003"/>
  </r>
  <r>
    <n v="110"/>
    <x v="0"/>
    <x v="44"/>
    <x v="12"/>
    <s v="Percent of potential GDP"/>
    <s v="Units"/>
    <x v="1"/>
    <n v="-5.5010000000000003"/>
  </r>
  <r>
    <n v="110"/>
    <x v="0"/>
    <x v="44"/>
    <x v="12"/>
    <s v="Percent of potential GDP"/>
    <s v="Units"/>
    <x v="2"/>
    <n v="-5.4260000000000002"/>
  </r>
  <r>
    <n v="110"/>
    <x v="0"/>
    <x v="44"/>
    <x v="12"/>
    <s v="Percent of potential GDP"/>
    <s v="Units"/>
    <x v="3"/>
    <n v="-3.3660000000000001"/>
  </r>
  <r>
    <n v="110"/>
    <x v="0"/>
    <x v="44"/>
    <x v="12"/>
    <s v="Percent of potential GDP"/>
    <s v="Units"/>
    <x v="4"/>
    <n v="-3.0779999999999998"/>
  </r>
  <r>
    <n v="110"/>
    <x v="0"/>
    <x v="44"/>
    <x v="12"/>
    <s v="Percent of potential GDP"/>
    <s v="Units"/>
    <x v="5"/>
    <n v="-1.8320000000000001"/>
  </r>
  <r>
    <n v="110"/>
    <x v="0"/>
    <x v="44"/>
    <x v="12"/>
    <s v="Percent of potential GDP"/>
    <s v="Units"/>
    <x v="6"/>
    <n v="-1.6919999999999999"/>
  </r>
  <r>
    <n v="123"/>
    <x v="9"/>
    <x v="44"/>
    <x v="12"/>
    <s v="Percent of potential GDP"/>
    <s v="Units"/>
    <x v="0"/>
    <n v="-0.78700000000000003"/>
  </r>
  <r>
    <n v="123"/>
    <x v="9"/>
    <x v="44"/>
    <x v="12"/>
    <s v="Percent of potential GDP"/>
    <s v="Units"/>
    <x v="1"/>
    <n v="-5.5010000000000003"/>
  </r>
  <r>
    <n v="123"/>
    <x v="9"/>
    <x v="44"/>
    <x v="12"/>
    <s v="Percent of potential GDP"/>
    <s v="Units"/>
    <x v="2"/>
    <n v="-5.4260000000000002"/>
  </r>
  <r>
    <n v="123"/>
    <x v="9"/>
    <x v="44"/>
    <x v="12"/>
    <s v="Percent of potential GDP"/>
    <s v="Units"/>
    <x v="3"/>
    <n v="-3.3660000000000001"/>
  </r>
  <r>
    <n v="123"/>
    <x v="9"/>
    <x v="44"/>
    <x v="12"/>
    <s v="Percent of potential GDP"/>
    <s v="Units"/>
    <x v="4"/>
    <n v="-3.0779999999999998"/>
  </r>
  <r>
    <n v="123"/>
    <x v="9"/>
    <x v="44"/>
    <x v="12"/>
    <s v="Percent of potential GDP"/>
    <s v="Units"/>
    <x v="5"/>
    <n v="-1.8320000000000001"/>
  </r>
  <r>
    <n v="123"/>
    <x v="9"/>
    <x v="44"/>
    <x v="12"/>
    <s v="Percent of potential GDP"/>
    <s v="Units"/>
    <x v="6"/>
    <n v="-1.6919999999999999"/>
  </r>
  <r>
    <n v="1"/>
    <x v="2"/>
    <x v="148"/>
    <x v="6"/>
    <s v="Percent change"/>
    <s v="Units"/>
    <x v="0"/>
    <n v="3.1890000000000001"/>
  </r>
  <r>
    <n v="1"/>
    <x v="2"/>
    <x v="148"/>
    <x v="6"/>
    <s v="Percent change"/>
    <s v="Units"/>
    <x v="1"/>
    <n v="-6.4260000000000002"/>
  </r>
  <r>
    <n v="1"/>
    <x v="2"/>
    <x v="148"/>
    <x v="6"/>
    <s v="Percent change"/>
    <s v="Units"/>
    <x v="2"/>
    <n v="5.5129999999999999"/>
  </r>
  <r>
    <n v="1"/>
    <x v="2"/>
    <x v="148"/>
    <x v="6"/>
    <s v="Percent change"/>
    <s v="Units"/>
    <x v="3"/>
    <n v="8.1159999999999997"/>
  </r>
  <r>
    <n v="1"/>
    <x v="2"/>
    <x v="148"/>
    <x v="6"/>
    <s v="Percent change"/>
    <s v="Units"/>
    <x v="4"/>
    <n v="2.927"/>
  </r>
  <r>
    <n v="1"/>
    <x v="2"/>
    <x v="148"/>
    <x v="6"/>
    <s v="Percent change"/>
    <s v="Units"/>
    <x v="5"/>
    <n v="-1.8480000000000001"/>
  </r>
  <r>
    <n v="1"/>
    <x v="2"/>
    <x v="148"/>
    <x v="6"/>
    <s v="Percent change"/>
    <s v="Units"/>
    <x v="6"/>
    <n v="6.2830000000000004"/>
  </r>
  <r>
    <n v="505"/>
    <x v="4"/>
    <x v="148"/>
    <x v="6"/>
    <s v="Percent change"/>
    <s v="Units"/>
    <x v="0"/>
    <n v="3.1890000000000001"/>
  </r>
  <r>
    <n v="505"/>
    <x v="4"/>
    <x v="148"/>
    <x v="6"/>
    <s v="Percent change"/>
    <s v="Units"/>
    <x v="1"/>
    <n v="-6.4260000000000002"/>
  </r>
  <r>
    <n v="505"/>
    <x v="4"/>
    <x v="148"/>
    <x v="6"/>
    <s v="Percent change"/>
    <s v="Units"/>
    <x v="2"/>
    <n v="5.5129999999999999"/>
  </r>
  <r>
    <n v="505"/>
    <x v="4"/>
    <x v="148"/>
    <x v="6"/>
    <s v="Percent change"/>
    <s v="Units"/>
    <x v="3"/>
    <n v="8.1159999999999997"/>
  </r>
  <r>
    <n v="505"/>
    <x v="4"/>
    <x v="148"/>
    <x v="6"/>
    <s v="Percent change"/>
    <s v="Units"/>
    <x v="4"/>
    <n v="2.927"/>
  </r>
  <r>
    <n v="505"/>
    <x v="4"/>
    <x v="148"/>
    <x v="6"/>
    <s v="Percent change"/>
    <s v="Units"/>
    <x v="5"/>
    <n v="-1.8480000000000001"/>
  </r>
  <r>
    <n v="505"/>
    <x v="4"/>
    <x v="148"/>
    <x v="6"/>
    <s v="Percent change"/>
    <s v="Units"/>
    <x v="6"/>
    <n v="6.2830000000000004"/>
  </r>
  <r>
    <n v="200"/>
    <x v="3"/>
    <x v="148"/>
    <x v="6"/>
    <s v="Percent change"/>
    <s v="Units"/>
    <x v="0"/>
    <n v="3.1890000000000001"/>
  </r>
  <r>
    <n v="200"/>
    <x v="3"/>
    <x v="148"/>
    <x v="6"/>
    <s v="Percent change"/>
    <s v="Units"/>
    <x v="1"/>
    <n v="-6.4260000000000002"/>
  </r>
  <r>
    <n v="200"/>
    <x v="3"/>
    <x v="148"/>
    <x v="6"/>
    <s v="Percent change"/>
    <s v="Units"/>
    <x v="2"/>
    <n v="5.5129999999999999"/>
  </r>
  <r>
    <n v="200"/>
    <x v="3"/>
    <x v="148"/>
    <x v="6"/>
    <s v="Percent change"/>
    <s v="Units"/>
    <x v="3"/>
    <n v="8.1159999999999997"/>
  </r>
  <r>
    <n v="200"/>
    <x v="3"/>
    <x v="148"/>
    <x v="6"/>
    <s v="Percent change"/>
    <s v="Units"/>
    <x v="4"/>
    <n v="2.927"/>
  </r>
  <r>
    <n v="200"/>
    <x v="3"/>
    <x v="148"/>
    <x v="6"/>
    <s v="Percent change"/>
    <s v="Units"/>
    <x v="5"/>
    <n v="-1.8480000000000001"/>
  </r>
  <r>
    <n v="200"/>
    <x v="3"/>
    <x v="148"/>
    <x v="6"/>
    <s v="Percent change"/>
    <s v="Units"/>
    <x v="6"/>
    <n v="6.2830000000000004"/>
  </r>
  <r>
    <n v="205"/>
    <x v="7"/>
    <x v="43"/>
    <x v="9"/>
    <s v="Percent of GDP"/>
    <s v="Units"/>
    <x v="0"/>
    <n v="-2.7309999999999999"/>
  </r>
  <r>
    <n v="205"/>
    <x v="7"/>
    <x v="43"/>
    <x v="9"/>
    <s v="Percent of GDP"/>
    <s v="Units"/>
    <x v="1"/>
    <n v="-7.0940000000000003"/>
  </r>
  <r>
    <n v="205"/>
    <x v="7"/>
    <x v="43"/>
    <x v="9"/>
    <s v="Percent of GDP"/>
    <s v="Units"/>
    <x v="2"/>
    <n v="-7.52"/>
  </r>
  <r>
    <n v="205"/>
    <x v="7"/>
    <x v="43"/>
    <x v="9"/>
    <s v="Percent of GDP"/>
    <s v="Units"/>
    <x v="3"/>
    <n v="1.355"/>
  </r>
  <r>
    <n v="205"/>
    <x v="7"/>
    <x v="43"/>
    <x v="9"/>
    <s v="Percent of GDP"/>
    <s v="Units"/>
    <x v="4"/>
    <n v="-2.15"/>
  </r>
  <r>
    <n v="205"/>
    <x v="7"/>
    <x v="43"/>
    <x v="9"/>
    <s v="Percent of GDP"/>
    <s v="Units"/>
    <x v="5"/>
    <n v="-1.87"/>
  </r>
  <r>
    <n v="205"/>
    <x v="7"/>
    <x v="43"/>
    <x v="9"/>
    <s v="Percent of GDP"/>
    <s v="Units"/>
    <x v="6"/>
    <n v="-1.1679999999999999"/>
  </r>
  <r>
    <n v="200"/>
    <x v="3"/>
    <x v="43"/>
    <x v="9"/>
    <s v="Percent of GDP"/>
    <s v="Units"/>
    <x v="0"/>
    <n v="-2.7309999999999999"/>
  </r>
  <r>
    <n v="200"/>
    <x v="3"/>
    <x v="43"/>
    <x v="9"/>
    <s v="Percent of GDP"/>
    <s v="Units"/>
    <x v="1"/>
    <n v="-7.0940000000000003"/>
  </r>
  <r>
    <n v="200"/>
    <x v="3"/>
    <x v="43"/>
    <x v="9"/>
    <s v="Percent of GDP"/>
    <s v="Units"/>
    <x v="2"/>
    <n v="-7.52"/>
  </r>
  <r>
    <n v="200"/>
    <x v="3"/>
    <x v="43"/>
    <x v="9"/>
    <s v="Percent of GDP"/>
    <s v="Units"/>
    <x v="3"/>
    <n v="1.355"/>
  </r>
  <r>
    <n v="200"/>
    <x v="3"/>
    <x v="43"/>
    <x v="9"/>
    <s v="Percent of GDP"/>
    <s v="Units"/>
    <x v="4"/>
    <n v="-2.15"/>
  </r>
  <r>
    <n v="200"/>
    <x v="3"/>
    <x v="43"/>
    <x v="9"/>
    <s v="Percent of GDP"/>
    <s v="Units"/>
    <x v="5"/>
    <n v="-1.87"/>
  </r>
  <r>
    <n v="200"/>
    <x v="3"/>
    <x v="43"/>
    <x v="9"/>
    <s v="Percent of GDP"/>
    <s v="Units"/>
    <x v="6"/>
    <n v="-1.1679999999999999"/>
  </r>
  <r>
    <n v="200"/>
    <x v="3"/>
    <x v="10"/>
    <x v="9"/>
    <s v="Percent of GDP"/>
    <s v="Units"/>
    <x v="0"/>
    <n v="1.93"/>
  </r>
  <r>
    <n v="200"/>
    <x v="3"/>
    <x v="10"/>
    <x v="9"/>
    <s v="Percent of GDP"/>
    <s v="Units"/>
    <x v="1"/>
    <n v="-3.9889999999999999"/>
  </r>
  <r>
    <n v="200"/>
    <x v="3"/>
    <x v="10"/>
    <x v="9"/>
    <s v="Percent of GDP"/>
    <s v="Units"/>
    <x v="2"/>
    <n v="0.77"/>
  </r>
  <r>
    <n v="200"/>
    <x v="3"/>
    <x v="10"/>
    <x v="9"/>
    <s v="Percent of GDP"/>
    <s v="Units"/>
    <x v="3"/>
    <n v="-1.357"/>
  </r>
  <r>
    <n v="200"/>
    <x v="3"/>
    <x v="10"/>
    <x v="9"/>
    <s v="Percent of GDP"/>
    <s v="Units"/>
    <x v="4"/>
    <n v="-2.286"/>
  </r>
  <r>
    <n v="200"/>
    <x v="3"/>
    <x v="10"/>
    <x v="9"/>
    <s v="Percent of GDP"/>
    <s v="Units"/>
    <x v="5"/>
    <n v="-1.909"/>
  </r>
  <r>
    <n v="200"/>
    <x v="3"/>
    <x v="10"/>
    <x v="9"/>
    <s v="Percent of GDP"/>
    <s v="Units"/>
    <x v="6"/>
    <n v="-1.2170000000000001"/>
  </r>
  <r>
    <n v="903"/>
    <x v="8"/>
    <x v="10"/>
    <x v="9"/>
    <s v="Percent of GDP"/>
    <s v="Units"/>
    <x v="0"/>
    <n v="1.93"/>
  </r>
  <r>
    <n v="903"/>
    <x v="8"/>
    <x v="10"/>
    <x v="9"/>
    <s v="Percent of GDP"/>
    <s v="Units"/>
    <x v="1"/>
    <n v="-3.9889999999999999"/>
  </r>
  <r>
    <n v="903"/>
    <x v="8"/>
    <x v="10"/>
    <x v="9"/>
    <s v="Percent of GDP"/>
    <s v="Units"/>
    <x v="2"/>
    <n v="0.77"/>
  </r>
  <r>
    <n v="903"/>
    <x v="8"/>
    <x v="10"/>
    <x v="9"/>
    <s v="Percent of GDP"/>
    <s v="Units"/>
    <x v="3"/>
    <n v="-1.357"/>
  </r>
  <r>
    <n v="903"/>
    <x v="8"/>
    <x v="10"/>
    <x v="9"/>
    <s v="Percent of GDP"/>
    <s v="Units"/>
    <x v="4"/>
    <n v="-2.286"/>
  </r>
  <r>
    <n v="903"/>
    <x v="8"/>
    <x v="10"/>
    <x v="9"/>
    <s v="Percent of GDP"/>
    <s v="Units"/>
    <x v="5"/>
    <n v="-1.909"/>
  </r>
  <r>
    <n v="903"/>
    <x v="8"/>
    <x v="10"/>
    <x v="9"/>
    <s v="Percent of GDP"/>
    <s v="Units"/>
    <x v="6"/>
    <n v="-1.2170000000000001"/>
  </r>
  <r>
    <n v="123"/>
    <x v="9"/>
    <x v="180"/>
    <x v="9"/>
    <s v="Percent of GDP"/>
    <s v="Units"/>
    <x v="0"/>
    <n v="-0.108"/>
  </r>
  <r>
    <n v="123"/>
    <x v="9"/>
    <x v="180"/>
    <x v="9"/>
    <s v="Percent of GDP"/>
    <s v="Units"/>
    <x v="1"/>
    <n v="-37.591999999999999"/>
  </r>
  <r>
    <n v="123"/>
    <x v="9"/>
    <x v="180"/>
    <x v="9"/>
    <s v="Percent of GDP"/>
    <s v="Units"/>
    <x v="2"/>
    <n v="-16.417999999999999"/>
  </r>
  <r>
    <n v="123"/>
    <x v="9"/>
    <x v="180"/>
    <x v="9"/>
    <s v="Percent of GDP"/>
    <s v="Units"/>
    <x v="3"/>
    <n v="0.434"/>
  </r>
  <r>
    <n v="123"/>
    <x v="9"/>
    <x v="180"/>
    <x v="9"/>
    <s v="Percent of GDP"/>
    <s v="Units"/>
    <x v="4"/>
    <n v="-2.2789999999999999"/>
  </r>
  <r>
    <n v="123"/>
    <x v="9"/>
    <x v="180"/>
    <x v="9"/>
    <s v="Percent of GDP"/>
    <s v="Units"/>
    <x v="5"/>
    <n v="-1.917"/>
  </r>
  <r>
    <n v="123"/>
    <x v="9"/>
    <x v="180"/>
    <x v="9"/>
    <s v="Percent of GDP"/>
    <s v="Units"/>
    <x v="6"/>
    <n v="-1.605"/>
  </r>
  <r>
    <n v="110"/>
    <x v="0"/>
    <x v="180"/>
    <x v="9"/>
    <s v="Percent of GDP"/>
    <s v="Units"/>
    <x v="0"/>
    <n v="-0.108"/>
  </r>
  <r>
    <n v="110"/>
    <x v="0"/>
    <x v="180"/>
    <x v="9"/>
    <s v="Percent of GDP"/>
    <s v="Units"/>
    <x v="1"/>
    <n v="-37.591999999999999"/>
  </r>
  <r>
    <n v="110"/>
    <x v="0"/>
    <x v="180"/>
    <x v="9"/>
    <s v="Percent of GDP"/>
    <s v="Units"/>
    <x v="2"/>
    <n v="-16.417999999999999"/>
  </r>
  <r>
    <n v="110"/>
    <x v="0"/>
    <x v="180"/>
    <x v="9"/>
    <s v="Percent of GDP"/>
    <s v="Units"/>
    <x v="3"/>
    <n v="0.434"/>
  </r>
  <r>
    <n v="110"/>
    <x v="0"/>
    <x v="180"/>
    <x v="9"/>
    <s v="Percent of GDP"/>
    <s v="Units"/>
    <x v="4"/>
    <n v="-2.2789999999999999"/>
  </r>
  <r>
    <n v="110"/>
    <x v="0"/>
    <x v="180"/>
    <x v="9"/>
    <s v="Percent of GDP"/>
    <s v="Units"/>
    <x v="5"/>
    <n v="-1.917"/>
  </r>
  <r>
    <n v="110"/>
    <x v="0"/>
    <x v="180"/>
    <x v="9"/>
    <s v="Percent of GDP"/>
    <s v="Units"/>
    <x v="6"/>
    <n v="-1.605"/>
  </r>
  <r>
    <n v="163"/>
    <x v="5"/>
    <x v="78"/>
    <x v="12"/>
    <s v="Percent of potential GDP"/>
    <s v="Units"/>
    <x v="0"/>
    <n v="4.1280000000000001"/>
  </r>
  <r>
    <n v="163"/>
    <x v="5"/>
    <x v="78"/>
    <x v="12"/>
    <s v="Percent of potential GDP"/>
    <s v="Units"/>
    <x v="1"/>
    <n v="-5.407"/>
  </r>
  <r>
    <n v="163"/>
    <x v="5"/>
    <x v="78"/>
    <x v="12"/>
    <s v="Percent of potential GDP"/>
    <s v="Units"/>
    <x v="2"/>
    <n v="-3.49"/>
  </r>
  <r>
    <n v="163"/>
    <x v="5"/>
    <x v="78"/>
    <x v="12"/>
    <s v="Percent of potential GDP"/>
    <s v="Units"/>
    <x v="3"/>
    <n v="-0.78500000000000003"/>
  </r>
  <r>
    <n v="163"/>
    <x v="5"/>
    <x v="78"/>
    <x v="12"/>
    <s v="Percent of potential GDP"/>
    <s v="Units"/>
    <x v="4"/>
    <n v="-0.46300000000000002"/>
  </r>
  <r>
    <n v="163"/>
    <x v="5"/>
    <x v="78"/>
    <x v="12"/>
    <s v="Percent of potential GDP"/>
    <s v="Units"/>
    <x v="5"/>
    <n v="-1.9490000000000001"/>
  </r>
  <r>
    <n v="163"/>
    <x v="5"/>
    <x v="78"/>
    <x v="12"/>
    <s v="Percent of potential GDP"/>
    <s v="Units"/>
    <x v="6"/>
    <n v="-1.5409999999999999"/>
  </r>
  <r>
    <n v="110"/>
    <x v="0"/>
    <x v="78"/>
    <x v="12"/>
    <s v="Percent of potential GDP"/>
    <s v="Units"/>
    <x v="0"/>
    <n v="4.1280000000000001"/>
  </r>
  <r>
    <n v="110"/>
    <x v="0"/>
    <x v="78"/>
    <x v="12"/>
    <s v="Percent of potential GDP"/>
    <s v="Units"/>
    <x v="1"/>
    <n v="-5.407"/>
  </r>
  <r>
    <n v="110"/>
    <x v="0"/>
    <x v="78"/>
    <x v="12"/>
    <s v="Percent of potential GDP"/>
    <s v="Units"/>
    <x v="2"/>
    <n v="-3.49"/>
  </r>
  <r>
    <n v="110"/>
    <x v="0"/>
    <x v="78"/>
    <x v="12"/>
    <s v="Percent of potential GDP"/>
    <s v="Units"/>
    <x v="3"/>
    <n v="-0.78500000000000003"/>
  </r>
  <r>
    <n v="110"/>
    <x v="0"/>
    <x v="78"/>
    <x v="12"/>
    <s v="Percent of potential GDP"/>
    <s v="Units"/>
    <x v="4"/>
    <n v="-0.46300000000000002"/>
  </r>
  <r>
    <n v="110"/>
    <x v="0"/>
    <x v="78"/>
    <x v="12"/>
    <s v="Percent of potential GDP"/>
    <s v="Units"/>
    <x v="5"/>
    <n v="-1.9490000000000001"/>
  </r>
  <r>
    <n v="110"/>
    <x v="0"/>
    <x v="78"/>
    <x v="12"/>
    <s v="Percent of potential GDP"/>
    <s v="Units"/>
    <x v="6"/>
    <n v="-1.5409999999999999"/>
  </r>
  <r>
    <n v="903"/>
    <x v="8"/>
    <x v="83"/>
    <x v="9"/>
    <s v="Percent of GDP"/>
    <s v="Units"/>
    <x v="0"/>
    <n v="-5.0000000000000001E-3"/>
  </r>
  <r>
    <n v="903"/>
    <x v="8"/>
    <x v="83"/>
    <x v="9"/>
    <s v="Percent of GDP"/>
    <s v="Units"/>
    <x v="1"/>
    <n v="-7.2389999999999999"/>
  </r>
  <r>
    <n v="903"/>
    <x v="8"/>
    <x v="83"/>
    <x v="9"/>
    <s v="Percent of GDP"/>
    <s v="Units"/>
    <x v="2"/>
    <n v="-3.3090000000000002"/>
  </r>
  <r>
    <n v="903"/>
    <x v="8"/>
    <x v="83"/>
    <x v="9"/>
    <s v="Percent of GDP"/>
    <s v="Units"/>
    <x v="3"/>
    <n v="-0.14799999999999999"/>
  </r>
  <r>
    <n v="903"/>
    <x v="8"/>
    <x v="83"/>
    <x v="9"/>
    <s v="Percent of GDP"/>
    <s v="Units"/>
    <x v="4"/>
    <n v="-1.31"/>
  </r>
  <r>
    <n v="903"/>
    <x v="8"/>
    <x v="83"/>
    <x v="9"/>
    <s v="Percent of GDP"/>
    <s v="Units"/>
    <x v="5"/>
    <n v="-1.9690000000000001"/>
  </r>
  <r>
    <n v="903"/>
    <x v="8"/>
    <x v="83"/>
    <x v="9"/>
    <s v="Percent of GDP"/>
    <s v="Units"/>
    <x v="6"/>
    <n v="-2.262"/>
  </r>
  <r>
    <n v="200"/>
    <x v="3"/>
    <x v="83"/>
    <x v="9"/>
    <s v="Percent of GDP"/>
    <s v="Units"/>
    <x v="0"/>
    <n v="-5.0000000000000001E-3"/>
  </r>
  <r>
    <n v="200"/>
    <x v="3"/>
    <x v="83"/>
    <x v="9"/>
    <s v="Percent of GDP"/>
    <s v="Units"/>
    <x v="1"/>
    <n v="-7.2389999999999999"/>
  </r>
  <r>
    <n v="200"/>
    <x v="3"/>
    <x v="83"/>
    <x v="9"/>
    <s v="Percent of GDP"/>
    <s v="Units"/>
    <x v="2"/>
    <n v="-3.3090000000000002"/>
  </r>
  <r>
    <n v="200"/>
    <x v="3"/>
    <x v="83"/>
    <x v="9"/>
    <s v="Percent of GDP"/>
    <s v="Units"/>
    <x v="3"/>
    <n v="-0.14799999999999999"/>
  </r>
  <r>
    <n v="200"/>
    <x v="3"/>
    <x v="83"/>
    <x v="9"/>
    <s v="Percent of GDP"/>
    <s v="Units"/>
    <x v="4"/>
    <n v="-1.31"/>
  </r>
  <r>
    <n v="200"/>
    <x v="3"/>
    <x v="83"/>
    <x v="9"/>
    <s v="Percent of GDP"/>
    <s v="Units"/>
    <x v="5"/>
    <n v="-1.9690000000000001"/>
  </r>
  <r>
    <n v="200"/>
    <x v="3"/>
    <x v="83"/>
    <x v="9"/>
    <s v="Percent of GDP"/>
    <s v="Units"/>
    <x v="6"/>
    <n v="-2.262"/>
  </r>
  <r>
    <n v="603"/>
    <x v="12"/>
    <x v="56"/>
    <x v="9"/>
    <s v="Percent of GDP"/>
    <s v="Units"/>
    <x v="0"/>
    <n v="-2.5329999999999999"/>
  </r>
  <r>
    <n v="603"/>
    <x v="12"/>
    <x v="56"/>
    <x v="9"/>
    <s v="Percent of GDP"/>
    <s v="Units"/>
    <x v="1"/>
    <n v="-2.7639999999999998"/>
  </r>
  <r>
    <n v="603"/>
    <x v="12"/>
    <x v="56"/>
    <x v="9"/>
    <s v="Percent of GDP"/>
    <s v="Units"/>
    <x v="2"/>
    <n v="-2.7669999999999999"/>
  </r>
  <r>
    <n v="603"/>
    <x v="12"/>
    <x v="56"/>
    <x v="9"/>
    <s v="Percent of GDP"/>
    <s v="Units"/>
    <x v="3"/>
    <n v="-4.1580000000000004"/>
  </r>
  <r>
    <n v="603"/>
    <x v="12"/>
    <x v="56"/>
    <x v="9"/>
    <s v="Percent of GDP"/>
    <s v="Units"/>
    <x v="4"/>
    <n v="-2.536"/>
  </r>
  <r>
    <n v="603"/>
    <x v="12"/>
    <x v="56"/>
    <x v="9"/>
    <s v="Percent of GDP"/>
    <s v="Units"/>
    <x v="5"/>
    <n v="-2"/>
  </r>
  <r>
    <n v="603"/>
    <x v="12"/>
    <x v="56"/>
    <x v="9"/>
    <s v="Percent of GDP"/>
    <s v="Units"/>
    <x v="6"/>
    <n v="-2.5"/>
  </r>
  <r>
    <n v="200"/>
    <x v="3"/>
    <x v="56"/>
    <x v="9"/>
    <s v="Percent of GDP"/>
    <s v="Units"/>
    <x v="0"/>
    <n v="-2.5329999999999999"/>
  </r>
  <r>
    <n v="200"/>
    <x v="3"/>
    <x v="56"/>
    <x v="9"/>
    <s v="Percent of GDP"/>
    <s v="Units"/>
    <x v="1"/>
    <n v="-2.7639999999999998"/>
  </r>
  <r>
    <n v="200"/>
    <x v="3"/>
    <x v="56"/>
    <x v="9"/>
    <s v="Percent of GDP"/>
    <s v="Units"/>
    <x v="2"/>
    <n v="-2.7669999999999999"/>
  </r>
  <r>
    <n v="200"/>
    <x v="3"/>
    <x v="56"/>
    <x v="9"/>
    <s v="Percent of GDP"/>
    <s v="Units"/>
    <x v="3"/>
    <n v="-4.1580000000000004"/>
  </r>
  <r>
    <n v="200"/>
    <x v="3"/>
    <x v="56"/>
    <x v="9"/>
    <s v="Percent of GDP"/>
    <s v="Units"/>
    <x v="4"/>
    <n v="-2.536"/>
  </r>
  <r>
    <n v="200"/>
    <x v="3"/>
    <x v="56"/>
    <x v="9"/>
    <s v="Percent of GDP"/>
    <s v="Units"/>
    <x v="5"/>
    <n v="-2"/>
  </r>
  <r>
    <n v="200"/>
    <x v="3"/>
    <x v="56"/>
    <x v="9"/>
    <s v="Percent of GDP"/>
    <s v="Units"/>
    <x v="6"/>
    <n v="-2.5"/>
  </r>
  <r>
    <n v="200"/>
    <x v="3"/>
    <x v="106"/>
    <x v="4"/>
    <s v="Percent change"/>
    <s v="Units"/>
    <x v="0"/>
    <n v="2.7309999999999999"/>
  </r>
  <r>
    <n v="200"/>
    <x v="3"/>
    <x v="106"/>
    <x v="4"/>
    <s v="Percent change"/>
    <s v="Units"/>
    <x v="1"/>
    <n v="-19.260999999999999"/>
  </r>
  <r>
    <n v="200"/>
    <x v="3"/>
    <x v="106"/>
    <x v="4"/>
    <s v="Percent change"/>
    <s v="Units"/>
    <x v="2"/>
    <n v="33.545999999999999"/>
  </r>
  <r>
    <n v="200"/>
    <x v="3"/>
    <x v="106"/>
    <x v="4"/>
    <s v="Percent change"/>
    <s v="Units"/>
    <x v="3"/>
    <n v="12.084"/>
  </r>
  <r>
    <n v="200"/>
    <x v="3"/>
    <x v="106"/>
    <x v="4"/>
    <s v="Percent change"/>
    <s v="Units"/>
    <x v="4"/>
    <n v="-8.3719999999999999"/>
  </r>
  <r>
    <n v="200"/>
    <x v="3"/>
    <x v="106"/>
    <x v="4"/>
    <s v="Percent change"/>
    <s v="Units"/>
    <x v="5"/>
    <n v="-2.0099999999999998"/>
  </r>
  <r>
    <n v="200"/>
    <x v="3"/>
    <x v="106"/>
    <x v="4"/>
    <s v="Percent change"/>
    <s v="Units"/>
    <x v="6"/>
    <n v="4.577"/>
  </r>
  <r>
    <n v="1"/>
    <x v="2"/>
    <x v="106"/>
    <x v="4"/>
    <s v="Percent change"/>
    <s v="Units"/>
    <x v="0"/>
    <n v="2.7309999999999999"/>
  </r>
  <r>
    <n v="1"/>
    <x v="2"/>
    <x v="106"/>
    <x v="4"/>
    <s v="Percent change"/>
    <s v="Units"/>
    <x v="1"/>
    <n v="-19.260999999999999"/>
  </r>
  <r>
    <n v="1"/>
    <x v="2"/>
    <x v="106"/>
    <x v="4"/>
    <s v="Percent change"/>
    <s v="Units"/>
    <x v="2"/>
    <n v="33.545999999999999"/>
  </r>
  <r>
    <n v="1"/>
    <x v="2"/>
    <x v="106"/>
    <x v="4"/>
    <s v="Percent change"/>
    <s v="Units"/>
    <x v="3"/>
    <n v="12.084"/>
  </r>
  <r>
    <n v="1"/>
    <x v="2"/>
    <x v="106"/>
    <x v="4"/>
    <s v="Percent change"/>
    <s v="Units"/>
    <x v="4"/>
    <n v="-8.3719999999999999"/>
  </r>
  <r>
    <n v="1"/>
    <x v="2"/>
    <x v="106"/>
    <x v="4"/>
    <s v="Percent change"/>
    <s v="Units"/>
    <x v="5"/>
    <n v="-2.0099999999999998"/>
  </r>
  <r>
    <n v="1"/>
    <x v="2"/>
    <x v="106"/>
    <x v="4"/>
    <s v="Percent change"/>
    <s v="Units"/>
    <x v="6"/>
    <n v="4.577"/>
  </r>
  <r>
    <n v="205"/>
    <x v="7"/>
    <x v="106"/>
    <x v="4"/>
    <s v="Percent change"/>
    <s v="Units"/>
    <x v="0"/>
    <n v="2.7309999999999999"/>
  </r>
  <r>
    <n v="205"/>
    <x v="7"/>
    <x v="106"/>
    <x v="4"/>
    <s v="Percent change"/>
    <s v="Units"/>
    <x v="1"/>
    <n v="-19.260999999999999"/>
  </r>
  <r>
    <n v="205"/>
    <x v="7"/>
    <x v="106"/>
    <x v="4"/>
    <s v="Percent change"/>
    <s v="Units"/>
    <x v="2"/>
    <n v="33.545999999999999"/>
  </r>
  <r>
    <n v="205"/>
    <x v="7"/>
    <x v="106"/>
    <x v="4"/>
    <s v="Percent change"/>
    <s v="Units"/>
    <x v="3"/>
    <n v="12.084"/>
  </r>
  <r>
    <n v="205"/>
    <x v="7"/>
    <x v="106"/>
    <x v="4"/>
    <s v="Percent change"/>
    <s v="Units"/>
    <x v="4"/>
    <n v="-8.3719999999999999"/>
  </r>
  <r>
    <n v="205"/>
    <x v="7"/>
    <x v="106"/>
    <x v="4"/>
    <s v="Percent change"/>
    <s v="Units"/>
    <x v="5"/>
    <n v="-2.0099999999999998"/>
  </r>
  <r>
    <n v="205"/>
    <x v="7"/>
    <x v="106"/>
    <x v="4"/>
    <s v="Percent change"/>
    <s v="Units"/>
    <x v="6"/>
    <n v="4.577"/>
  </r>
  <r>
    <n v="110"/>
    <x v="0"/>
    <x v="76"/>
    <x v="9"/>
    <s v="Percent of GDP"/>
    <s v="Units"/>
    <x v="0"/>
    <n v="2.2210000000000001"/>
  </r>
  <r>
    <n v="110"/>
    <x v="0"/>
    <x v="76"/>
    <x v="9"/>
    <s v="Percent of GDP"/>
    <s v="Units"/>
    <x v="1"/>
    <n v="-3.444"/>
  </r>
  <r>
    <n v="110"/>
    <x v="0"/>
    <x v="76"/>
    <x v="9"/>
    <s v="Percent of GDP"/>
    <s v="Units"/>
    <x v="2"/>
    <n v="0.57499999999999996"/>
  </r>
  <r>
    <n v="110"/>
    <x v="0"/>
    <x v="76"/>
    <x v="9"/>
    <s v="Percent of GDP"/>
    <s v="Units"/>
    <x v="3"/>
    <n v="-0.28699999999999998"/>
  </r>
  <r>
    <n v="110"/>
    <x v="0"/>
    <x v="76"/>
    <x v="9"/>
    <s v="Percent of GDP"/>
    <s v="Units"/>
    <x v="4"/>
    <n v="-1.393"/>
  </r>
  <r>
    <n v="110"/>
    <x v="0"/>
    <x v="76"/>
    <x v="9"/>
    <s v="Percent of GDP"/>
    <s v="Units"/>
    <x v="5"/>
    <n v="-2.0579999999999998"/>
  </r>
  <r>
    <n v="110"/>
    <x v="0"/>
    <x v="76"/>
    <x v="9"/>
    <s v="Percent of GDP"/>
    <s v="Units"/>
    <x v="6"/>
    <n v="-1.458"/>
  </r>
  <r>
    <n v="163"/>
    <x v="5"/>
    <x v="76"/>
    <x v="9"/>
    <s v="Percent of GDP"/>
    <s v="Units"/>
    <x v="0"/>
    <n v="2.2210000000000001"/>
  </r>
  <r>
    <n v="163"/>
    <x v="5"/>
    <x v="76"/>
    <x v="9"/>
    <s v="Percent of GDP"/>
    <s v="Units"/>
    <x v="1"/>
    <n v="-3.444"/>
  </r>
  <r>
    <n v="163"/>
    <x v="5"/>
    <x v="76"/>
    <x v="9"/>
    <s v="Percent of GDP"/>
    <s v="Units"/>
    <x v="2"/>
    <n v="0.57499999999999996"/>
  </r>
  <r>
    <n v="163"/>
    <x v="5"/>
    <x v="76"/>
    <x v="9"/>
    <s v="Percent of GDP"/>
    <s v="Units"/>
    <x v="3"/>
    <n v="-0.28699999999999998"/>
  </r>
  <r>
    <n v="163"/>
    <x v="5"/>
    <x v="76"/>
    <x v="9"/>
    <s v="Percent of GDP"/>
    <s v="Units"/>
    <x v="4"/>
    <n v="-1.393"/>
  </r>
  <r>
    <n v="163"/>
    <x v="5"/>
    <x v="76"/>
    <x v="9"/>
    <s v="Percent of GDP"/>
    <s v="Units"/>
    <x v="5"/>
    <n v="-2.0579999999999998"/>
  </r>
  <r>
    <n v="163"/>
    <x v="5"/>
    <x v="76"/>
    <x v="9"/>
    <s v="Percent of GDP"/>
    <s v="Units"/>
    <x v="6"/>
    <n v="-1.458"/>
  </r>
  <r>
    <n v="998"/>
    <x v="6"/>
    <x v="76"/>
    <x v="9"/>
    <s v="Percent of GDP"/>
    <s v="Units"/>
    <x v="0"/>
    <n v="2.2210000000000001"/>
  </r>
  <r>
    <n v="998"/>
    <x v="6"/>
    <x v="76"/>
    <x v="9"/>
    <s v="Percent of GDP"/>
    <s v="Units"/>
    <x v="1"/>
    <n v="-3.444"/>
  </r>
  <r>
    <n v="998"/>
    <x v="6"/>
    <x v="76"/>
    <x v="9"/>
    <s v="Percent of GDP"/>
    <s v="Units"/>
    <x v="2"/>
    <n v="0.57499999999999996"/>
  </r>
  <r>
    <n v="998"/>
    <x v="6"/>
    <x v="76"/>
    <x v="9"/>
    <s v="Percent of GDP"/>
    <s v="Units"/>
    <x v="3"/>
    <n v="-0.28699999999999998"/>
  </r>
  <r>
    <n v="998"/>
    <x v="6"/>
    <x v="76"/>
    <x v="9"/>
    <s v="Percent of GDP"/>
    <s v="Units"/>
    <x v="4"/>
    <n v="-1.393"/>
  </r>
  <r>
    <n v="998"/>
    <x v="6"/>
    <x v="76"/>
    <x v="9"/>
    <s v="Percent of GDP"/>
    <s v="Units"/>
    <x v="5"/>
    <n v="-2.0579999999999998"/>
  </r>
  <r>
    <n v="998"/>
    <x v="6"/>
    <x v="76"/>
    <x v="9"/>
    <s v="Percent of GDP"/>
    <s v="Units"/>
    <x v="6"/>
    <n v="-1.458"/>
  </r>
  <r>
    <n v="1"/>
    <x v="2"/>
    <x v="185"/>
    <x v="6"/>
    <s v="Percent change"/>
    <s v="Units"/>
    <x v="0"/>
    <n v="-4.5229999999999997"/>
  </r>
  <r>
    <n v="1"/>
    <x v="2"/>
    <x v="185"/>
    <x v="6"/>
    <s v="Percent change"/>
    <s v="Units"/>
    <x v="1"/>
    <n v="-10.167"/>
  </r>
  <r>
    <n v="1"/>
    <x v="2"/>
    <x v="185"/>
    <x v="6"/>
    <s v="Percent change"/>
    <s v="Units"/>
    <x v="2"/>
    <n v="10.08"/>
  </r>
  <r>
    <n v="1"/>
    <x v="2"/>
    <x v="185"/>
    <x v="6"/>
    <s v="Percent change"/>
    <s v="Units"/>
    <x v="3"/>
    <n v="-12.747999999999999"/>
  </r>
  <r>
    <n v="1"/>
    <x v="2"/>
    <x v="185"/>
    <x v="6"/>
    <s v="Percent change"/>
    <s v="Units"/>
    <x v="4"/>
    <n v="21.224"/>
  </r>
  <r>
    <n v="1"/>
    <x v="2"/>
    <x v="185"/>
    <x v="6"/>
    <s v="Percent change"/>
    <s v="Units"/>
    <x v="5"/>
    <n v="-2.073"/>
  </r>
  <r>
    <n v="1"/>
    <x v="2"/>
    <x v="185"/>
    <x v="6"/>
    <s v="Percent change"/>
    <s v="Units"/>
    <x v="6"/>
    <n v="1.0289999999999999"/>
  </r>
  <r>
    <n v="200"/>
    <x v="3"/>
    <x v="185"/>
    <x v="6"/>
    <s v="Percent change"/>
    <s v="Units"/>
    <x v="0"/>
    <n v="-4.5229999999999997"/>
  </r>
  <r>
    <n v="200"/>
    <x v="3"/>
    <x v="185"/>
    <x v="6"/>
    <s v="Percent change"/>
    <s v="Units"/>
    <x v="1"/>
    <n v="-10.167"/>
  </r>
  <r>
    <n v="200"/>
    <x v="3"/>
    <x v="185"/>
    <x v="6"/>
    <s v="Percent change"/>
    <s v="Units"/>
    <x v="2"/>
    <n v="10.08"/>
  </r>
  <r>
    <n v="200"/>
    <x v="3"/>
    <x v="185"/>
    <x v="6"/>
    <s v="Percent change"/>
    <s v="Units"/>
    <x v="3"/>
    <n v="-12.747999999999999"/>
  </r>
  <r>
    <n v="200"/>
    <x v="3"/>
    <x v="185"/>
    <x v="6"/>
    <s v="Percent change"/>
    <s v="Units"/>
    <x v="4"/>
    <n v="21.224"/>
  </r>
  <r>
    <n v="200"/>
    <x v="3"/>
    <x v="185"/>
    <x v="6"/>
    <s v="Percent change"/>
    <s v="Units"/>
    <x v="5"/>
    <n v="-2.073"/>
  </r>
  <r>
    <n v="200"/>
    <x v="3"/>
    <x v="185"/>
    <x v="6"/>
    <s v="Percent change"/>
    <s v="Units"/>
    <x v="6"/>
    <n v="1.0289999999999999"/>
  </r>
  <r>
    <n v="603"/>
    <x v="12"/>
    <x v="185"/>
    <x v="6"/>
    <s v="Percent change"/>
    <s v="Units"/>
    <x v="0"/>
    <n v="-4.5229999999999997"/>
  </r>
  <r>
    <n v="603"/>
    <x v="12"/>
    <x v="185"/>
    <x v="6"/>
    <s v="Percent change"/>
    <s v="Units"/>
    <x v="1"/>
    <n v="-10.167"/>
  </r>
  <r>
    <n v="603"/>
    <x v="12"/>
    <x v="185"/>
    <x v="6"/>
    <s v="Percent change"/>
    <s v="Units"/>
    <x v="2"/>
    <n v="10.08"/>
  </r>
  <r>
    <n v="603"/>
    <x v="12"/>
    <x v="185"/>
    <x v="6"/>
    <s v="Percent change"/>
    <s v="Units"/>
    <x v="3"/>
    <n v="-12.747999999999999"/>
  </r>
  <r>
    <n v="603"/>
    <x v="12"/>
    <x v="185"/>
    <x v="6"/>
    <s v="Percent change"/>
    <s v="Units"/>
    <x v="4"/>
    <n v="21.224"/>
  </r>
  <r>
    <n v="603"/>
    <x v="12"/>
    <x v="185"/>
    <x v="6"/>
    <s v="Percent change"/>
    <s v="Units"/>
    <x v="5"/>
    <n v="-2.073"/>
  </r>
  <r>
    <n v="603"/>
    <x v="12"/>
    <x v="185"/>
    <x v="6"/>
    <s v="Percent change"/>
    <s v="Units"/>
    <x v="6"/>
    <n v="1.0289999999999999"/>
  </r>
  <r>
    <n v="123"/>
    <x v="9"/>
    <x v="113"/>
    <x v="9"/>
    <s v="Percent of GDP"/>
    <s v="Units"/>
    <x v="0"/>
    <n v="-1.593"/>
  </r>
  <r>
    <n v="123"/>
    <x v="9"/>
    <x v="113"/>
    <x v="9"/>
    <s v="Percent of GDP"/>
    <s v="Units"/>
    <x v="1"/>
    <n v="-8.8949999999999996"/>
  </r>
  <r>
    <n v="123"/>
    <x v="9"/>
    <x v="113"/>
    <x v="9"/>
    <s v="Percent of GDP"/>
    <s v="Units"/>
    <x v="2"/>
    <n v="-8.4689999999999994"/>
  </r>
  <r>
    <n v="123"/>
    <x v="9"/>
    <x v="113"/>
    <x v="9"/>
    <s v="Percent of GDP"/>
    <s v="Units"/>
    <x v="3"/>
    <n v="-4"/>
  </r>
  <r>
    <n v="123"/>
    <x v="9"/>
    <x v="113"/>
    <x v="9"/>
    <s v="Percent of GDP"/>
    <s v="Units"/>
    <x v="4"/>
    <n v="-2.0270000000000001"/>
  </r>
  <r>
    <n v="123"/>
    <x v="9"/>
    <x v="113"/>
    <x v="9"/>
    <s v="Percent of GDP"/>
    <s v="Units"/>
    <x v="5"/>
    <n v="-2.0840000000000001"/>
  </r>
  <r>
    <n v="123"/>
    <x v="9"/>
    <x v="113"/>
    <x v="9"/>
    <s v="Percent of GDP"/>
    <s v="Units"/>
    <x v="6"/>
    <n v="-1.8720000000000001"/>
  </r>
  <r>
    <n v="110"/>
    <x v="0"/>
    <x v="113"/>
    <x v="9"/>
    <s v="Percent of GDP"/>
    <s v="Units"/>
    <x v="0"/>
    <n v="-1.593"/>
  </r>
  <r>
    <n v="110"/>
    <x v="0"/>
    <x v="113"/>
    <x v="9"/>
    <s v="Percent of GDP"/>
    <s v="Units"/>
    <x v="1"/>
    <n v="-8.8949999999999996"/>
  </r>
  <r>
    <n v="110"/>
    <x v="0"/>
    <x v="113"/>
    <x v="9"/>
    <s v="Percent of GDP"/>
    <s v="Units"/>
    <x v="2"/>
    <n v="-8.4689999999999994"/>
  </r>
  <r>
    <n v="110"/>
    <x v="0"/>
    <x v="113"/>
    <x v="9"/>
    <s v="Percent of GDP"/>
    <s v="Units"/>
    <x v="3"/>
    <n v="-4"/>
  </r>
  <r>
    <n v="110"/>
    <x v="0"/>
    <x v="113"/>
    <x v="9"/>
    <s v="Percent of GDP"/>
    <s v="Units"/>
    <x v="4"/>
    <n v="-2.0270000000000001"/>
  </r>
  <r>
    <n v="110"/>
    <x v="0"/>
    <x v="113"/>
    <x v="9"/>
    <s v="Percent of GDP"/>
    <s v="Units"/>
    <x v="5"/>
    <n v="-2.0840000000000001"/>
  </r>
  <r>
    <n v="110"/>
    <x v="0"/>
    <x v="113"/>
    <x v="9"/>
    <s v="Percent of GDP"/>
    <s v="Units"/>
    <x v="6"/>
    <n v="-1.8720000000000001"/>
  </r>
  <r>
    <n v="110"/>
    <x v="0"/>
    <x v="27"/>
    <x v="12"/>
    <s v="Percent of potential GDP"/>
    <s v="Units"/>
    <x v="0"/>
    <n v="0.223"/>
  </r>
  <r>
    <n v="110"/>
    <x v="0"/>
    <x v="27"/>
    <x v="12"/>
    <s v="Percent of potential GDP"/>
    <s v="Units"/>
    <x v="1"/>
    <n v="-6.8140000000000001"/>
  </r>
  <r>
    <n v="110"/>
    <x v="0"/>
    <x v="27"/>
    <x v="12"/>
    <s v="Percent of potential GDP"/>
    <s v="Units"/>
    <x v="2"/>
    <n v="-4.5149999999999997"/>
  </r>
  <r>
    <n v="110"/>
    <x v="0"/>
    <x v="27"/>
    <x v="12"/>
    <s v="Percent of potential GDP"/>
    <s v="Units"/>
    <x v="3"/>
    <n v="-4.3179999999999996"/>
  </r>
  <r>
    <n v="110"/>
    <x v="0"/>
    <x v="27"/>
    <x v="12"/>
    <s v="Percent of potential GDP"/>
    <s v="Units"/>
    <x v="4"/>
    <n v="-2.3090000000000002"/>
  </r>
  <r>
    <n v="110"/>
    <x v="0"/>
    <x v="27"/>
    <x v="12"/>
    <s v="Percent of potential GDP"/>
    <s v="Units"/>
    <x v="5"/>
    <n v="-2.1190000000000002"/>
  </r>
  <r>
    <n v="110"/>
    <x v="0"/>
    <x v="27"/>
    <x v="12"/>
    <s v="Percent of potential GDP"/>
    <s v="Units"/>
    <x v="6"/>
    <n v="-2.0699999999999998"/>
  </r>
  <r>
    <n v="163"/>
    <x v="5"/>
    <x v="27"/>
    <x v="12"/>
    <s v="Percent of potential GDP"/>
    <s v="Units"/>
    <x v="0"/>
    <n v="0.223"/>
  </r>
  <r>
    <n v="163"/>
    <x v="5"/>
    <x v="27"/>
    <x v="12"/>
    <s v="Percent of potential GDP"/>
    <s v="Units"/>
    <x v="1"/>
    <n v="-6.8140000000000001"/>
  </r>
  <r>
    <n v="163"/>
    <x v="5"/>
    <x v="27"/>
    <x v="12"/>
    <s v="Percent of potential GDP"/>
    <s v="Units"/>
    <x v="2"/>
    <n v="-4.5149999999999997"/>
  </r>
  <r>
    <n v="163"/>
    <x v="5"/>
    <x v="27"/>
    <x v="12"/>
    <s v="Percent of potential GDP"/>
    <s v="Units"/>
    <x v="3"/>
    <n v="-4.3179999999999996"/>
  </r>
  <r>
    <n v="163"/>
    <x v="5"/>
    <x v="27"/>
    <x v="12"/>
    <s v="Percent of potential GDP"/>
    <s v="Units"/>
    <x v="4"/>
    <n v="-2.3090000000000002"/>
  </r>
  <r>
    <n v="163"/>
    <x v="5"/>
    <x v="27"/>
    <x v="12"/>
    <s v="Percent of potential GDP"/>
    <s v="Units"/>
    <x v="5"/>
    <n v="-2.1190000000000002"/>
  </r>
  <r>
    <n v="163"/>
    <x v="5"/>
    <x v="27"/>
    <x v="12"/>
    <s v="Percent of potential GDP"/>
    <s v="Units"/>
    <x v="6"/>
    <n v="-2.0699999999999998"/>
  </r>
  <r>
    <n v="1"/>
    <x v="2"/>
    <x v="60"/>
    <x v="5"/>
    <s v="Percent of GDP"/>
    <s v="Units"/>
    <x v="0"/>
    <n v="-4.3650000000000002"/>
  </r>
  <r>
    <n v="1"/>
    <x v="2"/>
    <x v="60"/>
    <x v="5"/>
    <s v="Percent of GDP"/>
    <s v="Units"/>
    <x v="1"/>
    <n v="-6.9459999999999997"/>
  </r>
  <r>
    <n v="1"/>
    <x v="2"/>
    <x v="60"/>
    <x v="5"/>
    <s v="Percent of GDP"/>
    <s v="Units"/>
    <x v="2"/>
    <n v="2.2709999999999999"/>
  </r>
  <r>
    <n v="1"/>
    <x v="2"/>
    <x v="60"/>
    <x v="5"/>
    <s v="Percent of GDP"/>
    <s v="Units"/>
    <x v="3"/>
    <n v="-2.238"/>
  </r>
  <r>
    <n v="1"/>
    <x v="2"/>
    <x v="60"/>
    <x v="5"/>
    <s v="Percent of GDP"/>
    <s v="Units"/>
    <x v="4"/>
    <n v="-0.7"/>
  </r>
  <r>
    <n v="1"/>
    <x v="2"/>
    <x v="60"/>
    <x v="5"/>
    <s v="Percent of GDP"/>
    <s v="Units"/>
    <x v="5"/>
    <n v="-2.1379999999999999"/>
  </r>
  <r>
    <n v="1"/>
    <x v="2"/>
    <x v="60"/>
    <x v="5"/>
    <s v="Percent of GDP"/>
    <s v="Units"/>
    <x v="6"/>
    <n v="-3.1850000000000001"/>
  </r>
  <r>
    <n v="400"/>
    <x v="11"/>
    <x v="60"/>
    <x v="5"/>
    <s v="Percent of GDP"/>
    <s v="Units"/>
    <x v="0"/>
    <n v="-4.3650000000000002"/>
  </r>
  <r>
    <n v="400"/>
    <x v="11"/>
    <x v="60"/>
    <x v="5"/>
    <s v="Percent of GDP"/>
    <s v="Units"/>
    <x v="1"/>
    <n v="-6.9459999999999997"/>
  </r>
  <r>
    <n v="400"/>
    <x v="11"/>
    <x v="60"/>
    <x v="5"/>
    <s v="Percent of GDP"/>
    <s v="Units"/>
    <x v="2"/>
    <n v="2.2709999999999999"/>
  </r>
  <r>
    <n v="400"/>
    <x v="11"/>
    <x v="60"/>
    <x v="5"/>
    <s v="Percent of GDP"/>
    <s v="Units"/>
    <x v="3"/>
    <n v="-2.238"/>
  </r>
  <r>
    <n v="400"/>
    <x v="11"/>
    <x v="60"/>
    <x v="5"/>
    <s v="Percent of GDP"/>
    <s v="Units"/>
    <x v="4"/>
    <n v="-0.7"/>
  </r>
  <r>
    <n v="400"/>
    <x v="11"/>
    <x v="60"/>
    <x v="5"/>
    <s v="Percent of GDP"/>
    <s v="Units"/>
    <x v="5"/>
    <n v="-2.1379999999999999"/>
  </r>
  <r>
    <n v="400"/>
    <x v="11"/>
    <x v="60"/>
    <x v="5"/>
    <s v="Percent of GDP"/>
    <s v="Units"/>
    <x v="6"/>
    <n v="-3.1850000000000001"/>
  </r>
  <r>
    <n v="200"/>
    <x v="3"/>
    <x v="60"/>
    <x v="5"/>
    <s v="Percent of GDP"/>
    <s v="Units"/>
    <x v="0"/>
    <n v="-4.3650000000000002"/>
  </r>
  <r>
    <n v="200"/>
    <x v="3"/>
    <x v="60"/>
    <x v="5"/>
    <s v="Percent of GDP"/>
    <s v="Units"/>
    <x v="1"/>
    <n v="-6.9459999999999997"/>
  </r>
  <r>
    <n v="200"/>
    <x v="3"/>
    <x v="60"/>
    <x v="5"/>
    <s v="Percent of GDP"/>
    <s v="Units"/>
    <x v="2"/>
    <n v="2.2709999999999999"/>
  </r>
  <r>
    <n v="200"/>
    <x v="3"/>
    <x v="60"/>
    <x v="5"/>
    <s v="Percent of GDP"/>
    <s v="Units"/>
    <x v="3"/>
    <n v="-2.238"/>
  </r>
  <r>
    <n v="200"/>
    <x v="3"/>
    <x v="60"/>
    <x v="5"/>
    <s v="Percent of GDP"/>
    <s v="Units"/>
    <x v="4"/>
    <n v="-0.7"/>
  </r>
  <r>
    <n v="200"/>
    <x v="3"/>
    <x v="60"/>
    <x v="5"/>
    <s v="Percent of GDP"/>
    <s v="Units"/>
    <x v="5"/>
    <n v="-2.1379999999999999"/>
  </r>
  <r>
    <n v="200"/>
    <x v="3"/>
    <x v="60"/>
    <x v="5"/>
    <s v="Percent of GDP"/>
    <s v="Units"/>
    <x v="6"/>
    <n v="-3.1850000000000001"/>
  </r>
  <r>
    <n v="603"/>
    <x v="12"/>
    <x v="136"/>
    <x v="9"/>
    <s v="Percent of GDP"/>
    <s v="Units"/>
    <x v="0"/>
    <n v="-5.4909999999999997"/>
  </r>
  <r>
    <n v="603"/>
    <x v="12"/>
    <x v="136"/>
    <x v="9"/>
    <s v="Percent of GDP"/>
    <s v="Units"/>
    <x v="1"/>
    <n v="-8.07"/>
  </r>
  <r>
    <n v="603"/>
    <x v="12"/>
    <x v="136"/>
    <x v="9"/>
    <s v="Percent of GDP"/>
    <s v="Units"/>
    <x v="2"/>
    <n v="-8.7210000000000001"/>
  </r>
  <r>
    <n v="603"/>
    <x v="12"/>
    <x v="136"/>
    <x v="9"/>
    <s v="Percent of GDP"/>
    <s v="Units"/>
    <x v="3"/>
    <n v="-6.0309999999999997"/>
  </r>
  <r>
    <n v="603"/>
    <x v="12"/>
    <x v="136"/>
    <x v="9"/>
    <s v="Percent of GDP"/>
    <s v="Units"/>
    <x v="4"/>
    <n v="-3.6819999999999999"/>
  </r>
  <r>
    <n v="603"/>
    <x v="12"/>
    <x v="136"/>
    <x v="9"/>
    <s v="Percent of GDP"/>
    <s v="Units"/>
    <x v="5"/>
    <n v="-2.1389999999999998"/>
  </r>
  <r>
    <n v="603"/>
    <x v="12"/>
    <x v="136"/>
    <x v="9"/>
    <s v="Percent of GDP"/>
    <s v="Units"/>
    <x v="6"/>
    <n v="-3.32"/>
  </r>
  <r>
    <n v="200"/>
    <x v="3"/>
    <x v="136"/>
    <x v="9"/>
    <s v="Percent of GDP"/>
    <s v="Units"/>
    <x v="0"/>
    <n v="-5.4909999999999997"/>
  </r>
  <r>
    <n v="200"/>
    <x v="3"/>
    <x v="136"/>
    <x v="9"/>
    <s v="Percent of GDP"/>
    <s v="Units"/>
    <x v="1"/>
    <n v="-8.07"/>
  </r>
  <r>
    <n v="200"/>
    <x v="3"/>
    <x v="136"/>
    <x v="9"/>
    <s v="Percent of GDP"/>
    <s v="Units"/>
    <x v="2"/>
    <n v="-8.7210000000000001"/>
  </r>
  <r>
    <n v="200"/>
    <x v="3"/>
    <x v="136"/>
    <x v="9"/>
    <s v="Percent of GDP"/>
    <s v="Units"/>
    <x v="3"/>
    <n v="-6.0309999999999997"/>
  </r>
  <r>
    <n v="200"/>
    <x v="3"/>
    <x v="136"/>
    <x v="9"/>
    <s v="Percent of GDP"/>
    <s v="Units"/>
    <x v="4"/>
    <n v="-3.6819999999999999"/>
  </r>
  <r>
    <n v="200"/>
    <x v="3"/>
    <x v="136"/>
    <x v="9"/>
    <s v="Percent of GDP"/>
    <s v="Units"/>
    <x v="5"/>
    <n v="-2.1389999999999998"/>
  </r>
  <r>
    <n v="200"/>
    <x v="3"/>
    <x v="136"/>
    <x v="9"/>
    <s v="Percent of GDP"/>
    <s v="Units"/>
    <x v="6"/>
    <n v="-3.32"/>
  </r>
  <r>
    <n v="903"/>
    <x v="8"/>
    <x v="154"/>
    <x v="9"/>
    <s v="Percent of GDP"/>
    <s v="Units"/>
    <x v="0"/>
    <n v="-1.8660000000000001"/>
  </r>
  <r>
    <n v="903"/>
    <x v="8"/>
    <x v="154"/>
    <x v="9"/>
    <s v="Percent of GDP"/>
    <s v="Units"/>
    <x v="1"/>
    <n v="-6.7"/>
  </r>
  <r>
    <n v="903"/>
    <x v="8"/>
    <x v="154"/>
    <x v="9"/>
    <s v="Percent of GDP"/>
    <s v="Units"/>
    <x v="2"/>
    <n v="-4.5970000000000004"/>
  </r>
  <r>
    <n v="903"/>
    <x v="8"/>
    <x v="154"/>
    <x v="9"/>
    <s v="Percent of GDP"/>
    <s v="Units"/>
    <x v="3"/>
    <n v="-3.6579999999999999"/>
  </r>
  <r>
    <n v="903"/>
    <x v="8"/>
    <x v="154"/>
    <x v="9"/>
    <s v="Percent of GDP"/>
    <s v="Units"/>
    <x v="4"/>
    <n v="-1.1399999999999999"/>
  </r>
  <r>
    <n v="903"/>
    <x v="8"/>
    <x v="154"/>
    <x v="9"/>
    <s v="Percent of GDP"/>
    <s v="Units"/>
    <x v="5"/>
    <n v="-2.1629999999999998"/>
  </r>
  <r>
    <n v="903"/>
    <x v="8"/>
    <x v="154"/>
    <x v="9"/>
    <s v="Percent of GDP"/>
    <s v="Units"/>
    <x v="6"/>
    <n v="-2.5750000000000002"/>
  </r>
  <r>
    <n v="200"/>
    <x v="3"/>
    <x v="154"/>
    <x v="9"/>
    <s v="Percent of GDP"/>
    <s v="Units"/>
    <x v="0"/>
    <n v="-1.8660000000000001"/>
  </r>
  <r>
    <n v="200"/>
    <x v="3"/>
    <x v="154"/>
    <x v="9"/>
    <s v="Percent of GDP"/>
    <s v="Units"/>
    <x v="1"/>
    <n v="-6.7"/>
  </r>
  <r>
    <n v="200"/>
    <x v="3"/>
    <x v="154"/>
    <x v="9"/>
    <s v="Percent of GDP"/>
    <s v="Units"/>
    <x v="2"/>
    <n v="-4.5970000000000004"/>
  </r>
  <r>
    <n v="200"/>
    <x v="3"/>
    <x v="154"/>
    <x v="9"/>
    <s v="Percent of GDP"/>
    <s v="Units"/>
    <x v="3"/>
    <n v="-3.6579999999999999"/>
  </r>
  <r>
    <n v="200"/>
    <x v="3"/>
    <x v="154"/>
    <x v="9"/>
    <s v="Percent of GDP"/>
    <s v="Units"/>
    <x v="4"/>
    <n v="-1.1399999999999999"/>
  </r>
  <r>
    <n v="200"/>
    <x v="3"/>
    <x v="154"/>
    <x v="9"/>
    <s v="Percent of GDP"/>
    <s v="Units"/>
    <x v="5"/>
    <n v="-2.1629999999999998"/>
  </r>
  <r>
    <n v="200"/>
    <x v="3"/>
    <x v="154"/>
    <x v="9"/>
    <s v="Percent of GDP"/>
    <s v="Units"/>
    <x v="6"/>
    <n v="-2.5750000000000002"/>
  </r>
  <r>
    <n v="110"/>
    <x v="0"/>
    <x v="115"/>
    <x v="12"/>
    <s v="Percent of potential GDP"/>
    <s v="Units"/>
    <x v="0"/>
    <n v="-0.33"/>
  </r>
  <r>
    <n v="110"/>
    <x v="0"/>
    <x v="115"/>
    <x v="12"/>
    <s v="Percent of potential GDP"/>
    <s v="Units"/>
    <x v="1"/>
    <n v="-5.2670000000000003"/>
  </r>
  <r>
    <n v="110"/>
    <x v="0"/>
    <x v="115"/>
    <x v="12"/>
    <s v="Percent of potential GDP"/>
    <s v="Units"/>
    <x v="2"/>
    <n v="-4.3369999999999997"/>
  </r>
  <r>
    <n v="110"/>
    <x v="0"/>
    <x v="115"/>
    <x v="12"/>
    <s v="Percent of potential GDP"/>
    <s v="Units"/>
    <x v="3"/>
    <n v="-1.218"/>
  </r>
  <r>
    <n v="110"/>
    <x v="0"/>
    <x v="115"/>
    <x v="12"/>
    <s v="Percent of potential GDP"/>
    <s v="Units"/>
    <x v="4"/>
    <n v="-1.88"/>
  </r>
  <r>
    <n v="110"/>
    <x v="0"/>
    <x v="115"/>
    <x v="12"/>
    <s v="Percent of potential GDP"/>
    <s v="Units"/>
    <x v="5"/>
    <n v="-2.17"/>
  </r>
  <r>
    <n v="110"/>
    <x v="0"/>
    <x v="115"/>
    <x v="12"/>
    <s v="Percent of potential GDP"/>
    <s v="Units"/>
    <x v="6"/>
    <n v="-2.7210000000000001"/>
  </r>
  <r>
    <n v="163"/>
    <x v="5"/>
    <x v="115"/>
    <x v="12"/>
    <s v="Percent of potential GDP"/>
    <s v="Units"/>
    <x v="0"/>
    <n v="-0.33"/>
  </r>
  <r>
    <n v="163"/>
    <x v="5"/>
    <x v="115"/>
    <x v="12"/>
    <s v="Percent of potential GDP"/>
    <s v="Units"/>
    <x v="1"/>
    <n v="-5.2670000000000003"/>
  </r>
  <r>
    <n v="163"/>
    <x v="5"/>
    <x v="115"/>
    <x v="12"/>
    <s v="Percent of potential GDP"/>
    <s v="Units"/>
    <x v="2"/>
    <n v="-4.3369999999999997"/>
  </r>
  <r>
    <n v="163"/>
    <x v="5"/>
    <x v="115"/>
    <x v="12"/>
    <s v="Percent of potential GDP"/>
    <s v="Units"/>
    <x v="3"/>
    <n v="-1.218"/>
  </r>
  <r>
    <n v="163"/>
    <x v="5"/>
    <x v="115"/>
    <x v="12"/>
    <s v="Percent of potential GDP"/>
    <s v="Units"/>
    <x v="4"/>
    <n v="-1.88"/>
  </r>
  <r>
    <n v="163"/>
    <x v="5"/>
    <x v="115"/>
    <x v="12"/>
    <s v="Percent of potential GDP"/>
    <s v="Units"/>
    <x v="5"/>
    <n v="-2.17"/>
  </r>
  <r>
    <n v="163"/>
    <x v="5"/>
    <x v="115"/>
    <x v="12"/>
    <s v="Percent of potential GDP"/>
    <s v="Units"/>
    <x v="6"/>
    <n v="-2.7210000000000001"/>
  </r>
  <r>
    <n v="510"/>
    <x v="10"/>
    <x v="15"/>
    <x v="9"/>
    <s v="Percent of GDP"/>
    <s v="Units"/>
    <x v="0"/>
    <n v="-2.0910000000000002"/>
  </r>
  <r>
    <n v="510"/>
    <x v="10"/>
    <x v="15"/>
    <x v="9"/>
    <s v="Percent of GDP"/>
    <s v="Units"/>
    <x v="1"/>
    <n v="-6.0750000000000002"/>
  </r>
  <r>
    <n v="510"/>
    <x v="10"/>
    <x v="15"/>
    <x v="9"/>
    <s v="Percent of GDP"/>
    <s v="Units"/>
    <x v="2"/>
    <n v="-4.4050000000000002"/>
  </r>
  <r>
    <n v="510"/>
    <x v="10"/>
    <x v="15"/>
    <x v="9"/>
    <s v="Percent of GDP"/>
    <s v="Units"/>
    <x v="3"/>
    <n v="-2.1909999999999998"/>
  </r>
  <r>
    <n v="510"/>
    <x v="10"/>
    <x v="15"/>
    <x v="9"/>
    <s v="Percent of GDP"/>
    <s v="Units"/>
    <x v="4"/>
    <n v="-1.649"/>
  </r>
  <r>
    <n v="510"/>
    <x v="10"/>
    <x v="15"/>
    <x v="9"/>
    <s v="Percent of GDP"/>
    <s v="Units"/>
    <x v="5"/>
    <n v="-2.1859999999999999"/>
  </r>
  <r>
    <n v="510"/>
    <x v="10"/>
    <x v="15"/>
    <x v="9"/>
    <s v="Percent of GDP"/>
    <s v="Units"/>
    <x v="6"/>
    <n v="-2.6709999999999998"/>
  </r>
  <r>
    <n v="505"/>
    <x v="4"/>
    <x v="15"/>
    <x v="9"/>
    <s v="Percent of GDP"/>
    <s v="Units"/>
    <x v="0"/>
    <n v="-2.0910000000000002"/>
  </r>
  <r>
    <n v="505"/>
    <x v="4"/>
    <x v="15"/>
    <x v="9"/>
    <s v="Percent of GDP"/>
    <s v="Units"/>
    <x v="1"/>
    <n v="-6.0750000000000002"/>
  </r>
  <r>
    <n v="505"/>
    <x v="4"/>
    <x v="15"/>
    <x v="9"/>
    <s v="Percent of GDP"/>
    <s v="Units"/>
    <x v="2"/>
    <n v="-4.4050000000000002"/>
  </r>
  <r>
    <n v="505"/>
    <x v="4"/>
    <x v="15"/>
    <x v="9"/>
    <s v="Percent of GDP"/>
    <s v="Units"/>
    <x v="3"/>
    <n v="-2.1909999999999998"/>
  </r>
  <r>
    <n v="505"/>
    <x v="4"/>
    <x v="15"/>
    <x v="9"/>
    <s v="Percent of GDP"/>
    <s v="Units"/>
    <x v="4"/>
    <n v="-1.649"/>
  </r>
  <r>
    <n v="505"/>
    <x v="4"/>
    <x v="15"/>
    <x v="9"/>
    <s v="Percent of GDP"/>
    <s v="Units"/>
    <x v="5"/>
    <n v="-2.1859999999999999"/>
  </r>
  <r>
    <n v="505"/>
    <x v="4"/>
    <x v="15"/>
    <x v="9"/>
    <s v="Percent of GDP"/>
    <s v="Units"/>
    <x v="6"/>
    <n v="-2.6709999999999998"/>
  </r>
  <r>
    <n v="200"/>
    <x v="3"/>
    <x v="15"/>
    <x v="9"/>
    <s v="Percent of GDP"/>
    <s v="Units"/>
    <x v="0"/>
    <n v="-2.0910000000000002"/>
  </r>
  <r>
    <n v="200"/>
    <x v="3"/>
    <x v="15"/>
    <x v="9"/>
    <s v="Percent of GDP"/>
    <s v="Units"/>
    <x v="1"/>
    <n v="-6.0750000000000002"/>
  </r>
  <r>
    <n v="200"/>
    <x v="3"/>
    <x v="15"/>
    <x v="9"/>
    <s v="Percent of GDP"/>
    <s v="Units"/>
    <x v="2"/>
    <n v="-4.4050000000000002"/>
  </r>
  <r>
    <n v="200"/>
    <x v="3"/>
    <x v="15"/>
    <x v="9"/>
    <s v="Percent of GDP"/>
    <s v="Units"/>
    <x v="3"/>
    <n v="-2.1909999999999998"/>
  </r>
  <r>
    <n v="200"/>
    <x v="3"/>
    <x v="15"/>
    <x v="9"/>
    <s v="Percent of GDP"/>
    <s v="Units"/>
    <x v="4"/>
    <n v="-1.649"/>
  </r>
  <r>
    <n v="200"/>
    <x v="3"/>
    <x v="15"/>
    <x v="9"/>
    <s v="Percent of GDP"/>
    <s v="Units"/>
    <x v="5"/>
    <n v="-2.1859999999999999"/>
  </r>
  <r>
    <n v="200"/>
    <x v="3"/>
    <x v="15"/>
    <x v="9"/>
    <s v="Percent of GDP"/>
    <s v="Units"/>
    <x v="6"/>
    <n v="-2.6709999999999998"/>
  </r>
  <r>
    <n v="110"/>
    <x v="0"/>
    <x v="84"/>
    <x v="12"/>
    <s v="Percent of potential GDP"/>
    <s v="Units"/>
    <x v="0"/>
    <n v="0.57599999999999996"/>
  </r>
  <r>
    <n v="110"/>
    <x v="0"/>
    <x v="84"/>
    <x v="12"/>
    <s v="Percent of potential GDP"/>
    <s v="Units"/>
    <x v="1"/>
    <n v="-5.2110000000000003"/>
  </r>
  <r>
    <n v="110"/>
    <x v="0"/>
    <x v="84"/>
    <x v="12"/>
    <s v="Percent of potential GDP"/>
    <s v="Units"/>
    <x v="2"/>
    <n v="-1.4650000000000001"/>
  </r>
  <r>
    <n v="110"/>
    <x v="0"/>
    <x v="84"/>
    <x v="12"/>
    <s v="Percent of potential GDP"/>
    <s v="Units"/>
    <x v="3"/>
    <n v="-1.323"/>
  </r>
  <r>
    <n v="110"/>
    <x v="0"/>
    <x v="84"/>
    <x v="12"/>
    <s v="Percent of potential GDP"/>
    <s v="Units"/>
    <x v="4"/>
    <n v="-0.39900000000000002"/>
  </r>
  <r>
    <n v="110"/>
    <x v="0"/>
    <x v="84"/>
    <x v="12"/>
    <s v="Percent of potential GDP"/>
    <s v="Units"/>
    <x v="5"/>
    <n v="-2.1920000000000002"/>
  </r>
  <r>
    <n v="110"/>
    <x v="0"/>
    <x v="84"/>
    <x v="12"/>
    <s v="Percent of potential GDP"/>
    <s v="Units"/>
    <x v="6"/>
    <n v="-1.353"/>
  </r>
  <r>
    <n v="163"/>
    <x v="5"/>
    <x v="84"/>
    <x v="12"/>
    <s v="Percent of potential GDP"/>
    <s v="Units"/>
    <x v="0"/>
    <n v="0.57599999999999996"/>
  </r>
  <r>
    <n v="163"/>
    <x v="5"/>
    <x v="84"/>
    <x v="12"/>
    <s v="Percent of potential GDP"/>
    <s v="Units"/>
    <x v="1"/>
    <n v="-5.2110000000000003"/>
  </r>
  <r>
    <n v="163"/>
    <x v="5"/>
    <x v="84"/>
    <x v="12"/>
    <s v="Percent of potential GDP"/>
    <s v="Units"/>
    <x v="2"/>
    <n v="-1.4650000000000001"/>
  </r>
  <r>
    <n v="163"/>
    <x v="5"/>
    <x v="84"/>
    <x v="12"/>
    <s v="Percent of potential GDP"/>
    <s v="Units"/>
    <x v="3"/>
    <n v="-1.323"/>
  </r>
  <r>
    <n v="163"/>
    <x v="5"/>
    <x v="84"/>
    <x v="12"/>
    <s v="Percent of potential GDP"/>
    <s v="Units"/>
    <x v="4"/>
    <n v="-0.39900000000000002"/>
  </r>
  <r>
    <n v="163"/>
    <x v="5"/>
    <x v="84"/>
    <x v="12"/>
    <s v="Percent of potential GDP"/>
    <s v="Units"/>
    <x v="5"/>
    <n v="-2.1920000000000002"/>
  </r>
  <r>
    <n v="163"/>
    <x v="5"/>
    <x v="84"/>
    <x v="12"/>
    <s v="Percent of potential GDP"/>
    <s v="Units"/>
    <x v="6"/>
    <n v="-1.353"/>
  </r>
  <r>
    <n v="998"/>
    <x v="6"/>
    <x v="44"/>
    <x v="9"/>
    <s v="Percent of GDP"/>
    <s v="Units"/>
    <x v="0"/>
    <n v="0.28899999999999998"/>
  </r>
  <r>
    <n v="998"/>
    <x v="6"/>
    <x v="44"/>
    <x v="9"/>
    <s v="Percent of GDP"/>
    <s v="Units"/>
    <x v="1"/>
    <n v="-5.766"/>
  </r>
  <r>
    <n v="998"/>
    <x v="6"/>
    <x v="44"/>
    <x v="9"/>
    <s v="Percent of GDP"/>
    <s v="Units"/>
    <x v="2"/>
    <n v="-5.085"/>
  </r>
  <r>
    <n v="998"/>
    <x v="6"/>
    <x v="44"/>
    <x v="9"/>
    <s v="Percent of GDP"/>
    <s v="Units"/>
    <x v="3"/>
    <n v="-3.2109999999999999"/>
  </r>
  <r>
    <n v="998"/>
    <x v="6"/>
    <x v="44"/>
    <x v="9"/>
    <s v="Percent of GDP"/>
    <s v="Units"/>
    <x v="4"/>
    <n v="-3.577"/>
  </r>
  <r>
    <n v="998"/>
    <x v="6"/>
    <x v="44"/>
    <x v="9"/>
    <s v="Percent of GDP"/>
    <s v="Units"/>
    <x v="5"/>
    <n v="-2.2160000000000002"/>
  </r>
  <r>
    <n v="998"/>
    <x v="6"/>
    <x v="44"/>
    <x v="9"/>
    <s v="Percent of GDP"/>
    <s v="Units"/>
    <x v="6"/>
    <n v="-1.7549999999999999"/>
  </r>
  <r>
    <n v="123"/>
    <x v="9"/>
    <x v="44"/>
    <x v="9"/>
    <s v="Percent of GDP"/>
    <s v="Units"/>
    <x v="0"/>
    <n v="0.28899999999999998"/>
  </r>
  <r>
    <n v="123"/>
    <x v="9"/>
    <x v="44"/>
    <x v="9"/>
    <s v="Percent of GDP"/>
    <s v="Units"/>
    <x v="1"/>
    <n v="-5.766"/>
  </r>
  <r>
    <n v="123"/>
    <x v="9"/>
    <x v="44"/>
    <x v="9"/>
    <s v="Percent of GDP"/>
    <s v="Units"/>
    <x v="2"/>
    <n v="-5.085"/>
  </r>
  <r>
    <n v="123"/>
    <x v="9"/>
    <x v="44"/>
    <x v="9"/>
    <s v="Percent of GDP"/>
    <s v="Units"/>
    <x v="3"/>
    <n v="-3.2109999999999999"/>
  </r>
  <r>
    <n v="123"/>
    <x v="9"/>
    <x v="44"/>
    <x v="9"/>
    <s v="Percent of GDP"/>
    <s v="Units"/>
    <x v="4"/>
    <n v="-3.577"/>
  </r>
  <r>
    <n v="123"/>
    <x v="9"/>
    <x v="44"/>
    <x v="9"/>
    <s v="Percent of GDP"/>
    <s v="Units"/>
    <x v="5"/>
    <n v="-2.2160000000000002"/>
  </r>
  <r>
    <n v="123"/>
    <x v="9"/>
    <x v="44"/>
    <x v="9"/>
    <s v="Percent of GDP"/>
    <s v="Units"/>
    <x v="6"/>
    <n v="-1.7549999999999999"/>
  </r>
  <r>
    <n v="110"/>
    <x v="0"/>
    <x v="44"/>
    <x v="9"/>
    <s v="Percent of GDP"/>
    <s v="Units"/>
    <x v="0"/>
    <n v="0.28899999999999998"/>
  </r>
  <r>
    <n v="110"/>
    <x v="0"/>
    <x v="44"/>
    <x v="9"/>
    <s v="Percent of GDP"/>
    <s v="Units"/>
    <x v="1"/>
    <n v="-5.766"/>
  </r>
  <r>
    <n v="110"/>
    <x v="0"/>
    <x v="44"/>
    <x v="9"/>
    <s v="Percent of GDP"/>
    <s v="Units"/>
    <x v="2"/>
    <n v="-5.085"/>
  </r>
  <r>
    <n v="110"/>
    <x v="0"/>
    <x v="44"/>
    <x v="9"/>
    <s v="Percent of GDP"/>
    <s v="Units"/>
    <x v="3"/>
    <n v="-3.2109999999999999"/>
  </r>
  <r>
    <n v="110"/>
    <x v="0"/>
    <x v="44"/>
    <x v="9"/>
    <s v="Percent of GDP"/>
    <s v="Units"/>
    <x v="4"/>
    <n v="-3.577"/>
  </r>
  <r>
    <n v="110"/>
    <x v="0"/>
    <x v="44"/>
    <x v="9"/>
    <s v="Percent of GDP"/>
    <s v="Units"/>
    <x v="5"/>
    <n v="-2.2160000000000002"/>
  </r>
  <r>
    <n v="110"/>
    <x v="0"/>
    <x v="44"/>
    <x v="9"/>
    <s v="Percent of GDP"/>
    <s v="Units"/>
    <x v="6"/>
    <n v="-1.7549999999999999"/>
  </r>
  <r>
    <n v="400"/>
    <x v="11"/>
    <x v="47"/>
    <x v="9"/>
    <s v="Percent of GDP"/>
    <s v="Units"/>
    <x v="0"/>
    <n v="-0.56999999999999995"/>
  </r>
  <r>
    <n v="400"/>
    <x v="11"/>
    <x v="47"/>
    <x v="9"/>
    <s v="Percent of GDP"/>
    <s v="Units"/>
    <x v="1"/>
    <n v="-7.0369999999999999"/>
  </r>
  <r>
    <n v="400"/>
    <x v="11"/>
    <x v="47"/>
    <x v="9"/>
    <s v="Percent of GDP"/>
    <s v="Units"/>
    <x v="2"/>
    <n v="-4.9660000000000002"/>
  </r>
  <r>
    <n v="400"/>
    <x v="11"/>
    <x v="47"/>
    <x v="9"/>
    <s v="Percent of GDP"/>
    <s v="Units"/>
    <x v="3"/>
    <n v="0.105"/>
  </r>
  <r>
    <n v="400"/>
    <x v="11"/>
    <x v="47"/>
    <x v="9"/>
    <s v="Percent of GDP"/>
    <s v="Units"/>
    <x v="4"/>
    <n v="-1.5249999999999999"/>
  </r>
  <r>
    <n v="400"/>
    <x v="11"/>
    <x v="47"/>
    <x v="9"/>
    <s v="Percent of GDP"/>
    <s v="Units"/>
    <x v="5"/>
    <n v="-2.2240000000000002"/>
  </r>
  <r>
    <n v="400"/>
    <x v="11"/>
    <x v="47"/>
    <x v="9"/>
    <s v="Percent of GDP"/>
    <s v="Units"/>
    <x v="6"/>
    <n v="-1.9059999999999999"/>
  </r>
  <r>
    <n v="200"/>
    <x v="3"/>
    <x v="47"/>
    <x v="9"/>
    <s v="Percent of GDP"/>
    <s v="Units"/>
    <x v="0"/>
    <n v="-0.56999999999999995"/>
  </r>
  <r>
    <n v="200"/>
    <x v="3"/>
    <x v="47"/>
    <x v="9"/>
    <s v="Percent of GDP"/>
    <s v="Units"/>
    <x v="1"/>
    <n v="-7.0369999999999999"/>
  </r>
  <r>
    <n v="200"/>
    <x v="3"/>
    <x v="47"/>
    <x v="9"/>
    <s v="Percent of GDP"/>
    <s v="Units"/>
    <x v="2"/>
    <n v="-4.9660000000000002"/>
  </r>
  <r>
    <n v="200"/>
    <x v="3"/>
    <x v="47"/>
    <x v="9"/>
    <s v="Percent of GDP"/>
    <s v="Units"/>
    <x v="3"/>
    <n v="0.105"/>
  </r>
  <r>
    <n v="200"/>
    <x v="3"/>
    <x v="47"/>
    <x v="9"/>
    <s v="Percent of GDP"/>
    <s v="Units"/>
    <x v="4"/>
    <n v="-1.5249999999999999"/>
  </r>
  <r>
    <n v="200"/>
    <x v="3"/>
    <x v="47"/>
    <x v="9"/>
    <s v="Percent of GDP"/>
    <s v="Units"/>
    <x v="5"/>
    <n v="-2.2240000000000002"/>
  </r>
  <r>
    <n v="200"/>
    <x v="3"/>
    <x v="47"/>
    <x v="9"/>
    <s v="Percent of GDP"/>
    <s v="Units"/>
    <x v="6"/>
    <n v="-1.9059999999999999"/>
  </r>
  <r>
    <n v="110"/>
    <x v="0"/>
    <x v="90"/>
    <x v="12"/>
    <s v="Percent of potential GDP"/>
    <s v="Units"/>
    <x v="0"/>
    <n v="-1.18"/>
  </r>
  <r>
    <n v="110"/>
    <x v="0"/>
    <x v="90"/>
    <x v="12"/>
    <s v="Percent of potential GDP"/>
    <s v="Units"/>
    <x v="1"/>
    <n v="-6.4980000000000002"/>
  </r>
  <r>
    <n v="110"/>
    <x v="0"/>
    <x v="90"/>
    <x v="12"/>
    <s v="Percent of potential GDP"/>
    <s v="Units"/>
    <x v="2"/>
    <n v="-5.7080000000000002"/>
  </r>
  <r>
    <n v="110"/>
    <x v="0"/>
    <x v="90"/>
    <x v="12"/>
    <s v="Percent of potential GDP"/>
    <s v="Units"/>
    <x v="3"/>
    <n v="-3.8570000000000002"/>
  </r>
  <r>
    <n v="110"/>
    <x v="0"/>
    <x v="90"/>
    <x v="12"/>
    <s v="Percent of potential GDP"/>
    <s v="Units"/>
    <x v="4"/>
    <n v="-3.0030000000000001"/>
  </r>
  <r>
    <n v="110"/>
    <x v="0"/>
    <x v="90"/>
    <x v="12"/>
    <s v="Percent of potential GDP"/>
    <s v="Units"/>
    <x v="5"/>
    <n v="-2.3380000000000001"/>
  </r>
  <r>
    <n v="110"/>
    <x v="0"/>
    <x v="90"/>
    <x v="12"/>
    <s v="Percent of potential GDP"/>
    <s v="Units"/>
    <x v="6"/>
    <n v="-2.0939999999999999"/>
  </r>
  <r>
    <n v="163"/>
    <x v="5"/>
    <x v="90"/>
    <x v="12"/>
    <s v="Percent of potential GDP"/>
    <s v="Units"/>
    <x v="0"/>
    <n v="-1.18"/>
  </r>
  <r>
    <n v="163"/>
    <x v="5"/>
    <x v="90"/>
    <x v="12"/>
    <s v="Percent of potential GDP"/>
    <s v="Units"/>
    <x v="1"/>
    <n v="-6.4980000000000002"/>
  </r>
  <r>
    <n v="163"/>
    <x v="5"/>
    <x v="90"/>
    <x v="12"/>
    <s v="Percent of potential GDP"/>
    <s v="Units"/>
    <x v="2"/>
    <n v="-5.7080000000000002"/>
  </r>
  <r>
    <n v="163"/>
    <x v="5"/>
    <x v="90"/>
    <x v="12"/>
    <s v="Percent of potential GDP"/>
    <s v="Units"/>
    <x v="3"/>
    <n v="-3.8570000000000002"/>
  </r>
  <r>
    <n v="163"/>
    <x v="5"/>
    <x v="90"/>
    <x v="12"/>
    <s v="Percent of potential GDP"/>
    <s v="Units"/>
    <x v="4"/>
    <n v="-3.0030000000000001"/>
  </r>
  <r>
    <n v="163"/>
    <x v="5"/>
    <x v="90"/>
    <x v="12"/>
    <s v="Percent of potential GDP"/>
    <s v="Units"/>
    <x v="5"/>
    <n v="-2.3380000000000001"/>
  </r>
  <r>
    <n v="163"/>
    <x v="5"/>
    <x v="90"/>
    <x v="12"/>
    <s v="Percent of potential GDP"/>
    <s v="Units"/>
    <x v="6"/>
    <n v="-2.0939999999999999"/>
  </r>
  <r>
    <n v="200"/>
    <x v="3"/>
    <x v="33"/>
    <x v="9"/>
    <s v="Percent of GDP"/>
    <s v="Units"/>
    <x v="0"/>
    <n v="-0.39700000000000002"/>
  </r>
  <r>
    <n v="200"/>
    <x v="3"/>
    <x v="33"/>
    <x v="9"/>
    <s v="Percent of GDP"/>
    <s v="Units"/>
    <x v="1"/>
    <n v="-2.8610000000000002"/>
  </r>
  <r>
    <n v="200"/>
    <x v="3"/>
    <x v="33"/>
    <x v="9"/>
    <s v="Percent of GDP"/>
    <s v="Units"/>
    <x v="2"/>
    <n v="-1.4319999999999999"/>
  </r>
  <r>
    <n v="200"/>
    <x v="3"/>
    <x v="33"/>
    <x v="9"/>
    <s v="Percent of GDP"/>
    <s v="Units"/>
    <x v="3"/>
    <n v="0.25600000000000001"/>
  </r>
  <r>
    <n v="200"/>
    <x v="3"/>
    <x v="33"/>
    <x v="9"/>
    <s v="Percent of GDP"/>
    <s v="Units"/>
    <x v="4"/>
    <n v="-1.613"/>
  </r>
  <r>
    <n v="200"/>
    <x v="3"/>
    <x v="33"/>
    <x v="9"/>
    <s v="Percent of GDP"/>
    <s v="Units"/>
    <x v="5"/>
    <n v="-2.3559999999999999"/>
  </r>
  <r>
    <n v="200"/>
    <x v="3"/>
    <x v="33"/>
    <x v="9"/>
    <s v="Percent of GDP"/>
    <s v="Units"/>
    <x v="6"/>
    <n v="-2.419"/>
  </r>
  <r>
    <n v="505"/>
    <x v="4"/>
    <x v="33"/>
    <x v="9"/>
    <s v="Percent of GDP"/>
    <s v="Units"/>
    <x v="0"/>
    <n v="-0.39700000000000002"/>
  </r>
  <r>
    <n v="505"/>
    <x v="4"/>
    <x v="33"/>
    <x v="9"/>
    <s v="Percent of GDP"/>
    <s v="Units"/>
    <x v="1"/>
    <n v="-2.8610000000000002"/>
  </r>
  <r>
    <n v="505"/>
    <x v="4"/>
    <x v="33"/>
    <x v="9"/>
    <s v="Percent of GDP"/>
    <s v="Units"/>
    <x v="2"/>
    <n v="-1.4319999999999999"/>
  </r>
  <r>
    <n v="505"/>
    <x v="4"/>
    <x v="33"/>
    <x v="9"/>
    <s v="Percent of GDP"/>
    <s v="Units"/>
    <x v="3"/>
    <n v="0.25600000000000001"/>
  </r>
  <r>
    <n v="505"/>
    <x v="4"/>
    <x v="33"/>
    <x v="9"/>
    <s v="Percent of GDP"/>
    <s v="Units"/>
    <x v="4"/>
    <n v="-1.613"/>
  </r>
  <r>
    <n v="505"/>
    <x v="4"/>
    <x v="33"/>
    <x v="9"/>
    <s v="Percent of GDP"/>
    <s v="Units"/>
    <x v="5"/>
    <n v="-2.3559999999999999"/>
  </r>
  <r>
    <n v="505"/>
    <x v="4"/>
    <x v="33"/>
    <x v="9"/>
    <s v="Percent of GDP"/>
    <s v="Units"/>
    <x v="6"/>
    <n v="-2.419"/>
  </r>
  <r>
    <n v="110"/>
    <x v="0"/>
    <x v="110"/>
    <x v="12"/>
    <s v="Percent of potential GDP"/>
    <s v="Units"/>
    <x v="0"/>
    <n v="-1.3620000000000001"/>
  </r>
  <r>
    <n v="110"/>
    <x v="0"/>
    <x v="110"/>
    <x v="12"/>
    <s v="Percent of potential GDP"/>
    <s v="Units"/>
    <x v="1"/>
    <n v="-2.9159999999999999"/>
  </r>
  <r>
    <n v="110"/>
    <x v="0"/>
    <x v="110"/>
    <x v="12"/>
    <s v="Percent of potential GDP"/>
    <s v="Units"/>
    <x v="2"/>
    <n v="-7.4660000000000002"/>
  </r>
  <r>
    <n v="110"/>
    <x v="0"/>
    <x v="110"/>
    <x v="12"/>
    <s v="Percent of potential GDP"/>
    <s v="Units"/>
    <x v="3"/>
    <n v="-5.2779999999999996"/>
  </r>
  <r>
    <n v="110"/>
    <x v="0"/>
    <x v="110"/>
    <x v="12"/>
    <s v="Percent of potential GDP"/>
    <s v="Units"/>
    <x v="4"/>
    <n v="-1.958"/>
  </r>
  <r>
    <n v="110"/>
    <x v="0"/>
    <x v="110"/>
    <x v="12"/>
    <s v="Percent of potential GDP"/>
    <s v="Units"/>
    <x v="5"/>
    <n v="-2.383"/>
  </r>
  <r>
    <n v="110"/>
    <x v="0"/>
    <x v="110"/>
    <x v="12"/>
    <s v="Percent of potential GDP"/>
    <s v="Units"/>
    <x v="6"/>
    <n v="-2.17"/>
  </r>
  <r>
    <n v="163"/>
    <x v="5"/>
    <x v="110"/>
    <x v="12"/>
    <s v="Percent of potential GDP"/>
    <s v="Units"/>
    <x v="0"/>
    <n v="-1.3620000000000001"/>
  </r>
  <r>
    <n v="163"/>
    <x v="5"/>
    <x v="110"/>
    <x v="12"/>
    <s v="Percent of potential GDP"/>
    <s v="Units"/>
    <x v="1"/>
    <n v="-2.9159999999999999"/>
  </r>
  <r>
    <n v="163"/>
    <x v="5"/>
    <x v="110"/>
    <x v="12"/>
    <s v="Percent of potential GDP"/>
    <s v="Units"/>
    <x v="2"/>
    <n v="-7.4660000000000002"/>
  </r>
  <r>
    <n v="163"/>
    <x v="5"/>
    <x v="110"/>
    <x v="12"/>
    <s v="Percent of potential GDP"/>
    <s v="Units"/>
    <x v="3"/>
    <n v="-5.2779999999999996"/>
  </r>
  <r>
    <n v="163"/>
    <x v="5"/>
    <x v="110"/>
    <x v="12"/>
    <s v="Percent of potential GDP"/>
    <s v="Units"/>
    <x v="4"/>
    <n v="-1.958"/>
  </r>
  <r>
    <n v="163"/>
    <x v="5"/>
    <x v="110"/>
    <x v="12"/>
    <s v="Percent of potential GDP"/>
    <s v="Units"/>
    <x v="5"/>
    <n v="-2.383"/>
  </r>
  <r>
    <n v="163"/>
    <x v="5"/>
    <x v="110"/>
    <x v="12"/>
    <s v="Percent of potential GDP"/>
    <s v="Units"/>
    <x v="6"/>
    <n v="-2.17"/>
  </r>
  <r>
    <n v="205"/>
    <x v="7"/>
    <x v="178"/>
    <x v="9"/>
    <s v="Percent of GDP"/>
    <s v="Units"/>
    <x v="0"/>
    <n v="-3.4980000000000002"/>
  </r>
  <r>
    <n v="205"/>
    <x v="7"/>
    <x v="178"/>
    <x v="9"/>
    <s v="Percent of GDP"/>
    <s v="Units"/>
    <x v="1"/>
    <n v="-11.492000000000001"/>
  </r>
  <r>
    <n v="205"/>
    <x v="7"/>
    <x v="178"/>
    <x v="9"/>
    <s v="Percent of GDP"/>
    <s v="Units"/>
    <x v="2"/>
    <n v="-5.45"/>
  </r>
  <r>
    <n v="205"/>
    <x v="7"/>
    <x v="178"/>
    <x v="9"/>
    <s v="Percent of GDP"/>
    <s v="Units"/>
    <x v="3"/>
    <n v="-1.454"/>
  </r>
  <r>
    <n v="205"/>
    <x v="7"/>
    <x v="178"/>
    <x v="9"/>
    <s v="Percent of GDP"/>
    <s v="Units"/>
    <x v="4"/>
    <n v="-2.1389999999999998"/>
  </r>
  <r>
    <n v="205"/>
    <x v="7"/>
    <x v="178"/>
    <x v="9"/>
    <s v="Percent of GDP"/>
    <s v="Units"/>
    <x v="5"/>
    <n v="-2.3889999999999998"/>
  </r>
  <r>
    <n v="205"/>
    <x v="7"/>
    <x v="178"/>
    <x v="9"/>
    <s v="Percent of GDP"/>
    <s v="Units"/>
    <x v="6"/>
    <n v="-2.298"/>
  </r>
  <r>
    <n v="200"/>
    <x v="3"/>
    <x v="178"/>
    <x v="9"/>
    <s v="Percent of GDP"/>
    <s v="Units"/>
    <x v="0"/>
    <n v="-3.4980000000000002"/>
  </r>
  <r>
    <n v="200"/>
    <x v="3"/>
    <x v="178"/>
    <x v="9"/>
    <s v="Percent of GDP"/>
    <s v="Units"/>
    <x v="1"/>
    <n v="-11.492000000000001"/>
  </r>
  <r>
    <n v="200"/>
    <x v="3"/>
    <x v="178"/>
    <x v="9"/>
    <s v="Percent of GDP"/>
    <s v="Units"/>
    <x v="2"/>
    <n v="-5.45"/>
  </r>
  <r>
    <n v="200"/>
    <x v="3"/>
    <x v="178"/>
    <x v="9"/>
    <s v="Percent of GDP"/>
    <s v="Units"/>
    <x v="3"/>
    <n v="-1.454"/>
  </r>
  <r>
    <n v="200"/>
    <x v="3"/>
    <x v="178"/>
    <x v="9"/>
    <s v="Percent of GDP"/>
    <s v="Units"/>
    <x v="4"/>
    <n v="-2.1389999999999998"/>
  </r>
  <r>
    <n v="200"/>
    <x v="3"/>
    <x v="178"/>
    <x v="9"/>
    <s v="Percent of GDP"/>
    <s v="Units"/>
    <x v="5"/>
    <n v="-2.3889999999999998"/>
  </r>
  <r>
    <n v="200"/>
    <x v="3"/>
    <x v="178"/>
    <x v="9"/>
    <s v="Percent of GDP"/>
    <s v="Units"/>
    <x v="6"/>
    <n v="-2.298"/>
  </r>
  <r>
    <n v="200"/>
    <x v="3"/>
    <x v="54"/>
    <x v="4"/>
    <s v="Percent change"/>
    <s v="Units"/>
    <x v="0"/>
    <n v="0.22700000000000001"/>
  </r>
  <r>
    <n v="200"/>
    <x v="3"/>
    <x v="54"/>
    <x v="4"/>
    <s v="Percent change"/>
    <s v="Units"/>
    <x v="1"/>
    <n v="-0.16500000000000001"/>
  </r>
  <r>
    <n v="200"/>
    <x v="3"/>
    <x v="54"/>
    <x v="4"/>
    <s v="Percent change"/>
    <s v="Units"/>
    <x v="2"/>
    <n v="-2.3559999999999999"/>
  </r>
  <r>
    <n v="200"/>
    <x v="3"/>
    <x v="54"/>
    <x v="4"/>
    <s v="Percent change"/>
    <s v="Units"/>
    <x v="3"/>
    <n v="8.2560000000000002"/>
  </r>
  <r>
    <n v="200"/>
    <x v="3"/>
    <x v="54"/>
    <x v="4"/>
    <s v="Percent change"/>
    <s v="Units"/>
    <x v="4"/>
    <n v="-0.56100000000000005"/>
  </r>
  <r>
    <n v="200"/>
    <x v="3"/>
    <x v="54"/>
    <x v="4"/>
    <s v="Percent change"/>
    <s v="Units"/>
    <x v="5"/>
    <n v="-2.4129999999999998"/>
  </r>
  <r>
    <n v="200"/>
    <x v="3"/>
    <x v="54"/>
    <x v="4"/>
    <s v="Percent change"/>
    <s v="Units"/>
    <x v="6"/>
    <n v="3.7410000000000001"/>
  </r>
  <r>
    <n v="400"/>
    <x v="11"/>
    <x v="54"/>
    <x v="4"/>
    <s v="Percent change"/>
    <s v="Units"/>
    <x v="0"/>
    <n v="0.22700000000000001"/>
  </r>
  <r>
    <n v="400"/>
    <x v="11"/>
    <x v="54"/>
    <x v="4"/>
    <s v="Percent change"/>
    <s v="Units"/>
    <x v="1"/>
    <n v="-0.16500000000000001"/>
  </r>
  <r>
    <n v="400"/>
    <x v="11"/>
    <x v="54"/>
    <x v="4"/>
    <s v="Percent change"/>
    <s v="Units"/>
    <x v="2"/>
    <n v="-2.3559999999999999"/>
  </r>
  <r>
    <n v="400"/>
    <x v="11"/>
    <x v="54"/>
    <x v="4"/>
    <s v="Percent change"/>
    <s v="Units"/>
    <x v="3"/>
    <n v="8.2560000000000002"/>
  </r>
  <r>
    <n v="400"/>
    <x v="11"/>
    <x v="54"/>
    <x v="4"/>
    <s v="Percent change"/>
    <s v="Units"/>
    <x v="4"/>
    <n v="-0.56100000000000005"/>
  </r>
  <r>
    <n v="400"/>
    <x v="11"/>
    <x v="54"/>
    <x v="4"/>
    <s v="Percent change"/>
    <s v="Units"/>
    <x v="5"/>
    <n v="-2.4129999999999998"/>
  </r>
  <r>
    <n v="400"/>
    <x v="11"/>
    <x v="54"/>
    <x v="4"/>
    <s v="Percent change"/>
    <s v="Units"/>
    <x v="6"/>
    <n v="3.7410000000000001"/>
  </r>
  <r>
    <n v="1"/>
    <x v="2"/>
    <x v="54"/>
    <x v="4"/>
    <s v="Percent change"/>
    <s v="Units"/>
    <x v="0"/>
    <n v="0.22700000000000001"/>
  </r>
  <r>
    <n v="1"/>
    <x v="2"/>
    <x v="54"/>
    <x v="4"/>
    <s v="Percent change"/>
    <s v="Units"/>
    <x v="1"/>
    <n v="-0.16500000000000001"/>
  </r>
  <r>
    <n v="1"/>
    <x v="2"/>
    <x v="54"/>
    <x v="4"/>
    <s v="Percent change"/>
    <s v="Units"/>
    <x v="2"/>
    <n v="-2.3559999999999999"/>
  </r>
  <r>
    <n v="1"/>
    <x v="2"/>
    <x v="54"/>
    <x v="4"/>
    <s v="Percent change"/>
    <s v="Units"/>
    <x v="3"/>
    <n v="8.2560000000000002"/>
  </r>
  <r>
    <n v="1"/>
    <x v="2"/>
    <x v="54"/>
    <x v="4"/>
    <s v="Percent change"/>
    <s v="Units"/>
    <x v="4"/>
    <n v="-0.56100000000000005"/>
  </r>
  <r>
    <n v="1"/>
    <x v="2"/>
    <x v="54"/>
    <x v="4"/>
    <s v="Percent change"/>
    <s v="Units"/>
    <x v="5"/>
    <n v="-2.4129999999999998"/>
  </r>
  <r>
    <n v="1"/>
    <x v="2"/>
    <x v="54"/>
    <x v="4"/>
    <s v="Percent change"/>
    <s v="Units"/>
    <x v="6"/>
    <n v="3.7410000000000001"/>
  </r>
  <r>
    <n v="200"/>
    <x v="3"/>
    <x v="93"/>
    <x v="4"/>
    <s v="Percent change"/>
    <s v="Units"/>
    <x v="0"/>
    <n v="-3.6080000000000001"/>
  </r>
  <r>
    <n v="200"/>
    <x v="3"/>
    <x v="93"/>
    <x v="4"/>
    <s v="Percent change"/>
    <s v="Units"/>
    <x v="1"/>
    <n v="-3.7"/>
  </r>
  <r>
    <n v="200"/>
    <x v="3"/>
    <x v="93"/>
    <x v="4"/>
    <s v="Percent change"/>
    <s v="Units"/>
    <x v="2"/>
    <n v="-20.207999999999998"/>
  </r>
  <r>
    <n v="200"/>
    <x v="3"/>
    <x v="93"/>
    <x v="4"/>
    <s v="Percent change"/>
    <s v="Units"/>
    <x v="3"/>
    <n v="-7.2990000000000004"/>
  </r>
  <r>
    <n v="200"/>
    <x v="3"/>
    <x v="93"/>
    <x v="4"/>
    <s v="Percent change"/>
    <s v="Units"/>
    <x v="4"/>
    <n v="-16.797999999999998"/>
  </r>
  <r>
    <n v="200"/>
    <x v="3"/>
    <x v="93"/>
    <x v="4"/>
    <s v="Percent change"/>
    <s v="Units"/>
    <x v="5"/>
    <n v="-2.4409999999999998"/>
  </r>
  <r>
    <n v="200"/>
    <x v="3"/>
    <x v="93"/>
    <x v="4"/>
    <s v="Percent change"/>
    <s v="Units"/>
    <x v="6"/>
    <n v="2.0169999999999999"/>
  </r>
  <r>
    <n v="1"/>
    <x v="2"/>
    <x v="93"/>
    <x v="4"/>
    <s v="Percent change"/>
    <s v="Units"/>
    <x v="0"/>
    <n v="-3.6080000000000001"/>
  </r>
  <r>
    <n v="1"/>
    <x v="2"/>
    <x v="93"/>
    <x v="4"/>
    <s v="Percent change"/>
    <s v="Units"/>
    <x v="1"/>
    <n v="-3.7"/>
  </r>
  <r>
    <n v="1"/>
    <x v="2"/>
    <x v="93"/>
    <x v="4"/>
    <s v="Percent change"/>
    <s v="Units"/>
    <x v="2"/>
    <n v="-20.207999999999998"/>
  </r>
  <r>
    <n v="1"/>
    <x v="2"/>
    <x v="93"/>
    <x v="4"/>
    <s v="Percent change"/>
    <s v="Units"/>
    <x v="3"/>
    <n v="-7.2990000000000004"/>
  </r>
  <r>
    <n v="1"/>
    <x v="2"/>
    <x v="93"/>
    <x v="4"/>
    <s v="Percent change"/>
    <s v="Units"/>
    <x v="4"/>
    <n v="-16.797999999999998"/>
  </r>
  <r>
    <n v="1"/>
    <x v="2"/>
    <x v="93"/>
    <x v="4"/>
    <s v="Percent change"/>
    <s v="Units"/>
    <x v="5"/>
    <n v="-2.4409999999999998"/>
  </r>
  <r>
    <n v="1"/>
    <x v="2"/>
    <x v="93"/>
    <x v="4"/>
    <s v="Percent change"/>
    <s v="Units"/>
    <x v="6"/>
    <n v="2.0169999999999999"/>
  </r>
  <r>
    <n v="505"/>
    <x v="4"/>
    <x v="93"/>
    <x v="4"/>
    <s v="Percent change"/>
    <s v="Units"/>
    <x v="0"/>
    <n v="-3.6080000000000001"/>
  </r>
  <r>
    <n v="505"/>
    <x v="4"/>
    <x v="93"/>
    <x v="4"/>
    <s v="Percent change"/>
    <s v="Units"/>
    <x v="1"/>
    <n v="-3.7"/>
  </r>
  <r>
    <n v="505"/>
    <x v="4"/>
    <x v="93"/>
    <x v="4"/>
    <s v="Percent change"/>
    <s v="Units"/>
    <x v="2"/>
    <n v="-20.207999999999998"/>
  </r>
  <r>
    <n v="505"/>
    <x v="4"/>
    <x v="93"/>
    <x v="4"/>
    <s v="Percent change"/>
    <s v="Units"/>
    <x v="3"/>
    <n v="-7.2990000000000004"/>
  </r>
  <r>
    <n v="505"/>
    <x v="4"/>
    <x v="93"/>
    <x v="4"/>
    <s v="Percent change"/>
    <s v="Units"/>
    <x v="4"/>
    <n v="-16.797999999999998"/>
  </r>
  <r>
    <n v="505"/>
    <x v="4"/>
    <x v="93"/>
    <x v="4"/>
    <s v="Percent change"/>
    <s v="Units"/>
    <x v="5"/>
    <n v="-2.4409999999999998"/>
  </r>
  <r>
    <n v="505"/>
    <x v="4"/>
    <x v="93"/>
    <x v="4"/>
    <s v="Percent change"/>
    <s v="Units"/>
    <x v="6"/>
    <n v="2.0169999999999999"/>
  </r>
  <r>
    <n v="200"/>
    <x v="3"/>
    <x v="121"/>
    <x v="9"/>
    <s v="Percent of GDP"/>
    <s v="Units"/>
    <x v="0"/>
    <n v="1.3680000000000001"/>
  </r>
  <r>
    <n v="200"/>
    <x v="3"/>
    <x v="121"/>
    <x v="9"/>
    <s v="Percent of GDP"/>
    <s v="Units"/>
    <x v="1"/>
    <n v="-4.6159999999999997"/>
  </r>
  <r>
    <n v="200"/>
    <x v="3"/>
    <x v="121"/>
    <x v="9"/>
    <s v="Percent of GDP"/>
    <s v="Units"/>
    <x v="2"/>
    <n v="0.61"/>
  </r>
  <r>
    <n v="200"/>
    <x v="3"/>
    <x v="121"/>
    <x v="9"/>
    <s v="Percent of GDP"/>
    <s v="Units"/>
    <x v="3"/>
    <n v="0.92400000000000004"/>
  </r>
  <r>
    <n v="200"/>
    <x v="3"/>
    <x v="121"/>
    <x v="9"/>
    <s v="Percent of GDP"/>
    <s v="Units"/>
    <x v="4"/>
    <n v="-0.70499999999999996"/>
  </r>
  <r>
    <n v="200"/>
    <x v="3"/>
    <x v="121"/>
    <x v="9"/>
    <s v="Percent of GDP"/>
    <s v="Units"/>
    <x v="5"/>
    <n v="-2.4420000000000002"/>
  </r>
  <r>
    <n v="200"/>
    <x v="3"/>
    <x v="121"/>
    <x v="9"/>
    <s v="Percent of GDP"/>
    <s v="Units"/>
    <x v="6"/>
    <n v="-2.44"/>
  </r>
  <r>
    <n v="903"/>
    <x v="8"/>
    <x v="121"/>
    <x v="9"/>
    <s v="Percent of GDP"/>
    <s v="Units"/>
    <x v="0"/>
    <n v="1.3680000000000001"/>
  </r>
  <r>
    <n v="903"/>
    <x v="8"/>
    <x v="121"/>
    <x v="9"/>
    <s v="Percent of GDP"/>
    <s v="Units"/>
    <x v="1"/>
    <n v="-4.6159999999999997"/>
  </r>
  <r>
    <n v="903"/>
    <x v="8"/>
    <x v="121"/>
    <x v="9"/>
    <s v="Percent of GDP"/>
    <s v="Units"/>
    <x v="2"/>
    <n v="0.61"/>
  </r>
  <r>
    <n v="903"/>
    <x v="8"/>
    <x v="121"/>
    <x v="9"/>
    <s v="Percent of GDP"/>
    <s v="Units"/>
    <x v="3"/>
    <n v="0.92400000000000004"/>
  </r>
  <r>
    <n v="903"/>
    <x v="8"/>
    <x v="121"/>
    <x v="9"/>
    <s v="Percent of GDP"/>
    <s v="Units"/>
    <x v="4"/>
    <n v="-0.70499999999999996"/>
  </r>
  <r>
    <n v="903"/>
    <x v="8"/>
    <x v="121"/>
    <x v="9"/>
    <s v="Percent of GDP"/>
    <s v="Units"/>
    <x v="5"/>
    <n v="-2.4420000000000002"/>
  </r>
  <r>
    <n v="903"/>
    <x v="8"/>
    <x v="121"/>
    <x v="9"/>
    <s v="Percent of GDP"/>
    <s v="Units"/>
    <x v="6"/>
    <n v="-2.44"/>
  </r>
  <r>
    <n v="400"/>
    <x v="11"/>
    <x v="155"/>
    <x v="9"/>
    <s v="Percent of GDP"/>
    <s v="Units"/>
    <x v="0"/>
    <n v="-2.0430000000000001"/>
  </r>
  <r>
    <n v="400"/>
    <x v="11"/>
    <x v="155"/>
    <x v="9"/>
    <s v="Percent of GDP"/>
    <s v="Units"/>
    <x v="1"/>
    <n v="-4.3390000000000004"/>
  </r>
  <r>
    <n v="400"/>
    <x v="11"/>
    <x v="155"/>
    <x v="9"/>
    <s v="Percent of GDP"/>
    <s v="Units"/>
    <x v="2"/>
    <n v="-0.66600000000000004"/>
  </r>
  <r>
    <n v="400"/>
    <x v="11"/>
    <x v="155"/>
    <x v="9"/>
    <s v="Percent of GDP"/>
    <s v="Units"/>
    <x v="3"/>
    <n v="-0.23300000000000001"/>
  </r>
  <r>
    <n v="400"/>
    <x v="11"/>
    <x v="155"/>
    <x v="9"/>
    <s v="Percent of GDP"/>
    <s v="Units"/>
    <x v="4"/>
    <n v="-1.0489999999999999"/>
  </r>
  <r>
    <n v="400"/>
    <x v="11"/>
    <x v="155"/>
    <x v="9"/>
    <s v="Percent of GDP"/>
    <s v="Units"/>
    <x v="5"/>
    <n v="-2.5030000000000001"/>
  </r>
  <r>
    <n v="400"/>
    <x v="11"/>
    <x v="155"/>
    <x v="9"/>
    <s v="Percent of GDP"/>
    <s v="Units"/>
    <x v="6"/>
    <n v="-2.4769999999999999"/>
  </r>
  <r>
    <n v="200"/>
    <x v="3"/>
    <x v="155"/>
    <x v="9"/>
    <s v="Percent of GDP"/>
    <s v="Units"/>
    <x v="0"/>
    <n v="-2.0430000000000001"/>
  </r>
  <r>
    <n v="200"/>
    <x v="3"/>
    <x v="155"/>
    <x v="9"/>
    <s v="Percent of GDP"/>
    <s v="Units"/>
    <x v="1"/>
    <n v="-4.3390000000000004"/>
  </r>
  <r>
    <n v="200"/>
    <x v="3"/>
    <x v="155"/>
    <x v="9"/>
    <s v="Percent of GDP"/>
    <s v="Units"/>
    <x v="2"/>
    <n v="-0.66600000000000004"/>
  </r>
  <r>
    <n v="200"/>
    <x v="3"/>
    <x v="155"/>
    <x v="9"/>
    <s v="Percent of GDP"/>
    <s v="Units"/>
    <x v="3"/>
    <n v="-0.23300000000000001"/>
  </r>
  <r>
    <n v="200"/>
    <x v="3"/>
    <x v="155"/>
    <x v="9"/>
    <s v="Percent of GDP"/>
    <s v="Units"/>
    <x v="4"/>
    <n v="-1.0489999999999999"/>
  </r>
  <r>
    <n v="200"/>
    <x v="3"/>
    <x v="155"/>
    <x v="9"/>
    <s v="Percent of GDP"/>
    <s v="Units"/>
    <x v="5"/>
    <n v="-2.5030000000000001"/>
  </r>
  <r>
    <n v="200"/>
    <x v="3"/>
    <x v="155"/>
    <x v="9"/>
    <s v="Percent of GDP"/>
    <s v="Units"/>
    <x v="6"/>
    <n v="-2.4769999999999999"/>
  </r>
  <r>
    <n v="200"/>
    <x v="3"/>
    <x v="145"/>
    <x v="9"/>
    <s v="Percent of GDP"/>
    <s v="Units"/>
    <x v="0"/>
    <n v="-1.825"/>
  </r>
  <r>
    <n v="200"/>
    <x v="3"/>
    <x v="145"/>
    <x v="9"/>
    <s v="Percent of GDP"/>
    <s v="Units"/>
    <x v="1"/>
    <n v="-9.1579999999999995"/>
  </r>
  <r>
    <n v="200"/>
    <x v="3"/>
    <x v="145"/>
    <x v="9"/>
    <s v="Percent of GDP"/>
    <s v="Units"/>
    <x v="2"/>
    <n v="-5.9720000000000004"/>
  </r>
  <r>
    <n v="200"/>
    <x v="3"/>
    <x v="145"/>
    <x v="9"/>
    <s v="Percent of GDP"/>
    <s v="Units"/>
    <x v="3"/>
    <n v="-2.56"/>
  </r>
  <r>
    <n v="200"/>
    <x v="3"/>
    <x v="145"/>
    <x v="9"/>
    <s v="Percent of GDP"/>
    <s v="Units"/>
    <x v="4"/>
    <n v="-2.3410000000000002"/>
  </r>
  <r>
    <n v="200"/>
    <x v="3"/>
    <x v="145"/>
    <x v="9"/>
    <s v="Percent of GDP"/>
    <s v="Units"/>
    <x v="5"/>
    <n v="-2.5070000000000001"/>
  </r>
  <r>
    <n v="200"/>
    <x v="3"/>
    <x v="145"/>
    <x v="9"/>
    <s v="Percent of GDP"/>
    <s v="Units"/>
    <x v="6"/>
    <n v="-2.1669999999999998"/>
  </r>
  <r>
    <n v="400"/>
    <x v="11"/>
    <x v="145"/>
    <x v="9"/>
    <s v="Percent of GDP"/>
    <s v="Units"/>
    <x v="0"/>
    <n v="-1.825"/>
  </r>
  <r>
    <n v="400"/>
    <x v="11"/>
    <x v="145"/>
    <x v="9"/>
    <s v="Percent of GDP"/>
    <s v="Units"/>
    <x v="1"/>
    <n v="-9.1579999999999995"/>
  </r>
  <r>
    <n v="400"/>
    <x v="11"/>
    <x v="145"/>
    <x v="9"/>
    <s v="Percent of GDP"/>
    <s v="Units"/>
    <x v="2"/>
    <n v="-5.9720000000000004"/>
  </r>
  <r>
    <n v="400"/>
    <x v="11"/>
    <x v="145"/>
    <x v="9"/>
    <s v="Percent of GDP"/>
    <s v="Units"/>
    <x v="3"/>
    <n v="-2.56"/>
  </r>
  <r>
    <n v="400"/>
    <x v="11"/>
    <x v="145"/>
    <x v="9"/>
    <s v="Percent of GDP"/>
    <s v="Units"/>
    <x v="4"/>
    <n v="-2.3410000000000002"/>
  </r>
  <r>
    <n v="400"/>
    <x v="11"/>
    <x v="145"/>
    <x v="9"/>
    <s v="Percent of GDP"/>
    <s v="Units"/>
    <x v="5"/>
    <n v="-2.5070000000000001"/>
  </r>
  <r>
    <n v="400"/>
    <x v="11"/>
    <x v="145"/>
    <x v="9"/>
    <s v="Percent of GDP"/>
    <s v="Units"/>
    <x v="6"/>
    <n v="-2.1669999999999998"/>
  </r>
  <r>
    <n v="200"/>
    <x v="3"/>
    <x v="48"/>
    <x v="9"/>
    <s v="Percent of GDP"/>
    <s v="Units"/>
    <x v="0"/>
    <n v="-1.391"/>
  </r>
  <r>
    <n v="200"/>
    <x v="3"/>
    <x v="48"/>
    <x v="9"/>
    <s v="Percent of GDP"/>
    <s v="Units"/>
    <x v="1"/>
    <n v="-9.0060000000000002"/>
  </r>
  <r>
    <n v="200"/>
    <x v="3"/>
    <x v="48"/>
    <x v="9"/>
    <s v="Percent of GDP"/>
    <s v="Units"/>
    <x v="2"/>
    <n v="-2.5419999999999998"/>
  </r>
  <r>
    <n v="200"/>
    <x v="3"/>
    <x v="48"/>
    <x v="9"/>
    <s v="Percent of GDP"/>
    <s v="Units"/>
    <x v="3"/>
    <n v="-1.3979999999999999"/>
  </r>
  <r>
    <n v="200"/>
    <x v="3"/>
    <x v="48"/>
    <x v="9"/>
    <s v="Percent of GDP"/>
    <s v="Units"/>
    <x v="4"/>
    <n v="-2.766"/>
  </r>
  <r>
    <n v="200"/>
    <x v="3"/>
    <x v="48"/>
    <x v="9"/>
    <s v="Percent of GDP"/>
    <s v="Units"/>
    <x v="5"/>
    <n v="-2.5110000000000001"/>
  </r>
  <r>
    <n v="200"/>
    <x v="3"/>
    <x v="48"/>
    <x v="9"/>
    <s v="Percent of GDP"/>
    <s v="Units"/>
    <x v="6"/>
    <n v="-1.819"/>
  </r>
  <r>
    <n v="205"/>
    <x v="7"/>
    <x v="48"/>
    <x v="9"/>
    <s v="Percent of GDP"/>
    <s v="Units"/>
    <x v="0"/>
    <n v="-1.391"/>
  </r>
  <r>
    <n v="205"/>
    <x v="7"/>
    <x v="48"/>
    <x v="9"/>
    <s v="Percent of GDP"/>
    <s v="Units"/>
    <x v="1"/>
    <n v="-9.0060000000000002"/>
  </r>
  <r>
    <n v="205"/>
    <x v="7"/>
    <x v="48"/>
    <x v="9"/>
    <s v="Percent of GDP"/>
    <s v="Units"/>
    <x v="2"/>
    <n v="-2.5419999999999998"/>
  </r>
  <r>
    <n v="205"/>
    <x v="7"/>
    <x v="48"/>
    <x v="9"/>
    <s v="Percent of GDP"/>
    <s v="Units"/>
    <x v="3"/>
    <n v="-1.3979999999999999"/>
  </r>
  <r>
    <n v="205"/>
    <x v="7"/>
    <x v="48"/>
    <x v="9"/>
    <s v="Percent of GDP"/>
    <s v="Units"/>
    <x v="4"/>
    <n v="-2.766"/>
  </r>
  <r>
    <n v="205"/>
    <x v="7"/>
    <x v="48"/>
    <x v="9"/>
    <s v="Percent of GDP"/>
    <s v="Units"/>
    <x v="5"/>
    <n v="-2.5110000000000001"/>
  </r>
  <r>
    <n v="205"/>
    <x v="7"/>
    <x v="48"/>
    <x v="9"/>
    <s v="Percent of GDP"/>
    <s v="Units"/>
    <x v="6"/>
    <n v="-1.819"/>
  </r>
  <r>
    <n v="200"/>
    <x v="3"/>
    <x v="60"/>
    <x v="9"/>
    <s v="Percent of GDP"/>
    <s v="Units"/>
    <x v="0"/>
    <n v="-10.815"/>
  </r>
  <r>
    <n v="200"/>
    <x v="3"/>
    <x v="60"/>
    <x v="9"/>
    <s v="Percent of GDP"/>
    <s v="Units"/>
    <x v="1"/>
    <n v="-5.9169999999999998"/>
  </r>
  <r>
    <n v="200"/>
    <x v="3"/>
    <x v="60"/>
    <x v="9"/>
    <s v="Percent of GDP"/>
    <s v="Units"/>
    <x v="2"/>
    <n v="-0.28399999999999997"/>
  </r>
  <r>
    <n v="200"/>
    <x v="3"/>
    <x v="60"/>
    <x v="9"/>
    <s v="Percent of GDP"/>
    <s v="Units"/>
    <x v="3"/>
    <n v="-2.1160000000000001"/>
  </r>
  <r>
    <n v="200"/>
    <x v="3"/>
    <x v="60"/>
    <x v="9"/>
    <s v="Percent of GDP"/>
    <s v="Units"/>
    <x v="4"/>
    <n v="-3.3239999999999998"/>
  </r>
  <r>
    <n v="200"/>
    <x v="3"/>
    <x v="60"/>
    <x v="9"/>
    <s v="Percent of GDP"/>
    <s v="Units"/>
    <x v="5"/>
    <n v="-2.5299999999999998"/>
  </r>
  <r>
    <n v="200"/>
    <x v="3"/>
    <x v="60"/>
    <x v="9"/>
    <s v="Percent of GDP"/>
    <s v="Units"/>
    <x v="6"/>
    <n v="-1.944"/>
  </r>
  <r>
    <n v="400"/>
    <x v="11"/>
    <x v="60"/>
    <x v="9"/>
    <s v="Percent of GDP"/>
    <s v="Units"/>
    <x v="0"/>
    <n v="-10.815"/>
  </r>
  <r>
    <n v="400"/>
    <x v="11"/>
    <x v="60"/>
    <x v="9"/>
    <s v="Percent of GDP"/>
    <s v="Units"/>
    <x v="1"/>
    <n v="-5.9169999999999998"/>
  </r>
  <r>
    <n v="400"/>
    <x v="11"/>
    <x v="60"/>
    <x v="9"/>
    <s v="Percent of GDP"/>
    <s v="Units"/>
    <x v="2"/>
    <n v="-0.28399999999999997"/>
  </r>
  <r>
    <n v="400"/>
    <x v="11"/>
    <x v="60"/>
    <x v="9"/>
    <s v="Percent of GDP"/>
    <s v="Units"/>
    <x v="3"/>
    <n v="-2.1160000000000001"/>
  </r>
  <r>
    <n v="400"/>
    <x v="11"/>
    <x v="60"/>
    <x v="9"/>
    <s v="Percent of GDP"/>
    <s v="Units"/>
    <x v="4"/>
    <n v="-3.3239999999999998"/>
  </r>
  <r>
    <n v="400"/>
    <x v="11"/>
    <x v="60"/>
    <x v="9"/>
    <s v="Percent of GDP"/>
    <s v="Units"/>
    <x v="5"/>
    <n v="-2.5299999999999998"/>
  </r>
  <r>
    <n v="400"/>
    <x v="11"/>
    <x v="60"/>
    <x v="9"/>
    <s v="Percent of GDP"/>
    <s v="Units"/>
    <x v="6"/>
    <n v="-1.944"/>
  </r>
  <r>
    <n v="200"/>
    <x v="3"/>
    <x v="175"/>
    <x v="9"/>
    <s v="Percent of GDP"/>
    <s v="Units"/>
    <x v="0"/>
    <n v="-1.679"/>
  </r>
  <r>
    <n v="200"/>
    <x v="3"/>
    <x v="175"/>
    <x v="9"/>
    <s v="Percent of GDP"/>
    <s v="Units"/>
    <x v="1"/>
    <n v="-7.45"/>
  </r>
  <r>
    <n v="200"/>
    <x v="3"/>
    <x v="175"/>
    <x v="9"/>
    <s v="Percent of GDP"/>
    <s v="Units"/>
    <x v="2"/>
    <n v="-13.105"/>
  </r>
  <r>
    <n v="200"/>
    <x v="3"/>
    <x v="175"/>
    <x v="9"/>
    <s v="Percent of GDP"/>
    <s v="Units"/>
    <x v="3"/>
    <n v="-5.7850000000000001"/>
  </r>
  <r>
    <n v="200"/>
    <x v="3"/>
    <x v="175"/>
    <x v="9"/>
    <s v="Percent of GDP"/>
    <s v="Units"/>
    <x v="4"/>
    <n v="-3.911"/>
  </r>
  <r>
    <n v="200"/>
    <x v="3"/>
    <x v="175"/>
    <x v="9"/>
    <s v="Percent of GDP"/>
    <s v="Units"/>
    <x v="5"/>
    <n v="-2.5579999999999998"/>
  </r>
  <r>
    <n v="200"/>
    <x v="3"/>
    <x v="175"/>
    <x v="9"/>
    <s v="Percent of GDP"/>
    <s v="Units"/>
    <x v="6"/>
    <n v="-2.125"/>
  </r>
  <r>
    <n v="205"/>
    <x v="7"/>
    <x v="175"/>
    <x v="9"/>
    <s v="Percent of GDP"/>
    <s v="Units"/>
    <x v="0"/>
    <n v="-1.679"/>
  </r>
  <r>
    <n v="205"/>
    <x v="7"/>
    <x v="175"/>
    <x v="9"/>
    <s v="Percent of GDP"/>
    <s v="Units"/>
    <x v="1"/>
    <n v="-7.45"/>
  </r>
  <r>
    <n v="205"/>
    <x v="7"/>
    <x v="175"/>
    <x v="9"/>
    <s v="Percent of GDP"/>
    <s v="Units"/>
    <x v="2"/>
    <n v="-13.105"/>
  </r>
  <r>
    <n v="205"/>
    <x v="7"/>
    <x v="175"/>
    <x v="9"/>
    <s v="Percent of GDP"/>
    <s v="Units"/>
    <x v="3"/>
    <n v="-5.7850000000000001"/>
  </r>
  <r>
    <n v="205"/>
    <x v="7"/>
    <x v="175"/>
    <x v="9"/>
    <s v="Percent of GDP"/>
    <s v="Units"/>
    <x v="4"/>
    <n v="-3.911"/>
  </r>
  <r>
    <n v="205"/>
    <x v="7"/>
    <x v="175"/>
    <x v="9"/>
    <s v="Percent of GDP"/>
    <s v="Units"/>
    <x v="5"/>
    <n v="-2.5579999999999998"/>
  </r>
  <r>
    <n v="205"/>
    <x v="7"/>
    <x v="175"/>
    <x v="9"/>
    <s v="Percent of GDP"/>
    <s v="Units"/>
    <x v="6"/>
    <n v="-2.125"/>
  </r>
  <r>
    <n v="200"/>
    <x v="3"/>
    <x v="168"/>
    <x v="9"/>
    <s v="Percent of GDP"/>
    <s v="Units"/>
    <x v="0"/>
    <n v="-2.746"/>
  </r>
  <r>
    <n v="200"/>
    <x v="3"/>
    <x v="168"/>
    <x v="9"/>
    <s v="Percent of GDP"/>
    <s v="Units"/>
    <x v="1"/>
    <n v="-2.3690000000000002"/>
  </r>
  <r>
    <n v="200"/>
    <x v="3"/>
    <x v="168"/>
    <x v="9"/>
    <s v="Percent of GDP"/>
    <s v="Units"/>
    <x v="2"/>
    <n v="-4.766"/>
  </r>
  <r>
    <n v="200"/>
    <x v="3"/>
    <x v="168"/>
    <x v="9"/>
    <s v="Percent of GDP"/>
    <s v="Units"/>
    <x v="3"/>
    <n v="-4.9459999999999997"/>
  </r>
  <r>
    <n v="200"/>
    <x v="3"/>
    <x v="168"/>
    <x v="9"/>
    <s v="Percent of GDP"/>
    <s v="Units"/>
    <x v="4"/>
    <n v="-2.992"/>
  </r>
  <r>
    <n v="200"/>
    <x v="3"/>
    <x v="168"/>
    <x v="9"/>
    <s v="Percent of GDP"/>
    <s v="Units"/>
    <x v="5"/>
    <n v="-2.573"/>
  </r>
  <r>
    <n v="200"/>
    <x v="3"/>
    <x v="168"/>
    <x v="9"/>
    <s v="Percent of GDP"/>
    <s v="Units"/>
    <x v="6"/>
    <n v="-1.2709999999999999"/>
  </r>
  <r>
    <n v="603"/>
    <x v="12"/>
    <x v="168"/>
    <x v="9"/>
    <s v="Percent of GDP"/>
    <s v="Units"/>
    <x v="0"/>
    <n v="-2.746"/>
  </r>
  <r>
    <n v="603"/>
    <x v="12"/>
    <x v="168"/>
    <x v="9"/>
    <s v="Percent of GDP"/>
    <s v="Units"/>
    <x v="1"/>
    <n v="-2.3690000000000002"/>
  </r>
  <r>
    <n v="603"/>
    <x v="12"/>
    <x v="168"/>
    <x v="9"/>
    <s v="Percent of GDP"/>
    <s v="Units"/>
    <x v="2"/>
    <n v="-4.766"/>
  </r>
  <r>
    <n v="603"/>
    <x v="12"/>
    <x v="168"/>
    <x v="9"/>
    <s v="Percent of GDP"/>
    <s v="Units"/>
    <x v="3"/>
    <n v="-4.9459999999999997"/>
  </r>
  <r>
    <n v="603"/>
    <x v="12"/>
    <x v="168"/>
    <x v="9"/>
    <s v="Percent of GDP"/>
    <s v="Units"/>
    <x v="4"/>
    <n v="-2.992"/>
  </r>
  <r>
    <n v="603"/>
    <x v="12"/>
    <x v="168"/>
    <x v="9"/>
    <s v="Percent of GDP"/>
    <s v="Units"/>
    <x v="5"/>
    <n v="-2.573"/>
  </r>
  <r>
    <n v="603"/>
    <x v="12"/>
    <x v="168"/>
    <x v="9"/>
    <s v="Percent of GDP"/>
    <s v="Units"/>
    <x v="6"/>
    <n v="-1.2709999999999999"/>
  </r>
  <r>
    <n v="998"/>
    <x v="6"/>
    <x v="84"/>
    <x v="9"/>
    <s v="Percent of GDP"/>
    <s v="Units"/>
    <x v="0"/>
    <n v="0.26400000000000001"/>
  </r>
  <r>
    <n v="998"/>
    <x v="6"/>
    <x v="84"/>
    <x v="9"/>
    <s v="Percent of GDP"/>
    <s v="Units"/>
    <x v="1"/>
    <n v="-7.2149999999999999"/>
  </r>
  <r>
    <n v="998"/>
    <x v="6"/>
    <x v="84"/>
    <x v="9"/>
    <s v="Percent of GDP"/>
    <s v="Units"/>
    <x v="2"/>
    <n v="-0.98199999999999998"/>
  </r>
  <r>
    <n v="998"/>
    <x v="6"/>
    <x v="84"/>
    <x v="9"/>
    <s v="Percent of GDP"/>
    <s v="Units"/>
    <x v="3"/>
    <n v="-0.65300000000000002"/>
  </r>
  <r>
    <n v="998"/>
    <x v="6"/>
    <x v="84"/>
    <x v="9"/>
    <s v="Percent of GDP"/>
    <s v="Units"/>
    <x v="4"/>
    <n v="-0.81699999999999995"/>
  </r>
  <r>
    <n v="998"/>
    <x v="6"/>
    <x v="84"/>
    <x v="9"/>
    <s v="Percent of GDP"/>
    <s v="Units"/>
    <x v="5"/>
    <n v="-2.5960000000000001"/>
  </r>
  <r>
    <n v="998"/>
    <x v="6"/>
    <x v="84"/>
    <x v="9"/>
    <s v="Percent of GDP"/>
    <s v="Units"/>
    <x v="6"/>
    <n v="-1.6950000000000001"/>
  </r>
  <r>
    <n v="163"/>
    <x v="5"/>
    <x v="84"/>
    <x v="9"/>
    <s v="Percent of GDP"/>
    <s v="Units"/>
    <x v="0"/>
    <n v="0.26400000000000001"/>
  </r>
  <r>
    <n v="163"/>
    <x v="5"/>
    <x v="84"/>
    <x v="9"/>
    <s v="Percent of GDP"/>
    <s v="Units"/>
    <x v="1"/>
    <n v="-7.2149999999999999"/>
  </r>
  <r>
    <n v="163"/>
    <x v="5"/>
    <x v="84"/>
    <x v="9"/>
    <s v="Percent of GDP"/>
    <s v="Units"/>
    <x v="2"/>
    <n v="-0.98199999999999998"/>
  </r>
  <r>
    <n v="163"/>
    <x v="5"/>
    <x v="84"/>
    <x v="9"/>
    <s v="Percent of GDP"/>
    <s v="Units"/>
    <x v="3"/>
    <n v="-0.65300000000000002"/>
  </r>
  <r>
    <n v="163"/>
    <x v="5"/>
    <x v="84"/>
    <x v="9"/>
    <s v="Percent of GDP"/>
    <s v="Units"/>
    <x v="4"/>
    <n v="-0.81699999999999995"/>
  </r>
  <r>
    <n v="163"/>
    <x v="5"/>
    <x v="84"/>
    <x v="9"/>
    <s v="Percent of GDP"/>
    <s v="Units"/>
    <x v="5"/>
    <n v="-2.5960000000000001"/>
  </r>
  <r>
    <n v="163"/>
    <x v="5"/>
    <x v="84"/>
    <x v="9"/>
    <s v="Percent of GDP"/>
    <s v="Units"/>
    <x v="6"/>
    <n v="-1.6950000000000001"/>
  </r>
  <r>
    <n v="110"/>
    <x v="0"/>
    <x v="84"/>
    <x v="9"/>
    <s v="Percent of GDP"/>
    <s v="Units"/>
    <x v="0"/>
    <n v="0.26400000000000001"/>
  </r>
  <r>
    <n v="110"/>
    <x v="0"/>
    <x v="84"/>
    <x v="9"/>
    <s v="Percent of GDP"/>
    <s v="Units"/>
    <x v="1"/>
    <n v="-7.2149999999999999"/>
  </r>
  <r>
    <n v="110"/>
    <x v="0"/>
    <x v="84"/>
    <x v="9"/>
    <s v="Percent of GDP"/>
    <s v="Units"/>
    <x v="2"/>
    <n v="-0.98199999999999998"/>
  </r>
  <r>
    <n v="110"/>
    <x v="0"/>
    <x v="84"/>
    <x v="9"/>
    <s v="Percent of GDP"/>
    <s v="Units"/>
    <x v="3"/>
    <n v="-0.65300000000000002"/>
  </r>
  <r>
    <n v="110"/>
    <x v="0"/>
    <x v="84"/>
    <x v="9"/>
    <s v="Percent of GDP"/>
    <s v="Units"/>
    <x v="4"/>
    <n v="-0.81699999999999995"/>
  </r>
  <r>
    <n v="110"/>
    <x v="0"/>
    <x v="84"/>
    <x v="9"/>
    <s v="Percent of GDP"/>
    <s v="Units"/>
    <x v="5"/>
    <n v="-2.5960000000000001"/>
  </r>
  <r>
    <n v="110"/>
    <x v="0"/>
    <x v="84"/>
    <x v="9"/>
    <s v="Percent of GDP"/>
    <s v="Units"/>
    <x v="6"/>
    <n v="-1.6950000000000001"/>
  </r>
  <r>
    <n v="163"/>
    <x v="5"/>
    <x v="27"/>
    <x v="9"/>
    <s v="Percent of GDP"/>
    <s v="Units"/>
    <x v="0"/>
    <n v="0.56799999999999995"/>
  </r>
  <r>
    <n v="163"/>
    <x v="5"/>
    <x v="27"/>
    <x v="9"/>
    <s v="Percent of GDP"/>
    <s v="Units"/>
    <x v="1"/>
    <n v="-7.9909999999999997"/>
  </r>
  <r>
    <n v="163"/>
    <x v="5"/>
    <x v="27"/>
    <x v="9"/>
    <s v="Percent of GDP"/>
    <s v="Units"/>
    <x v="2"/>
    <n v="-5.7949999999999999"/>
  </r>
  <r>
    <n v="163"/>
    <x v="5"/>
    <x v="27"/>
    <x v="9"/>
    <s v="Percent of GDP"/>
    <s v="Units"/>
    <x v="3"/>
    <n v="-3.5379999999999998"/>
  </r>
  <r>
    <n v="163"/>
    <x v="5"/>
    <x v="27"/>
    <x v="9"/>
    <s v="Percent of GDP"/>
    <s v="Units"/>
    <x v="4"/>
    <n v="-2.4449999999999998"/>
  </r>
  <r>
    <n v="163"/>
    <x v="5"/>
    <x v="27"/>
    <x v="9"/>
    <s v="Percent of GDP"/>
    <s v="Units"/>
    <x v="5"/>
    <n v="-2.641"/>
  </r>
  <r>
    <n v="163"/>
    <x v="5"/>
    <x v="27"/>
    <x v="9"/>
    <s v="Percent of GDP"/>
    <s v="Units"/>
    <x v="6"/>
    <n v="-2.339"/>
  </r>
  <r>
    <n v="998"/>
    <x v="6"/>
    <x v="27"/>
    <x v="9"/>
    <s v="Percent of GDP"/>
    <s v="Units"/>
    <x v="0"/>
    <n v="0.56799999999999995"/>
  </r>
  <r>
    <n v="998"/>
    <x v="6"/>
    <x v="27"/>
    <x v="9"/>
    <s v="Percent of GDP"/>
    <s v="Units"/>
    <x v="1"/>
    <n v="-7.9909999999999997"/>
  </r>
  <r>
    <n v="998"/>
    <x v="6"/>
    <x v="27"/>
    <x v="9"/>
    <s v="Percent of GDP"/>
    <s v="Units"/>
    <x v="2"/>
    <n v="-5.7949999999999999"/>
  </r>
  <r>
    <n v="998"/>
    <x v="6"/>
    <x v="27"/>
    <x v="9"/>
    <s v="Percent of GDP"/>
    <s v="Units"/>
    <x v="3"/>
    <n v="-3.5379999999999998"/>
  </r>
  <r>
    <n v="998"/>
    <x v="6"/>
    <x v="27"/>
    <x v="9"/>
    <s v="Percent of GDP"/>
    <s v="Units"/>
    <x v="4"/>
    <n v="-2.4449999999999998"/>
  </r>
  <r>
    <n v="998"/>
    <x v="6"/>
    <x v="27"/>
    <x v="9"/>
    <s v="Percent of GDP"/>
    <s v="Units"/>
    <x v="5"/>
    <n v="-2.641"/>
  </r>
  <r>
    <n v="998"/>
    <x v="6"/>
    <x v="27"/>
    <x v="9"/>
    <s v="Percent of GDP"/>
    <s v="Units"/>
    <x v="6"/>
    <n v="-2.339"/>
  </r>
  <r>
    <n v="110"/>
    <x v="0"/>
    <x v="27"/>
    <x v="9"/>
    <s v="Percent of GDP"/>
    <s v="Units"/>
    <x v="0"/>
    <n v="0.56799999999999995"/>
  </r>
  <r>
    <n v="110"/>
    <x v="0"/>
    <x v="27"/>
    <x v="9"/>
    <s v="Percent of GDP"/>
    <s v="Units"/>
    <x v="1"/>
    <n v="-7.9909999999999997"/>
  </r>
  <r>
    <n v="110"/>
    <x v="0"/>
    <x v="27"/>
    <x v="9"/>
    <s v="Percent of GDP"/>
    <s v="Units"/>
    <x v="2"/>
    <n v="-5.7949999999999999"/>
  </r>
  <r>
    <n v="110"/>
    <x v="0"/>
    <x v="27"/>
    <x v="9"/>
    <s v="Percent of GDP"/>
    <s v="Units"/>
    <x v="3"/>
    <n v="-3.5379999999999998"/>
  </r>
  <r>
    <n v="110"/>
    <x v="0"/>
    <x v="27"/>
    <x v="9"/>
    <s v="Percent of GDP"/>
    <s v="Units"/>
    <x v="4"/>
    <n v="-2.4449999999999998"/>
  </r>
  <r>
    <n v="110"/>
    <x v="0"/>
    <x v="27"/>
    <x v="9"/>
    <s v="Percent of GDP"/>
    <s v="Units"/>
    <x v="5"/>
    <n v="-2.641"/>
  </r>
  <r>
    <n v="110"/>
    <x v="0"/>
    <x v="27"/>
    <x v="9"/>
    <s v="Percent of GDP"/>
    <s v="Units"/>
    <x v="6"/>
    <n v="-2.339"/>
  </r>
  <r>
    <n v="603"/>
    <x v="12"/>
    <x v="85"/>
    <x v="9"/>
    <s v="Percent of GDP"/>
    <s v="Units"/>
    <x v="0"/>
    <n v="-2.0590000000000002"/>
  </r>
  <r>
    <n v="603"/>
    <x v="12"/>
    <x v="85"/>
    <x v="9"/>
    <s v="Percent of GDP"/>
    <s v="Units"/>
    <x v="1"/>
    <n v="-2.5569999999999999"/>
  </r>
  <r>
    <n v="603"/>
    <x v="12"/>
    <x v="85"/>
    <x v="9"/>
    <s v="Percent of GDP"/>
    <s v="Units"/>
    <x v="2"/>
    <n v="-3.5459999999999998"/>
  </r>
  <r>
    <n v="603"/>
    <x v="12"/>
    <x v="85"/>
    <x v="9"/>
    <s v="Percent of GDP"/>
    <s v="Units"/>
    <x v="3"/>
    <n v="-3.919"/>
  </r>
  <r>
    <n v="603"/>
    <x v="12"/>
    <x v="85"/>
    <x v="9"/>
    <s v="Percent of GDP"/>
    <s v="Units"/>
    <x v="4"/>
    <n v="-3.4710000000000001"/>
  </r>
  <r>
    <n v="603"/>
    <x v="12"/>
    <x v="85"/>
    <x v="9"/>
    <s v="Percent of GDP"/>
    <s v="Units"/>
    <x v="5"/>
    <n v="-2.718"/>
  </r>
  <r>
    <n v="603"/>
    <x v="12"/>
    <x v="85"/>
    <x v="9"/>
    <s v="Percent of GDP"/>
    <s v="Units"/>
    <x v="6"/>
    <n v="-2.633"/>
  </r>
  <r>
    <n v="200"/>
    <x v="3"/>
    <x v="85"/>
    <x v="9"/>
    <s v="Percent of GDP"/>
    <s v="Units"/>
    <x v="0"/>
    <n v="-2.0590000000000002"/>
  </r>
  <r>
    <n v="200"/>
    <x v="3"/>
    <x v="85"/>
    <x v="9"/>
    <s v="Percent of GDP"/>
    <s v="Units"/>
    <x v="1"/>
    <n v="-2.5569999999999999"/>
  </r>
  <r>
    <n v="200"/>
    <x v="3"/>
    <x v="85"/>
    <x v="9"/>
    <s v="Percent of GDP"/>
    <s v="Units"/>
    <x v="2"/>
    <n v="-3.5459999999999998"/>
  </r>
  <r>
    <n v="200"/>
    <x v="3"/>
    <x v="85"/>
    <x v="9"/>
    <s v="Percent of GDP"/>
    <s v="Units"/>
    <x v="3"/>
    <n v="-3.919"/>
  </r>
  <r>
    <n v="200"/>
    <x v="3"/>
    <x v="85"/>
    <x v="9"/>
    <s v="Percent of GDP"/>
    <s v="Units"/>
    <x v="4"/>
    <n v="-3.4710000000000001"/>
  </r>
  <r>
    <n v="200"/>
    <x v="3"/>
    <x v="85"/>
    <x v="9"/>
    <s v="Percent of GDP"/>
    <s v="Units"/>
    <x v="5"/>
    <n v="-2.718"/>
  </r>
  <r>
    <n v="200"/>
    <x v="3"/>
    <x v="85"/>
    <x v="9"/>
    <s v="Percent of GDP"/>
    <s v="Units"/>
    <x v="6"/>
    <n v="-2.633"/>
  </r>
  <r>
    <n v="200"/>
    <x v="3"/>
    <x v="70"/>
    <x v="9"/>
    <s v="Percent of GDP"/>
    <s v="Units"/>
    <x v="0"/>
    <n v="-0.95799999999999996"/>
  </r>
  <r>
    <n v="200"/>
    <x v="3"/>
    <x v="70"/>
    <x v="9"/>
    <s v="Percent of GDP"/>
    <s v="Units"/>
    <x v="1"/>
    <n v="-2.931"/>
  </r>
  <r>
    <n v="200"/>
    <x v="3"/>
    <x v="70"/>
    <x v="9"/>
    <s v="Percent of GDP"/>
    <s v="Units"/>
    <x v="2"/>
    <n v="-2.8140000000000001"/>
  </r>
  <r>
    <n v="200"/>
    <x v="3"/>
    <x v="70"/>
    <x v="9"/>
    <s v="Percent of GDP"/>
    <s v="Units"/>
    <x v="3"/>
    <n v="-0.80300000000000005"/>
  </r>
  <r>
    <n v="200"/>
    <x v="3"/>
    <x v="70"/>
    <x v="9"/>
    <s v="Percent of GDP"/>
    <s v="Units"/>
    <x v="4"/>
    <n v="-3.0579999999999998"/>
  </r>
  <r>
    <n v="200"/>
    <x v="3"/>
    <x v="70"/>
    <x v="9"/>
    <s v="Percent of GDP"/>
    <s v="Units"/>
    <x v="5"/>
    <n v="-2.726"/>
  </r>
  <r>
    <n v="200"/>
    <x v="3"/>
    <x v="70"/>
    <x v="9"/>
    <s v="Percent of GDP"/>
    <s v="Units"/>
    <x v="6"/>
    <n v="-2.9319999999999999"/>
  </r>
  <r>
    <n v="998"/>
    <x v="6"/>
    <x v="70"/>
    <x v="9"/>
    <s v="Percent of GDP"/>
    <s v="Units"/>
    <x v="0"/>
    <n v="-0.95799999999999996"/>
  </r>
  <r>
    <n v="998"/>
    <x v="6"/>
    <x v="70"/>
    <x v="9"/>
    <s v="Percent of GDP"/>
    <s v="Units"/>
    <x v="1"/>
    <n v="-2.931"/>
  </r>
  <r>
    <n v="998"/>
    <x v="6"/>
    <x v="70"/>
    <x v="9"/>
    <s v="Percent of GDP"/>
    <s v="Units"/>
    <x v="2"/>
    <n v="-2.8140000000000001"/>
  </r>
  <r>
    <n v="998"/>
    <x v="6"/>
    <x v="70"/>
    <x v="9"/>
    <s v="Percent of GDP"/>
    <s v="Units"/>
    <x v="3"/>
    <n v="-0.80300000000000005"/>
  </r>
  <r>
    <n v="998"/>
    <x v="6"/>
    <x v="70"/>
    <x v="9"/>
    <s v="Percent of GDP"/>
    <s v="Units"/>
    <x v="4"/>
    <n v="-3.0579999999999998"/>
  </r>
  <r>
    <n v="998"/>
    <x v="6"/>
    <x v="70"/>
    <x v="9"/>
    <s v="Percent of GDP"/>
    <s v="Units"/>
    <x v="5"/>
    <n v="-2.726"/>
  </r>
  <r>
    <n v="998"/>
    <x v="6"/>
    <x v="70"/>
    <x v="9"/>
    <s v="Percent of GDP"/>
    <s v="Units"/>
    <x v="6"/>
    <n v="-2.9319999999999999"/>
  </r>
  <r>
    <n v="903"/>
    <x v="8"/>
    <x v="70"/>
    <x v="9"/>
    <s v="Percent of GDP"/>
    <s v="Units"/>
    <x v="0"/>
    <n v="-0.95799999999999996"/>
  </r>
  <r>
    <n v="903"/>
    <x v="8"/>
    <x v="70"/>
    <x v="9"/>
    <s v="Percent of GDP"/>
    <s v="Units"/>
    <x v="1"/>
    <n v="-2.931"/>
  </r>
  <r>
    <n v="903"/>
    <x v="8"/>
    <x v="70"/>
    <x v="9"/>
    <s v="Percent of GDP"/>
    <s v="Units"/>
    <x v="2"/>
    <n v="-2.8140000000000001"/>
  </r>
  <r>
    <n v="903"/>
    <x v="8"/>
    <x v="70"/>
    <x v="9"/>
    <s v="Percent of GDP"/>
    <s v="Units"/>
    <x v="3"/>
    <n v="-0.80300000000000005"/>
  </r>
  <r>
    <n v="903"/>
    <x v="8"/>
    <x v="70"/>
    <x v="9"/>
    <s v="Percent of GDP"/>
    <s v="Units"/>
    <x v="4"/>
    <n v="-3.0579999999999998"/>
  </r>
  <r>
    <n v="903"/>
    <x v="8"/>
    <x v="70"/>
    <x v="9"/>
    <s v="Percent of GDP"/>
    <s v="Units"/>
    <x v="5"/>
    <n v="-2.726"/>
  </r>
  <r>
    <n v="903"/>
    <x v="8"/>
    <x v="70"/>
    <x v="9"/>
    <s v="Percent of GDP"/>
    <s v="Units"/>
    <x v="6"/>
    <n v="-2.9319999999999999"/>
  </r>
  <r>
    <n v="200"/>
    <x v="3"/>
    <x v="160"/>
    <x v="9"/>
    <s v="Percent of GDP"/>
    <s v="Units"/>
    <x v="0"/>
    <n v="-3.6589999999999998"/>
  </r>
  <r>
    <n v="200"/>
    <x v="3"/>
    <x v="160"/>
    <x v="9"/>
    <s v="Percent of GDP"/>
    <s v="Units"/>
    <x v="1"/>
    <n v="-11.824"/>
  </r>
  <r>
    <n v="200"/>
    <x v="3"/>
    <x v="160"/>
    <x v="9"/>
    <s v="Percent of GDP"/>
    <s v="Units"/>
    <x v="2"/>
    <n v="-8.3140000000000001"/>
  </r>
  <r>
    <n v="200"/>
    <x v="3"/>
    <x v="160"/>
    <x v="9"/>
    <s v="Percent of GDP"/>
    <s v="Units"/>
    <x v="3"/>
    <n v="0.33700000000000002"/>
  </r>
  <r>
    <n v="200"/>
    <x v="3"/>
    <x v="160"/>
    <x v="9"/>
    <s v="Percent of GDP"/>
    <s v="Units"/>
    <x v="4"/>
    <n v="-1.079"/>
  </r>
  <r>
    <n v="200"/>
    <x v="3"/>
    <x v="160"/>
    <x v="9"/>
    <s v="Percent of GDP"/>
    <s v="Units"/>
    <x v="5"/>
    <n v="-2.734"/>
  </r>
  <r>
    <n v="200"/>
    <x v="3"/>
    <x v="160"/>
    <x v="9"/>
    <s v="Percent of GDP"/>
    <s v="Units"/>
    <x v="6"/>
    <n v="-1.927"/>
  </r>
  <r>
    <n v="205"/>
    <x v="7"/>
    <x v="160"/>
    <x v="9"/>
    <s v="Percent of GDP"/>
    <s v="Units"/>
    <x v="0"/>
    <n v="-3.6589999999999998"/>
  </r>
  <r>
    <n v="205"/>
    <x v="7"/>
    <x v="160"/>
    <x v="9"/>
    <s v="Percent of GDP"/>
    <s v="Units"/>
    <x v="1"/>
    <n v="-11.824"/>
  </r>
  <r>
    <n v="205"/>
    <x v="7"/>
    <x v="160"/>
    <x v="9"/>
    <s v="Percent of GDP"/>
    <s v="Units"/>
    <x v="2"/>
    <n v="-8.3140000000000001"/>
  </r>
  <r>
    <n v="205"/>
    <x v="7"/>
    <x v="160"/>
    <x v="9"/>
    <s v="Percent of GDP"/>
    <s v="Units"/>
    <x v="3"/>
    <n v="0.33700000000000002"/>
  </r>
  <r>
    <n v="205"/>
    <x v="7"/>
    <x v="160"/>
    <x v="9"/>
    <s v="Percent of GDP"/>
    <s v="Units"/>
    <x v="4"/>
    <n v="-1.079"/>
  </r>
  <r>
    <n v="205"/>
    <x v="7"/>
    <x v="160"/>
    <x v="9"/>
    <s v="Percent of GDP"/>
    <s v="Units"/>
    <x v="5"/>
    <n v="-2.734"/>
  </r>
  <r>
    <n v="205"/>
    <x v="7"/>
    <x v="160"/>
    <x v="9"/>
    <s v="Percent of GDP"/>
    <s v="Units"/>
    <x v="6"/>
    <n v="-1.927"/>
  </r>
  <r>
    <n v="400"/>
    <x v="11"/>
    <x v="17"/>
    <x v="9"/>
    <s v="Percent of GDP"/>
    <s v="Units"/>
    <x v="0"/>
    <n v="-4.2030000000000003"/>
  </r>
  <r>
    <n v="400"/>
    <x v="11"/>
    <x v="17"/>
    <x v="9"/>
    <s v="Percent of GDP"/>
    <s v="Units"/>
    <x v="1"/>
    <n v="-10.68"/>
  </r>
  <r>
    <n v="400"/>
    <x v="11"/>
    <x v="17"/>
    <x v="9"/>
    <s v="Percent of GDP"/>
    <s v="Units"/>
    <x v="2"/>
    <n v="-2.2410000000000001"/>
  </r>
  <r>
    <n v="400"/>
    <x v="11"/>
    <x v="17"/>
    <x v="9"/>
    <s v="Percent of GDP"/>
    <s v="Units"/>
    <x v="3"/>
    <n v="2.4910000000000001"/>
  </r>
  <r>
    <n v="400"/>
    <x v="11"/>
    <x v="17"/>
    <x v="9"/>
    <s v="Percent of GDP"/>
    <s v="Units"/>
    <x v="4"/>
    <n v="-2"/>
  </r>
  <r>
    <n v="400"/>
    <x v="11"/>
    <x v="17"/>
    <x v="9"/>
    <s v="Percent of GDP"/>
    <s v="Units"/>
    <x v="5"/>
    <n v="-2.7570000000000001"/>
  </r>
  <r>
    <n v="400"/>
    <x v="11"/>
    <x v="17"/>
    <x v="9"/>
    <s v="Percent of GDP"/>
    <s v="Units"/>
    <x v="6"/>
    <n v="-1.6259999999999999"/>
  </r>
  <r>
    <n v="200"/>
    <x v="3"/>
    <x v="17"/>
    <x v="9"/>
    <s v="Percent of GDP"/>
    <s v="Units"/>
    <x v="0"/>
    <n v="-4.2030000000000003"/>
  </r>
  <r>
    <n v="200"/>
    <x v="3"/>
    <x v="17"/>
    <x v="9"/>
    <s v="Percent of GDP"/>
    <s v="Units"/>
    <x v="1"/>
    <n v="-10.68"/>
  </r>
  <r>
    <n v="200"/>
    <x v="3"/>
    <x v="17"/>
    <x v="9"/>
    <s v="Percent of GDP"/>
    <s v="Units"/>
    <x v="2"/>
    <n v="-2.2410000000000001"/>
  </r>
  <r>
    <n v="200"/>
    <x v="3"/>
    <x v="17"/>
    <x v="9"/>
    <s v="Percent of GDP"/>
    <s v="Units"/>
    <x v="3"/>
    <n v="2.4910000000000001"/>
  </r>
  <r>
    <n v="200"/>
    <x v="3"/>
    <x v="17"/>
    <x v="9"/>
    <s v="Percent of GDP"/>
    <s v="Units"/>
    <x v="4"/>
    <n v="-2"/>
  </r>
  <r>
    <n v="200"/>
    <x v="3"/>
    <x v="17"/>
    <x v="9"/>
    <s v="Percent of GDP"/>
    <s v="Units"/>
    <x v="5"/>
    <n v="-2.7570000000000001"/>
  </r>
  <r>
    <n v="200"/>
    <x v="3"/>
    <x v="17"/>
    <x v="9"/>
    <s v="Percent of GDP"/>
    <s v="Units"/>
    <x v="6"/>
    <n v="-1.6259999999999999"/>
  </r>
  <r>
    <n v="200"/>
    <x v="3"/>
    <x v="23"/>
    <x v="8"/>
    <s v="Percent change"/>
    <s v="Units"/>
    <x v="0"/>
    <n v="-2.0009999999999999"/>
  </r>
  <r>
    <n v="200"/>
    <x v="3"/>
    <x v="23"/>
    <x v="8"/>
    <s v="Percent change"/>
    <s v="Units"/>
    <x v="1"/>
    <n v="-9.9"/>
  </r>
  <r>
    <n v="200"/>
    <x v="3"/>
    <x v="23"/>
    <x v="8"/>
    <s v="Percent change"/>
    <s v="Units"/>
    <x v="2"/>
    <n v="10.718"/>
  </r>
  <r>
    <n v="200"/>
    <x v="3"/>
    <x v="23"/>
    <x v="8"/>
    <s v="Percent change"/>
    <s v="Units"/>
    <x v="3"/>
    <n v="4.9560000000000004"/>
  </r>
  <r>
    <n v="200"/>
    <x v="3"/>
    <x v="23"/>
    <x v="8"/>
    <s v="Percent change"/>
    <s v="Units"/>
    <x v="4"/>
    <n v="-1.569"/>
  </r>
  <r>
    <n v="200"/>
    <x v="3"/>
    <x v="23"/>
    <x v="8"/>
    <s v="Percent change"/>
    <s v="Units"/>
    <x v="5"/>
    <n v="-2.7639999999999998"/>
  </r>
  <r>
    <n v="200"/>
    <x v="3"/>
    <x v="23"/>
    <x v="8"/>
    <s v="Percent change"/>
    <s v="Units"/>
    <x v="6"/>
    <n v="5.0030000000000001"/>
  </r>
  <r>
    <n v="205"/>
    <x v="7"/>
    <x v="23"/>
    <x v="8"/>
    <s v="Percent change"/>
    <s v="Units"/>
    <x v="0"/>
    <n v="-2.0009999999999999"/>
  </r>
  <r>
    <n v="205"/>
    <x v="7"/>
    <x v="23"/>
    <x v="8"/>
    <s v="Percent change"/>
    <s v="Units"/>
    <x v="1"/>
    <n v="-9.9"/>
  </r>
  <r>
    <n v="205"/>
    <x v="7"/>
    <x v="23"/>
    <x v="8"/>
    <s v="Percent change"/>
    <s v="Units"/>
    <x v="2"/>
    <n v="10.718"/>
  </r>
  <r>
    <n v="205"/>
    <x v="7"/>
    <x v="23"/>
    <x v="8"/>
    <s v="Percent change"/>
    <s v="Units"/>
    <x v="3"/>
    <n v="4.9560000000000004"/>
  </r>
  <r>
    <n v="205"/>
    <x v="7"/>
    <x v="23"/>
    <x v="8"/>
    <s v="Percent change"/>
    <s v="Units"/>
    <x v="4"/>
    <n v="-1.569"/>
  </r>
  <r>
    <n v="205"/>
    <x v="7"/>
    <x v="23"/>
    <x v="8"/>
    <s v="Percent change"/>
    <s v="Units"/>
    <x v="5"/>
    <n v="-2.7639999999999998"/>
  </r>
  <r>
    <n v="205"/>
    <x v="7"/>
    <x v="23"/>
    <x v="8"/>
    <s v="Percent change"/>
    <s v="Units"/>
    <x v="6"/>
    <n v="5.0030000000000001"/>
  </r>
  <r>
    <n v="1"/>
    <x v="2"/>
    <x v="23"/>
    <x v="8"/>
    <s v="Percent change"/>
    <s v="Units"/>
    <x v="0"/>
    <n v="-2.0009999999999999"/>
  </r>
  <r>
    <n v="1"/>
    <x v="2"/>
    <x v="23"/>
    <x v="8"/>
    <s v="Percent change"/>
    <s v="Units"/>
    <x v="1"/>
    <n v="-9.9"/>
  </r>
  <r>
    <n v="1"/>
    <x v="2"/>
    <x v="23"/>
    <x v="8"/>
    <s v="Percent change"/>
    <s v="Units"/>
    <x v="2"/>
    <n v="10.718"/>
  </r>
  <r>
    <n v="1"/>
    <x v="2"/>
    <x v="23"/>
    <x v="8"/>
    <s v="Percent change"/>
    <s v="Units"/>
    <x v="3"/>
    <n v="4.9560000000000004"/>
  </r>
  <r>
    <n v="1"/>
    <x v="2"/>
    <x v="23"/>
    <x v="8"/>
    <s v="Percent change"/>
    <s v="Units"/>
    <x v="4"/>
    <n v="-1.569"/>
  </r>
  <r>
    <n v="1"/>
    <x v="2"/>
    <x v="23"/>
    <x v="8"/>
    <s v="Percent change"/>
    <s v="Units"/>
    <x v="5"/>
    <n v="-2.7639999999999998"/>
  </r>
  <r>
    <n v="1"/>
    <x v="2"/>
    <x v="23"/>
    <x v="8"/>
    <s v="Percent change"/>
    <s v="Units"/>
    <x v="6"/>
    <n v="5.0030000000000001"/>
  </r>
  <r>
    <n v="200"/>
    <x v="3"/>
    <x v="81"/>
    <x v="9"/>
    <s v="Percent of GDP"/>
    <s v="Units"/>
    <x v="0"/>
    <n v="-2.6110000000000002"/>
  </r>
  <r>
    <n v="200"/>
    <x v="3"/>
    <x v="81"/>
    <x v="9"/>
    <s v="Percent of GDP"/>
    <s v="Units"/>
    <x v="1"/>
    <n v="-4.6589999999999998"/>
  </r>
  <r>
    <n v="200"/>
    <x v="3"/>
    <x v="81"/>
    <x v="9"/>
    <s v="Percent of GDP"/>
    <s v="Units"/>
    <x v="2"/>
    <n v="-2.6320000000000001"/>
  </r>
  <r>
    <n v="200"/>
    <x v="3"/>
    <x v="81"/>
    <x v="9"/>
    <s v="Percent of GDP"/>
    <s v="Units"/>
    <x v="3"/>
    <n v="-2.5470000000000002"/>
  </r>
  <r>
    <n v="200"/>
    <x v="3"/>
    <x v="81"/>
    <x v="9"/>
    <s v="Percent of GDP"/>
    <s v="Units"/>
    <x v="4"/>
    <n v="-3.0760000000000001"/>
  </r>
  <r>
    <n v="200"/>
    <x v="3"/>
    <x v="81"/>
    <x v="9"/>
    <s v="Percent of GDP"/>
    <s v="Units"/>
    <x v="5"/>
    <n v="-2.7690000000000001"/>
  </r>
  <r>
    <n v="200"/>
    <x v="3"/>
    <x v="81"/>
    <x v="9"/>
    <s v="Percent of GDP"/>
    <s v="Units"/>
    <x v="6"/>
    <n v="-2.4540000000000002"/>
  </r>
  <r>
    <n v="205"/>
    <x v="7"/>
    <x v="81"/>
    <x v="9"/>
    <s v="Percent of GDP"/>
    <s v="Units"/>
    <x v="0"/>
    <n v="-2.6110000000000002"/>
  </r>
  <r>
    <n v="205"/>
    <x v="7"/>
    <x v="81"/>
    <x v="9"/>
    <s v="Percent of GDP"/>
    <s v="Units"/>
    <x v="1"/>
    <n v="-4.6589999999999998"/>
  </r>
  <r>
    <n v="205"/>
    <x v="7"/>
    <x v="81"/>
    <x v="9"/>
    <s v="Percent of GDP"/>
    <s v="Units"/>
    <x v="2"/>
    <n v="-2.6320000000000001"/>
  </r>
  <r>
    <n v="205"/>
    <x v="7"/>
    <x v="81"/>
    <x v="9"/>
    <s v="Percent of GDP"/>
    <s v="Units"/>
    <x v="3"/>
    <n v="-2.5470000000000002"/>
  </r>
  <r>
    <n v="205"/>
    <x v="7"/>
    <x v="81"/>
    <x v="9"/>
    <s v="Percent of GDP"/>
    <s v="Units"/>
    <x v="4"/>
    <n v="-3.0760000000000001"/>
  </r>
  <r>
    <n v="205"/>
    <x v="7"/>
    <x v="81"/>
    <x v="9"/>
    <s v="Percent of GDP"/>
    <s v="Units"/>
    <x v="5"/>
    <n v="-2.7690000000000001"/>
  </r>
  <r>
    <n v="205"/>
    <x v="7"/>
    <x v="81"/>
    <x v="9"/>
    <s v="Percent of GDP"/>
    <s v="Units"/>
    <x v="6"/>
    <n v="-2.4540000000000002"/>
  </r>
  <r>
    <n v="163"/>
    <x v="5"/>
    <x v="45"/>
    <x v="13"/>
    <s v="Percent of potential GDP"/>
    <s v="Units"/>
    <x v="0"/>
    <n v="0.47899999999999998"/>
  </r>
  <r>
    <n v="163"/>
    <x v="5"/>
    <x v="45"/>
    <x v="13"/>
    <s v="Percent of potential GDP"/>
    <s v="Units"/>
    <x v="1"/>
    <n v="-2.57"/>
  </r>
  <r>
    <n v="163"/>
    <x v="5"/>
    <x v="45"/>
    <x v="13"/>
    <s v="Percent of potential GDP"/>
    <s v="Units"/>
    <x v="2"/>
    <n v="-0.64100000000000001"/>
  </r>
  <r>
    <n v="163"/>
    <x v="5"/>
    <x v="45"/>
    <x v="13"/>
    <s v="Percent of potential GDP"/>
    <s v="Units"/>
    <x v="3"/>
    <n v="-0.34799999999999998"/>
  </r>
  <r>
    <n v="163"/>
    <x v="5"/>
    <x v="45"/>
    <x v="13"/>
    <s v="Percent of potential GDP"/>
    <s v="Units"/>
    <x v="4"/>
    <n v="-2.2829999999999999"/>
  </r>
  <r>
    <n v="163"/>
    <x v="5"/>
    <x v="45"/>
    <x v="13"/>
    <s v="Percent of potential GDP"/>
    <s v="Units"/>
    <x v="5"/>
    <n v="-2.8359999999999999"/>
  </r>
  <r>
    <n v="163"/>
    <x v="5"/>
    <x v="45"/>
    <x v="13"/>
    <s v="Percent of potential GDP"/>
    <s v="Units"/>
    <x v="6"/>
    <n v="-2.02"/>
  </r>
  <r>
    <n v="110"/>
    <x v="0"/>
    <x v="45"/>
    <x v="13"/>
    <s v="Percent of potential GDP"/>
    <s v="Units"/>
    <x v="0"/>
    <n v="0.47899999999999998"/>
  </r>
  <r>
    <n v="110"/>
    <x v="0"/>
    <x v="45"/>
    <x v="13"/>
    <s v="Percent of potential GDP"/>
    <s v="Units"/>
    <x v="1"/>
    <n v="-2.57"/>
  </r>
  <r>
    <n v="110"/>
    <x v="0"/>
    <x v="45"/>
    <x v="13"/>
    <s v="Percent of potential GDP"/>
    <s v="Units"/>
    <x v="2"/>
    <n v="-0.64100000000000001"/>
  </r>
  <r>
    <n v="110"/>
    <x v="0"/>
    <x v="45"/>
    <x v="13"/>
    <s v="Percent of potential GDP"/>
    <s v="Units"/>
    <x v="3"/>
    <n v="-0.34799999999999998"/>
  </r>
  <r>
    <n v="110"/>
    <x v="0"/>
    <x v="45"/>
    <x v="13"/>
    <s v="Percent of potential GDP"/>
    <s v="Units"/>
    <x v="4"/>
    <n v="-2.2829999999999999"/>
  </r>
  <r>
    <n v="110"/>
    <x v="0"/>
    <x v="45"/>
    <x v="13"/>
    <s v="Percent of potential GDP"/>
    <s v="Units"/>
    <x v="5"/>
    <n v="-2.8359999999999999"/>
  </r>
  <r>
    <n v="110"/>
    <x v="0"/>
    <x v="45"/>
    <x v="13"/>
    <s v="Percent of potential GDP"/>
    <s v="Units"/>
    <x v="6"/>
    <n v="-2.02"/>
  </r>
  <r>
    <n v="110"/>
    <x v="0"/>
    <x v="113"/>
    <x v="12"/>
    <s v="Percent of potential GDP"/>
    <s v="Units"/>
    <x v="0"/>
    <n v="-3.97"/>
  </r>
  <r>
    <n v="110"/>
    <x v="0"/>
    <x v="113"/>
    <x v="12"/>
    <s v="Percent of potential GDP"/>
    <s v="Units"/>
    <x v="1"/>
    <n v="-2.34"/>
  </r>
  <r>
    <n v="110"/>
    <x v="0"/>
    <x v="113"/>
    <x v="12"/>
    <s v="Percent of potential GDP"/>
    <s v="Units"/>
    <x v="2"/>
    <n v="-2.895"/>
  </r>
  <r>
    <n v="110"/>
    <x v="0"/>
    <x v="113"/>
    <x v="12"/>
    <s v="Percent of potential GDP"/>
    <s v="Units"/>
    <x v="3"/>
    <n v="-5.3710000000000004"/>
  </r>
  <r>
    <n v="110"/>
    <x v="0"/>
    <x v="113"/>
    <x v="12"/>
    <s v="Percent of potential GDP"/>
    <s v="Units"/>
    <x v="4"/>
    <n v="-3.5419999999999998"/>
  </r>
  <r>
    <n v="110"/>
    <x v="0"/>
    <x v="113"/>
    <x v="12"/>
    <s v="Percent of potential GDP"/>
    <s v="Units"/>
    <x v="5"/>
    <n v="-2.859"/>
  </r>
  <r>
    <n v="110"/>
    <x v="0"/>
    <x v="113"/>
    <x v="12"/>
    <s v="Percent of potential GDP"/>
    <s v="Units"/>
    <x v="6"/>
    <n v="-2.0499999999999998"/>
  </r>
  <r>
    <n v="123"/>
    <x v="9"/>
    <x v="113"/>
    <x v="12"/>
    <s v="Percent of potential GDP"/>
    <s v="Units"/>
    <x v="0"/>
    <n v="-3.97"/>
  </r>
  <r>
    <n v="123"/>
    <x v="9"/>
    <x v="113"/>
    <x v="12"/>
    <s v="Percent of potential GDP"/>
    <s v="Units"/>
    <x v="1"/>
    <n v="-2.34"/>
  </r>
  <r>
    <n v="123"/>
    <x v="9"/>
    <x v="113"/>
    <x v="12"/>
    <s v="Percent of potential GDP"/>
    <s v="Units"/>
    <x v="2"/>
    <n v="-2.895"/>
  </r>
  <r>
    <n v="123"/>
    <x v="9"/>
    <x v="113"/>
    <x v="12"/>
    <s v="Percent of potential GDP"/>
    <s v="Units"/>
    <x v="3"/>
    <n v="-5.3710000000000004"/>
  </r>
  <r>
    <n v="123"/>
    <x v="9"/>
    <x v="113"/>
    <x v="12"/>
    <s v="Percent of potential GDP"/>
    <s v="Units"/>
    <x v="4"/>
    <n v="-3.5419999999999998"/>
  </r>
  <r>
    <n v="123"/>
    <x v="9"/>
    <x v="113"/>
    <x v="12"/>
    <s v="Percent of potential GDP"/>
    <s v="Units"/>
    <x v="5"/>
    <n v="-2.859"/>
  </r>
  <r>
    <n v="123"/>
    <x v="9"/>
    <x v="113"/>
    <x v="12"/>
    <s v="Percent of potential GDP"/>
    <s v="Units"/>
    <x v="6"/>
    <n v="-2.0499999999999998"/>
  </r>
  <r>
    <n v="205"/>
    <x v="7"/>
    <x v="109"/>
    <x v="9"/>
    <s v="Percent of GDP"/>
    <s v="Units"/>
    <x v="0"/>
    <n v="-3.3340000000000001"/>
  </r>
  <r>
    <n v="205"/>
    <x v="7"/>
    <x v="109"/>
    <x v="9"/>
    <s v="Percent of GDP"/>
    <s v="Units"/>
    <x v="1"/>
    <n v="-6.81"/>
  </r>
  <r>
    <n v="205"/>
    <x v="7"/>
    <x v="109"/>
    <x v="9"/>
    <s v="Percent of GDP"/>
    <s v="Units"/>
    <x v="2"/>
    <n v="-5.83"/>
  </r>
  <r>
    <n v="205"/>
    <x v="7"/>
    <x v="109"/>
    <x v="9"/>
    <s v="Percent of GDP"/>
    <s v="Units"/>
    <x v="3"/>
    <n v="-2.883"/>
  </r>
  <r>
    <n v="205"/>
    <x v="7"/>
    <x v="109"/>
    <x v="9"/>
    <s v="Percent of GDP"/>
    <s v="Units"/>
    <x v="4"/>
    <n v="-4.4980000000000002"/>
  </r>
  <r>
    <n v="205"/>
    <x v="7"/>
    <x v="109"/>
    <x v="9"/>
    <s v="Percent of GDP"/>
    <s v="Units"/>
    <x v="5"/>
    <n v="-2.86"/>
  </r>
  <r>
    <n v="205"/>
    <x v="7"/>
    <x v="109"/>
    <x v="9"/>
    <s v="Percent of GDP"/>
    <s v="Units"/>
    <x v="6"/>
    <n v="-2.1819999999999999"/>
  </r>
  <r>
    <n v="200"/>
    <x v="3"/>
    <x v="109"/>
    <x v="9"/>
    <s v="Percent of GDP"/>
    <s v="Units"/>
    <x v="0"/>
    <n v="-3.3340000000000001"/>
  </r>
  <r>
    <n v="200"/>
    <x v="3"/>
    <x v="109"/>
    <x v="9"/>
    <s v="Percent of GDP"/>
    <s v="Units"/>
    <x v="1"/>
    <n v="-6.81"/>
  </r>
  <r>
    <n v="200"/>
    <x v="3"/>
    <x v="109"/>
    <x v="9"/>
    <s v="Percent of GDP"/>
    <s v="Units"/>
    <x v="2"/>
    <n v="-5.83"/>
  </r>
  <r>
    <n v="200"/>
    <x v="3"/>
    <x v="109"/>
    <x v="9"/>
    <s v="Percent of GDP"/>
    <s v="Units"/>
    <x v="3"/>
    <n v="-2.883"/>
  </r>
  <r>
    <n v="200"/>
    <x v="3"/>
    <x v="109"/>
    <x v="9"/>
    <s v="Percent of GDP"/>
    <s v="Units"/>
    <x v="4"/>
    <n v="-4.4980000000000002"/>
  </r>
  <r>
    <n v="200"/>
    <x v="3"/>
    <x v="109"/>
    <x v="9"/>
    <s v="Percent of GDP"/>
    <s v="Units"/>
    <x v="5"/>
    <n v="-2.86"/>
  </r>
  <r>
    <n v="200"/>
    <x v="3"/>
    <x v="109"/>
    <x v="9"/>
    <s v="Percent of GDP"/>
    <s v="Units"/>
    <x v="6"/>
    <n v="-2.1819999999999999"/>
  </r>
  <r>
    <n v="110"/>
    <x v="0"/>
    <x v="5"/>
    <x v="12"/>
    <s v="Percent of potential GDP"/>
    <s v="Units"/>
    <x v="0"/>
    <n v="-2.3730000000000002"/>
  </r>
  <r>
    <n v="110"/>
    <x v="0"/>
    <x v="5"/>
    <x v="12"/>
    <s v="Percent of potential GDP"/>
    <s v="Units"/>
    <x v="1"/>
    <n v="0.53400000000000003"/>
  </r>
  <r>
    <n v="110"/>
    <x v="0"/>
    <x v="5"/>
    <x v="12"/>
    <s v="Percent of potential GDP"/>
    <s v="Units"/>
    <x v="2"/>
    <n v="-3.286"/>
  </r>
  <r>
    <n v="110"/>
    <x v="0"/>
    <x v="5"/>
    <x v="12"/>
    <s v="Percent of potential GDP"/>
    <s v="Units"/>
    <x v="3"/>
    <n v="-3.0310000000000001"/>
  </r>
  <r>
    <n v="110"/>
    <x v="0"/>
    <x v="5"/>
    <x v="12"/>
    <s v="Percent of potential GDP"/>
    <s v="Units"/>
    <x v="4"/>
    <n v="-4.6710000000000003"/>
  </r>
  <r>
    <n v="110"/>
    <x v="0"/>
    <x v="5"/>
    <x v="12"/>
    <s v="Percent of potential GDP"/>
    <s v="Units"/>
    <x v="5"/>
    <n v="-2.8929999999999998"/>
  </r>
  <r>
    <n v="110"/>
    <x v="0"/>
    <x v="5"/>
    <x v="12"/>
    <s v="Percent of potential GDP"/>
    <s v="Units"/>
    <x v="6"/>
    <n v="-2.8929999999999998"/>
  </r>
  <r>
    <n v="119"/>
    <x v="1"/>
    <x v="5"/>
    <x v="12"/>
    <s v="Percent of potential GDP"/>
    <s v="Units"/>
    <x v="0"/>
    <n v="-2.3730000000000002"/>
  </r>
  <r>
    <n v="119"/>
    <x v="1"/>
    <x v="5"/>
    <x v="12"/>
    <s v="Percent of potential GDP"/>
    <s v="Units"/>
    <x v="1"/>
    <n v="0.53400000000000003"/>
  </r>
  <r>
    <n v="119"/>
    <x v="1"/>
    <x v="5"/>
    <x v="12"/>
    <s v="Percent of potential GDP"/>
    <s v="Units"/>
    <x v="2"/>
    <n v="-3.286"/>
  </r>
  <r>
    <n v="119"/>
    <x v="1"/>
    <x v="5"/>
    <x v="12"/>
    <s v="Percent of potential GDP"/>
    <s v="Units"/>
    <x v="3"/>
    <n v="-3.0310000000000001"/>
  </r>
  <r>
    <n v="119"/>
    <x v="1"/>
    <x v="5"/>
    <x v="12"/>
    <s v="Percent of potential GDP"/>
    <s v="Units"/>
    <x v="4"/>
    <n v="-4.6710000000000003"/>
  </r>
  <r>
    <n v="119"/>
    <x v="1"/>
    <x v="5"/>
    <x v="12"/>
    <s v="Percent of potential GDP"/>
    <s v="Units"/>
    <x v="5"/>
    <n v="-2.8929999999999998"/>
  </r>
  <r>
    <n v="119"/>
    <x v="1"/>
    <x v="5"/>
    <x v="12"/>
    <s v="Percent of potential GDP"/>
    <s v="Units"/>
    <x v="6"/>
    <n v="-2.8929999999999998"/>
  </r>
  <r>
    <n v="1"/>
    <x v="2"/>
    <x v="118"/>
    <x v="6"/>
    <s v="Percent change"/>
    <s v="Units"/>
    <x v="0"/>
    <n v="9.5030000000000001"/>
  </r>
  <r>
    <n v="1"/>
    <x v="2"/>
    <x v="118"/>
    <x v="6"/>
    <s v="Percent change"/>
    <s v="Units"/>
    <x v="1"/>
    <n v="3.2450000000000001"/>
  </r>
  <r>
    <n v="1"/>
    <x v="2"/>
    <x v="118"/>
    <x v="6"/>
    <s v="Percent change"/>
    <s v="Units"/>
    <x v="2"/>
    <n v="15.364000000000001"/>
  </r>
  <r>
    <n v="1"/>
    <x v="2"/>
    <x v="118"/>
    <x v="6"/>
    <s v="Percent change"/>
    <s v="Units"/>
    <x v="3"/>
    <n v="18.282"/>
  </r>
  <r>
    <n v="1"/>
    <x v="2"/>
    <x v="118"/>
    <x v="6"/>
    <s v="Percent change"/>
    <s v="Units"/>
    <x v="4"/>
    <n v="5.0999999999999996"/>
  </r>
  <r>
    <n v="1"/>
    <x v="2"/>
    <x v="118"/>
    <x v="6"/>
    <s v="Percent change"/>
    <s v="Units"/>
    <x v="5"/>
    <n v="-2.8980000000000001"/>
  </r>
  <r>
    <n v="1"/>
    <x v="2"/>
    <x v="118"/>
    <x v="6"/>
    <s v="Percent change"/>
    <s v="Units"/>
    <x v="6"/>
    <n v="1.9550000000000001"/>
  </r>
  <r>
    <n v="110"/>
    <x v="0"/>
    <x v="118"/>
    <x v="6"/>
    <s v="Percent change"/>
    <s v="Units"/>
    <x v="0"/>
    <n v="9.5030000000000001"/>
  </r>
  <r>
    <n v="110"/>
    <x v="0"/>
    <x v="118"/>
    <x v="6"/>
    <s v="Percent change"/>
    <s v="Units"/>
    <x v="1"/>
    <n v="3.2450000000000001"/>
  </r>
  <r>
    <n v="110"/>
    <x v="0"/>
    <x v="118"/>
    <x v="6"/>
    <s v="Percent change"/>
    <s v="Units"/>
    <x v="2"/>
    <n v="15.364000000000001"/>
  </r>
  <r>
    <n v="110"/>
    <x v="0"/>
    <x v="118"/>
    <x v="6"/>
    <s v="Percent change"/>
    <s v="Units"/>
    <x v="3"/>
    <n v="18.282"/>
  </r>
  <r>
    <n v="110"/>
    <x v="0"/>
    <x v="118"/>
    <x v="6"/>
    <s v="Percent change"/>
    <s v="Units"/>
    <x v="4"/>
    <n v="5.0999999999999996"/>
  </r>
  <r>
    <n v="110"/>
    <x v="0"/>
    <x v="118"/>
    <x v="6"/>
    <s v="Percent change"/>
    <s v="Units"/>
    <x v="5"/>
    <n v="-2.8980000000000001"/>
  </r>
  <r>
    <n v="110"/>
    <x v="0"/>
    <x v="118"/>
    <x v="6"/>
    <s v="Percent change"/>
    <s v="Units"/>
    <x v="6"/>
    <n v="1.9550000000000001"/>
  </r>
  <r>
    <n v="163"/>
    <x v="5"/>
    <x v="118"/>
    <x v="6"/>
    <s v="Percent change"/>
    <s v="Units"/>
    <x v="0"/>
    <n v="9.5030000000000001"/>
  </r>
  <r>
    <n v="163"/>
    <x v="5"/>
    <x v="118"/>
    <x v="6"/>
    <s v="Percent change"/>
    <s v="Units"/>
    <x v="1"/>
    <n v="3.2450000000000001"/>
  </r>
  <r>
    <n v="163"/>
    <x v="5"/>
    <x v="118"/>
    <x v="6"/>
    <s v="Percent change"/>
    <s v="Units"/>
    <x v="2"/>
    <n v="15.364000000000001"/>
  </r>
  <r>
    <n v="163"/>
    <x v="5"/>
    <x v="118"/>
    <x v="6"/>
    <s v="Percent change"/>
    <s v="Units"/>
    <x v="3"/>
    <n v="18.282"/>
  </r>
  <r>
    <n v="163"/>
    <x v="5"/>
    <x v="118"/>
    <x v="6"/>
    <s v="Percent change"/>
    <s v="Units"/>
    <x v="4"/>
    <n v="5.0999999999999996"/>
  </r>
  <r>
    <n v="163"/>
    <x v="5"/>
    <x v="118"/>
    <x v="6"/>
    <s v="Percent change"/>
    <s v="Units"/>
    <x v="5"/>
    <n v="-2.8980000000000001"/>
  </r>
  <r>
    <n v="163"/>
    <x v="5"/>
    <x v="118"/>
    <x v="6"/>
    <s v="Percent change"/>
    <s v="Units"/>
    <x v="6"/>
    <n v="1.9550000000000001"/>
  </r>
  <r>
    <n v="110"/>
    <x v="0"/>
    <x v="110"/>
    <x v="9"/>
    <s v="Percent of GDP"/>
    <s v="Units"/>
    <x v="0"/>
    <n v="-0.38100000000000001"/>
  </r>
  <r>
    <n v="110"/>
    <x v="0"/>
    <x v="110"/>
    <x v="9"/>
    <s v="Percent of GDP"/>
    <s v="Units"/>
    <x v="1"/>
    <n v="-3.7349999999999999"/>
  </r>
  <r>
    <n v="110"/>
    <x v="0"/>
    <x v="110"/>
    <x v="9"/>
    <s v="Percent of GDP"/>
    <s v="Units"/>
    <x v="2"/>
    <n v="-5.532"/>
  </r>
  <r>
    <n v="110"/>
    <x v="0"/>
    <x v="110"/>
    <x v="9"/>
    <s v="Percent of GDP"/>
    <s v="Units"/>
    <x v="3"/>
    <n v="-3.7090000000000001"/>
  </r>
  <r>
    <n v="110"/>
    <x v="0"/>
    <x v="110"/>
    <x v="9"/>
    <s v="Percent of GDP"/>
    <s v="Units"/>
    <x v="4"/>
    <n v="-2.6509999999999998"/>
  </r>
  <r>
    <n v="110"/>
    <x v="0"/>
    <x v="110"/>
    <x v="9"/>
    <s v="Percent of GDP"/>
    <s v="Units"/>
    <x v="5"/>
    <n v="-2.972"/>
  </r>
  <r>
    <n v="110"/>
    <x v="0"/>
    <x v="110"/>
    <x v="9"/>
    <s v="Percent of GDP"/>
    <s v="Units"/>
    <x v="6"/>
    <n v="-2.492"/>
  </r>
  <r>
    <n v="200"/>
    <x v="3"/>
    <x v="63"/>
    <x v="9"/>
    <s v="Percent of GDP"/>
    <s v="Units"/>
    <x v="0"/>
    <n v="-3.4649999999999999"/>
  </r>
  <r>
    <n v="200"/>
    <x v="3"/>
    <x v="63"/>
    <x v="9"/>
    <s v="Percent of GDP"/>
    <s v="Units"/>
    <x v="1"/>
    <n v="-7.9059999999999997"/>
  </r>
  <r>
    <n v="200"/>
    <x v="3"/>
    <x v="63"/>
    <x v="9"/>
    <s v="Percent of GDP"/>
    <s v="Units"/>
    <x v="2"/>
    <n v="-2.9390000000000001"/>
  </r>
  <r>
    <n v="200"/>
    <x v="3"/>
    <x v="63"/>
    <x v="9"/>
    <s v="Percent of GDP"/>
    <s v="Units"/>
    <x v="3"/>
    <n v="-3.2469999999999999"/>
  </r>
  <r>
    <n v="200"/>
    <x v="3"/>
    <x v="63"/>
    <x v="9"/>
    <s v="Percent of GDP"/>
    <s v="Units"/>
    <x v="4"/>
    <n v="-3.3029999999999999"/>
  </r>
  <r>
    <n v="200"/>
    <x v="3"/>
    <x v="63"/>
    <x v="9"/>
    <s v="Percent of GDP"/>
    <s v="Units"/>
    <x v="5"/>
    <n v="-2.972"/>
  </r>
  <r>
    <n v="200"/>
    <x v="3"/>
    <x v="63"/>
    <x v="9"/>
    <s v="Percent of GDP"/>
    <s v="Units"/>
    <x v="6"/>
    <n v="-2.6920000000000002"/>
  </r>
  <r>
    <n v="998"/>
    <x v="6"/>
    <x v="110"/>
    <x v="9"/>
    <s v="Percent of GDP"/>
    <s v="Units"/>
    <x v="0"/>
    <n v="-0.38100000000000001"/>
  </r>
  <r>
    <n v="998"/>
    <x v="6"/>
    <x v="110"/>
    <x v="9"/>
    <s v="Percent of GDP"/>
    <s v="Units"/>
    <x v="1"/>
    <n v="-3.7349999999999999"/>
  </r>
  <r>
    <n v="998"/>
    <x v="6"/>
    <x v="110"/>
    <x v="9"/>
    <s v="Percent of GDP"/>
    <s v="Units"/>
    <x v="2"/>
    <n v="-5.532"/>
  </r>
  <r>
    <n v="998"/>
    <x v="6"/>
    <x v="110"/>
    <x v="9"/>
    <s v="Percent of GDP"/>
    <s v="Units"/>
    <x v="3"/>
    <n v="-3.7090000000000001"/>
  </r>
  <r>
    <n v="998"/>
    <x v="6"/>
    <x v="110"/>
    <x v="9"/>
    <s v="Percent of GDP"/>
    <s v="Units"/>
    <x v="4"/>
    <n v="-2.6509999999999998"/>
  </r>
  <r>
    <n v="998"/>
    <x v="6"/>
    <x v="110"/>
    <x v="9"/>
    <s v="Percent of GDP"/>
    <s v="Units"/>
    <x v="5"/>
    <n v="-2.972"/>
  </r>
  <r>
    <n v="998"/>
    <x v="6"/>
    <x v="110"/>
    <x v="9"/>
    <s v="Percent of GDP"/>
    <s v="Units"/>
    <x v="6"/>
    <n v="-2.492"/>
  </r>
  <r>
    <n v="163"/>
    <x v="5"/>
    <x v="110"/>
    <x v="9"/>
    <s v="Percent of GDP"/>
    <s v="Units"/>
    <x v="0"/>
    <n v="-0.38100000000000001"/>
  </r>
  <r>
    <n v="163"/>
    <x v="5"/>
    <x v="110"/>
    <x v="9"/>
    <s v="Percent of GDP"/>
    <s v="Units"/>
    <x v="1"/>
    <n v="-3.7349999999999999"/>
  </r>
  <r>
    <n v="163"/>
    <x v="5"/>
    <x v="110"/>
    <x v="9"/>
    <s v="Percent of GDP"/>
    <s v="Units"/>
    <x v="2"/>
    <n v="-5.532"/>
  </r>
  <r>
    <n v="163"/>
    <x v="5"/>
    <x v="110"/>
    <x v="9"/>
    <s v="Percent of GDP"/>
    <s v="Units"/>
    <x v="3"/>
    <n v="-3.7090000000000001"/>
  </r>
  <r>
    <n v="163"/>
    <x v="5"/>
    <x v="110"/>
    <x v="9"/>
    <s v="Percent of GDP"/>
    <s v="Units"/>
    <x v="4"/>
    <n v="-2.6509999999999998"/>
  </r>
  <r>
    <n v="163"/>
    <x v="5"/>
    <x v="110"/>
    <x v="9"/>
    <s v="Percent of GDP"/>
    <s v="Units"/>
    <x v="5"/>
    <n v="-2.972"/>
  </r>
  <r>
    <n v="163"/>
    <x v="5"/>
    <x v="110"/>
    <x v="9"/>
    <s v="Percent of GDP"/>
    <s v="Units"/>
    <x v="6"/>
    <n v="-2.492"/>
  </r>
  <r>
    <n v="205"/>
    <x v="7"/>
    <x v="63"/>
    <x v="9"/>
    <s v="Percent of GDP"/>
    <s v="Units"/>
    <x v="0"/>
    <n v="-3.4649999999999999"/>
  </r>
  <r>
    <n v="205"/>
    <x v="7"/>
    <x v="63"/>
    <x v="9"/>
    <s v="Percent of GDP"/>
    <s v="Units"/>
    <x v="1"/>
    <n v="-7.9059999999999997"/>
  </r>
  <r>
    <n v="205"/>
    <x v="7"/>
    <x v="63"/>
    <x v="9"/>
    <s v="Percent of GDP"/>
    <s v="Units"/>
    <x v="2"/>
    <n v="-2.9390000000000001"/>
  </r>
  <r>
    <n v="205"/>
    <x v="7"/>
    <x v="63"/>
    <x v="9"/>
    <s v="Percent of GDP"/>
    <s v="Units"/>
    <x v="3"/>
    <n v="-3.2469999999999999"/>
  </r>
  <r>
    <n v="205"/>
    <x v="7"/>
    <x v="63"/>
    <x v="9"/>
    <s v="Percent of GDP"/>
    <s v="Units"/>
    <x v="4"/>
    <n v="-3.3029999999999999"/>
  </r>
  <r>
    <n v="205"/>
    <x v="7"/>
    <x v="63"/>
    <x v="9"/>
    <s v="Percent of GDP"/>
    <s v="Units"/>
    <x v="5"/>
    <n v="-2.972"/>
  </r>
  <r>
    <n v="205"/>
    <x v="7"/>
    <x v="63"/>
    <x v="9"/>
    <s v="Percent of GDP"/>
    <s v="Units"/>
    <x v="6"/>
    <n v="-2.6920000000000002"/>
  </r>
  <r>
    <n v="110"/>
    <x v="0"/>
    <x v="90"/>
    <x v="9"/>
    <s v="Percent of GDP"/>
    <s v="Units"/>
    <x v="0"/>
    <n v="0.71499999999999997"/>
  </r>
  <r>
    <n v="110"/>
    <x v="0"/>
    <x v="90"/>
    <x v="9"/>
    <s v="Percent of GDP"/>
    <s v="Units"/>
    <x v="1"/>
    <n v="-7.6479999999999997"/>
  </r>
  <r>
    <n v="110"/>
    <x v="0"/>
    <x v="90"/>
    <x v="9"/>
    <s v="Percent of GDP"/>
    <s v="Units"/>
    <x v="2"/>
    <n v="-4.6100000000000003"/>
  </r>
  <r>
    <n v="110"/>
    <x v="0"/>
    <x v="90"/>
    <x v="9"/>
    <s v="Percent of GDP"/>
    <s v="Units"/>
    <x v="3"/>
    <n v="-2.9620000000000002"/>
  </r>
  <r>
    <n v="110"/>
    <x v="0"/>
    <x v="90"/>
    <x v="9"/>
    <s v="Percent of GDP"/>
    <s v="Units"/>
    <x v="4"/>
    <n v="-3.3969999999999998"/>
  </r>
  <r>
    <n v="110"/>
    <x v="0"/>
    <x v="90"/>
    <x v="9"/>
    <s v="Percent of GDP"/>
    <s v="Units"/>
    <x v="5"/>
    <n v="-2.9769999999999999"/>
  </r>
  <r>
    <n v="110"/>
    <x v="0"/>
    <x v="90"/>
    <x v="9"/>
    <s v="Percent of GDP"/>
    <s v="Units"/>
    <x v="6"/>
    <n v="-2.6840000000000002"/>
  </r>
  <r>
    <n v="998"/>
    <x v="6"/>
    <x v="90"/>
    <x v="9"/>
    <s v="Percent of GDP"/>
    <s v="Units"/>
    <x v="0"/>
    <n v="0.71499999999999997"/>
  </r>
  <r>
    <n v="998"/>
    <x v="6"/>
    <x v="90"/>
    <x v="9"/>
    <s v="Percent of GDP"/>
    <s v="Units"/>
    <x v="1"/>
    <n v="-7.6479999999999997"/>
  </r>
  <r>
    <n v="998"/>
    <x v="6"/>
    <x v="90"/>
    <x v="9"/>
    <s v="Percent of GDP"/>
    <s v="Units"/>
    <x v="2"/>
    <n v="-4.6100000000000003"/>
  </r>
  <r>
    <n v="998"/>
    <x v="6"/>
    <x v="90"/>
    <x v="9"/>
    <s v="Percent of GDP"/>
    <s v="Units"/>
    <x v="3"/>
    <n v="-2.9620000000000002"/>
  </r>
  <r>
    <n v="998"/>
    <x v="6"/>
    <x v="90"/>
    <x v="9"/>
    <s v="Percent of GDP"/>
    <s v="Units"/>
    <x v="4"/>
    <n v="-3.3969999999999998"/>
  </r>
  <r>
    <n v="998"/>
    <x v="6"/>
    <x v="90"/>
    <x v="9"/>
    <s v="Percent of GDP"/>
    <s v="Units"/>
    <x v="5"/>
    <n v="-2.9769999999999999"/>
  </r>
  <r>
    <n v="998"/>
    <x v="6"/>
    <x v="90"/>
    <x v="9"/>
    <s v="Percent of GDP"/>
    <s v="Units"/>
    <x v="6"/>
    <n v="-2.6840000000000002"/>
  </r>
  <r>
    <n v="163"/>
    <x v="5"/>
    <x v="90"/>
    <x v="9"/>
    <s v="Percent of GDP"/>
    <s v="Units"/>
    <x v="0"/>
    <n v="0.71499999999999997"/>
  </r>
  <r>
    <n v="163"/>
    <x v="5"/>
    <x v="90"/>
    <x v="9"/>
    <s v="Percent of GDP"/>
    <s v="Units"/>
    <x v="1"/>
    <n v="-7.6479999999999997"/>
  </r>
  <r>
    <n v="163"/>
    <x v="5"/>
    <x v="90"/>
    <x v="9"/>
    <s v="Percent of GDP"/>
    <s v="Units"/>
    <x v="2"/>
    <n v="-4.6100000000000003"/>
  </r>
  <r>
    <n v="163"/>
    <x v="5"/>
    <x v="90"/>
    <x v="9"/>
    <s v="Percent of GDP"/>
    <s v="Units"/>
    <x v="3"/>
    <n v="-2.9620000000000002"/>
  </r>
  <r>
    <n v="163"/>
    <x v="5"/>
    <x v="90"/>
    <x v="9"/>
    <s v="Percent of GDP"/>
    <s v="Units"/>
    <x v="4"/>
    <n v="-3.3969999999999998"/>
  </r>
  <r>
    <n v="163"/>
    <x v="5"/>
    <x v="90"/>
    <x v="9"/>
    <s v="Percent of GDP"/>
    <s v="Units"/>
    <x v="5"/>
    <n v="-2.9769999999999999"/>
  </r>
  <r>
    <n v="163"/>
    <x v="5"/>
    <x v="90"/>
    <x v="9"/>
    <s v="Percent of GDP"/>
    <s v="Units"/>
    <x v="6"/>
    <n v="-2.6840000000000002"/>
  </r>
  <r>
    <n v="200"/>
    <x v="3"/>
    <x v="74"/>
    <x v="9"/>
    <s v="Percent of GDP"/>
    <s v="Units"/>
    <x v="0"/>
    <n v="-6.6840000000000002"/>
  </r>
  <r>
    <n v="200"/>
    <x v="3"/>
    <x v="74"/>
    <x v="9"/>
    <s v="Percent of GDP"/>
    <s v="Units"/>
    <x v="1"/>
    <n v="-8.3800000000000008"/>
  </r>
  <r>
    <n v="200"/>
    <x v="3"/>
    <x v="74"/>
    <x v="9"/>
    <s v="Percent of GDP"/>
    <s v="Units"/>
    <x v="2"/>
    <n v="-5.0860000000000003"/>
  </r>
  <r>
    <n v="200"/>
    <x v="3"/>
    <x v="74"/>
    <x v="9"/>
    <s v="Percent of GDP"/>
    <s v="Units"/>
    <x v="3"/>
    <n v="-2.8050000000000002"/>
  </r>
  <r>
    <n v="200"/>
    <x v="3"/>
    <x v="74"/>
    <x v="9"/>
    <s v="Percent of GDP"/>
    <s v="Units"/>
    <x v="4"/>
    <n v="-3.1680000000000001"/>
  </r>
  <r>
    <n v="200"/>
    <x v="3"/>
    <x v="74"/>
    <x v="9"/>
    <s v="Percent of GDP"/>
    <s v="Units"/>
    <x v="5"/>
    <n v="-2.984"/>
  </r>
  <r>
    <n v="200"/>
    <x v="3"/>
    <x v="74"/>
    <x v="9"/>
    <s v="Percent of GDP"/>
    <s v="Units"/>
    <x v="6"/>
    <n v="-2.6480000000000001"/>
  </r>
  <r>
    <n v="205"/>
    <x v="7"/>
    <x v="74"/>
    <x v="9"/>
    <s v="Percent of GDP"/>
    <s v="Units"/>
    <x v="0"/>
    <n v="-6.6840000000000002"/>
  </r>
  <r>
    <n v="205"/>
    <x v="7"/>
    <x v="74"/>
    <x v="9"/>
    <s v="Percent of GDP"/>
    <s v="Units"/>
    <x v="1"/>
    <n v="-8.3800000000000008"/>
  </r>
  <r>
    <n v="205"/>
    <x v="7"/>
    <x v="74"/>
    <x v="9"/>
    <s v="Percent of GDP"/>
    <s v="Units"/>
    <x v="2"/>
    <n v="-5.0860000000000003"/>
  </r>
  <r>
    <n v="205"/>
    <x v="7"/>
    <x v="74"/>
    <x v="9"/>
    <s v="Percent of GDP"/>
    <s v="Units"/>
    <x v="3"/>
    <n v="-2.8050000000000002"/>
  </r>
  <r>
    <n v="205"/>
    <x v="7"/>
    <x v="74"/>
    <x v="9"/>
    <s v="Percent of GDP"/>
    <s v="Units"/>
    <x v="4"/>
    <n v="-3.1680000000000001"/>
  </r>
  <r>
    <n v="205"/>
    <x v="7"/>
    <x v="74"/>
    <x v="9"/>
    <s v="Percent of GDP"/>
    <s v="Units"/>
    <x v="5"/>
    <n v="-2.984"/>
  </r>
  <r>
    <n v="205"/>
    <x v="7"/>
    <x v="74"/>
    <x v="9"/>
    <s v="Percent of GDP"/>
    <s v="Units"/>
    <x v="6"/>
    <n v="-2.6480000000000001"/>
  </r>
  <r>
    <n v="200"/>
    <x v="3"/>
    <x v="176"/>
    <x v="8"/>
    <s v="Percent change"/>
    <s v="Units"/>
    <x v="0"/>
    <n v="-1.6850000000000001"/>
  </r>
  <r>
    <n v="200"/>
    <x v="3"/>
    <x v="176"/>
    <x v="8"/>
    <s v="Percent change"/>
    <s v="Units"/>
    <x v="1"/>
    <n v="-3.343"/>
  </r>
  <r>
    <n v="200"/>
    <x v="3"/>
    <x v="176"/>
    <x v="8"/>
    <s v="Percent change"/>
    <s v="Units"/>
    <x v="2"/>
    <n v="-1.798"/>
  </r>
  <r>
    <n v="200"/>
    <x v="3"/>
    <x v="176"/>
    <x v="8"/>
    <s v="Percent change"/>
    <s v="Units"/>
    <x v="3"/>
    <n v="-1.6819999999999999"/>
  </r>
  <r>
    <n v="200"/>
    <x v="3"/>
    <x v="176"/>
    <x v="8"/>
    <s v="Percent change"/>
    <s v="Units"/>
    <x v="4"/>
    <n v="-1.8640000000000001"/>
  </r>
  <r>
    <n v="200"/>
    <x v="3"/>
    <x v="176"/>
    <x v="8"/>
    <s v="Percent change"/>
    <s v="Units"/>
    <x v="5"/>
    <n v="-3"/>
  </r>
  <r>
    <n v="200"/>
    <x v="3"/>
    <x v="176"/>
    <x v="8"/>
    <s v="Percent change"/>
    <s v="Units"/>
    <x v="6"/>
    <n v="1.5"/>
  </r>
  <r>
    <n v="205"/>
    <x v="7"/>
    <x v="176"/>
    <x v="8"/>
    <s v="Percent change"/>
    <s v="Units"/>
    <x v="0"/>
    <n v="-1.6850000000000001"/>
  </r>
  <r>
    <n v="205"/>
    <x v="7"/>
    <x v="176"/>
    <x v="8"/>
    <s v="Percent change"/>
    <s v="Units"/>
    <x v="1"/>
    <n v="-3.343"/>
  </r>
  <r>
    <n v="205"/>
    <x v="7"/>
    <x v="176"/>
    <x v="8"/>
    <s v="Percent change"/>
    <s v="Units"/>
    <x v="2"/>
    <n v="-1.798"/>
  </r>
  <r>
    <n v="205"/>
    <x v="7"/>
    <x v="176"/>
    <x v="8"/>
    <s v="Percent change"/>
    <s v="Units"/>
    <x v="3"/>
    <n v="-1.6819999999999999"/>
  </r>
  <r>
    <n v="205"/>
    <x v="7"/>
    <x v="176"/>
    <x v="8"/>
    <s v="Percent change"/>
    <s v="Units"/>
    <x v="4"/>
    <n v="-1.8640000000000001"/>
  </r>
  <r>
    <n v="205"/>
    <x v="7"/>
    <x v="176"/>
    <x v="8"/>
    <s v="Percent change"/>
    <s v="Units"/>
    <x v="5"/>
    <n v="-3"/>
  </r>
  <r>
    <n v="205"/>
    <x v="7"/>
    <x v="176"/>
    <x v="8"/>
    <s v="Percent change"/>
    <s v="Units"/>
    <x v="6"/>
    <n v="1.5"/>
  </r>
  <r>
    <n v="1"/>
    <x v="2"/>
    <x v="176"/>
    <x v="8"/>
    <s v="Percent change"/>
    <s v="Units"/>
    <x v="0"/>
    <n v="-1.6850000000000001"/>
  </r>
  <r>
    <n v="1"/>
    <x v="2"/>
    <x v="176"/>
    <x v="8"/>
    <s v="Percent change"/>
    <s v="Units"/>
    <x v="1"/>
    <n v="-3.343"/>
  </r>
  <r>
    <n v="1"/>
    <x v="2"/>
    <x v="176"/>
    <x v="8"/>
    <s v="Percent change"/>
    <s v="Units"/>
    <x v="2"/>
    <n v="-1.798"/>
  </r>
  <r>
    <n v="1"/>
    <x v="2"/>
    <x v="176"/>
    <x v="8"/>
    <s v="Percent change"/>
    <s v="Units"/>
    <x v="3"/>
    <n v="-1.6819999999999999"/>
  </r>
  <r>
    <n v="1"/>
    <x v="2"/>
    <x v="176"/>
    <x v="8"/>
    <s v="Percent change"/>
    <s v="Units"/>
    <x v="4"/>
    <n v="-1.8640000000000001"/>
  </r>
  <r>
    <n v="1"/>
    <x v="2"/>
    <x v="176"/>
    <x v="8"/>
    <s v="Percent change"/>
    <s v="Units"/>
    <x v="5"/>
    <n v="-3"/>
  </r>
  <r>
    <n v="1"/>
    <x v="2"/>
    <x v="176"/>
    <x v="8"/>
    <s v="Percent change"/>
    <s v="Units"/>
    <x v="6"/>
    <n v="1.5"/>
  </r>
  <r>
    <n v="603"/>
    <x v="12"/>
    <x v="126"/>
    <x v="9"/>
    <s v="Percent of GDP"/>
    <s v="Units"/>
    <x v="0"/>
    <n v="-3.125"/>
  </r>
  <r>
    <n v="603"/>
    <x v="12"/>
    <x v="126"/>
    <x v="9"/>
    <s v="Percent of GDP"/>
    <s v="Units"/>
    <x v="1"/>
    <n v="-5.7590000000000003"/>
  </r>
  <r>
    <n v="603"/>
    <x v="12"/>
    <x v="126"/>
    <x v="9"/>
    <s v="Percent of GDP"/>
    <s v="Units"/>
    <x v="2"/>
    <n v="-7.3159999999999998"/>
  </r>
  <r>
    <n v="603"/>
    <x v="12"/>
    <x v="126"/>
    <x v="9"/>
    <s v="Percent of GDP"/>
    <s v="Units"/>
    <x v="3"/>
    <n v="-10.308999999999999"/>
  </r>
  <r>
    <n v="603"/>
    <x v="12"/>
    <x v="126"/>
    <x v="9"/>
    <s v="Percent of GDP"/>
    <s v="Units"/>
    <x v="4"/>
    <n v="-7.2759999999999998"/>
  </r>
  <r>
    <n v="603"/>
    <x v="12"/>
    <x v="126"/>
    <x v="9"/>
    <s v="Percent of GDP"/>
    <s v="Units"/>
    <x v="5"/>
    <n v="-3.0059999999999998"/>
  </r>
  <r>
    <n v="603"/>
    <x v="12"/>
    <x v="126"/>
    <x v="9"/>
    <s v="Percent of GDP"/>
    <s v="Units"/>
    <x v="6"/>
    <n v="-3.593"/>
  </r>
  <r>
    <n v="200"/>
    <x v="3"/>
    <x v="126"/>
    <x v="9"/>
    <s v="Percent of GDP"/>
    <s v="Units"/>
    <x v="0"/>
    <n v="-3.125"/>
  </r>
  <r>
    <n v="200"/>
    <x v="3"/>
    <x v="126"/>
    <x v="9"/>
    <s v="Percent of GDP"/>
    <s v="Units"/>
    <x v="1"/>
    <n v="-5.7590000000000003"/>
  </r>
  <r>
    <n v="200"/>
    <x v="3"/>
    <x v="126"/>
    <x v="9"/>
    <s v="Percent of GDP"/>
    <s v="Units"/>
    <x v="2"/>
    <n v="-7.3159999999999998"/>
  </r>
  <r>
    <n v="200"/>
    <x v="3"/>
    <x v="126"/>
    <x v="9"/>
    <s v="Percent of GDP"/>
    <s v="Units"/>
    <x v="3"/>
    <n v="-10.308999999999999"/>
  </r>
  <r>
    <n v="200"/>
    <x v="3"/>
    <x v="126"/>
    <x v="9"/>
    <s v="Percent of GDP"/>
    <s v="Units"/>
    <x v="4"/>
    <n v="-7.2759999999999998"/>
  </r>
  <r>
    <n v="200"/>
    <x v="3"/>
    <x v="126"/>
    <x v="9"/>
    <s v="Percent of GDP"/>
    <s v="Units"/>
    <x v="5"/>
    <n v="-3.0059999999999998"/>
  </r>
  <r>
    <n v="200"/>
    <x v="3"/>
    <x v="126"/>
    <x v="9"/>
    <s v="Percent of GDP"/>
    <s v="Units"/>
    <x v="6"/>
    <n v="-3.593"/>
  </r>
  <r>
    <n v="400"/>
    <x v="11"/>
    <x v="183"/>
    <x v="9"/>
    <s v="Percent of GDP"/>
    <s v="Units"/>
    <x v="0"/>
    <n v="-0.98199999999999998"/>
  </r>
  <r>
    <n v="400"/>
    <x v="11"/>
    <x v="183"/>
    <x v="9"/>
    <s v="Percent of GDP"/>
    <s v="Units"/>
    <x v="1"/>
    <n v="-2.544"/>
  </r>
  <r>
    <n v="400"/>
    <x v="11"/>
    <x v="183"/>
    <x v="9"/>
    <s v="Percent of GDP"/>
    <s v="Units"/>
    <x v="2"/>
    <n v="-3.0609999999999999"/>
  </r>
  <r>
    <n v="400"/>
    <x v="11"/>
    <x v="183"/>
    <x v="9"/>
    <s v="Percent of GDP"/>
    <s v="Units"/>
    <x v="3"/>
    <n v="-1.419"/>
  </r>
  <r>
    <n v="400"/>
    <x v="11"/>
    <x v="183"/>
    <x v="9"/>
    <s v="Percent of GDP"/>
    <s v="Units"/>
    <x v="4"/>
    <n v="-2.6459999999999999"/>
  </r>
  <r>
    <n v="400"/>
    <x v="11"/>
    <x v="183"/>
    <x v="9"/>
    <s v="Percent of GDP"/>
    <s v="Units"/>
    <x v="5"/>
    <n v="-3.0110000000000001"/>
  </r>
  <r>
    <n v="400"/>
    <x v="11"/>
    <x v="183"/>
    <x v="9"/>
    <s v="Percent of GDP"/>
    <s v="Units"/>
    <x v="6"/>
    <n v="-2.5950000000000002"/>
  </r>
  <r>
    <n v="200"/>
    <x v="3"/>
    <x v="183"/>
    <x v="9"/>
    <s v="Percent of GDP"/>
    <s v="Units"/>
    <x v="0"/>
    <n v="-0.98199999999999998"/>
  </r>
  <r>
    <n v="200"/>
    <x v="3"/>
    <x v="183"/>
    <x v="9"/>
    <s v="Percent of GDP"/>
    <s v="Units"/>
    <x v="1"/>
    <n v="-2.544"/>
  </r>
  <r>
    <n v="200"/>
    <x v="3"/>
    <x v="183"/>
    <x v="9"/>
    <s v="Percent of GDP"/>
    <s v="Units"/>
    <x v="2"/>
    <n v="-3.0609999999999999"/>
  </r>
  <r>
    <n v="200"/>
    <x v="3"/>
    <x v="183"/>
    <x v="9"/>
    <s v="Percent of GDP"/>
    <s v="Units"/>
    <x v="3"/>
    <n v="-1.419"/>
  </r>
  <r>
    <n v="200"/>
    <x v="3"/>
    <x v="183"/>
    <x v="9"/>
    <s v="Percent of GDP"/>
    <s v="Units"/>
    <x v="4"/>
    <n v="-2.6459999999999999"/>
  </r>
  <r>
    <n v="200"/>
    <x v="3"/>
    <x v="183"/>
    <x v="9"/>
    <s v="Percent of GDP"/>
    <s v="Units"/>
    <x v="5"/>
    <n v="-3.0110000000000001"/>
  </r>
  <r>
    <n v="200"/>
    <x v="3"/>
    <x v="183"/>
    <x v="9"/>
    <s v="Percent of GDP"/>
    <s v="Units"/>
    <x v="6"/>
    <n v="-2.5950000000000002"/>
  </r>
  <r>
    <n v="603"/>
    <x v="12"/>
    <x v="173"/>
    <x v="9"/>
    <s v="Percent of GDP"/>
    <s v="Units"/>
    <x v="0"/>
    <n v="-0.26400000000000001"/>
  </r>
  <r>
    <n v="603"/>
    <x v="12"/>
    <x v="173"/>
    <x v="9"/>
    <s v="Percent of GDP"/>
    <s v="Units"/>
    <x v="1"/>
    <n v="-3.1360000000000001"/>
  </r>
  <r>
    <n v="603"/>
    <x v="12"/>
    <x v="173"/>
    <x v="9"/>
    <s v="Percent of GDP"/>
    <s v="Units"/>
    <x v="2"/>
    <n v="-1.7010000000000001"/>
  </r>
  <r>
    <n v="603"/>
    <x v="12"/>
    <x v="173"/>
    <x v="9"/>
    <s v="Percent of GDP"/>
    <s v="Units"/>
    <x v="3"/>
    <n v="-0.85"/>
  </r>
  <r>
    <n v="603"/>
    <x v="12"/>
    <x v="173"/>
    <x v="9"/>
    <s v="Percent of GDP"/>
    <s v="Units"/>
    <x v="4"/>
    <n v="-1.591"/>
  </r>
  <r>
    <n v="603"/>
    <x v="12"/>
    <x v="173"/>
    <x v="9"/>
    <s v="Percent of GDP"/>
    <s v="Units"/>
    <x v="5"/>
    <n v="-3.0339999999999998"/>
  </r>
  <r>
    <n v="603"/>
    <x v="12"/>
    <x v="173"/>
    <x v="9"/>
    <s v="Percent of GDP"/>
    <s v="Units"/>
    <x v="6"/>
    <n v="-2.633"/>
  </r>
  <r>
    <n v="200"/>
    <x v="3"/>
    <x v="173"/>
    <x v="9"/>
    <s v="Percent of GDP"/>
    <s v="Units"/>
    <x v="0"/>
    <n v="-0.26400000000000001"/>
  </r>
  <r>
    <n v="200"/>
    <x v="3"/>
    <x v="173"/>
    <x v="9"/>
    <s v="Percent of GDP"/>
    <s v="Units"/>
    <x v="1"/>
    <n v="-3.1360000000000001"/>
  </r>
  <r>
    <n v="200"/>
    <x v="3"/>
    <x v="173"/>
    <x v="9"/>
    <s v="Percent of GDP"/>
    <s v="Units"/>
    <x v="2"/>
    <n v="-1.7010000000000001"/>
  </r>
  <r>
    <n v="200"/>
    <x v="3"/>
    <x v="173"/>
    <x v="9"/>
    <s v="Percent of GDP"/>
    <s v="Units"/>
    <x v="3"/>
    <n v="-0.85"/>
  </r>
  <r>
    <n v="200"/>
    <x v="3"/>
    <x v="173"/>
    <x v="9"/>
    <s v="Percent of GDP"/>
    <s v="Units"/>
    <x v="4"/>
    <n v="-1.591"/>
  </r>
  <r>
    <n v="200"/>
    <x v="3"/>
    <x v="173"/>
    <x v="9"/>
    <s v="Percent of GDP"/>
    <s v="Units"/>
    <x v="5"/>
    <n v="-3.0339999999999998"/>
  </r>
  <r>
    <n v="200"/>
    <x v="3"/>
    <x v="173"/>
    <x v="9"/>
    <s v="Percent of GDP"/>
    <s v="Units"/>
    <x v="6"/>
    <n v="-2.633"/>
  </r>
  <r>
    <n v="400"/>
    <x v="11"/>
    <x v="34"/>
    <x v="9"/>
    <s v="Percent of GDP"/>
    <s v="Units"/>
    <x v="0"/>
    <n v="-4.4829999999999997"/>
  </r>
  <r>
    <n v="400"/>
    <x v="11"/>
    <x v="34"/>
    <x v="9"/>
    <s v="Percent of GDP"/>
    <s v="Units"/>
    <x v="1"/>
    <n v="-5.2160000000000002"/>
  </r>
  <r>
    <n v="400"/>
    <x v="11"/>
    <x v="34"/>
    <x v="9"/>
    <s v="Percent of GDP"/>
    <s v="Units"/>
    <x v="2"/>
    <n v="-3.1970000000000001"/>
  </r>
  <r>
    <n v="400"/>
    <x v="11"/>
    <x v="34"/>
    <x v="9"/>
    <s v="Percent of GDP"/>
    <s v="Units"/>
    <x v="3"/>
    <n v="-2.827"/>
  </r>
  <r>
    <n v="400"/>
    <x v="11"/>
    <x v="34"/>
    <x v="9"/>
    <s v="Percent of GDP"/>
    <s v="Units"/>
    <x v="4"/>
    <n v="-2.3380000000000001"/>
  </r>
  <r>
    <n v="400"/>
    <x v="11"/>
    <x v="34"/>
    <x v="9"/>
    <s v="Percent of GDP"/>
    <s v="Units"/>
    <x v="5"/>
    <n v="-3.0369999999999999"/>
  </r>
  <r>
    <n v="400"/>
    <x v="11"/>
    <x v="34"/>
    <x v="9"/>
    <s v="Percent of GDP"/>
    <s v="Units"/>
    <x v="6"/>
    <n v="-3.4049999999999998"/>
  </r>
  <r>
    <n v="200"/>
    <x v="3"/>
    <x v="34"/>
    <x v="9"/>
    <s v="Percent of GDP"/>
    <s v="Units"/>
    <x v="0"/>
    <n v="-4.4829999999999997"/>
  </r>
  <r>
    <n v="200"/>
    <x v="3"/>
    <x v="34"/>
    <x v="9"/>
    <s v="Percent of GDP"/>
    <s v="Units"/>
    <x v="1"/>
    <n v="-5.2160000000000002"/>
  </r>
  <r>
    <n v="200"/>
    <x v="3"/>
    <x v="34"/>
    <x v="9"/>
    <s v="Percent of GDP"/>
    <s v="Units"/>
    <x v="2"/>
    <n v="-3.1970000000000001"/>
  </r>
  <r>
    <n v="200"/>
    <x v="3"/>
    <x v="34"/>
    <x v="9"/>
    <s v="Percent of GDP"/>
    <s v="Units"/>
    <x v="3"/>
    <n v="-2.827"/>
  </r>
  <r>
    <n v="200"/>
    <x v="3"/>
    <x v="34"/>
    <x v="9"/>
    <s v="Percent of GDP"/>
    <s v="Units"/>
    <x v="4"/>
    <n v="-2.3380000000000001"/>
  </r>
  <r>
    <n v="200"/>
    <x v="3"/>
    <x v="34"/>
    <x v="9"/>
    <s v="Percent of GDP"/>
    <s v="Units"/>
    <x v="5"/>
    <n v="-3.0369999999999999"/>
  </r>
  <r>
    <n v="200"/>
    <x v="3"/>
    <x v="34"/>
    <x v="9"/>
    <s v="Percent of GDP"/>
    <s v="Units"/>
    <x v="6"/>
    <n v="-3.4049999999999998"/>
  </r>
  <r>
    <n v="1"/>
    <x v="2"/>
    <x v="176"/>
    <x v="6"/>
    <s v="Percent change"/>
    <s v="Units"/>
    <x v="0"/>
    <n v="-9.66"/>
  </r>
  <r>
    <n v="1"/>
    <x v="2"/>
    <x v="176"/>
    <x v="6"/>
    <s v="Percent change"/>
    <s v="Units"/>
    <x v="1"/>
    <n v="-6.157"/>
  </r>
  <r>
    <n v="1"/>
    <x v="2"/>
    <x v="176"/>
    <x v="6"/>
    <s v="Percent change"/>
    <s v="Units"/>
    <x v="2"/>
    <n v="3.9729999999999999"/>
  </r>
  <r>
    <n v="1"/>
    <x v="2"/>
    <x v="176"/>
    <x v="6"/>
    <s v="Percent change"/>
    <s v="Units"/>
    <x v="3"/>
    <n v="-5.968"/>
  </r>
  <r>
    <n v="1"/>
    <x v="2"/>
    <x v="176"/>
    <x v="6"/>
    <s v="Percent change"/>
    <s v="Units"/>
    <x v="4"/>
    <n v="1.9650000000000001"/>
  </r>
  <r>
    <n v="1"/>
    <x v="2"/>
    <x v="176"/>
    <x v="6"/>
    <s v="Percent change"/>
    <s v="Units"/>
    <x v="5"/>
    <n v="-3.0609999999999999"/>
  </r>
  <r>
    <n v="1"/>
    <x v="2"/>
    <x v="176"/>
    <x v="6"/>
    <s v="Percent change"/>
    <s v="Units"/>
    <x v="6"/>
    <n v="5.68"/>
  </r>
  <r>
    <n v="205"/>
    <x v="7"/>
    <x v="176"/>
    <x v="6"/>
    <s v="Percent change"/>
    <s v="Units"/>
    <x v="0"/>
    <n v="-9.66"/>
  </r>
  <r>
    <n v="205"/>
    <x v="7"/>
    <x v="176"/>
    <x v="6"/>
    <s v="Percent change"/>
    <s v="Units"/>
    <x v="1"/>
    <n v="-6.157"/>
  </r>
  <r>
    <n v="205"/>
    <x v="7"/>
    <x v="176"/>
    <x v="6"/>
    <s v="Percent change"/>
    <s v="Units"/>
    <x v="2"/>
    <n v="3.9729999999999999"/>
  </r>
  <r>
    <n v="205"/>
    <x v="7"/>
    <x v="176"/>
    <x v="6"/>
    <s v="Percent change"/>
    <s v="Units"/>
    <x v="3"/>
    <n v="-5.968"/>
  </r>
  <r>
    <n v="205"/>
    <x v="7"/>
    <x v="176"/>
    <x v="6"/>
    <s v="Percent change"/>
    <s v="Units"/>
    <x v="4"/>
    <n v="1.9650000000000001"/>
  </r>
  <r>
    <n v="205"/>
    <x v="7"/>
    <x v="176"/>
    <x v="6"/>
    <s v="Percent change"/>
    <s v="Units"/>
    <x v="5"/>
    <n v="-3.0609999999999999"/>
  </r>
  <r>
    <n v="205"/>
    <x v="7"/>
    <x v="176"/>
    <x v="6"/>
    <s v="Percent change"/>
    <s v="Units"/>
    <x v="6"/>
    <n v="5.68"/>
  </r>
  <r>
    <n v="200"/>
    <x v="3"/>
    <x v="176"/>
    <x v="6"/>
    <s v="Percent change"/>
    <s v="Units"/>
    <x v="0"/>
    <n v="-9.66"/>
  </r>
  <r>
    <n v="200"/>
    <x v="3"/>
    <x v="176"/>
    <x v="6"/>
    <s v="Percent change"/>
    <s v="Units"/>
    <x v="1"/>
    <n v="-6.157"/>
  </r>
  <r>
    <n v="200"/>
    <x v="3"/>
    <x v="176"/>
    <x v="6"/>
    <s v="Percent change"/>
    <s v="Units"/>
    <x v="2"/>
    <n v="3.9729999999999999"/>
  </r>
  <r>
    <n v="200"/>
    <x v="3"/>
    <x v="176"/>
    <x v="6"/>
    <s v="Percent change"/>
    <s v="Units"/>
    <x v="3"/>
    <n v="-5.968"/>
  </r>
  <r>
    <n v="200"/>
    <x v="3"/>
    <x v="176"/>
    <x v="6"/>
    <s v="Percent change"/>
    <s v="Units"/>
    <x v="4"/>
    <n v="1.9650000000000001"/>
  </r>
  <r>
    <n v="200"/>
    <x v="3"/>
    <x v="176"/>
    <x v="6"/>
    <s v="Percent change"/>
    <s v="Units"/>
    <x v="5"/>
    <n v="-3.0609999999999999"/>
  </r>
  <r>
    <n v="200"/>
    <x v="3"/>
    <x v="176"/>
    <x v="6"/>
    <s v="Percent change"/>
    <s v="Units"/>
    <x v="6"/>
    <n v="5.68"/>
  </r>
  <r>
    <n v="603"/>
    <x v="12"/>
    <x v="186"/>
    <x v="9"/>
    <s v="Percent of GDP"/>
    <s v="Units"/>
    <x v="0"/>
    <n v="1.423"/>
  </r>
  <r>
    <n v="603"/>
    <x v="12"/>
    <x v="186"/>
    <x v="9"/>
    <s v="Percent of GDP"/>
    <s v="Units"/>
    <x v="1"/>
    <n v="-3.36"/>
  </r>
  <r>
    <n v="603"/>
    <x v="12"/>
    <x v="186"/>
    <x v="9"/>
    <s v="Percent of GDP"/>
    <s v="Units"/>
    <x v="2"/>
    <n v="-6.0229999999999997"/>
  </r>
  <r>
    <n v="603"/>
    <x v="12"/>
    <x v="186"/>
    <x v="9"/>
    <s v="Percent of GDP"/>
    <s v="Units"/>
    <x v="3"/>
    <n v="-5.3460000000000001"/>
  </r>
  <r>
    <n v="603"/>
    <x v="12"/>
    <x v="186"/>
    <x v="9"/>
    <s v="Percent of GDP"/>
    <s v="Units"/>
    <x v="4"/>
    <n v="-3.5169999999999999"/>
  </r>
  <r>
    <n v="603"/>
    <x v="12"/>
    <x v="186"/>
    <x v="9"/>
    <s v="Percent of GDP"/>
    <s v="Units"/>
    <x v="5"/>
    <n v="-3.0859999999999999"/>
  </r>
  <r>
    <n v="603"/>
    <x v="12"/>
    <x v="186"/>
    <x v="9"/>
    <s v="Percent of GDP"/>
    <s v="Units"/>
    <x v="6"/>
    <n v="-1.867"/>
  </r>
  <r>
    <n v="200"/>
    <x v="3"/>
    <x v="186"/>
    <x v="9"/>
    <s v="Percent of GDP"/>
    <s v="Units"/>
    <x v="0"/>
    <n v="1.423"/>
  </r>
  <r>
    <n v="200"/>
    <x v="3"/>
    <x v="186"/>
    <x v="9"/>
    <s v="Percent of GDP"/>
    <s v="Units"/>
    <x v="1"/>
    <n v="-3.36"/>
  </r>
  <r>
    <n v="200"/>
    <x v="3"/>
    <x v="186"/>
    <x v="9"/>
    <s v="Percent of GDP"/>
    <s v="Units"/>
    <x v="2"/>
    <n v="-6.0229999999999997"/>
  </r>
  <r>
    <n v="200"/>
    <x v="3"/>
    <x v="186"/>
    <x v="9"/>
    <s v="Percent of GDP"/>
    <s v="Units"/>
    <x v="3"/>
    <n v="-5.3460000000000001"/>
  </r>
  <r>
    <n v="200"/>
    <x v="3"/>
    <x v="186"/>
    <x v="9"/>
    <s v="Percent of GDP"/>
    <s v="Units"/>
    <x v="4"/>
    <n v="-3.5169999999999999"/>
  </r>
  <r>
    <n v="200"/>
    <x v="3"/>
    <x v="186"/>
    <x v="9"/>
    <s v="Percent of GDP"/>
    <s v="Units"/>
    <x v="5"/>
    <n v="-3.0859999999999999"/>
  </r>
  <r>
    <n v="200"/>
    <x v="3"/>
    <x v="186"/>
    <x v="9"/>
    <s v="Percent of GDP"/>
    <s v="Units"/>
    <x v="6"/>
    <n v="-1.867"/>
  </r>
  <r>
    <n v="110"/>
    <x v="0"/>
    <x v="14"/>
    <x v="9"/>
    <s v="Percent of GDP"/>
    <s v="Units"/>
    <x v="0"/>
    <n v="-3.06"/>
  </r>
  <r>
    <n v="110"/>
    <x v="0"/>
    <x v="14"/>
    <x v="9"/>
    <s v="Percent of GDP"/>
    <s v="Units"/>
    <x v="1"/>
    <n v="-10.116"/>
  </r>
  <r>
    <n v="110"/>
    <x v="0"/>
    <x v="14"/>
    <x v="9"/>
    <s v="Percent of GDP"/>
    <s v="Units"/>
    <x v="2"/>
    <n v="-6.73"/>
  </r>
  <r>
    <n v="110"/>
    <x v="0"/>
    <x v="14"/>
    <x v="9"/>
    <s v="Percent of GDP"/>
    <s v="Units"/>
    <x v="3"/>
    <n v="-4.734"/>
  </r>
  <r>
    <n v="110"/>
    <x v="0"/>
    <x v="14"/>
    <x v="9"/>
    <s v="Percent of GDP"/>
    <s v="Units"/>
    <x v="4"/>
    <n v="-3.6360000000000001"/>
  </r>
  <r>
    <n v="110"/>
    <x v="0"/>
    <x v="14"/>
    <x v="9"/>
    <s v="Percent of GDP"/>
    <s v="Units"/>
    <x v="5"/>
    <n v="-3.133"/>
  </r>
  <r>
    <n v="110"/>
    <x v="0"/>
    <x v="14"/>
    <x v="9"/>
    <s v="Percent of GDP"/>
    <s v="Units"/>
    <x v="6"/>
    <n v="-3.0329999999999999"/>
  </r>
  <r>
    <n v="998"/>
    <x v="6"/>
    <x v="14"/>
    <x v="9"/>
    <s v="Percent of GDP"/>
    <s v="Units"/>
    <x v="0"/>
    <n v="-3.06"/>
  </r>
  <r>
    <n v="998"/>
    <x v="6"/>
    <x v="14"/>
    <x v="9"/>
    <s v="Percent of GDP"/>
    <s v="Units"/>
    <x v="1"/>
    <n v="-10.116"/>
  </r>
  <r>
    <n v="998"/>
    <x v="6"/>
    <x v="14"/>
    <x v="9"/>
    <s v="Percent of GDP"/>
    <s v="Units"/>
    <x v="2"/>
    <n v="-6.73"/>
  </r>
  <r>
    <n v="998"/>
    <x v="6"/>
    <x v="14"/>
    <x v="9"/>
    <s v="Percent of GDP"/>
    <s v="Units"/>
    <x v="3"/>
    <n v="-4.734"/>
  </r>
  <r>
    <n v="998"/>
    <x v="6"/>
    <x v="14"/>
    <x v="9"/>
    <s v="Percent of GDP"/>
    <s v="Units"/>
    <x v="4"/>
    <n v="-3.6360000000000001"/>
  </r>
  <r>
    <n v="998"/>
    <x v="6"/>
    <x v="14"/>
    <x v="9"/>
    <s v="Percent of GDP"/>
    <s v="Units"/>
    <x v="5"/>
    <n v="-3.133"/>
  </r>
  <r>
    <n v="998"/>
    <x v="6"/>
    <x v="14"/>
    <x v="9"/>
    <s v="Percent of GDP"/>
    <s v="Units"/>
    <x v="6"/>
    <n v="-3.0329999999999999"/>
  </r>
  <r>
    <n v="163"/>
    <x v="5"/>
    <x v="14"/>
    <x v="9"/>
    <s v="Percent of GDP"/>
    <s v="Units"/>
    <x v="0"/>
    <n v="-3.06"/>
  </r>
  <r>
    <n v="163"/>
    <x v="5"/>
    <x v="14"/>
    <x v="9"/>
    <s v="Percent of GDP"/>
    <s v="Units"/>
    <x v="1"/>
    <n v="-10.116"/>
  </r>
  <r>
    <n v="163"/>
    <x v="5"/>
    <x v="14"/>
    <x v="9"/>
    <s v="Percent of GDP"/>
    <s v="Units"/>
    <x v="2"/>
    <n v="-6.73"/>
  </r>
  <r>
    <n v="163"/>
    <x v="5"/>
    <x v="14"/>
    <x v="9"/>
    <s v="Percent of GDP"/>
    <s v="Units"/>
    <x v="3"/>
    <n v="-4.734"/>
  </r>
  <r>
    <n v="163"/>
    <x v="5"/>
    <x v="14"/>
    <x v="9"/>
    <s v="Percent of GDP"/>
    <s v="Units"/>
    <x v="4"/>
    <n v="-3.6360000000000001"/>
  </r>
  <r>
    <n v="163"/>
    <x v="5"/>
    <x v="14"/>
    <x v="9"/>
    <s v="Percent of GDP"/>
    <s v="Units"/>
    <x v="5"/>
    <n v="-3.133"/>
  </r>
  <r>
    <n v="163"/>
    <x v="5"/>
    <x v="14"/>
    <x v="9"/>
    <s v="Percent of GDP"/>
    <s v="Units"/>
    <x v="6"/>
    <n v="-3.0329999999999999"/>
  </r>
  <r>
    <n v="163"/>
    <x v="5"/>
    <x v="14"/>
    <x v="12"/>
    <s v="Percent of potential GDP"/>
    <s v="Units"/>
    <x v="0"/>
    <n v="-3.0510000000000002"/>
  </r>
  <r>
    <n v="163"/>
    <x v="5"/>
    <x v="14"/>
    <x v="12"/>
    <s v="Percent of potential GDP"/>
    <s v="Units"/>
    <x v="1"/>
    <n v="-4.492"/>
  </r>
  <r>
    <n v="163"/>
    <x v="5"/>
    <x v="14"/>
    <x v="12"/>
    <s v="Percent of potential GDP"/>
    <s v="Units"/>
    <x v="2"/>
    <n v="-3.9590000000000001"/>
  </r>
  <r>
    <n v="163"/>
    <x v="5"/>
    <x v="14"/>
    <x v="12"/>
    <s v="Percent of potential GDP"/>
    <s v="Units"/>
    <x v="3"/>
    <n v="-4.4580000000000002"/>
  </r>
  <r>
    <n v="163"/>
    <x v="5"/>
    <x v="14"/>
    <x v="12"/>
    <s v="Percent of potential GDP"/>
    <s v="Units"/>
    <x v="4"/>
    <n v="-3.7040000000000002"/>
  </r>
  <r>
    <n v="163"/>
    <x v="5"/>
    <x v="14"/>
    <x v="12"/>
    <s v="Percent of potential GDP"/>
    <s v="Units"/>
    <x v="5"/>
    <n v="-3.202"/>
  </r>
  <r>
    <n v="163"/>
    <x v="5"/>
    <x v="14"/>
    <x v="12"/>
    <s v="Percent of potential GDP"/>
    <s v="Units"/>
    <x v="6"/>
    <n v="-3.19"/>
  </r>
  <r>
    <n v="110"/>
    <x v="0"/>
    <x v="14"/>
    <x v="12"/>
    <s v="Percent of potential GDP"/>
    <s v="Units"/>
    <x v="0"/>
    <n v="-3.0510000000000002"/>
  </r>
  <r>
    <n v="110"/>
    <x v="0"/>
    <x v="14"/>
    <x v="12"/>
    <s v="Percent of potential GDP"/>
    <s v="Units"/>
    <x v="1"/>
    <n v="-4.492"/>
  </r>
  <r>
    <n v="110"/>
    <x v="0"/>
    <x v="14"/>
    <x v="12"/>
    <s v="Percent of potential GDP"/>
    <s v="Units"/>
    <x v="2"/>
    <n v="-3.9590000000000001"/>
  </r>
  <r>
    <n v="110"/>
    <x v="0"/>
    <x v="14"/>
    <x v="12"/>
    <s v="Percent of potential GDP"/>
    <s v="Units"/>
    <x v="3"/>
    <n v="-4.4580000000000002"/>
  </r>
  <r>
    <n v="110"/>
    <x v="0"/>
    <x v="14"/>
    <x v="12"/>
    <s v="Percent of potential GDP"/>
    <s v="Units"/>
    <x v="4"/>
    <n v="-3.7040000000000002"/>
  </r>
  <r>
    <n v="110"/>
    <x v="0"/>
    <x v="14"/>
    <x v="12"/>
    <s v="Percent of potential GDP"/>
    <s v="Units"/>
    <x v="5"/>
    <n v="-3.202"/>
  </r>
  <r>
    <n v="110"/>
    <x v="0"/>
    <x v="14"/>
    <x v="12"/>
    <s v="Percent of potential GDP"/>
    <s v="Units"/>
    <x v="6"/>
    <n v="-3.19"/>
  </r>
  <r>
    <n v="205"/>
    <x v="7"/>
    <x v="114"/>
    <x v="6"/>
    <s v="Percent change"/>
    <s v="Units"/>
    <x v="0"/>
    <n v="8.5500000000000007"/>
  </r>
  <r>
    <n v="205"/>
    <x v="7"/>
    <x v="114"/>
    <x v="6"/>
    <s v="Percent change"/>
    <s v="Units"/>
    <x v="1"/>
    <n v="-30.957999999999998"/>
  </r>
  <r>
    <n v="205"/>
    <x v="7"/>
    <x v="114"/>
    <x v="6"/>
    <s v="Percent change"/>
    <s v="Units"/>
    <x v="2"/>
    <n v="2.9460000000000002"/>
  </r>
  <r>
    <n v="205"/>
    <x v="7"/>
    <x v="114"/>
    <x v="6"/>
    <s v="Percent change"/>
    <s v="Units"/>
    <x v="3"/>
    <n v="10.976000000000001"/>
  </r>
  <r>
    <n v="205"/>
    <x v="7"/>
    <x v="114"/>
    <x v="6"/>
    <s v="Percent change"/>
    <s v="Units"/>
    <x v="4"/>
    <n v="18.913"/>
  </r>
  <r>
    <n v="205"/>
    <x v="7"/>
    <x v="114"/>
    <x v="6"/>
    <s v="Percent change"/>
    <s v="Units"/>
    <x v="5"/>
    <n v="-3.222"/>
  </r>
  <r>
    <n v="205"/>
    <x v="7"/>
    <x v="114"/>
    <x v="6"/>
    <s v="Percent change"/>
    <s v="Units"/>
    <x v="6"/>
    <n v="7.3869999999999996"/>
  </r>
  <r>
    <n v="200"/>
    <x v="3"/>
    <x v="114"/>
    <x v="6"/>
    <s v="Percent change"/>
    <s v="Units"/>
    <x v="0"/>
    <n v="8.5500000000000007"/>
  </r>
  <r>
    <n v="200"/>
    <x v="3"/>
    <x v="114"/>
    <x v="6"/>
    <s v="Percent change"/>
    <s v="Units"/>
    <x v="1"/>
    <n v="-30.957999999999998"/>
  </r>
  <r>
    <n v="200"/>
    <x v="3"/>
    <x v="114"/>
    <x v="6"/>
    <s v="Percent change"/>
    <s v="Units"/>
    <x v="2"/>
    <n v="2.9460000000000002"/>
  </r>
  <r>
    <n v="200"/>
    <x v="3"/>
    <x v="114"/>
    <x v="6"/>
    <s v="Percent change"/>
    <s v="Units"/>
    <x v="3"/>
    <n v="10.976000000000001"/>
  </r>
  <r>
    <n v="200"/>
    <x v="3"/>
    <x v="114"/>
    <x v="6"/>
    <s v="Percent change"/>
    <s v="Units"/>
    <x v="4"/>
    <n v="18.913"/>
  </r>
  <r>
    <n v="200"/>
    <x v="3"/>
    <x v="114"/>
    <x v="6"/>
    <s v="Percent change"/>
    <s v="Units"/>
    <x v="5"/>
    <n v="-3.222"/>
  </r>
  <r>
    <n v="200"/>
    <x v="3"/>
    <x v="114"/>
    <x v="6"/>
    <s v="Percent change"/>
    <s v="Units"/>
    <x v="6"/>
    <n v="7.3869999999999996"/>
  </r>
  <r>
    <n v="1"/>
    <x v="2"/>
    <x v="114"/>
    <x v="6"/>
    <s v="Percent change"/>
    <s v="Units"/>
    <x v="0"/>
    <n v="8.5500000000000007"/>
  </r>
  <r>
    <n v="1"/>
    <x v="2"/>
    <x v="114"/>
    <x v="6"/>
    <s v="Percent change"/>
    <s v="Units"/>
    <x v="1"/>
    <n v="-30.957999999999998"/>
  </r>
  <r>
    <n v="1"/>
    <x v="2"/>
    <x v="114"/>
    <x v="6"/>
    <s v="Percent change"/>
    <s v="Units"/>
    <x v="2"/>
    <n v="2.9460000000000002"/>
  </r>
  <r>
    <n v="1"/>
    <x v="2"/>
    <x v="114"/>
    <x v="6"/>
    <s v="Percent change"/>
    <s v="Units"/>
    <x v="3"/>
    <n v="10.976000000000001"/>
  </r>
  <r>
    <n v="1"/>
    <x v="2"/>
    <x v="114"/>
    <x v="6"/>
    <s v="Percent change"/>
    <s v="Units"/>
    <x v="4"/>
    <n v="18.913"/>
  </r>
  <r>
    <n v="1"/>
    <x v="2"/>
    <x v="114"/>
    <x v="6"/>
    <s v="Percent change"/>
    <s v="Units"/>
    <x v="5"/>
    <n v="-3.222"/>
  </r>
  <r>
    <n v="1"/>
    <x v="2"/>
    <x v="114"/>
    <x v="6"/>
    <s v="Percent change"/>
    <s v="Units"/>
    <x v="6"/>
    <n v="7.3869999999999996"/>
  </r>
  <r>
    <n v="200"/>
    <x v="3"/>
    <x v="116"/>
    <x v="9"/>
    <s v="Percent of GDP"/>
    <s v="Units"/>
    <x v="0"/>
    <n v="-1.768"/>
  </r>
  <r>
    <n v="200"/>
    <x v="3"/>
    <x v="116"/>
    <x v="9"/>
    <s v="Percent of GDP"/>
    <s v="Units"/>
    <x v="1"/>
    <n v="-10.933999999999999"/>
  </r>
  <r>
    <n v="200"/>
    <x v="3"/>
    <x v="116"/>
    <x v="9"/>
    <s v="Percent of GDP"/>
    <s v="Units"/>
    <x v="2"/>
    <n v="-1.708"/>
  </r>
  <r>
    <n v="200"/>
    <x v="3"/>
    <x v="116"/>
    <x v="9"/>
    <s v="Percent of GDP"/>
    <s v="Units"/>
    <x v="3"/>
    <n v="-4.0819999999999999"/>
  </r>
  <r>
    <n v="200"/>
    <x v="3"/>
    <x v="116"/>
    <x v="9"/>
    <s v="Percent of GDP"/>
    <s v="Units"/>
    <x v="4"/>
    <n v="0.72599999999999998"/>
  </r>
  <r>
    <n v="200"/>
    <x v="3"/>
    <x v="116"/>
    <x v="9"/>
    <s v="Percent of GDP"/>
    <s v="Units"/>
    <x v="5"/>
    <n v="-3.2280000000000002"/>
  </r>
  <r>
    <n v="200"/>
    <x v="3"/>
    <x v="116"/>
    <x v="9"/>
    <s v="Percent of GDP"/>
    <s v="Units"/>
    <x v="6"/>
    <n v="-3.544"/>
  </r>
  <r>
    <n v="903"/>
    <x v="8"/>
    <x v="116"/>
    <x v="9"/>
    <s v="Percent of GDP"/>
    <s v="Units"/>
    <x v="0"/>
    <n v="-1.768"/>
  </r>
  <r>
    <n v="903"/>
    <x v="8"/>
    <x v="116"/>
    <x v="9"/>
    <s v="Percent of GDP"/>
    <s v="Units"/>
    <x v="1"/>
    <n v="-10.933999999999999"/>
  </r>
  <r>
    <n v="903"/>
    <x v="8"/>
    <x v="116"/>
    <x v="9"/>
    <s v="Percent of GDP"/>
    <s v="Units"/>
    <x v="2"/>
    <n v="-1.708"/>
  </r>
  <r>
    <n v="903"/>
    <x v="8"/>
    <x v="116"/>
    <x v="9"/>
    <s v="Percent of GDP"/>
    <s v="Units"/>
    <x v="3"/>
    <n v="-4.0819999999999999"/>
  </r>
  <r>
    <n v="903"/>
    <x v="8"/>
    <x v="116"/>
    <x v="9"/>
    <s v="Percent of GDP"/>
    <s v="Units"/>
    <x v="4"/>
    <n v="0.72599999999999998"/>
  </r>
  <r>
    <n v="903"/>
    <x v="8"/>
    <x v="116"/>
    <x v="9"/>
    <s v="Percent of GDP"/>
    <s v="Units"/>
    <x v="5"/>
    <n v="-3.2280000000000002"/>
  </r>
  <r>
    <n v="903"/>
    <x v="8"/>
    <x v="116"/>
    <x v="9"/>
    <s v="Percent of GDP"/>
    <s v="Units"/>
    <x v="6"/>
    <n v="-3.544"/>
  </r>
  <r>
    <n v="200"/>
    <x v="3"/>
    <x v="152"/>
    <x v="9"/>
    <s v="Percent of GDP"/>
    <s v="Units"/>
    <x v="0"/>
    <n v="-1.617"/>
  </r>
  <r>
    <n v="200"/>
    <x v="3"/>
    <x v="152"/>
    <x v="9"/>
    <s v="Percent of GDP"/>
    <s v="Units"/>
    <x v="1"/>
    <n v="-9.2899999999999991"/>
  </r>
  <r>
    <n v="200"/>
    <x v="3"/>
    <x v="152"/>
    <x v="9"/>
    <s v="Percent of GDP"/>
    <s v="Units"/>
    <x v="2"/>
    <n v="-7.7149999999999999"/>
  </r>
  <r>
    <n v="200"/>
    <x v="3"/>
    <x v="152"/>
    <x v="9"/>
    <s v="Percent of GDP"/>
    <s v="Units"/>
    <x v="3"/>
    <n v="-4.2619999999999996"/>
  </r>
  <r>
    <n v="200"/>
    <x v="3"/>
    <x v="152"/>
    <x v="9"/>
    <s v="Percent of GDP"/>
    <s v="Units"/>
    <x v="4"/>
    <n v="-0.27500000000000002"/>
  </r>
  <r>
    <n v="200"/>
    <x v="3"/>
    <x v="152"/>
    <x v="9"/>
    <s v="Percent of GDP"/>
    <s v="Units"/>
    <x v="5"/>
    <n v="-3.242"/>
  </r>
  <r>
    <n v="200"/>
    <x v="3"/>
    <x v="152"/>
    <x v="9"/>
    <s v="Percent of GDP"/>
    <s v="Units"/>
    <x v="6"/>
    <n v="-2.1240000000000001"/>
  </r>
  <r>
    <n v="603"/>
    <x v="12"/>
    <x v="152"/>
    <x v="9"/>
    <s v="Percent of GDP"/>
    <s v="Units"/>
    <x v="0"/>
    <n v="-1.617"/>
  </r>
  <r>
    <n v="603"/>
    <x v="12"/>
    <x v="152"/>
    <x v="9"/>
    <s v="Percent of GDP"/>
    <s v="Units"/>
    <x v="1"/>
    <n v="-9.2899999999999991"/>
  </r>
  <r>
    <n v="603"/>
    <x v="12"/>
    <x v="152"/>
    <x v="9"/>
    <s v="Percent of GDP"/>
    <s v="Units"/>
    <x v="2"/>
    <n v="-7.7149999999999999"/>
  </r>
  <r>
    <n v="603"/>
    <x v="12"/>
    <x v="152"/>
    <x v="9"/>
    <s v="Percent of GDP"/>
    <s v="Units"/>
    <x v="3"/>
    <n v="-4.2619999999999996"/>
  </r>
  <r>
    <n v="603"/>
    <x v="12"/>
    <x v="152"/>
    <x v="9"/>
    <s v="Percent of GDP"/>
    <s v="Units"/>
    <x v="4"/>
    <n v="-0.27500000000000002"/>
  </r>
  <r>
    <n v="603"/>
    <x v="12"/>
    <x v="152"/>
    <x v="9"/>
    <s v="Percent of GDP"/>
    <s v="Units"/>
    <x v="5"/>
    <n v="-3.242"/>
  </r>
  <r>
    <n v="603"/>
    <x v="12"/>
    <x v="152"/>
    <x v="9"/>
    <s v="Percent of GDP"/>
    <s v="Units"/>
    <x v="6"/>
    <n v="-2.1240000000000001"/>
  </r>
  <r>
    <n v="200"/>
    <x v="3"/>
    <x v="39"/>
    <x v="9"/>
    <s v="Percent of GDP"/>
    <s v="Units"/>
    <x v="0"/>
    <n v="-3.4820000000000002"/>
  </r>
  <r>
    <n v="200"/>
    <x v="3"/>
    <x v="39"/>
    <x v="9"/>
    <s v="Percent of GDP"/>
    <s v="Units"/>
    <x v="1"/>
    <n v="-6.9539999999999997"/>
  </r>
  <r>
    <n v="200"/>
    <x v="3"/>
    <x v="39"/>
    <x v="9"/>
    <s v="Percent of GDP"/>
    <s v="Units"/>
    <x v="2"/>
    <n v="-7.085"/>
  </r>
  <r>
    <n v="200"/>
    <x v="3"/>
    <x v="39"/>
    <x v="9"/>
    <s v="Percent of GDP"/>
    <s v="Units"/>
    <x v="3"/>
    <n v="-6.17"/>
  </r>
  <r>
    <n v="200"/>
    <x v="3"/>
    <x v="39"/>
    <x v="9"/>
    <s v="Percent of GDP"/>
    <s v="Units"/>
    <x v="4"/>
    <n v="-2.7240000000000002"/>
  </r>
  <r>
    <n v="200"/>
    <x v="3"/>
    <x v="39"/>
    <x v="9"/>
    <s v="Percent of GDP"/>
    <s v="Units"/>
    <x v="5"/>
    <n v="-3.2850000000000001"/>
  </r>
  <r>
    <n v="200"/>
    <x v="3"/>
    <x v="39"/>
    <x v="9"/>
    <s v="Percent of GDP"/>
    <s v="Units"/>
    <x v="6"/>
    <n v="-3.073"/>
  </r>
  <r>
    <n v="205"/>
    <x v="7"/>
    <x v="39"/>
    <x v="9"/>
    <s v="Percent of GDP"/>
    <s v="Units"/>
    <x v="0"/>
    <n v="-3.4820000000000002"/>
  </r>
  <r>
    <n v="205"/>
    <x v="7"/>
    <x v="39"/>
    <x v="9"/>
    <s v="Percent of GDP"/>
    <s v="Units"/>
    <x v="1"/>
    <n v="-6.9539999999999997"/>
  </r>
  <r>
    <n v="205"/>
    <x v="7"/>
    <x v="39"/>
    <x v="9"/>
    <s v="Percent of GDP"/>
    <s v="Units"/>
    <x v="2"/>
    <n v="-7.085"/>
  </r>
  <r>
    <n v="205"/>
    <x v="7"/>
    <x v="39"/>
    <x v="9"/>
    <s v="Percent of GDP"/>
    <s v="Units"/>
    <x v="3"/>
    <n v="-6.17"/>
  </r>
  <r>
    <n v="205"/>
    <x v="7"/>
    <x v="39"/>
    <x v="9"/>
    <s v="Percent of GDP"/>
    <s v="Units"/>
    <x v="4"/>
    <n v="-2.7240000000000002"/>
  </r>
  <r>
    <n v="205"/>
    <x v="7"/>
    <x v="39"/>
    <x v="9"/>
    <s v="Percent of GDP"/>
    <s v="Units"/>
    <x v="5"/>
    <n v="-3.2850000000000001"/>
  </r>
  <r>
    <n v="205"/>
    <x v="7"/>
    <x v="39"/>
    <x v="9"/>
    <s v="Percent of GDP"/>
    <s v="Units"/>
    <x v="6"/>
    <n v="-3.073"/>
  </r>
  <r>
    <n v="123"/>
    <x v="9"/>
    <x v="28"/>
    <x v="6"/>
    <s v="Percent change"/>
    <s v="Units"/>
    <x v="0"/>
    <n v="3.9009999999999998"/>
  </r>
  <r>
    <n v="123"/>
    <x v="9"/>
    <x v="28"/>
    <x v="6"/>
    <s v="Percent change"/>
    <s v="Units"/>
    <x v="1"/>
    <n v="-7.95"/>
  </r>
  <r>
    <n v="123"/>
    <x v="9"/>
    <x v="28"/>
    <x v="6"/>
    <s v="Percent change"/>
    <s v="Units"/>
    <x v="2"/>
    <n v="21.103000000000002"/>
  </r>
  <r>
    <n v="123"/>
    <x v="9"/>
    <x v="28"/>
    <x v="6"/>
    <s v="Percent change"/>
    <s v="Units"/>
    <x v="3"/>
    <n v="12.031000000000001"/>
  </r>
  <r>
    <n v="123"/>
    <x v="9"/>
    <x v="28"/>
    <x v="6"/>
    <s v="Percent change"/>
    <s v="Units"/>
    <x v="4"/>
    <n v="-6.6470000000000002"/>
  </r>
  <r>
    <n v="123"/>
    <x v="9"/>
    <x v="28"/>
    <x v="6"/>
    <s v="Percent change"/>
    <s v="Units"/>
    <x v="5"/>
    <n v="-3.3180000000000001"/>
  </r>
  <r>
    <n v="123"/>
    <x v="9"/>
    <x v="28"/>
    <x v="6"/>
    <s v="Percent change"/>
    <s v="Units"/>
    <x v="6"/>
    <n v="13.871"/>
  </r>
  <r>
    <n v="110"/>
    <x v="0"/>
    <x v="28"/>
    <x v="6"/>
    <s v="Percent change"/>
    <s v="Units"/>
    <x v="0"/>
    <n v="3.9009999999999998"/>
  </r>
  <r>
    <n v="110"/>
    <x v="0"/>
    <x v="28"/>
    <x v="6"/>
    <s v="Percent change"/>
    <s v="Units"/>
    <x v="1"/>
    <n v="-7.95"/>
  </r>
  <r>
    <n v="110"/>
    <x v="0"/>
    <x v="28"/>
    <x v="6"/>
    <s v="Percent change"/>
    <s v="Units"/>
    <x v="2"/>
    <n v="21.103000000000002"/>
  </r>
  <r>
    <n v="110"/>
    <x v="0"/>
    <x v="28"/>
    <x v="6"/>
    <s v="Percent change"/>
    <s v="Units"/>
    <x v="3"/>
    <n v="12.031000000000001"/>
  </r>
  <r>
    <n v="110"/>
    <x v="0"/>
    <x v="28"/>
    <x v="6"/>
    <s v="Percent change"/>
    <s v="Units"/>
    <x v="4"/>
    <n v="-6.6470000000000002"/>
  </r>
  <r>
    <n v="110"/>
    <x v="0"/>
    <x v="28"/>
    <x v="6"/>
    <s v="Percent change"/>
    <s v="Units"/>
    <x v="5"/>
    <n v="-3.3180000000000001"/>
  </r>
  <r>
    <n v="110"/>
    <x v="0"/>
    <x v="28"/>
    <x v="6"/>
    <s v="Percent change"/>
    <s v="Units"/>
    <x v="6"/>
    <n v="13.871"/>
  </r>
  <r>
    <n v="1"/>
    <x v="2"/>
    <x v="28"/>
    <x v="6"/>
    <s v="Percent change"/>
    <s v="Units"/>
    <x v="0"/>
    <n v="3.9009999999999998"/>
  </r>
  <r>
    <n v="1"/>
    <x v="2"/>
    <x v="28"/>
    <x v="6"/>
    <s v="Percent change"/>
    <s v="Units"/>
    <x v="1"/>
    <n v="-7.95"/>
  </r>
  <r>
    <n v="1"/>
    <x v="2"/>
    <x v="28"/>
    <x v="6"/>
    <s v="Percent change"/>
    <s v="Units"/>
    <x v="2"/>
    <n v="21.103000000000002"/>
  </r>
  <r>
    <n v="1"/>
    <x v="2"/>
    <x v="28"/>
    <x v="6"/>
    <s v="Percent change"/>
    <s v="Units"/>
    <x v="3"/>
    <n v="12.031000000000001"/>
  </r>
  <r>
    <n v="1"/>
    <x v="2"/>
    <x v="28"/>
    <x v="6"/>
    <s v="Percent change"/>
    <s v="Units"/>
    <x v="4"/>
    <n v="-6.6470000000000002"/>
  </r>
  <r>
    <n v="1"/>
    <x v="2"/>
    <x v="28"/>
    <x v="6"/>
    <s v="Percent change"/>
    <s v="Units"/>
    <x v="5"/>
    <n v="-3.3180000000000001"/>
  </r>
  <r>
    <n v="1"/>
    <x v="2"/>
    <x v="28"/>
    <x v="6"/>
    <s v="Percent change"/>
    <s v="Units"/>
    <x v="6"/>
    <n v="13.871"/>
  </r>
  <r>
    <n v="603"/>
    <x v="12"/>
    <x v="104"/>
    <x v="9"/>
    <s v="Percent of GDP"/>
    <s v="Units"/>
    <x v="0"/>
    <n v="1.71"/>
  </r>
  <r>
    <n v="603"/>
    <x v="12"/>
    <x v="104"/>
    <x v="9"/>
    <s v="Percent of GDP"/>
    <s v="Units"/>
    <x v="1"/>
    <n v="-4.556"/>
  </r>
  <r>
    <n v="603"/>
    <x v="12"/>
    <x v="104"/>
    <x v="9"/>
    <s v="Percent of GDP"/>
    <s v="Units"/>
    <x v="2"/>
    <n v="-3.8759999999999999"/>
  </r>
  <r>
    <n v="603"/>
    <x v="12"/>
    <x v="104"/>
    <x v="9"/>
    <s v="Percent of GDP"/>
    <s v="Units"/>
    <x v="3"/>
    <n v="-5.2380000000000004"/>
  </r>
  <r>
    <n v="603"/>
    <x v="12"/>
    <x v="104"/>
    <x v="9"/>
    <s v="Percent of GDP"/>
    <s v="Units"/>
    <x v="4"/>
    <n v="-2.6739999999999999"/>
  </r>
  <r>
    <n v="603"/>
    <x v="12"/>
    <x v="104"/>
    <x v="9"/>
    <s v="Percent of GDP"/>
    <s v="Units"/>
    <x v="5"/>
    <n v="-3.327"/>
  </r>
  <r>
    <n v="603"/>
    <x v="12"/>
    <x v="104"/>
    <x v="9"/>
    <s v="Percent of GDP"/>
    <s v="Units"/>
    <x v="6"/>
    <n v="-1.2"/>
  </r>
  <r>
    <n v="200"/>
    <x v="3"/>
    <x v="104"/>
    <x v="9"/>
    <s v="Percent of GDP"/>
    <s v="Units"/>
    <x v="0"/>
    <n v="1.71"/>
  </r>
  <r>
    <n v="200"/>
    <x v="3"/>
    <x v="104"/>
    <x v="9"/>
    <s v="Percent of GDP"/>
    <s v="Units"/>
    <x v="1"/>
    <n v="-4.556"/>
  </r>
  <r>
    <n v="200"/>
    <x v="3"/>
    <x v="104"/>
    <x v="9"/>
    <s v="Percent of GDP"/>
    <s v="Units"/>
    <x v="2"/>
    <n v="-3.8759999999999999"/>
  </r>
  <r>
    <n v="200"/>
    <x v="3"/>
    <x v="104"/>
    <x v="9"/>
    <s v="Percent of GDP"/>
    <s v="Units"/>
    <x v="3"/>
    <n v="-5.2380000000000004"/>
  </r>
  <r>
    <n v="200"/>
    <x v="3"/>
    <x v="104"/>
    <x v="9"/>
    <s v="Percent of GDP"/>
    <s v="Units"/>
    <x v="4"/>
    <n v="-2.6739999999999999"/>
  </r>
  <r>
    <n v="200"/>
    <x v="3"/>
    <x v="104"/>
    <x v="9"/>
    <s v="Percent of GDP"/>
    <s v="Units"/>
    <x v="5"/>
    <n v="-3.327"/>
  </r>
  <r>
    <n v="200"/>
    <x v="3"/>
    <x v="104"/>
    <x v="9"/>
    <s v="Percent of GDP"/>
    <s v="Units"/>
    <x v="6"/>
    <n v="-1.2"/>
  </r>
  <r>
    <n v="200"/>
    <x v="3"/>
    <x v="182"/>
    <x v="9"/>
    <s v="Percent of GDP"/>
    <s v="Units"/>
    <x v="0"/>
    <n v="-4.2949999999999999"/>
  </r>
  <r>
    <n v="200"/>
    <x v="3"/>
    <x v="182"/>
    <x v="9"/>
    <s v="Percent of GDP"/>
    <s v="Units"/>
    <x v="1"/>
    <n v="-0.51600000000000001"/>
  </r>
  <r>
    <n v="200"/>
    <x v="3"/>
    <x v="182"/>
    <x v="9"/>
    <s v="Percent of GDP"/>
    <s v="Units"/>
    <x v="2"/>
    <n v="-2.8140000000000001"/>
  </r>
  <r>
    <n v="200"/>
    <x v="3"/>
    <x v="182"/>
    <x v="9"/>
    <s v="Percent of GDP"/>
    <s v="Units"/>
    <x v="3"/>
    <n v="-3.9740000000000002"/>
  </r>
  <r>
    <n v="200"/>
    <x v="3"/>
    <x v="182"/>
    <x v="9"/>
    <s v="Percent of GDP"/>
    <s v="Units"/>
    <x v="4"/>
    <n v="-4.4820000000000002"/>
  </r>
  <r>
    <n v="200"/>
    <x v="3"/>
    <x v="182"/>
    <x v="9"/>
    <s v="Percent of GDP"/>
    <s v="Units"/>
    <x v="5"/>
    <n v="-3.359"/>
  </r>
  <r>
    <n v="200"/>
    <x v="3"/>
    <x v="182"/>
    <x v="9"/>
    <s v="Percent of GDP"/>
    <s v="Units"/>
    <x v="6"/>
    <n v="-2.4089999999999998"/>
  </r>
  <r>
    <n v="603"/>
    <x v="12"/>
    <x v="182"/>
    <x v="9"/>
    <s v="Percent of GDP"/>
    <s v="Units"/>
    <x v="0"/>
    <n v="-4.2949999999999999"/>
  </r>
  <r>
    <n v="603"/>
    <x v="12"/>
    <x v="182"/>
    <x v="9"/>
    <s v="Percent of GDP"/>
    <s v="Units"/>
    <x v="1"/>
    <n v="-0.51600000000000001"/>
  </r>
  <r>
    <n v="603"/>
    <x v="12"/>
    <x v="182"/>
    <x v="9"/>
    <s v="Percent of GDP"/>
    <s v="Units"/>
    <x v="2"/>
    <n v="-2.8140000000000001"/>
  </r>
  <r>
    <n v="603"/>
    <x v="12"/>
    <x v="182"/>
    <x v="9"/>
    <s v="Percent of GDP"/>
    <s v="Units"/>
    <x v="3"/>
    <n v="-3.9740000000000002"/>
  </r>
  <r>
    <n v="603"/>
    <x v="12"/>
    <x v="182"/>
    <x v="9"/>
    <s v="Percent of GDP"/>
    <s v="Units"/>
    <x v="4"/>
    <n v="-4.4820000000000002"/>
  </r>
  <r>
    <n v="603"/>
    <x v="12"/>
    <x v="182"/>
    <x v="9"/>
    <s v="Percent of GDP"/>
    <s v="Units"/>
    <x v="5"/>
    <n v="-3.359"/>
  </r>
  <r>
    <n v="603"/>
    <x v="12"/>
    <x v="182"/>
    <x v="9"/>
    <s v="Percent of GDP"/>
    <s v="Units"/>
    <x v="6"/>
    <n v="-2.4089999999999998"/>
  </r>
  <r>
    <n v="123"/>
    <x v="9"/>
    <x v="38"/>
    <x v="12"/>
    <s v="Percent of potential GDP"/>
    <s v="Units"/>
    <x v="0"/>
    <n v="0.33700000000000002"/>
  </r>
  <r>
    <n v="123"/>
    <x v="9"/>
    <x v="38"/>
    <x v="12"/>
    <s v="Percent of potential GDP"/>
    <s v="Units"/>
    <x v="1"/>
    <n v="-5.4820000000000002"/>
  </r>
  <r>
    <n v="123"/>
    <x v="9"/>
    <x v="38"/>
    <x v="12"/>
    <s v="Percent of potential GDP"/>
    <s v="Units"/>
    <x v="2"/>
    <n v="0.97599999999999998"/>
  </r>
  <r>
    <n v="123"/>
    <x v="9"/>
    <x v="38"/>
    <x v="12"/>
    <s v="Percent of potential GDP"/>
    <s v="Units"/>
    <x v="3"/>
    <n v="-4.6050000000000004"/>
  </r>
  <r>
    <n v="123"/>
    <x v="9"/>
    <x v="38"/>
    <x v="12"/>
    <s v="Percent of potential GDP"/>
    <s v="Units"/>
    <x v="4"/>
    <n v="-4.3730000000000002"/>
  </r>
  <r>
    <n v="123"/>
    <x v="9"/>
    <x v="38"/>
    <x v="12"/>
    <s v="Percent of potential GDP"/>
    <s v="Units"/>
    <x v="5"/>
    <n v="-3.3780000000000001"/>
  </r>
  <r>
    <n v="123"/>
    <x v="9"/>
    <x v="38"/>
    <x v="12"/>
    <s v="Percent of potential GDP"/>
    <s v="Units"/>
    <x v="6"/>
    <n v="-1.6339999999999999"/>
  </r>
  <r>
    <n v="110"/>
    <x v="0"/>
    <x v="38"/>
    <x v="12"/>
    <s v="Percent of potential GDP"/>
    <s v="Units"/>
    <x v="0"/>
    <n v="0.33700000000000002"/>
  </r>
  <r>
    <n v="110"/>
    <x v="0"/>
    <x v="38"/>
    <x v="12"/>
    <s v="Percent of potential GDP"/>
    <s v="Units"/>
    <x v="1"/>
    <n v="-5.4820000000000002"/>
  </r>
  <r>
    <n v="110"/>
    <x v="0"/>
    <x v="38"/>
    <x v="12"/>
    <s v="Percent of potential GDP"/>
    <s v="Units"/>
    <x v="2"/>
    <n v="0.97599999999999998"/>
  </r>
  <r>
    <n v="110"/>
    <x v="0"/>
    <x v="38"/>
    <x v="12"/>
    <s v="Percent of potential GDP"/>
    <s v="Units"/>
    <x v="3"/>
    <n v="-4.6050000000000004"/>
  </r>
  <r>
    <n v="110"/>
    <x v="0"/>
    <x v="38"/>
    <x v="12"/>
    <s v="Percent of potential GDP"/>
    <s v="Units"/>
    <x v="4"/>
    <n v="-4.3730000000000002"/>
  </r>
  <r>
    <n v="110"/>
    <x v="0"/>
    <x v="38"/>
    <x v="12"/>
    <s v="Percent of potential GDP"/>
    <s v="Units"/>
    <x v="5"/>
    <n v="-3.3780000000000001"/>
  </r>
  <r>
    <n v="110"/>
    <x v="0"/>
    <x v="38"/>
    <x v="12"/>
    <s v="Percent of potential GDP"/>
    <s v="Units"/>
    <x v="6"/>
    <n v="-1.6339999999999999"/>
  </r>
  <r>
    <n v="200"/>
    <x v="3"/>
    <x v="135"/>
    <x v="9"/>
    <s v="Percent of GDP"/>
    <s v="Units"/>
    <x v="0"/>
    <n v="-1.968"/>
  </r>
  <r>
    <n v="200"/>
    <x v="3"/>
    <x v="135"/>
    <x v="9"/>
    <s v="Percent of GDP"/>
    <s v="Units"/>
    <x v="1"/>
    <n v="-8.048"/>
  </r>
  <r>
    <n v="200"/>
    <x v="3"/>
    <x v="135"/>
    <x v="9"/>
    <s v="Percent of GDP"/>
    <s v="Units"/>
    <x v="2"/>
    <n v="-5.3170000000000002"/>
  </r>
  <r>
    <n v="200"/>
    <x v="3"/>
    <x v="135"/>
    <x v="9"/>
    <s v="Percent of GDP"/>
    <s v="Units"/>
    <x v="3"/>
    <n v="-4.415"/>
  </r>
  <r>
    <n v="200"/>
    <x v="3"/>
    <x v="135"/>
    <x v="9"/>
    <s v="Percent of GDP"/>
    <s v="Units"/>
    <x v="4"/>
    <n v="-4.9279999999999999"/>
  </r>
  <r>
    <n v="200"/>
    <x v="3"/>
    <x v="135"/>
    <x v="9"/>
    <s v="Percent of GDP"/>
    <s v="Units"/>
    <x v="5"/>
    <n v="-3.4460000000000002"/>
  </r>
  <r>
    <n v="200"/>
    <x v="3"/>
    <x v="135"/>
    <x v="9"/>
    <s v="Percent of GDP"/>
    <s v="Units"/>
    <x v="6"/>
    <n v="-3.0470000000000002"/>
  </r>
  <r>
    <n v="903"/>
    <x v="8"/>
    <x v="135"/>
    <x v="9"/>
    <s v="Percent of GDP"/>
    <s v="Units"/>
    <x v="0"/>
    <n v="-1.968"/>
  </r>
  <r>
    <n v="903"/>
    <x v="8"/>
    <x v="135"/>
    <x v="9"/>
    <s v="Percent of GDP"/>
    <s v="Units"/>
    <x v="1"/>
    <n v="-8.048"/>
  </r>
  <r>
    <n v="903"/>
    <x v="8"/>
    <x v="135"/>
    <x v="9"/>
    <s v="Percent of GDP"/>
    <s v="Units"/>
    <x v="2"/>
    <n v="-5.3170000000000002"/>
  </r>
  <r>
    <n v="903"/>
    <x v="8"/>
    <x v="135"/>
    <x v="9"/>
    <s v="Percent of GDP"/>
    <s v="Units"/>
    <x v="3"/>
    <n v="-4.415"/>
  </r>
  <r>
    <n v="903"/>
    <x v="8"/>
    <x v="135"/>
    <x v="9"/>
    <s v="Percent of GDP"/>
    <s v="Units"/>
    <x v="4"/>
    <n v="-4.9279999999999999"/>
  </r>
  <r>
    <n v="903"/>
    <x v="8"/>
    <x v="135"/>
    <x v="9"/>
    <s v="Percent of GDP"/>
    <s v="Units"/>
    <x v="5"/>
    <n v="-3.4460000000000002"/>
  </r>
  <r>
    <n v="903"/>
    <x v="8"/>
    <x v="135"/>
    <x v="9"/>
    <s v="Percent of GDP"/>
    <s v="Units"/>
    <x v="6"/>
    <n v="-3.0470000000000002"/>
  </r>
  <r>
    <n v="998"/>
    <x v="6"/>
    <x v="115"/>
    <x v="9"/>
    <s v="Percent of GDP"/>
    <s v="Units"/>
    <x v="0"/>
    <n v="0.12"/>
  </r>
  <r>
    <n v="998"/>
    <x v="6"/>
    <x v="115"/>
    <x v="9"/>
    <s v="Percent of GDP"/>
    <s v="Units"/>
    <x v="1"/>
    <n v="-5.4320000000000004"/>
  </r>
  <r>
    <n v="998"/>
    <x v="6"/>
    <x v="115"/>
    <x v="9"/>
    <s v="Percent of GDP"/>
    <s v="Units"/>
    <x v="2"/>
    <n v="-2.46"/>
  </r>
  <r>
    <n v="998"/>
    <x v="6"/>
    <x v="115"/>
    <x v="9"/>
    <s v="Percent of GDP"/>
    <s v="Units"/>
    <x v="3"/>
    <n v="-0.96799999999999997"/>
  </r>
  <r>
    <n v="998"/>
    <x v="6"/>
    <x v="115"/>
    <x v="9"/>
    <s v="Percent of GDP"/>
    <s v="Units"/>
    <x v="4"/>
    <n v="-3.036"/>
  </r>
  <r>
    <n v="998"/>
    <x v="6"/>
    <x v="115"/>
    <x v="9"/>
    <s v="Percent of GDP"/>
    <s v="Units"/>
    <x v="5"/>
    <n v="-3.4729999999999999"/>
  </r>
  <r>
    <n v="998"/>
    <x v="6"/>
    <x v="115"/>
    <x v="9"/>
    <s v="Percent of GDP"/>
    <s v="Units"/>
    <x v="6"/>
    <n v="-3.25"/>
  </r>
  <r>
    <n v="110"/>
    <x v="0"/>
    <x v="115"/>
    <x v="9"/>
    <s v="Percent of GDP"/>
    <s v="Units"/>
    <x v="0"/>
    <n v="0.12"/>
  </r>
  <r>
    <n v="110"/>
    <x v="0"/>
    <x v="115"/>
    <x v="9"/>
    <s v="Percent of GDP"/>
    <s v="Units"/>
    <x v="1"/>
    <n v="-5.4320000000000004"/>
  </r>
  <r>
    <n v="110"/>
    <x v="0"/>
    <x v="115"/>
    <x v="9"/>
    <s v="Percent of GDP"/>
    <s v="Units"/>
    <x v="2"/>
    <n v="-2.46"/>
  </r>
  <r>
    <n v="110"/>
    <x v="0"/>
    <x v="115"/>
    <x v="9"/>
    <s v="Percent of GDP"/>
    <s v="Units"/>
    <x v="3"/>
    <n v="-0.96799999999999997"/>
  </r>
  <r>
    <n v="110"/>
    <x v="0"/>
    <x v="115"/>
    <x v="9"/>
    <s v="Percent of GDP"/>
    <s v="Units"/>
    <x v="4"/>
    <n v="-3.036"/>
  </r>
  <r>
    <n v="110"/>
    <x v="0"/>
    <x v="115"/>
    <x v="9"/>
    <s v="Percent of GDP"/>
    <s v="Units"/>
    <x v="5"/>
    <n v="-3.4729999999999999"/>
  </r>
  <r>
    <n v="110"/>
    <x v="0"/>
    <x v="115"/>
    <x v="9"/>
    <s v="Percent of GDP"/>
    <s v="Units"/>
    <x v="6"/>
    <n v="-3.25"/>
  </r>
  <r>
    <n v="163"/>
    <x v="5"/>
    <x v="115"/>
    <x v="9"/>
    <s v="Percent of GDP"/>
    <s v="Units"/>
    <x v="0"/>
    <n v="0.12"/>
  </r>
  <r>
    <n v="163"/>
    <x v="5"/>
    <x v="115"/>
    <x v="9"/>
    <s v="Percent of GDP"/>
    <s v="Units"/>
    <x v="1"/>
    <n v="-5.4320000000000004"/>
  </r>
  <r>
    <n v="163"/>
    <x v="5"/>
    <x v="115"/>
    <x v="9"/>
    <s v="Percent of GDP"/>
    <s v="Units"/>
    <x v="2"/>
    <n v="-2.46"/>
  </r>
  <r>
    <n v="163"/>
    <x v="5"/>
    <x v="115"/>
    <x v="9"/>
    <s v="Percent of GDP"/>
    <s v="Units"/>
    <x v="3"/>
    <n v="-0.96799999999999997"/>
  </r>
  <r>
    <n v="163"/>
    <x v="5"/>
    <x v="115"/>
    <x v="9"/>
    <s v="Percent of GDP"/>
    <s v="Units"/>
    <x v="4"/>
    <n v="-3.036"/>
  </r>
  <r>
    <n v="163"/>
    <x v="5"/>
    <x v="115"/>
    <x v="9"/>
    <s v="Percent of GDP"/>
    <s v="Units"/>
    <x v="5"/>
    <n v="-3.4729999999999999"/>
  </r>
  <r>
    <n v="163"/>
    <x v="5"/>
    <x v="115"/>
    <x v="9"/>
    <s v="Percent of GDP"/>
    <s v="Units"/>
    <x v="6"/>
    <n v="-3.25"/>
  </r>
  <r>
    <n v="510"/>
    <x v="10"/>
    <x v="36"/>
    <x v="9"/>
    <s v="Percent of GDP"/>
    <s v="Units"/>
    <x v="0"/>
    <n v="-2.008"/>
  </r>
  <r>
    <n v="510"/>
    <x v="10"/>
    <x v="36"/>
    <x v="9"/>
    <s v="Percent of GDP"/>
    <s v="Units"/>
    <x v="1"/>
    <n v="-4.9020000000000001"/>
  </r>
  <r>
    <n v="510"/>
    <x v="10"/>
    <x v="36"/>
    <x v="9"/>
    <s v="Percent of GDP"/>
    <s v="Units"/>
    <x v="2"/>
    <n v="-6.032"/>
  </r>
  <r>
    <n v="510"/>
    <x v="10"/>
    <x v="36"/>
    <x v="9"/>
    <s v="Percent of GDP"/>
    <s v="Units"/>
    <x v="3"/>
    <n v="-4.8150000000000004"/>
  </r>
  <r>
    <n v="510"/>
    <x v="10"/>
    <x v="36"/>
    <x v="9"/>
    <s v="Percent of GDP"/>
    <s v="Units"/>
    <x v="4"/>
    <n v="-4.3780000000000001"/>
  </r>
  <r>
    <n v="510"/>
    <x v="10"/>
    <x v="36"/>
    <x v="9"/>
    <s v="Percent of GDP"/>
    <s v="Units"/>
    <x v="5"/>
    <n v="-3.4820000000000002"/>
  </r>
  <r>
    <n v="510"/>
    <x v="10"/>
    <x v="36"/>
    <x v="9"/>
    <s v="Percent of GDP"/>
    <s v="Units"/>
    <x v="6"/>
    <n v="-3.4590000000000001"/>
  </r>
  <r>
    <n v="200"/>
    <x v="3"/>
    <x v="36"/>
    <x v="9"/>
    <s v="Percent of GDP"/>
    <s v="Units"/>
    <x v="0"/>
    <n v="-2.008"/>
  </r>
  <r>
    <n v="200"/>
    <x v="3"/>
    <x v="36"/>
    <x v="9"/>
    <s v="Percent of GDP"/>
    <s v="Units"/>
    <x v="1"/>
    <n v="-4.9020000000000001"/>
  </r>
  <r>
    <n v="200"/>
    <x v="3"/>
    <x v="36"/>
    <x v="9"/>
    <s v="Percent of GDP"/>
    <s v="Units"/>
    <x v="2"/>
    <n v="-6.032"/>
  </r>
  <r>
    <n v="200"/>
    <x v="3"/>
    <x v="36"/>
    <x v="9"/>
    <s v="Percent of GDP"/>
    <s v="Units"/>
    <x v="3"/>
    <n v="-4.8150000000000004"/>
  </r>
  <r>
    <n v="200"/>
    <x v="3"/>
    <x v="36"/>
    <x v="9"/>
    <s v="Percent of GDP"/>
    <s v="Units"/>
    <x v="4"/>
    <n v="-4.3780000000000001"/>
  </r>
  <r>
    <n v="200"/>
    <x v="3"/>
    <x v="36"/>
    <x v="9"/>
    <s v="Percent of GDP"/>
    <s v="Units"/>
    <x v="5"/>
    <n v="-3.4820000000000002"/>
  </r>
  <r>
    <n v="200"/>
    <x v="3"/>
    <x v="36"/>
    <x v="9"/>
    <s v="Percent of GDP"/>
    <s v="Units"/>
    <x v="6"/>
    <n v="-3.4590000000000001"/>
  </r>
  <r>
    <n v="505"/>
    <x v="4"/>
    <x v="36"/>
    <x v="9"/>
    <s v="Percent of GDP"/>
    <s v="Units"/>
    <x v="0"/>
    <n v="-2.008"/>
  </r>
  <r>
    <n v="505"/>
    <x v="4"/>
    <x v="36"/>
    <x v="9"/>
    <s v="Percent of GDP"/>
    <s v="Units"/>
    <x v="1"/>
    <n v="-4.9020000000000001"/>
  </r>
  <r>
    <n v="505"/>
    <x v="4"/>
    <x v="36"/>
    <x v="9"/>
    <s v="Percent of GDP"/>
    <s v="Units"/>
    <x v="2"/>
    <n v="-6.032"/>
  </r>
  <r>
    <n v="505"/>
    <x v="4"/>
    <x v="36"/>
    <x v="9"/>
    <s v="Percent of GDP"/>
    <s v="Units"/>
    <x v="3"/>
    <n v="-4.8150000000000004"/>
  </r>
  <r>
    <n v="505"/>
    <x v="4"/>
    <x v="36"/>
    <x v="9"/>
    <s v="Percent of GDP"/>
    <s v="Units"/>
    <x v="4"/>
    <n v="-4.3780000000000001"/>
  </r>
  <r>
    <n v="505"/>
    <x v="4"/>
    <x v="36"/>
    <x v="9"/>
    <s v="Percent of GDP"/>
    <s v="Units"/>
    <x v="5"/>
    <n v="-3.4820000000000002"/>
  </r>
  <r>
    <n v="505"/>
    <x v="4"/>
    <x v="36"/>
    <x v="9"/>
    <s v="Percent of GDP"/>
    <s v="Units"/>
    <x v="6"/>
    <n v="-3.4590000000000001"/>
  </r>
  <r>
    <n v="205"/>
    <x v="7"/>
    <x v="114"/>
    <x v="9"/>
    <s v="Percent of GDP"/>
    <s v="Units"/>
    <x v="0"/>
    <n v="-8.7189999999999994"/>
  </r>
  <r>
    <n v="205"/>
    <x v="7"/>
    <x v="114"/>
    <x v="9"/>
    <s v="Percent of GDP"/>
    <s v="Units"/>
    <x v="1"/>
    <n v="-7.53"/>
  </r>
  <r>
    <n v="205"/>
    <x v="7"/>
    <x v="114"/>
    <x v="9"/>
    <s v="Percent of GDP"/>
    <s v="Units"/>
    <x v="2"/>
    <n v="-8.2200000000000006"/>
  </r>
  <r>
    <n v="205"/>
    <x v="7"/>
    <x v="114"/>
    <x v="9"/>
    <s v="Percent of GDP"/>
    <s v="Units"/>
    <x v="3"/>
    <n v="-7.1840000000000002"/>
  </r>
  <r>
    <n v="205"/>
    <x v="7"/>
    <x v="114"/>
    <x v="9"/>
    <s v="Percent of GDP"/>
    <s v="Units"/>
    <x v="4"/>
    <n v="-3.8780000000000001"/>
  </r>
  <r>
    <n v="205"/>
    <x v="7"/>
    <x v="114"/>
    <x v="9"/>
    <s v="Percent of GDP"/>
    <s v="Units"/>
    <x v="5"/>
    <n v="-3.484"/>
  </r>
  <r>
    <n v="205"/>
    <x v="7"/>
    <x v="114"/>
    <x v="9"/>
    <s v="Percent of GDP"/>
    <s v="Units"/>
    <x v="6"/>
    <n v="-2.9660000000000002"/>
  </r>
  <r>
    <n v="200"/>
    <x v="3"/>
    <x v="114"/>
    <x v="9"/>
    <s v="Percent of GDP"/>
    <s v="Units"/>
    <x v="0"/>
    <n v="-8.7189999999999994"/>
  </r>
  <r>
    <n v="200"/>
    <x v="3"/>
    <x v="114"/>
    <x v="9"/>
    <s v="Percent of GDP"/>
    <s v="Units"/>
    <x v="1"/>
    <n v="-7.53"/>
  </r>
  <r>
    <n v="200"/>
    <x v="3"/>
    <x v="114"/>
    <x v="9"/>
    <s v="Percent of GDP"/>
    <s v="Units"/>
    <x v="2"/>
    <n v="-8.2200000000000006"/>
  </r>
  <r>
    <n v="200"/>
    <x v="3"/>
    <x v="114"/>
    <x v="9"/>
    <s v="Percent of GDP"/>
    <s v="Units"/>
    <x v="3"/>
    <n v="-7.1840000000000002"/>
  </r>
  <r>
    <n v="200"/>
    <x v="3"/>
    <x v="114"/>
    <x v="9"/>
    <s v="Percent of GDP"/>
    <s v="Units"/>
    <x v="4"/>
    <n v="-3.8780000000000001"/>
  </r>
  <r>
    <n v="200"/>
    <x v="3"/>
    <x v="114"/>
    <x v="9"/>
    <s v="Percent of GDP"/>
    <s v="Units"/>
    <x v="5"/>
    <n v="-3.484"/>
  </r>
  <r>
    <n v="200"/>
    <x v="3"/>
    <x v="114"/>
    <x v="9"/>
    <s v="Percent of GDP"/>
    <s v="Units"/>
    <x v="6"/>
    <n v="-2.9660000000000002"/>
  </r>
  <r>
    <n v="998"/>
    <x v="6"/>
    <x v="45"/>
    <x v="9"/>
    <s v="Percent of GDP"/>
    <s v="Units"/>
    <x v="0"/>
    <n v="-0.94499999999999995"/>
  </r>
  <r>
    <n v="998"/>
    <x v="6"/>
    <x v="45"/>
    <x v="9"/>
    <s v="Percent of GDP"/>
    <s v="Units"/>
    <x v="1"/>
    <n v="-5.569"/>
  </r>
  <r>
    <n v="998"/>
    <x v="6"/>
    <x v="45"/>
    <x v="9"/>
    <s v="Percent of GDP"/>
    <s v="Units"/>
    <x v="2"/>
    <n v="-2.819"/>
  </r>
  <r>
    <n v="998"/>
    <x v="6"/>
    <x v="45"/>
    <x v="9"/>
    <s v="Percent of GDP"/>
    <s v="Units"/>
    <x v="3"/>
    <n v="-0.78400000000000003"/>
  </r>
  <r>
    <n v="998"/>
    <x v="6"/>
    <x v="45"/>
    <x v="9"/>
    <s v="Percent of GDP"/>
    <s v="Units"/>
    <x v="4"/>
    <n v="-2.8250000000000002"/>
  </r>
  <r>
    <n v="998"/>
    <x v="6"/>
    <x v="45"/>
    <x v="9"/>
    <s v="Percent of GDP"/>
    <s v="Units"/>
    <x v="5"/>
    <n v="-3.4860000000000002"/>
  </r>
  <r>
    <n v="998"/>
    <x v="6"/>
    <x v="45"/>
    <x v="9"/>
    <s v="Percent of GDP"/>
    <s v="Units"/>
    <x v="6"/>
    <n v="-3.45"/>
  </r>
  <r>
    <n v="110"/>
    <x v="0"/>
    <x v="45"/>
    <x v="9"/>
    <s v="Percent of GDP"/>
    <s v="Units"/>
    <x v="0"/>
    <n v="-0.94499999999999995"/>
  </r>
  <r>
    <n v="110"/>
    <x v="0"/>
    <x v="45"/>
    <x v="9"/>
    <s v="Percent of GDP"/>
    <s v="Units"/>
    <x v="1"/>
    <n v="-5.569"/>
  </r>
  <r>
    <n v="110"/>
    <x v="0"/>
    <x v="45"/>
    <x v="9"/>
    <s v="Percent of GDP"/>
    <s v="Units"/>
    <x v="2"/>
    <n v="-2.819"/>
  </r>
  <r>
    <n v="110"/>
    <x v="0"/>
    <x v="45"/>
    <x v="9"/>
    <s v="Percent of GDP"/>
    <s v="Units"/>
    <x v="3"/>
    <n v="-0.78400000000000003"/>
  </r>
  <r>
    <n v="110"/>
    <x v="0"/>
    <x v="45"/>
    <x v="9"/>
    <s v="Percent of GDP"/>
    <s v="Units"/>
    <x v="4"/>
    <n v="-2.8250000000000002"/>
  </r>
  <r>
    <n v="110"/>
    <x v="0"/>
    <x v="45"/>
    <x v="9"/>
    <s v="Percent of GDP"/>
    <s v="Units"/>
    <x v="5"/>
    <n v="-3.4860000000000002"/>
  </r>
  <r>
    <n v="110"/>
    <x v="0"/>
    <x v="45"/>
    <x v="9"/>
    <s v="Percent of GDP"/>
    <s v="Units"/>
    <x v="6"/>
    <n v="-3.45"/>
  </r>
  <r>
    <n v="163"/>
    <x v="5"/>
    <x v="45"/>
    <x v="9"/>
    <s v="Percent of GDP"/>
    <s v="Units"/>
    <x v="0"/>
    <n v="-0.94499999999999995"/>
  </r>
  <r>
    <n v="163"/>
    <x v="5"/>
    <x v="45"/>
    <x v="9"/>
    <s v="Percent of GDP"/>
    <s v="Units"/>
    <x v="1"/>
    <n v="-5.569"/>
  </r>
  <r>
    <n v="163"/>
    <x v="5"/>
    <x v="45"/>
    <x v="9"/>
    <s v="Percent of GDP"/>
    <s v="Units"/>
    <x v="2"/>
    <n v="-2.819"/>
  </r>
  <r>
    <n v="163"/>
    <x v="5"/>
    <x v="45"/>
    <x v="9"/>
    <s v="Percent of GDP"/>
    <s v="Units"/>
    <x v="3"/>
    <n v="-0.78400000000000003"/>
  </r>
  <r>
    <n v="163"/>
    <x v="5"/>
    <x v="45"/>
    <x v="9"/>
    <s v="Percent of GDP"/>
    <s v="Units"/>
    <x v="4"/>
    <n v="-2.8250000000000002"/>
  </r>
  <r>
    <n v="163"/>
    <x v="5"/>
    <x v="45"/>
    <x v="9"/>
    <s v="Percent of GDP"/>
    <s v="Units"/>
    <x v="5"/>
    <n v="-3.4860000000000002"/>
  </r>
  <r>
    <n v="163"/>
    <x v="5"/>
    <x v="45"/>
    <x v="9"/>
    <s v="Percent of GDP"/>
    <s v="Units"/>
    <x v="6"/>
    <n v="-3.45"/>
  </r>
  <r>
    <n v="110"/>
    <x v="0"/>
    <x v="51"/>
    <x v="9"/>
    <s v="Percent of GDP"/>
    <s v="Units"/>
    <x v="0"/>
    <n v="-2.4990000000000001"/>
  </r>
  <r>
    <n v="110"/>
    <x v="0"/>
    <x v="51"/>
    <x v="9"/>
    <s v="Percent of GDP"/>
    <s v="Units"/>
    <x v="1"/>
    <n v="-4.3289999999999997"/>
  </r>
  <r>
    <n v="110"/>
    <x v="0"/>
    <x v="51"/>
    <x v="9"/>
    <s v="Percent of GDP"/>
    <s v="Units"/>
    <x v="2"/>
    <n v="-3.2370000000000001"/>
  </r>
  <r>
    <n v="110"/>
    <x v="0"/>
    <x v="51"/>
    <x v="9"/>
    <s v="Percent of GDP"/>
    <s v="Units"/>
    <x v="3"/>
    <n v="-3.5139999999999998"/>
  </r>
  <r>
    <n v="110"/>
    <x v="0"/>
    <x v="51"/>
    <x v="9"/>
    <s v="Percent of GDP"/>
    <s v="Units"/>
    <x v="4"/>
    <n v="-3.5289999999999999"/>
  </r>
  <r>
    <n v="110"/>
    <x v="0"/>
    <x v="51"/>
    <x v="9"/>
    <s v="Percent of GDP"/>
    <s v="Units"/>
    <x v="5"/>
    <n v="-3.5259999999999998"/>
  </r>
  <r>
    <n v="110"/>
    <x v="0"/>
    <x v="51"/>
    <x v="9"/>
    <s v="Percent of GDP"/>
    <s v="Units"/>
    <x v="6"/>
    <n v="-2.5499999999999998"/>
  </r>
  <r>
    <n v="123"/>
    <x v="9"/>
    <x v="51"/>
    <x v="9"/>
    <s v="Percent of GDP"/>
    <s v="Units"/>
    <x v="0"/>
    <n v="-2.4990000000000001"/>
  </r>
  <r>
    <n v="123"/>
    <x v="9"/>
    <x v="51"/>
    <x v="9"/>
    <s v="Percent of GDP"/>
    <s v="Units"/>
    <x v="1"/>
    <n v="-4.3289999999999997"/>
  </r>
  <r>
    <n v="123"/>
    <x v="9"/>
    <x v="51"/>
    <x v="9"/>
    <s v="Percent of GDP"/>
    <s v="Units"/>
    <x v="2"/>
    <n v="-3.2370000000000001"/>
  </r>
  <r>
    <n v="123"/>
    <x v="9"/>
    <x v="51"/>
    <x v="9"/>
    <s v="Percent of GDP"/>
    <s v="Units"/>
    <x v="3"/>
    <n v="-3.5139999999999998"/>
  </r>
  <r>
    <n v="123"/>
    <x v="9"/>
    <x v="51"/>
    <x v="9"/>
    <s v="Percent of GDP"/>
    <s v="Units"/>
    <x v="4"/>
    <n v="-3.5289999999999999"/>
  </r>
  <r>
    <n v="123"/>
    <x v="9"/>
    <x v="51"/>
    <x v="9"/>
    <s v="Percent of GDP"/>
    <s v="Units"/>
    <x v="5"/>
    <n v="-3.5259999999999998"/>
  </r>
  <r>
    <n v="123"/>
    <x v="9"/>
    <x v="51"/>
    <x v="9"/>
    <s v="Percent of GDP"/>
    <s v="Units"/>
    <x v="6"/>
    <n v="-2.5499999999999998"/>
  </r>
  <r>
    <n v="1"/>
    <x v="2"/>
    <x v="95"/>
    <x v="6"/>
    <s v="Percent change"/>
    <s v="Units"/>
    <x v="0"/>
    <n v="37.875"/>
  </r>
  <r>
    <n v="1"/>
    <x v="2"/>
    <x v="95"/>
    <x v="6"/>
    <s v="Percent change"/>
    <s v="Units"/>
    <x v="1"/>
    <n v="-41.12"/>
  </r>
  <r>
    <n v="1"/>
    <x v="2"/>
    <x v="95"/>
    <x v="6"/>
    <s v="Percent change"/>
    <s v="Units"/>
    <x v="2"/>
    <n v="54.777000000000001"/>
  </r>
  <r>
    <n v="1"/>
    <x v="2"/>
    <x v="95"/>
    <x v="6"/>
    <s v="Percent change"/>
    <s v="Units"/>
    <x v="3"/>
    <n v="-7.4"/>
  </r>
  <r>
    <n v="1"/>
    <x v="2"/>
    <x v="95"/>
    <x v="6"/>
    <s v="Percent change"/>
    <s v="Units"/>
    <x v="4"/>
    <n v="0.34"/>
  </r>
  <r>
    <n v="1"/>
    <x v="2"/>
    <x v="95"/>
    <x v="6"/>
    <s v="Percent change"/>
    <s v="Units"/>
    <x v="5"/>
    <n v="-3.5670000000000002"/>
  </r>
  <r>
    <n v="1"/>
    <x v="2"/>
    <x v="95"/>
    <x v="6"/>
    <s v="Percent change"/>
    <s v="Units"/>
    <x v="6"/>
    <n v="-1.9450000000000001"/>
  </r>
  <r>
    <n v="200"/>
    <x v="3"/>
    <x v="95"/>
    <x v="6"/>
    <s v="Percent change"/>
    <s v="Units"/>
    <x v="0"/>
    <n v="37.875"/>
  </r>
  <r>
    <n v="200"/>
    <x v="3"/>
    <x v="95"/>
    <x v="6"/>
    <s v="Percent change"/>
    <s v="Units"/>
    <x v="1"/>
    <n v="-41.12"/>
  </r>
  <r>
    <n v="200"/>
    <x v="3"/>
    <x v="95"/>
    <x v="6"/>
    <s v="Percent change"/>
    <s v="Units"/>
    <x v="2"/>
    <n v="54.777000000000001"/>
  </r>
  <r>
    <n v="200"/>
    <x v="3"/>
    <x v="95"/>
    <x v="6"/>
    <s v="Percent change"/>
    <s v="Units"/>
    <x v="3"/>
    <n v="-7.4"/>
  </r>
  <r>
    <n v="200"/>
    <x v="3"/>
    <x v="95"/>
    <x v="6"/>
    <s v="Percent change"/>
    <s v="Units"/>
    <x v="4"/>
    <n v="0.34"/>
  </r>
  <r>
    <n v="200"/>
    <x v="3"/>
    <x v="95"/>
    <x v="6"/>
    <s v="Percent change"/>
    <s v="Units"/>
    <x v="5"/>
    <n v="-3.5670000000000002"/>
  </r>
  <r>
    <n v="200"/>
    <x v="3"/>
    <x v="95"/>
    <x v="6"/>
    <s v="Percent change"/>
    <s v="Units"/>
    <x v="6"/>
    <n v="-1.9450000000000001"/>
  </r>
  <r>
    <n v="400"/>
    <x v="11"/>
    <x v="95"/>
    <x v="6"/>
    <s v="Percent change"/>
    <s v="Units"/>
    <x v="0"/>
    <n v="37.875"/>
  </r>
  <r>
    <n v="400"/>
    <x v="11"/>
    <x v="95"/>
    <x v="6"/>
    <s v="Percent change"/>
    <s v="Units"/>
    <x v="1"/>
    <n v="-41.12"/>
  </r>
  <r>
    <n v="400"/>
    <x v="11"/>
    <x v="95"/>
    <x v="6"/>
    <s v="Percent change"/>
    <s v="Units"/>
    <x v="2"/>
    <n v="54.777000000000001"/>
  </r>
  <r>
    <n v="400"/>
    <x v="11"/>
    <x v="95"/>
    <x v="6"/>
    <s v="Percent change"/>
    <s v="Units"/>
    <x v="3"/>
    <n v="-7.4"/>
  </r>
  <r>
    <n v="400"/>
    <x v="11"/>
    <x v="95"/>
    <x v="6"/>
    <s v="Percent change"/>
    <s v="Units"/>
    <x v="4"/>
    <n v="0.34"/>
  </r>
  <r>
    <n v="400"/>
    <x v="11"/>
    <x v="95"/>
    <x v="6"/>
    <s v="Percent change"/>
    <s v="Units"/>
    <x v="5"/>
    <n v="-3.5670000000000002"/>
  </r>
  <r>
    <n v="400"/>
    <x v="11"/>
    <x v="95"/>
    <x v="6"/>
    <s v="Percent change"/>
    <s v="Units"/>
    <x v="6"/>
    <n v="-1.9450000000000001"/>
  </r>
  <r>
    <n v="200"/>
    <x v="3"/>
    <x v="156"/>
    <x v="9"/>
    <s v="Percent of GDP"/>
    <s v="Units"/>
    <x v="0"/>
    <n v="-1.524"/>
  </r>
  <r>
    <n v="200"/>
    <x v="3"/>
    <x v="156"/>
    <x v="9"/>
    <s v="Percent of GDP"/>
    <s v="Units"/>
    <x v="1"/>
    <n v="-2.4380000000000002"/>
  </r>
  <r>
    <n v="200"/>
    <x v="3"/>
    <x v="156"/>
    <x v="9"/>
    <s v="Percent of GDP"/>
    <s v="Units"/>
    <x v="2"/>
    <n v="-3.746"/>
  </r>
  <r>
    <n v="200"/>
    <x v="3"/>
    <x v="156"/>
    <x v="9"/>
    <s v="Percent of GDP"/>
    <s v="Units"/>
    <x v="3"/>
    <n v="-4.2009999999999996"/>
  </r>
  <r>
    <n v="200"/>
    <x v="3"/>
    <x v="156"/>
    <x v="9"/>
    <s v="Percent of GDP"/>
    <s v="Units"/>
    <x v="4"/>
    <n v="-1.381"/>
  </r>
  <r>
    <n v="200"/>
    <x v="3"/>
    <x v="156"/>
    <x v="9"/>
    <s v="Percent of GDP"/>
    <s v="Units"/>
    <x v="5"/>
    <n v="-3.5870000000000002"/>
  </r>
  <r>
    <n v="200"/>
    <x v="3"/>
    <x v="156"/>
    <x v="9"/>
    <s v="Percent of GDP"/>
    <s v="Units"/>
    <x v="6"/>
    <n v="-2.645"/>
  </r>
  <r>
    <n v="505"/>
    <x v="4"/>
    <x v="156"/>
    <x v="9"/>
    <s v="Percent of GDP"/>
    <s v="Units"/>
    <x v="0"/>
    <n v="-1.524"/>
  </r>
  <r>
    <n v="505"/>
    <x v="4"/>
    <x v="156"/>
    <x v="9"/>
    <s v="Percent of GDP"/>
    <s v="Units"/>
    <x v="1"/>
    <n v="-2.4380000000000002"/>
  </r>
  <r>
    <n v="505"/>
    <x v="4"/>
    <x v="156"/>
    <x v="9"/>
    <s v="Percent of GDP"/>
    <s v="Units"/>
    <x v="2"/>
    <n v="-3.746"/>
  </r>
  <r>
    <n v="505"/>
    <x v="4"/>
    <x v="156"/>
    <x v="9"/>
    <s v="Percent of GDP"/>
    <s v="Units"/>
    <x v="3"/>
    <n v="-4.2009999999999996"/>
  </r>
  <r>
    <n v="505"/>
    <x v="4"/>
    <x v="156"/>
    <x v="9"/>
    <s v="Percent of GDP"/>
    <s v="Units"/>
    <x v="4"/>
    <n v="-1.381"/>
  </r>
  <r>
    <n v="505"/>
    <x v="4"/>
    <x v="156"/>
    <x v="9"/>
    <s v="Percent of GDP"/>
    <s v="Units"/>
    <x v="5"/>
    <n v="-3.5870000000000002"/>
  </r>
  <r>
    <n v="505"/>
    <x v="4"/>
    <x v="156"/>
    <x v="9"/>
    <s v="Percent of GDP"/>
    <s v="Units"/>
    <x v="6"/>
    <n v="-2.645"/>
  </r>
  <r>
    <n v="603"/>
    <x v="12"/>
    <x v="146"/>
    <x v="9"/>
    <s v="Percent of GDP"/>
    <s v="Units"/>
    <x v="0"/>
    <n v="-8.5329999999999995"/>
  </r>
  <r>
    <n v="603"/>
    <x v="12"/>
    <x v="146"/>
    <x v="9"/>
    <s v="Percent of GDP"/>
    <s v="Units"/>
    <x v="1"/>
    <n v="-10.865"/>
  </r>
  <r>
    <n v="603"/>
    <x v="12"/>
    <x v="146"/>
    <x v="9"/>
    <s v="Percent of GDP"/>
    <s v="Units"/>
    <x v="2"/>
    <n v="-2.367"/>
  </r>
  <r>
    <n v="603"/>
    <x v="12"/>
    <x v="146"/>
    <x v="9"/>
    <s v="Percent of GDP"/>
    <s v="Units"/>
    <x v="3"/>
    <n v="3.9E-2"/>
  </r>
  <r>
    <n v="603"/>
    <x v="12"/>
    <x v="146"/>
    <x v="9"/>
    <s v="Percent of GDP"/>
    <s v="Units"/>
    <x v="4"/>
    <n v="-0.60599999999999998"/>
  </r>
  <r>
    <n v="603"/>
    <x v="12"/>
    <x v="146"/>
    <x v="9"/>
    <s v="Percent of GDP"/>
    <s v="Units"/>
    <x v="5"/>
    <n v="-3.625"/>
  </r>
  <r>
    <n v="603"/>
    <x v="12"/>
    <x v="146"/>
    <x v="9"/>
    <s v="Percent of GDP"/>
    <s v="Units"/>
    <x v="6"/>
    <n v="-0.70899999999999996"/>
  </r>
  <r>
    <n v="200"/>
    <x v="3"/>
    <x v="146"/>
    <x v="9"/>
    <s v="Percent of GDP"/>
    <s v="Units"/>
    <x v="0"/>
    <n v="-8.5329999999999995"/>
  </r>
  <r>
    <n v="200"/>
    <x v="3"/>
    <x v="146"/>
    <x v="9"/>
    <s v="Percent of GDP"/>
    <s v="Units"/>
    <x v="1"/>
    <n v="-10.865"/>
  </r>
  <r>
    <n v="200"/>
    <x v="3"/>
    <x v="146"/>
    <x v="9"/>
    <s v="Percent of GDP"/>
    <s v="Units"/>
    <x v="2"/>
    <n v="-2.367"/>
  </r>
  <r>
    <n v="200"/>
    <x v="3"/>
    <x v="146"/>
    <x v="9"/>
    <s v="Percent of GDP"/>
    <s v="Units"/>
    <x v="3"/>
    <n v="3.9E-2"/>
  </r>
  <r>
    <n v="200"/>
    <x v="3"/>
    <x v="146"/>
    <x v="9"/>
    <s v="Percent of GDP"/>
    <s v="Units"/>
    <x v="4"/>
    <n v="-0.60599999999999998"/>
  </r>
  <r>
    <n v="200"/>
    <x v="3"/>
    <x v="146"/>
    <x v="9"/>
    <s v="Percent of GDP"/>
    <s v="Units"/>
    <x v="5"/>
    <n v="-3.625"/>
  </r>
  <r>
    <n v="200"/>
    <x v="3"/>
    <x v="146"/>
    <x v="9"/>
    <s v="Percent of GDP"/>
    <s v="Units"/>
    <x v="6"/>
    <n v="-0.70899999999999996"/>
  </r>
  <r>
    <n v="603"/>
    <x v="12"/>
    <x v="80"/>
    <x v="4"/>
    <s v="Percent change"/>
    <s v="Units"/>
    <x v="0"/>
    <n v="16.670000000000002"/>
  </r>
  <r>
    <n v="603"/>
    <x v="12"/>
    <x v="80"/>
    <x v="4"/>
    <s v="Percent change"/>
    <s v="Units"/>
    <x v="1"/>
    <n v="-2.355"/>
  </r>
  <r>
    <n v="603"/>
    <x v="12"/>
    <x v="80"/>
    <x v="4"/>
    <s v="Percent change"/>
    <s v="Units"/>
    <x v="2"/>
    <n v="10.205"/>
  </r>
  <r>
    <n v="603"/>
    <x v="12"/>
    <x v="80"/>
    <x v="4"/>
    <s v="Percent change"/>
    <s v="Units"/>
    <x v="3"/>
    <n v="7.7649999999999997"/>
  </r>
  <r>
    <n v="603"/>
    <x v="12"/>
    <x v="80"/>
    <x v="4"/>
    <s v="Percent change"/>
    <s v="Units"/>
    <x v="4"/>
    <n v="3.343"/>
  </r>
  <r>
    <n v="603"/>
    <x v="12"/>
    <x v="80"/>
    <x v="4"/>
    <s v="Percent change"/>
    <s v="Units"/>
    <x v="5"/>
    <n v="-3.6760000000000002"/>
  </r>
  <r>
    <n v="603"/>
    <x v="12"/>
    <x v="80"/>
    <x v="4"/>
    <s v="Percent change"/>
    <s v="Units"/>
    <x v="6"/>
    <n v="10.356"/>
  </r>
  <r>
    <n v="1"/>
    <x v="2"/>
    <x v="80"/>
    <x v="4"/>
    <s v="Percent change"/>
    <s v="Units"/>
    <x v="0"/>
    <n v="16.670000000000002"/>
  </r>
  <r>
    <n v="1"/>
    <x v="2"/>
    <x v="80"/>
    <x v="4"/>
    <s v="Percent change"/>
    <s v="Units"/>
    <x v="1"/>
    <n v="-2.355"/>
  </r>
  <r>
    <n v="1"/>
    <x v="2"/>
    <x v="80"/>
    <x v="4"/>
    <s v="Percent change"/>
    <s v="Units"/>
    <x v="2"/>
    <n v="10.205"/>
  </r>
  <r>
    <n v="1"/>
    <x v="2"/>
    <x v="80"/>
    <x v="4"/>
    <s v="Percent change"/>
    <s v="Units"/>
    <x v="3"/>
    <n v="7.7649999999999997"/>
  </r>
  <r>
    <n v="1"/>
    <x v="2"/>
    <x v="80"/>
    <x v="4"/>
    <s v="Percent change"/>
    <s v="Units"/>
    <x v="4"/>
    <n v="3.343"/>
  </r>
  <r>
    <n v="1"/>
    <x v="2"/>
    <x v="80"/>
    <x v="4"/>
    <s v="Percent change"/>
    <s v="Units"/>
    <x v="5"/>
    <n v="-3.6760000000000002"/>
  </r>
  <r>
    <n v="1"/>
    <x v="2"/>
    <x v="80"/>
    <x v="4"/>
    <s v="Percent change"/>
    <s v="Units"/>
    <x v="6"/>
    <n v="10.356"/>
  </r>
  <r>
    <n v="200"/>
    <x v="3"/>
    <x v="80"/>
    <x v="4"/>
    <s v="Percent change"/>
    <s v="Units"/>
    <x v="0"/>
    <n v="16.670000000000002"/>
  </r>
  <r>
    <n v="200"/>
    <x v="3"/>
    <x v="80"/>
    <x v="4"/>
    <s v="Percent change"/>
    <s v="Units"/>
    <x v="1"/>
    <n v="-2.355"/>
  </r>
  <r>
    <n v="200"/>
    <x v="3"/>
    <x v="80"/>
    <x v="4"/>
    <s v="Percent change"/>
    <s v="Units"/>
    <x v="2"/>
    <n v="10.205"/>
  </r>
  <r>
    <n v="200"/>
    <x v="3"/>
    <x v="80"/>
    <x v="4"/>
    <s v="Percent change"/>
    <s v="Units"/>
    <x v="3"/>
    <n v="7.7649999999999997"/>
  </r>
  <r>
    <n v="200"/>
    <x v="3"/>
    <x v="80"/>
    <x v="4"/>
    <s v="Percent change"/>
    <s v="Units"/>
    <x v="4"/>
    <n v="3.343"/>
  </r>
  <r>
    <n v="200"/>
    <x v="3"/>
    <x v="80"/>
    <x v="4"/>
    <s v="Percent change"/>
    <s v="Units"/>
    <x v="5"/>
    <n v="-3.6760000000000002"/>
  </r>
  <r>
    <n v="200"/>
    <x v="3"/>
    <x v="80"/>
    <x v="4"/>
    <s v="Percent change"/>
    <s v="Units"/>
    <x v="6"/>
    <n v="10.356"/>
  </r>
  <r>
    <n v="603"/>
    <x v="12"/>
    <x v="166"/>
    <x v="9"/>
    <s v="Percent of GDP"/>
    <s v="Units"/>
    <x v="0"/>
    <n v="-8.1920000000000002"/>
  </r>
  <r>
    <n v="603"/>
    <x v="12"/>
    <x v="166"/>
    <x v="9"/>
    <s v="Percent of GDP"/>
    <s v="Units"/>
    <x v="1"/>
    <n v="-10.45"/>
  </r>
  <r>
    <n v="603"/>
    <x v="12"/>
    <x v="166"/>
    <x v="9"/>
    <s v="Percent of GDP"/>
    <s v="Units"/>
    <x v="2"/>
    <n v="-4.069"/>
  </r>
  <r>
    <n v="603"/>
    <x v="12"/>
    <x v="166"/>
    <x v="9"/>
    <s v="Percent of GDP"/>
    <s v="Units"/>
    <x v="3"/>
    <n v="-3.097"/>
  </r>
  <r>
    <n v="603"/>
    <x v="12"/>
    <x v="166"/>
    <x v="9"/>
    <s v="Percent of GDP"/>
    <s v="Units"/>
    <x v="4"/>
    <n v="-3.2519999999999998"/>
  </r>
  <r>
    <n v="603"/>
    <x v="12"/>
    <x v="166"/>
    <x v="9"/>
    <s v="Percent of GDP"/>
    <s v="Units"/>
    <x v="5"/>
    <n v="-3.698"/>
  </r>
  <r>
    <n v="603"/>
    <x v="12"/>
    <x v="166"/>
    <x v="9"/>
    <s v="Percent of GDP"/>
    <s v="Units"/>
    <x v="6"/>
    <n v="-3.0339999999999998"/>
  </r>
  <r>
    <n v="200"/>
    <x v="3"/>
    <x v="166"/>
    <x v="9"/>
    <s v="Percent of GDP"/>
    <s v="Units"/>
    <x v="0"/>
    <n v="-8.1920000000000002"/>
  </r>
  <r>
    <n v="200"/>
    <x v="3"/>
    <x v="166"/>
    <x v="9"/>
    <s v="Percent of GDP"/>
    <s v="Units"/>
    <x v="1"/>
    <n v="-10.45"/>
  </r>
  <r>
    <n v="200"/>
    <x v="3"/>
    <x v="166"/>
    <x v="9"/>
    <s v="Percent of GDP"/>
    <s v="Units"/>
    <x v="2"/>
    <n v="-4.069"/>
  </r>
  <r>
    <n v="200"/>
    <x v="3"/>
    <x v="166"/>
    <x v="9"/>
    <s v="Percent of GDP"/>
    <s v="Units"/>
    <x v="3"/>
    <n v="-3.097"/>
  </r>
  <r>
    <n v="200"/>
    <x v="3"/>
    <x v="166"/>
    <x v="9"/>
    <s v="Percent of GDP"/>
    <s v="Units"/>
    <x v="4"/>
    <n v="-3.2519999999999998"/>
  </r>
  <r>
    <n v="200"/>
    <x v="3"/>
    <x v="166"/>
    <x v="9"/>
    <s v="Percent of GDP"/>
    <s v="Units"/>
    <x v="5"/>
    <n v="-3.698"/>
  </r>
  <r>
    <n v="200"/>
    <x v="3"/>
    <x v="166"/>
    <x v="9"/>
    <s v="Percent of GDP"/>
    <s v="Units"/>
    <x v="6"/>
    <n v="-3.0339999999999998"/>
  </r>
  <r>
    <n v="200"/>
    <x v="3"/>
    <x v="144"/>
    <x v="9"/>
    <s v="Percent of GDP"/>
    <s v="Units"/>
    <x v="0"/>
    <n v="-0.54"/>
  </r>
  <r>
    <n v="200"/>
    <x v="3"/>
    <x v="144"/>
    <x v="9"/>
    <s v="Percent of GDP"/>
    <s v="Units"/>
    <x v="1"/>
    <n v="-4.6820000000000004"/>
  </r>
  <r>
    <n v="200"/>
    <x v="3"/>
    <x v="144"/>
    <x v="9"/>
    <s v="Percent of GDP"/>
    <s v="Units"/>
    <x v="2"/>
    <n v="-5.7089999999999996"/>
  </r>
  <r>
    <n v="200"/>
    <x v="3"/>
    <x v="144"/>
    <x v="9"/>
    <s v="Percent of GDP"/>
    <s v="Units"/>
    <x v="3"/>
    <n v="-5.5549999999999997"/>
  </r>
  <r>
    <n v="200"/>
    <x v="3"/>
    <x v="144"/>
    <x v="9"/>
    <s v="Percent of GDP"/>
    <s v="Units"/>
    <x v="4"/>
    <n v="-4.4550000000000001"/>
  </r>
  <r>
    <n v="200"/>
    <x v="3"/>
    <x v="144"/>
    <x v="9"/>
    <s v="Percent of GDP"/>
    <s v="Units"/>
    <x v="5"/>
    <n v="-3.7"/>
  </r>
  <r>
    <n v="200"/>
    <x v="3"/>
    <x v="144"/>
    <x v="9"/>
    <s v="Percent of GDP"/>
    <s v="Units"/>
    <x v="6"/>
    <n v="-2.9"/>
  </r>
  <r>
    <n v="603"/>
    <x v="12"/>
    <x v="144"/>
    <x v="9"/>
    <s v="Percent of GDP"/>
    <s v="Units"/>
    <x v="0"/>
    <n v="-0.54"/>
  </r>
  <r>
    <n v="603"/>
    <x v="12"/>
    <x v="144"/>
    <x v="9"/>
    <s v="Percent of GDP"/>
    <s v="Units"/>
    <x v="1"/>
    <n v="-4.6820000000000004"/>
  </r>
  <r>
    <n v="603"/>
    <x v="12"/>
    <x v="144"/>
    <x v="9"/>
    <s v="Percent of GDP"/>
    <s v="Units"/>
    <x v="2"/>
    <n v="-5.7089999999999996"/>
  </r>
  <r>
    <n v="603"/>
    <x v="12"/>
    <x v="144"/>
    <x v="9"/>
    <s v="Percent of GDP"/>
    <s v="Units"/>
    <x v="3"/>
    <n v="-5.5549999999999997"/>
  </r>
  <r>
    <n v="603"/>
    <x v="12"/>
    <x v="144"/>
    <x v="9"/>
    <s v="Percent of GDP"/>
    <s v="Units"/>
    <x v="4"/>
    <n v="-4.4550000000000001"/>
  </r>
  <r>
    <n v="603"/>
    <x v="12"/>
    <x v="144"/>
    <x v="9"/>
    <s v="Percent of GDP"/>
    <s v="Units"/>
    <x v="5"/>
    <n v="-3.7"/>
  </r>
  <r>
    <n v="603"/>
    <x v="12"/>
    <x v="144"/>
    <x v="9"/>
    <s v="Percent of GDP"/>
    <s v="Units"/>
    <x v="6"/>
    <n v="-2.9"/>
  </r>
  <r>
    <n v="510"/>
    <x v="10"/>
    <x v="26"/>
    <x v="9"/>
    <s v="Percent of GDP"/>
    <s v="Units"/>
    <x v="0"/>
    <n v="0.41899999999999998"/>
  </r>
  <r>
    <n v="510"/>
    <x v="10"/>
    <x v="26"/>
    <x v="9"/>
    <s v="Percent of GDP"/>
    <s v="Units"/>
    <x v="1"/>
    <n v="-4.4550000000000001"/>
  </r>
  <r>
    <n v="510"/>
    <x v="10"/>
    <x v="26"/>
    <x v="9"/>
    <s v="Percent of GDP"/>
    <s v="Units"/>
    <x v="2"/>
    <n v="-6.7460000000000004"/>
  </r>
  <r>
    <n v="510"/>
    <x v="10"/>
    <x v="26"/>
    <x v="9"/>
    <s v="Percent of GDP"/>
    <s v="Units"/>
    <x v="3"/>
    <n v="-4.46"/>
  </r>
  <r>
    <n v="510"/>
    <x v="10"/>
    <x v="26"/>
    <x v="9"/>
    <s v="Percent of GDP"/>
    <s v="Units"/>
    <x v="4"/>
    <n v="-3.1949999999999998"/>
  </r>
  <r>
    <n v="510"/>
    <x v="10"/>
    <x v="26"/>
    <x v="9"/>
    <s v="Percent of GDP"/>
    <s v="Units"/>
    <x v="5"/>
    <n v="-3.7109999999999999"/>
  </r>
  <r>
    <n v="510"/>
    <x v="10"/>
    <x v="26"/>
    <x v="9"/>
    <s v="Percent of GDP"/>
    <s v="Units"/>
    <x v="6"/>
    <n v="-3.3639999999999999"/>
  </r>
  <r>
    <n v="200"/>
    <x v="3"/>
    <x v="26"/>
    <x v="9"/>
    <s v="Percent of GDP"/>
    <s v="Units"/>
    <x v="0"/>
    <n v="0.41899999999999998"/>
  </r>
  <r>
    <n v="200"/>
    <x v="3"/>
    <x v="26"/>
    <x v="9"/>
    <s v="Percent of GDP"/>
    <s v="Units"/>
    <x v="1"/>
    <n v="-4.4550000000000001"/>
  </r>
  <r>
    <n v="200"/>
    <x v="3"/>
    <x v="26"/>
    <x v="9"/>
    <s v="Percent of GDP"/>
    <s v="Units"/>
    <x v="2"/>
    <n v="-6.7460000000000004"/>
  </r>
  <r>
    <n v="200"/>
    <x v="3"/>
    <x v="26"/>
    <x v="9"/>
    <s v="Percent of GDP"/>
    <s v="Units"/>
    <x v="3"/>
    <n v="-4.46"/>
  </r>
  <r>
    <n v="200"/>
    <x v="3"/>
    <x v="26"/>
    <x v="9"/>
    <s v="Percent of GDP"/>
    <s v="Units"/>
    <x v="4"/>
    <n v="-3.1949999999999998"/>
  </r>
  <r>
    <n v="200"/>
    <x v="3"/>
    <x v="26"/>
    <x v="9"/>
    <s v="Percent of GDP"/>
    <s v="Units"/>
    <x v="5"/>
    <n v="-3.7109999999999999"/>
  </r>
  <r>
    <n v="200"/>
    <x v="3"/>
    <x v="26"/>
    <x v="9"/>
    <s v="Percent of GDP"/>
    <s v="Units"/>
    <x v="6"/>
    <n v="-3.3639999999999999"/>
  </r>
  <r>
    <n v="505"/>
    <x v="4"/>
    <x v="26"/>
    <x v="9"/>
    <s v="Percent of GDP"/>
    <s v="Units"/>
    <x v="0"/>
    <n v="0.41899999999999998"/>
  </r>
  <r>
    <n v="505"/>
    <x v="4"/>
    <x v="26"/>
    <x v="9"/>
    <s v="Percent of GDP"/>
    <s v="Units"/>
    <x v="1"/>
    <n v="-4.4550000000000001"/>
  </r>
  <r>
    <n v="505"/>
    <x v="4"/>
    <x v="26"/>
    <x v="9"/>
    <s v="Percent of GDP"/>
    <s v="Units"/>
    <x v="2"/>
    <n v="-6.7460000000000004"/>
  </r>
  <r>
    <n v="505"/>
    <x v="4"/>
    <x v="26"/>
    <x v="9"/>
    <s v="Percent of GDP"/>
    <s v="Units"/>
    <x v="3"/>
    <n v="-4.46"/>
  </r>
  <r>
    <n v="505"/>
    <x v="4"/>
    <x v="26"/>
    <x v="9"/>
    <s v="Percent of GDP"/>
    <s v="Units"/>
    <x v="4"/>
    <n v="-3.1949999999999998"/>
  </r>
  <r>
    <n v="505"/>
    <x v="4"/>
    <x v="26"/>
    <x v="9"/>
    <s v="Percent of GDP"/>
    <s v="Units"/>
    <x v="5"/>
    <n v="-3.7109999999999999"/>
  </r>
  <r>
    <n v="505"/>
    <x v="4"/>
    <x v="26"/>
    <x v="9"/>
    <s v="Percent of GDP"/>
    <s v="Units"/>
    <x v="6"/>
    <n v="-3.3639999999999999"/>
  </r>
  <r>
    <n v="200"/>
    <x v="3"/>
    <x v="73"/>
    <x v="9"/>
    <s v="Percent of GDP"/>
    <s v="Units"/>
    <x v="0"/>
    <n v="-0.33700000000000002"/>
  </r>
  <r>
    <n v="200"/>
    <x v="3"/>
    <x v="73"/>
    <x v="9"/>
    <s v="Percent of GDP"/>
    <s v="Units"/>
    <x v="1"/>
    <n v="-3.2549999999999999"/>
  </r>
  <r>
    <n v="200"/>
    <x v="3"/>
    <x v="73"/>
    <x v="9"/>
    <s v="Percent of GDP"/>
    <s v="Units"/>
    <x v="2"/>
    <n v="-4.5529999999999999"/>
  </r>
  <r>
    <n v="200"/>
    <x v="3"/>
    <x v="73"/>
    <x v="9"/>
    <s v="Percent of GDP"/>
    <s v="Units"/>
    <x v="3"/>
    <n v="-4.2949999999999999"/>
  </r>
  <r>
    <n v="200"/>
    <x v="3"/>
    <x v="73"/>
    <x v="9"/>
    <s v="Percent of GDP"/>
    <s v="Units"/>
    <x v="4"/>
    <n v="-4.9109999999999996"/>
  </r>
  <r>
    <n v="200"/>
    <x v="3"/>
    <x v="73"/>
    <x v="9"/>
    <s v="Percent of GDP"/>
    <s v="Units"/>
    <x v="5"/>
    <n v="-3.7370000000000001"/>
  </r>
  <r>
    <n v="200"/>
    <x v="3"/>
    <x v="73"/>
    <x v="9"/>
    <s v="Percent of GDP"/>
    <s v="Units"/>
    <x v="6"/>
    <n v="-2.6309999999999998"/>
  </r>
  <r>
    <n v="400"/>
    <x v="11"/>
    <x v="73"/>
    <x v="9"/>
    <s v="Percent of GDP"/>
    <s v="Units"/>
    <x v="0"/>
    <n v="-0.33700000000000002"/>
  </r>
  <r>
    <n v="400"/>
    <x v="11"/>
    <x v="73"/>
    <x v="9"/>
    <s v="Percent of GDP"/>
    <s v="Units"/>
    <x v="1"/>
    <n v="-3.2549999999999999"/>
  </r>
  <r>
    <n v="400"/>
    <x v="11"/>
    <x v="73"/>
    <x v="9"/>
    <s v="Percent of GDP"/>
    <s v="Units"/>
    <x v="2"/>
    <n v="-4.5529999999999999"/>
  </r>
  <r>
    <n v="400"/>
    <x v="11"/>
    <x v="73"/>
    <x v="9"/>
    <s v="Percent of GDP"/>
    <s v="Units"/>
    <x v="3"/>
    <n v="-4.2949999999999999"/>
  </r>
  <r>
    <n v="400"/>
    <x v="11"/>
    <x v="73"/>
    <x v="9"/>
    <s v="Percent of GDP"/>
    <s v="Units"/>
    <x v="4"/>
    <n v="-4.9109999999999996"/>
  </r>
  <r>
    <n v="400"/>
    <x v="11"/>
    <x v="73"/>
    <x v="9"/>
    <s v="Percent of GDP"/>
    <s v="Units"/>
    <x v="5"/>
    <n v="-3.7370000000000001"/>
  </r>
  <r>
    <n v="400"/>
    <x v="11"/>
    <x v="73"/>
    <x v="9"/>
    <s v="Percent of GDP"/>
    <s v="Units"/>
    <x v="6"/>
    <n v="-2.6309999999999998"/>
  </r>
  <r>
    <n v="400"/>
    <x v="11"/>
    <x v="187"/>
    <x v="9"/>
    <s v="Percent of GDP"/>
    <s v="Units"/>
    <x v="0"/>
    <n v="-5.8860000000000001"/>
  </r>
  <r>
    <n v="400"/>
    <x v="11"/>
    <x v="187"/>
    <x v="9"/>
    <s v="Percent of GDP"/>
    <s v="Units"/>
    <x v="1"/>
    <n v="-4.4630000000000001"/>
  </r>
  <r>
    <n v="400"/>
    <x v="11"/>
    <x v="187"/>
    <x v="9"/>
    <s v="Percent of GDP"/>
    <s v="Units"/>
    <x v="2"/>
    <n v="-0.91800000000000004"/>
  </r>
  <r>
    <n v="400"/>
    <x v="11"/>
    <x v="187"/>
    <x v="9"/>
    <s v="Percent of GDP"/>
    <s v="Units"/>
    <x v="3"/>
    <n v="-2.6739999999999999"/>
  </r>
  <r>
    <n v="400"/>
    <x v="11"/>
    <x v="187"/>
    <x v="9"/>
    <s v="Percent of GDP"/>
    <s v="Units"/>
    <x v="4"/>
    <n v="-4.54"/>
  </r>
  <r>
    <n v="400"/>
    <x v="11"/>
    <x v="187"/>
    <x v="9"/>
    <s v="Percent of GDP"/>
    <s v="Units"/>
    <x v="5"/>
    <n v="-3.7549999999999999"/>
  </r>
  <r>
    <n v="400"/>
    <x v="11"/>
    <x v="187"/>
    <x v="9"/>
    <s v="Percent of GDP"/>
    <s v="Units"/>
    <x v="6"/>
    <n v="-3.6869999999999998"/>
  </r>
  <r>
    <n v="200"/>
    <x v="3"/>
    <x v="187"/>
    <x v="9"/>
    <s v="Percent of GDP"/>
    <s v="Units"/>
    <x v="0"/>
    <n v="-5.8860000000000001"/>
  </r>
  <r>
    <n v="200"/>
    <x v="3"/>
    <x v="187"/>
    <x v="9"/>
    <s v="Percent of GDP"/>
    <s v="Units"/>
    <x v="1"/>
    <n v="-4.4630000000000001"/>
  </r>
  <r>
    <n v="200"/>
    <x v="3"/>
    <x v="187"/>
    <x v="9"/>
    <s v="Percent of GDP"/>
    <s v="Units"/>
    <x v="2"/>
    <n v="-0.91800000000000004"/>
  </r>
  <r>
    <n v="200"/>
    <x v="3"/>
    <x v="187"/>
    <x v="9"/>
    <s v="Percent of GDP"/>
    <s v="Units"/>
    <x v="3"/>
    <n v="-2.6739999999999999"/>
  </r>
  <r>
    <n v="200"/>
    <x v="3"/>
    <x v="187"/>
    <x v="9"/>
    <s v="Percent of GDP"/>
    <s v="Units"/>
    <x v="4"/>
    <n v="-4.54"/>
  </r>
  <r>
    <n v="200"/>
    <x v="3"/>
    <x v="187"/>
    <x v="9"/>
    <s v="Percent of GDP"/>
    <s v="Units"/>
    <x v="5"/>
    <n v="-3.7549999999999999"/>
  </r>
  <r>
    <n v="200"/>
    <x v="3"/>
    <x v="187"/>
    <x v="9"/>
    <s v="Percent of GDP"/>
    <s v="Units"/>
    <x v="6"/>
    <n v="-3.6869999999999998"/>
  </r>
  <r>
    <n v="205"/>
    <x v="7"/>
    <x v="140"/>
    <x v="9"/>
    <s v="Percent of GDP"/>
    <s v="Units"/>
    <x v="0"/>
    <n v="-3.07"/>
  </r>
  <r>
    <n v="205"/>
    <x v="7"/>
    <x v="140"/>
    <x v="9"/>
    <s v="Percent of GDP"/>
    <s v="Units"/>
    <x v="1"/>
    <n v="-8.1790000000000003"/>
  </r>
  <r>
    <n v="205"/>
    <x v="7"/>
    <x v="140"/>
    <x v="9"/>
    <s v="Percent of GDP"/>
    <s v="Units"/>
    <x v="2"/>
    <n v="-5.5309999999999997"/>
  </r>
  <r>
    <n v="205"/>
    <x v="7"/>
    <x v="140"/>
    <x v="9"/>
    <s v="Percent of GDP"/>
    <s v="Units"/>
    <x v="3"/>
    <n v="-2.6880000000000002"/>
  </r>
  <r>
    <n v="205"/>
    <x v="7"/>
    <x v="140"/>
    <x v="9"/>
    <s v="Percent of GDP"/>
    <s v="Units"/>
    <x v="4"/>
    <n v="-4.7240000000000002"/>
  </r>
  <r>
    <n v="205"/>
    <x v="7"/>
    <x v="140"/>
    <x v="9"/>
    <s v="Percent of GDP"/>
    <s v="Units"/>
    <x v="5"/>
    <n v="-3.766"/>
  </r>
  <r>
    <n v="205"/>
    <x v="7"/>
    <x v="140"/>
    <x v="9"/>
    <s v="Percent of GDP"/>
    <s v="Units"/>
    <x v="6"/>
    <n v="-3.7490000000000001"/>
  </r>
  <r>
    <n v="200"/>
    <x v="3"/>
    <x v="140"/>
    <x v="9"/>
    <s v="Percent of GDP"/>
    <s v="Units"/>
    <x v="0"/>
    <n v="-3.07"/>
  </r>
  <r>
    <n v="200"/>
    <x v="3"/>
    <x v="140"/>
    <x v="9"/>
    <s v="Percent of GDP"/>
    <s v="Units"/>
    <x v="1"/>
    <n v="-8.1790000000000003"/>
  </r>
  <r>
    <n v="200"/>
    <x v="3"/>
    <x v="140"/>
    <x v="9"/>
    <s v="Percent of GDP"/>
    <s v="Units"/>
    <x v="2"/>
    <n v="-5.5309999999999997"/>
  </r>
  <r>
    <n v="200"/>
    <x v="3"/>
    <x v="140"/>
    <x v="9"/>
    <s v="Percent of GDP"/>
    <s v="Units"/>
    <x v="3"/>
    <n v="-2.6880000000000002"/>
  </r>
  <r>
    <n v="200"/>
    <x v="3"/>
    <x v="140"/>
    <x v="9"/>
    <s v="Percent of GDP"/>
    <s v="Units"/>
    <x v="4"/>
    <n v="-4.7240000000000002"/>
  </r>
  <r>
    <n v="200"/>
    <x v="3"/>
    <x v="140"/>
    <x v="9"/>
    <s v="Percent of GDP"/>
    <s v="Units"/>
    <x v="5"/>
    <n v="-3.766"/>
  </r>
  <r>
    <n v="200"/>
    <x v="3"/>
    <x v="140"/>
    <x v="9"/>
    <s v="Percent of GDP"/>
    <s v="Units"/>
    <x v="6"/>
    <n v="-3.7490000000000001"/>
  </r>
  <r>
    <n v="110"/>
    <x v="0"/>
    <x v="115"/>
    <x v="13"/>
    <s v="Percent of potential GDP"/>
    <s v="Units"/>
    <x v="0"/>
    <n v="1.5780000000000001"/>
  </r>
  <r>
    <n v="110"/>
    <x v="0"/>
    <x v="115"/>
    <x v="13"/>
    <s v="Percent of potential GDP"/>
    <s v="Units"/>
    <x v="1"/>
    <n v="-2"/>
  </r>
  <r>
    <n v="110"/>
    <x v="0"/>
    <x v="115"/>
    <x v="13"/>
    <s v="Percent of potential GDP"/>
    <s v="Units"/>
    <x v="2"/>
    <n v="2.6"/>
  </r>
  <r>
    <n v="110"/>
    <x v="0"/>
    <x v="115"/>
    <x v="13"/>
    <s v="Percent of potential GDP"/>
    <s v="Units"/>
    <x v="3"/>
    <n v="0.3"/>
  </r>
  <r>
    <n v="110"/>
    <x v="0"/>
    <x v="115"/>
    <x v="13"/>
    <s v="Percent of potential GDP"/>
    <s v="Units"/>
    <x v="4"/>
    <n v="-3.335"/>
  </r>
  <r>
    <n v="110"/>
    <x v="0"/>
    <x v="115"/>
    <x v="13"/>
    <s v="Percent of potential GDP"/>
    <s v="Units"/>
    <x v="5"/>
    <n v="-3.7869999999999999"/>
  </r>
  <r>
    <n v="110"/>
    <x v="0"/>
    <x v="115"/>
    <x v="13"/>
    <s v="Percent of potential GDP"/>
    <s v="Units"/>
    <x v="6"/>
    <n v="-1.54"/>
  </r>
  <r>
    <n v="163"/>
    <x v="5"/>
    <x v="115"/>
    <x v="13"/>
    <s v="Percent of potential GDP"/>
    <s v="Units"/>
    <x v="0"/>
    <n v="1.5780000000000001"/>
  </r>
  <r>
    <n v="163"/>
    <x v="5"/>
    <x v="115"/>
    <x v="13"/>
    <s v="Percent of potential GDP"/>
    <s v="Units"/>
    <x v="1"/>
    <n v="-2"/>
  </r>
  <r>
    <n v="163"/>
    <x v="5"/>
    <x v="115"/>
    <x v="13"/>
    <s v="Percent of potential GDP"/>
    <s v="Units"/>
    <x v="2"/>
    <n v="2.6"/>
  </r>
  <r>
    <n v="163"/>
    <x v="5"/>
    <x v="115"/>
    <x v="13"/>
    <s v="Percent of potential GDP"/>
    <s v="Units"/>
    <x v="3"/>
    <n v="0.3"/>
  </r>
  <r>
    <n v="163"/>
    <x v="5"/>
    <x v="115"/>
    <x v="13"/>
    <s v="Percent of potential GDP"/>
    <s v="Units"/>
    <x v="4"/>
    <n v="-3.335"/>
  </r>
  <r>
    <n v="163"/>
    <x v="5"/>
    <x v="115"/>
    <x v="13"/>
    <s v="Percent of potential GDP"/>
    <s v="Units"/>
    <x v="5"/>
    <n v="-3.7869999999999999"/>
  </r>
  <r>
    <n v="163"/>
    <x v="5"/>
    <x v="115"/>
    <x v="13"/>
    <s v="Percent of potential GDP"/>
    <s v="Units"/>
    <x v="6"/>
    <n v="-1.54"/>
  </r>
  <r>
    <n v="603"/>
    <x v="12"/>
    <x v="179"/>
    <x v="9"/>
    <s v="Percent of GDP"/>
    <s v="Units"/>
    <x v="0"/>
    <n v="-1.421"/>
  </r>
  <r>
    <n v="603"/>
    <x v="12"/>
    <x v="179"/>
    <x v="9"/>
    <s v="Percent of GDP"/>
    <s v="Units"/>
    <x v="1"/>
    <n v="-3.9569999999999999"/>
  </r>
  <r>
    <n v="603"/>
    <x v="12"/>
    <x v="179"/>
    <x v="9"/>
    <s v="Percent of GDP"/>
    <s v="Units"/>
    <x v="2"/>
    <n v="-2.7890000000000001"/>
  </r>
  <r>
    <n v="603"/>
    <x v="12"/>
    <x v="179"/>
    <x v="9"/>
    <s v="Percent of GDP"/>
    <s v="Units"/>
    <x v="3"/>
    <n v="-5.492"/>
  </r>
  <r>
    <n v="603"/>
    <x v="12"/>
    <x v="179"/>
    <x v="9"/>
    <s v="Percent of GDP"/>
    <s v="Units"/>
    <x v="4"/>
    <n v="-4.9080000000000004"/>
  </r>
  <r>
    <n v="603"/>
    <x v="12"/>
    <x v="179"/>
    <x v="9"/>
    <s v="Percent of GDP"/>
    <s v="Units"/>
    <x v="5"/>
    <n v="-3.7890000000000001"/>
  </r>
  <r>
    <n v="603"/>
    <x v="12"/>
    <x v="179"/>
    <x v="9"/>
    <s v="Percent of GDP"/>
    <s v="Units"/>
    <x v="6"/>
    <n v="-4.6230000000000002"/>
  </r>
  <r>
    <n v="200"/>
    <x v="3"/>
    <x v="179"/>
    <x v="9"/>
    <s v="Percent of GDP"/>
    <s v="Units"/>
    <x v="0"/>
    <n v="-1.421"/>
  </r>
  <r>
    <n v="200"/>
    <x v="3"/>
    <x v="179"/>
    <x v="9"/>
    <s v="Percent of GDP"/>
    <s v="Units"/>
    <x v="1"/>
    <n v="-3.9569999999999999"/>
  </r>
  <r>
    <n v="200"/>
    <x v="3"/>
    <x v="179"/>
    <x v="9"/>
    <s v="Percent of GDP"/>
    <s v="Units"/>
    <x v="2"/>
    <n v="-2.7890000000000001"/>
  </r>
  <r>
    <n v="200"/>
    <x v="3"/>
    <x v="179"/>
    <x v="9"/>
    <s v="Percent of GDP"/>
    <s v="Units"/>
    <x v="3"/>
    <n v="-5.492"/>
  </r>
  <r>
    <n v="200"/>
    <x v="3"/>
    <x v="179"/>
    <x v="9"/>
    <s v="Percent of GDP"/>
    <s v="Units"/>
    <x v="4"/>
    <n v="-4.9080000000000004"/>
  </r>
  <r>
    <n v="200"/>
    <x v="3"/>
    <x v="179"/>
    <x v="9"/>
    <s v="Percent of GDP"/>
    <s v="Units"/>
    <x v="5"/>
    <n v="-3.7890000000000001"/>
  </r>
  <r>
    <n v="200"/>
    <x v="3"/>
    <x v="179"/>
    <x v="9"/>
    <s v="Percent of GDP"/>
    <s v="Units"/>
    <x v="6"/>
    <n v="-4.6230000000000002"/>
  </r>
  <r>
    <n v="603"/>
    <x v="12"/>
    <x v="184"/>
    <x v="9"/>
    <s v="Percent of GDP"/>
    <s v="Units"/>
    <x v="0"/>
    <n v="-3.8610000000000002"/>
  </r>
  <r>
    <n v="603"/>
    <x v="12"/>
    <x v="184"/>
    <x v="9"/>
    <s v="Percent of GDP"/>
    <s v="Units"/>
    <x v="1"/>
    <n v="-9.6379999999999999"/>
  </r>
  <r>
    <n v="603"/>
    <x v="12"/>
    <x v="184"/>
    <x v="9"/>
    <s v="Percent of GDP"/>
    <s v="Units"/>
    <x v="2"/>
    <n v="-5.8710000000000004"/>
  </r>
  <r>
    <n v="603"/>
    <x v="12"/>
    <x v="184"/>
    <x v="9"/>
    <s v="Percent of GDP"/>
    <s v="Units"/>
    <x v="3"/>
    <n v="-6.0570000000000004"/>
  </r>
  <r>
    <n v="603"/>
    <x v="12"/>
    <x v="184"/>
    <x v="9"/>
    <s v="Percent of GDP"/>
    <s v="Units"/>
    <x v="4"/>
    <n v="-7.6159999999999997"/>
  </r>
  <r>
    <n v="603"/>
    <x v="12"/>
    <x v="184"/>
    <x v="9"/>
    <s v="Percent of GDP"/>
    <s v="Units"/>
    <x v="5"/>
    <n v="-3.802"/>
  </r>
  <r>
    <n v="603"/>
    <x v="12"/>
    <x v="184"/>
    <x v="9"/>
    <s v="Percent of GDP"/>
    <s v="Units"/>
    <x v="6"/>
    <n v="-3.0489999999999999"/>
  </r>
  <r>
    <n v="200"/>
    <x v="3"/>
    <x v="184"/>
    <x v="9"/>
    <s v="Percent of GDP"/>
    <s v="Units"/>
    <x v="0"/>
    <n v="-3.8610000000000002"/>
  </r>
  <r>
    <n v="200"/>
    <x v="3"/>
    <x v="184"/>
    <x v="9"/>
    <s v="Percent of GDP"/>
    <s v="Units"/>
    <x v="1"/>
    <n v="-9.6379999999999999"/>
  </r>
  <r>
    <n v="200"/>
    <x v="3"/>
    <x v="184"/>
    <x v="9"/>
    <s v="Percent of GDP"/>
    <s v="Units"/>
    <x v="2"/>
    <n v="-5.8710000000000004"/>
  </r>
  <r>
    <n v="200"/>
    <x v="3"/>
    <x v="184"/>
    <x v="9"/>
    <s v="Percent of GDP"/>
    <s v="Units"/>
    <x v="3"/>
    <n v="-6.0570000000000004"/>
  </r>
  <r>
    <n v="200"/>
    <x v="3"/>
    <x v="184"/>
    <x v="9"/>
    <s v="Percent of GDP"/>
    <s v="Units"/>
    <x v="4"/>
    <n v="-7.6159999999999997"/>
  </r>
  <r>
    <n v="200"/>
    <x v="3"/>
    <x v="184"/>
    <x v="9"/>
    <s v="Percent of GDP"/>
    <s v="Units"/>
    <x v="5"/>
    <n v="-3.802"/>
  </r>
  <r>
    <n v="200"/>
    <x v="3"/>
    <x v="184"/>
    <x v="9"/>
    <s v="Percent of GDP"/>
    <s v="Units"/>
    <x v="6"/>
    <n v="-3.0489999999999999"/>
  </r>
  <r>
    <n v="200"/>
    <x v="3"/>
    <x v="125"/>
    <x v="9"/>
    <s v="Percent of GDP"/>
    <s v="Units"/>
    <x v="0"/>
    <n v="-3.8530000000000002"/>
  </r>
  <r>
    <n v="200"/>
    <x v="3"/>
    <x v="125"/>
    <x v="9"/>
    <s v="Percent of GDP"/>
    <s v="Units"/>
    <x v="1"/>
    <n v="-6.4050000000000002"/>
  </r>
  <r>
    <n v="200"/>
    <x v="3"/>
    <x v="125"/>
    <x v="9"/>
    <s v="Percent of GDP"/>
    <s v="Units"/>
    <x v="2"/>
    <n v="-6.3140000000000001"/>
  </r>
  <r>
    <n v="200"/>
    <x v="3"/>
    <x v="125"/>
    <x v="9"/>
    <s v="Percent of GDP"/>
    <s v="Units"/>
    <x v="3"/>
    <n v="-6.63"/>
  </r>
  <r>
    <n v="200"/>
    <x v="3"/>
    <x v="125"/>
    <x v="9"/>
    <s v="Percent of GDP"/>
    <s v="Units"/>
    <x v="4"/>
    <n v="-4.944"/>
  </r>
  <r>
    <n v="200"/>
    <x v="3"/>
    <x v="125"/>
    <x v="9"/>
    <s v="Percent of GDP"/>
    <s v="Units"/>
    <x v="5"/>
    <n v="-3.944"/>
  </r>
  <r>
    <n v="200"/>
    <x v="3"/>
    <x v="125"/>
    <x v="9"/>
    <s v="Percent of GDP"/>
    <s v="Units"/>
    <x v="6"/>
    <n v="-3.0859999999999999"/>
  </r>
  <r>
    <n v="603"/>
    <x v="12"/>
    <x v="125"/>
    <x v="9"/>
    <s v="Percent of GDP"/>
    <s v="Units"/>
    <x v="0"/>
    <n v="-3.8530000000000002"/>
  </r>
  <r>
    <n v="603"/>
    <x v="12"/>
    <x v="125"/>
    <x v="9"/>
    <s v="Percent of GDP"/>
    <s v="Units"/>
    <x v="1"/>
    <n v="-6.4050000000000002"/>
  </r>
  <r>
    <n v="603"/>
    <x v="12"/>
    <x v="125"/>
    <x v="9"/>
    <s v="Percent of GDP"/>
    <s v="Units"/>
    <x v="2"/>
    <n v="-6.3140000000000001"/>
  </r>
  <r>
    <n v="603"/>
    <x v="12"/>
    <x v="125"/>
    <x v="9"/>
    <s v="Percent of GDP"/>
    <s v="Units"/>
    <x v="3"/>
    <n v="-6.63"/>
  </r>
  <r>
    <n v="603"/>
    <x v="12"/>
    <x v="125"/>
    <x v="9"/>
    <s v="Percent of GDP"/>
    <s v="Units"/>
    <x v="4"/>
    <n v="-4.944"/>
  </r>
  <r>
    <n v="603"/>
    <x v="12"/>
    <x v="125"/>
    <x v="9"/>
    <s v="Percent of GDP"/>
    <s v="Units"/>
    <x v="5"/>
    <n v="-3.944"/>
  </r>
  <r>
    <n v="603"/>
    <x v="12"/>
    <x v="125"/>
    <x v="9"/>
    <s v="Percent of GDP"/>
    <s v="Units"/>
    <x v="6"/>
    <n v="-3.0859999999999999"/>
  </r>
  <r>
    <n v="205"/>
    <x v="7"/>
    <x v="114"/>
    <x v="5"/>
    <s v="Percent of GDP"/>
    <s v="Units"/>
    <x v="0"/>
    <n v="-14.661"/>
  </r>
  <r>
    <n v="205"/>
    <x v="7"/>
    <x v="114"/>
    <x v="5"/>
    <s v="Percent of GDP"/>
    <s v="Units"/>
    <x v="1"/>
    <n v="-13.372"/>
  </r>
  <r>
    <n v="205"/>
    <x v="7"/>
    <x v="114"/>
    <x v="5"/>
    <s v="Percent of GDP"/>
    <s v="Units"/>
    <x v="2"/>
    <n v="2.3660000000000001"/>
  </r>
  <r>
    <n v="205"/>
    <x v="7"/>
    <x v="114"/>
    <x v="5"/>
    <s v="Percent of GDP"/>
    <s v="Units"/>
    <x v="3"/>
    <n v="10.561"/>
  </r>
  <r>
    <n v="205"/>
    <x v="7"/>
    <x v="114"/>
    <x v="5"/>
    <s v="Percent of GDP"/>
    <s v="Units"/>
    <x v="4"/>
    <n v="0.871"/>
  </r>
  <r>
    <n v="205"/>
    <x v="7"/>
    <x v="114"/>
    <x v="5"/>
    <s v="Percent of GDP"/>
    <s v="Units"/>
    <x v="5"/>
    <n v="-3.9449999999999998"/>
  </r>
  <r>
    <n v="205"/>
    <x v="7"/>
    <x v="114"/>
    <x v="5"/>
    <s v="Percent of GDP"/>
    <s v="Units"/>
    <x v="6"/>
    <n v="-3.121"/>
  </r>
  <r>
    <n v="1"/>
    <x v="2"/>
    <x v="114"/>
    <x v="5"/>
    <s v="Percent of GDP"/>
    <s v="Units"/>
    <x v="0"/>
    <n v="-14.661"/>
  </r>
  <r>
    <n v="1"/>
    <x v="2"/>
    <x v="114"/>
    <x v="5"/>
    <s v="Percent of GDP"/>
    <s v="Units"/>
    <x v="1"/>
    <n v="-13.372"/>
  </r>
  <r>
    <n v="1"/>
    <x v="2"/>
    <x v="114"/>
    <x v="5"/>
    <s v="Percent of GDP"/>
    <s v="Units"/>
    <x v="2"/>
    <n v="2.3660000000000001"/>
  </r>
  <r>
    <n v="1"/>
    <x v="2"/>
    <x v="114"/>
    <x v="5"/>
    <s v="Percent of GDP"/>
    <s v="Units"/>
    <x v="3"/>
    <n v="10.561"/>
  </r>
  <r>
    <n v="1"/>
    <x v="2"/>
    <x v="114"/>
    <x v="5"/>
    <s v="Percent of GDP"/>
    <s v="Units"/>
    <x v="4"/>
    <n v="0.871"/>
  </r>
  <r>
    <n v="1"/>
    <x v="2"/>
    <x v="114"/>
    <x v="5"/>
    <s v="Percent of GDP"/>
    <s v="Units"/>
    <x v="5"/>
    <n v="-3.9449999999999998"/>
  </r>
  <r>
    <n v="1"/>
    <x v="2"/>
    <x v="114"/>
    <x v="5"/>
    <s v="Percent of GDP"/>
    <s v="Units"/>
    <x v="6"/>
    <n v="-3.121"/>
  </r>
  <r>
    <n v="200"/>
    <x v="3"/>
    <x v="114"/>
    <x v="5"/>
    <s v="Percent of GDP"/>
    <s v="Units"/>
    <x v="0"/>
    <n v="-14.661"/>
  </r>
  <r>
    <n v="200"/>
    <x v="3"/>
    <x v="114"/>
    <x v="5"/>
    <s v="Percent of GDP"/>
    <s v="Units"/>
    <x v="1"/>
    <n v="-13.372"/>
  </r>
  <r>
    <n v="200"/>
    <x v="3"/>
    <x v="114"/>
    <x v="5"/>
    <s v="Percent of GDP"/>
    <s v="Units"/>
    <x v="2"/>
    <n v="2.3660000000000001"/>
  </r>
  <r>
    <n v="200"/>
    <x v="3"/>
    <x v="114"/>
    <x v="5"/>
    <s v="Percent of GDP"/>
    <s v="Units"/>
    <x v="3"/>
    <n v="10.561"/>
  </r>
  <r>
    <n v="200"/>
    <x v="3"/>
    <x v="114"/>
    <x v="5"/>
    <s v="Percent of GDP"/>
    <s v="Units"/>
    <x v="4"/>
    <n v="0.871"/>
  </r>
  <r>
    <n v="200"/>
    <x v="3"/>
    <x v="114"/>
    <x v="5"/>
    <s v="Percent of GDP"/>
    <s v="Units"/>
    <x v="5"/>
    <n v="-3.9449999999999998"/>
  </r>
  <r>
    <n v="200"/>
    <x v="3"/>
    <x v="114"/>
    <x v="5"/>
    <s v="Percent of GDP"/>
    <s v="Units"/>
    <x v="6"/>
    <n v="-3.121"/>
  </r>
  <r>
    <n v="200"/>
    <x v="3"/>
    <x v="148"/>
    <x v="9"/>
    <s v="Percent of GDP"/>
    <s v="Units"/>
    <x v="0"/>
    <n v="-4.431"/>
  </r>
  <r>
    <n v="200"/>
    <x v="3"/>
    <x v="148"/>
    <x v="9"/>
    <s v="Percent of GDP"/>
    <s v="Units"/>
    <x v="1"/>
    <n v="-8.8520000000000003"/>
  </r>
  <r>
    <n v="200"/>
    <x v="3"/>
    <x v="148"/>
    <x v="9"/>
    <s v="Percent of GDP"/>
    <s v="Units"/>
    <x v="2"/>
    <n v="-6.843"/>
  </r>
  <r>
    <n v="200"/>
    <x v="3"/>
    <x v="148"/>
    <x v="9"/>
    <s v="Percent of GDP"/>
    <s v="Units"/>
    <x v="3"/>
    <n v="-5.26"/>
  </r>
  <r>
    <n v="200"/>
    <x v="3"/>
    <x v="148"/>
    <x v="9"/>
    <s v="Percent of GDP"/>
    <s v="Units"/>
    <x v="4"/>
    <n v="-4.4370000000000003"/>
  </r>
  <r>
    <n v="200"/>
    <x v="3"/>
    <x v="148"/>
    <x v="9"/>
    <s v="Percent of GDP"/>
    <s v="Units"/>
    <x v="5"/>
    <n v="-3.9780000000000002"/>
  </r>
  <r>
    <n v="200"/>
    <x v="3"/>
    <x v="148"/>
    <x v="9"/>
    <s v="Percent of GDP"/>
    <s v="Units"/>
    <x v="6"/>
    <n v="-2.609"/>
  </r>
  <r>
    <n v="505"/>
    <x v="4"/>
    <x v="148"/>
    <x v="9"/>
    <s v="Percent of GDP"/>
    <s v="Units"/>
    <x v="0"/>
    <n v="-4.431"/>
  </r>
  <r>
    <n v="505"/>
    <x v="4"/>
    <x v="148"/>
    <x v="9"/>
    <s v="Percent of GDP"/>
    <s v="Units"/>
    <x v="1"/>
    <n v="-8.8520000000000003"/>
  </r>
  <r>
    <n v="505"/>
    <x v="4"/>
    <x v="148"/>
    <x v="9"/>
    <s v="Percent of GDP"/>
    <s v="Units"/>
    <x v="2"/>
    <n v="-6.843"/>
  </r>
  <r>
    <n v="505"/>
    <x v="4"/>
    <x v="148"/>
    <x v="9"/>
    <s v="Percent of GDP"/>
    <s v="Units"/>
    <x v="3"/>
    <n v="-5.26"/>
  </r>
  <r>
    <n v="505"/>
    <x v="4"/>
    <x v="148"/>
    <x v="9"/>
    <s v="Percent of GDP"/>
    <s v="Units"/>
    <x v="4"/>
    <n v="-4.4370000000000003"/>
  </r>
  <r>
    <n v="505"/>
    <x v="4"/>
    <x v="148"/>
    <x v="9"/>
    <s v="Percent of GDP"/>
    <s v="Units"/>
    <x v="5"/>
    <n v="-3.9780000000000002"/>
  </r>
  <r>
    <n v="505"/>
    <x v="4"/>
    <x v="148"/>
    <x v="9"/>
    <s v="Percent of GDP"/>
    <s v="Units"/>
    <x v="6"/>
    <n v="-2.609"/>
  </r>
  <r>
    <n v="205"/>
    <x v="7"/>
    <x v="79"/>
    <x v="9"/>
    <s v="Percent of GDP"/>
    <s v="Units"/>
    <x v="0"/>
    <n v="-3.262"/>
  </r>
  <r>
    <n v="205"/>
    <x v="7"/>
    <x v="79"/>
    <x v="9"/>
    <s v="Percent of GDP"/>
    <s v="Units"/>
    <x v="1"/>
    <n v="-9.9849999999999994"/>
  </r>
  <r>
    <n v="205"/>
    <x v="7"/>
    <x v="79"/>
    <x v="9"/>
    <s v="Percent of GDP"/>
    <s v="Units"/>
    <x v="2"/>
    <n v="-6.37"/>
  </r>
  <r>
    <n v="205"/>
    <x v="7"/>
    <x v="79"/>
    <x v="9"/>
    <s v="Percent of GDP"/>
    <s v="Units"/>
    <x v="3"/>
    <n v="-4.0419999999999998"/>
  </r>
  <r>
    <n v="205"/>
    <x v="7"/>
    <x v="79"/>
    <x v="9"/>
    <s v="Percent of GDP"/>
    <s v="Units"/>
    <x v="4"/>
    <n v="-2.93"/>
  </r>
  <r>
    <n v="205"/>
    <x v="7"/>
    <x v="79"/>
    <x v="9"/>
    <s v="Percent of GDP"/>
    <s v="Units"/>
    <x v="5"/>
    <n v="-3.988"/>
  </r>
  <r>
    <n v="205"/>
    <x v="7"/>
    <x v="79"/>
    <x v="9"/>
    <s v="Percent of GDP"/>
    <s v="Units"/>
    <x v="6"/>
    <n v="-3.0129999999999999"/>
  </r>
  <r>
    <n v="200"/>
    <x v="3"/>
    <x v="79"/>
    <x v="9"/>
    <s v="Percent of GDP"/>
    <s v="Units"/>
    <x v="0"/>
    <n v="-3.262"/>
  </r>
  <r>
    <n v="200"/>
    <x v="3"/>
    <x v="79"/>
    <x v="9"/>
    <s v="Percent of GDP"/>
    <s v="Units"/>
    <x v="1"/>
    <n v="-9.9849999999999994"/>
  </r>
  <r>
    <n v="200"/>
    <x v="3"/>
    <x v="79"/>
    <x v="9"/>
    <s v="Percent of GDP"/>
    <s v="Units"/>
    <x v="2"/>
    <n v="-6.37"/>
  </r>
  <r>
    <n v="200"/>
    <x v="3"/>
    <x v="79"/>
    <x v="9"/>
    <s v="Percent of GDP"/>
    <s v="Units"/>
    <x v="3"/>
    <n v="-4.0419999999999998"/>
  </r>
  <r>
    <n v="200"/>
    <x v="3"/>
    <x v="79"/>
    <x v="9"/>
    <s v="Percent of GDP"/>
    <s v="Units"/>
    <x v="4"/>
    <n v="-2.93"/>
  </r>
  <r>
    <n v="200"/>
    <x v="3"/>
    <x v="79"/>
    <x v="9"/>
    <s v="Percent of GDP"/>
    <s v="Units"/>
    <x v="5"/>
    <n v="-3.988"/>
  </r>
  <r>
    <n v="200"/>
    <x v="3"/>
    <x v="79"/>
    <x v="9"/>
    <s v="Percent of GDP"/>
    <s v="Units"/>
    <x v="6"/>
    <n v="-3.0129999999999999"/>
  </r>
  <r>
    <n v="200"/>
    <x v="3"/>
    <x v="80"/>
    <x v="9"/>
    <s v="Percent of GDP"/>
    <s v="Units"/>
    <x v="0"/>
    <n v="-2.2200000000000002"/>
  </r>
  <r>
    <n v="200"/>
    <x v="3"/>
    <x v="80"/>
    <x v="9"/>
    <s v="Percent of GDP"/>
    <s v="Units"/>
    <x v="1"/>
    <n v="-5.4189999999999996"/>
  </r>
  <r>
    <n v="200"/>
    <x v="3"/>
    <x v="80"/>
    <x v="9"/>
    <s v="Percent of GDP"/>
    <s v="Units"/>
    <x v="2"/>
    <n v="-4.7610000000000001"/>
  </r>
  <r>
    <n v="200"/>
    <x v="3"/>
    <x v="80"/>
    <x v="9"/>
    <s v="Percent of GDP"/>
    <s v="Units"/>
    <x v="3"/>
    <n v="-6.5519999999999996"/>
  </r>
  <r>
    <n v="200"/>
    <x v="3"/>
    <x v="80"/>
    <x v="9"/>
    <s v="Percent of GDP"/>
    <s v="Units"/>
    <x v="4"/>
    <n v="-5.17"/>
  </r>
  <r>
    <n v="200"/>
    <x v="3"/>
    <x v="80"/>
    <x v="9"/>
    <s v="Percent of GDP"/>
    <s v="Units"/>
    <x v="5"/>
    <n v="-3.992"/>
  </r>
  <r>
    <n v="200"/>
    <x v="3"/>
    <x v="80"/>
    <x v="9"/>
    <s v="Percent of GDP"/>
    <s v="Units"/>
    <x v="6"/>
    <n v="-2.9630000000000001"/>
  </r>
  <r>
    <n v="603"/>
    <x v="12"/>
    <x v="80"/>
    <x v="9"/>
    <s v="Percent of GDP"/>
    <s v="Units"/>
    <x v="0"/>
    <n v="-2.2200000000000002"/>
  </r>
  <r>
    <n v="603"/>
    <x v="12"/>
    <x v="80"/>
    <x v="9"/>
    <s v="Percent of GDP"/>
    <s v="Units"/>
    <x v="1"/>
    <n v="-5.4189999999999996"/>
  </r>
  <r>
    <n v="603"/>
    <x v="12"/>
    <x v="80"/>
    <x v="9"/>
    <s v="Percent of GDP"/>
    <s v="Units"/>
    <x v="2"/>
    <n v="-4.7610000000000001"/>
  </r>
  <r>
    <n v="603"/>
    <x v="12"/>
    <x v="80"/>
    <x v="9"/>
    <s v="Percent of GDP"/>
    <s v="Units"/>
    <x v="3"/>
    <n v="-6.5519999999999996"/>
  </r>
  <r>
    <n v="603"/>
    <x v="12"/>
    <x v="80"/>
    <x v="9"/>
    <s v="Percent of GDP"/>
    <s v="Units"/>
    <x v="4"/>
    <n v="-5.17"/>
  </r>
  <r>
    <n v="603"/>
    <x v="12"/>
    <x v="80"/>
    <x v="9"/>
    <s v="Percent of GDP"/>
    <s v="Units"/>
    <x v="5"/>
    <n v="-3.992"/>
  </r>
  <r>
    <n v="603"/>
    <x v="12"/>
    <x v="80"/>
    <x v="9"/>
    <s v="Percent of GDP"/>
    <s v="Units"/>
    <x v="6"/>
    <n v="-2.9630000000000001"/>
  </r>
  <r>
    <n v="603"/>
    <x v="12"/>
    <x v="71"/>
    <x v="9"/>
    <s v="Percent of GDP"/>
    <s v="Units"/>
    <x v="0"/>
    <n v="-7.415"/>
  </r>
  <r>
    <n v="603"/>
    <x v="12"/>
    <x v="71"/>
    <x v="9"/>
    <s v="Percent of GDP"/>
    <s v="Units"/>
    <x v="1"/>
    <n v="-8.1340000000000003"/>
  </r>
  <r>
    <n v="603"/>
    <x v="12"/>
    <x v="71"/>
    <x v="9"/>
    <s v="Percent of GDP"/>
    <s v="Units"/>
    <x v="2"/>
    <n v="-7.1959999999999997"/>
  </r>
  <r>
    <n v="603"/>
    <x v="12"/>
    <x v="71"/>
    <x v="9"/>
    <s v="Percent of GDP"/>
    <s v="Units"/>
    <x v="3"/>
    <n v="-6.1120000000000001"/>
  </r>
  <r>
    <n v="603"/>
    <x v="12"/>
    <x v="71"/>
    <x v="9"/>
    <s v="Percent of GDP"/>
    <s v="Units"/>
    <x v="4"/>
    <n v="-5.2519999999999998"/>
  </r>
  <r>
    <n v="603"/>
    <x v="12"/>
    <x v="71"/>
    <x v="9"/>
    <s v="Percent of GDP"/>
    <s v="Units"/>
    <x v="5"/>
    <n v="-4.0359999999999996"/>
  </r>
  <r>
    <n v="603"/>
    <x v="12"/>
    <x v="71"/>
    <x v="9"/>
    <s v="Percent of GDP"/>
    <s v="Units"/>
    <x v="6"/>
    <n v="-3.161"/>
  </r>
  <r>
    <n v="200"/>
    <x v="3"/>
    <x v="71"/>
    <x v="9"/>
    <s v="Percent of GDP"/>
    <s v="Units"/>
    <x v="0"/>
    <n v="-7.415"/>
  </r>
  <r>
    <n v="200"/>
    <x v="3"/>
    <x v="71"/>
    <x v="9"/>
    <s v="Percent of GDP"/>
    <s v="Units"/>
    <x v="1"/>
    <n v="-8.1340000000000003"/>
  </r>
  <r>
    <n v="200"/>
    <x v="3"/>
    <x v="71"/>
    <x v="9"/>
    <s v="Percent of GDP"/>
    <s v="Units"/>
    <x v="2"/>
    <n v="-7.1959999999999997"/>
  </r>
  <r>
    <n v="200"/>
    <x v="3"/>
    <x v="71"/>
    <x v="9"/>
    <s v="Percent of GDP"/>
    <s v="Units"/>
    <x v="3"/>
    <n v="-6.1120000000000001"/>
  </r>
  <r>
    <n v="200"/>
    <x v="3"/>
    <x v="71"/>
    <x v="9"/>
    <s v="Percent of GDP"/>
    <s v="Units"/>
    <x v="4"/>
    <n v="-5.2519999999999998"/>
  </r>
  <r>
    <n v="200"/>
    <x v="3"/>
    <x v="71"/>
    <x v="9"/>
    <s v="Percent of GDP"/>
    <s v="Units"/>
    <x v="5"/>
    <n v="-4.0359999999999996"/>
  </r>
  <r>
    <n v="200"/>
    <x v="3"/>
    <x v="71"/>
    <x v="9"/>
    <s v="Percent of GDP"/>
    <s v="Units"/>
    <x v="6"/>
    <n v="-3.161"/>
  </r>
  <r>
    <n v="603"/>
    <x v="12"/>
    <x v="94"/>
    <x v="9"/>
    <s v="Percent of GDP"/>
    <s v="Units"/>
    <x v="0"/>
    <n v="-3.5579999999999998"/>
  </r>
  <r>
    <n v="603"/>
    <x v="12"/>
    <x v="94"/>
    <x v="9"/>
    <s v="Percent of GDP"/>
    <s v="Units"/>
    <x v="1"/>
    <n v="-4.8159999999999998"/>
  </r>
  <r>
    <n v="603"/>
    <x v="12"/>
    <x v="94"/>
    <x v="9"/>
    <s v="Percent of GDP"/>
    <s v="Units"/>
    <x v="2"/>
    <n v="-5.9050000000000002"/>
  </r>
  <r>
    <n v="603"/>
    <x v="12"/>
    <x v="94"/>
    <x v="9"/>
    <s v="Percent of GDP"/>
    <s v="Units"/>
    <x v="3"/>
    <n v="-6.7759999999999998"/>
  </r>
  <r>
    <n v="603"/>
    <x v="12"/>
    <x v="94"/>
    <x v="9"/>
    <s v="Percent of GDP"/>
    <s v="Units"/>
    <x v="4"/>
    <n v="-5.4589999999999996"/>
  </r>
  <r>
    <n v="603"/>
    <x v="12"/>
    <x v="94"/>
    <x v="9"/>
    <s v="Percent of GDP"/>
    <s v="Units"/>
    <x v="5"/>
    <n v="-4.0510000000000002"/>
  </r>
  <r>
    <n v="603"/>
    <x v="12"/>
    <x v="94"/>
    <x v="9"/>
    <s v="Percent of GDP"/>
    <s v="Units"/>
    <x v="6"/>
    <n v="-3"/>
  </r>
  <r>
    <n v="200"/>
    <x v="3"/>
    <x v="94"/>
    <x v="9"/>
    <s v="Percent of GDP"/>
    <s v="Units"/>
    <x v="0"/>
    <n v="-3.5579999999999998"/>
  </r>
  <r>
    <n v="200"/>
    <x v="3"/>
    <x v="94"/>
    <x v="9"/>
    <s v="Percent of GDP"/>
    <s v="Units"/>
    <x v="1"/>
    <n v="-4.8159999999999998"/>
  </r>
  <r>
    <n v="200"/>
    <x v="3"/>
    <x v="94"/>
    <x v="9"/>
    <s v="Percent of GDP"/>
    <s v="Units"/>
    <x v="2"/>
    <n v="-5.9050000000000002"/>
  </r>
  <r>
    <n v="200"/>
    <x v="3"/>
    <x v="94"/>
    <x v="9"/>
    <s v="Percent of GDP"/>
    <s v="Units"/>
    <x v="3"/>
    <n v="-6.7759999999999998"/>
  </r>
  <r>
    <n v="200"/>
    <x v="3"/>
    <x v="94"/>
    <x v="9"/>
    <s v="Percent of GDP"/>
    <s v="Units"/>
    <x v="4"/>
    <n v="-5.4589999999999996"/>
  </r>
  <r>
    <n v="200"/>
    <x v="3"/>
    <x v="94"/>
    <x v="9"/>
    <s v="Percent of GDP"/>
    <s v="Units"/>
    <x v="5"/>
    <n v="-4.0510000000000002"/>
  </r>
  <r>
    <n v="200"/>
    <x v="3"/>
    <x v="94"/>
    <x v="9"/>
    <s v="Percent of GDP"/>
    <s v="Units"/>
    <x v="6"/>
    <n v="-3"/>
  </r>
  <r>
    <n v="110"/>
    <x v="0"/>
    <x v="115"/>
    <x v="6"/>
    <s v="Percent change"/>
    <s v="Units"/>
    <x v="0"/>
    <n v="3.7349999999999999"/>
  </r>
  <r>
    <n v="110"/>
    <x v="0"/>
    <x v="115"/>
    <x v="6"/>
    <s v="Percent change"/>
    <s v="Units"/>
    <x v="1"/>
    <n v="1.3009999999999999"/>
  </r>
  <r>
    <n v="110"/>
    <x v="0"/>
    <x v="115"/>
    <x v="6"/>
    <s v="Percent change"/>
    <s v="Units"/>
    <x v="2"/>
    <n v="23.234999999999999"/>
  </r>
  <r>
    <n v="110"/>
    <x v="0"/>
    <x v="115"/>
    <x v="6"/>
    <s v="Percent change"/>
    <s v="Units"/>
    <x v="3"/>
    <n v="3.2"/>
  </r>
  <r>
    <n v="110"/>
    <x v="0"/>
    <x v="115"/>
    <x v="6"/>
    <s v="Percent change"/>
    <s v="Units"/>
    <x v="4"/>
    <n v="-5.2380000000000004"/>
  </r>
  <r>
    <n v="110"/>
    <x v="0"/>
    <x v="115"/>
    <x v="6"/>
    <s v="Percent change"/>
    <s v="Units"/>
    <x v="5"/>
    <n v="-4.0960000000000001"/>
  </r>
  <r>
    <n v="110"/>
    <x v="0"/>
    <x v="115"/>
    <x v="6"/>
    <s v="Percent change"/>
    <s v="Units"/>
    <x v="6"/>
    <n v="2.653"/>
  </r>
  <r>
    <n v="1"/>
    <x v="2"/>
    <x v="115"/>
    <x v="6"/>
    <s v="Percent change"/>
    <s v="Units"/>
    <x v="0"/>
    <n v="3.7349999999999999"/>
  </r>
  <r>
    <n v="1"/>
    <x v="2"/>
    <x v="115"/>
    <x v="6"/>
    <s v="Percent change"/>
    <s v="Units"/>
    <x v="1"/>
    <n v="1.3009999999999999"/>
  </r>
  <r>
    <n v="1"/>
    <x v="2"/>
    <x v="115"/>
    <x v="6"/>
    <s v="Percent change"/>
    <s v="Units"/>
    <x v="2"/>
    <n v="23.234999999999999"/>
  </r>
  <r>
    <n v="1"/>
    <x v="2"/>
    <x v="115"/>
    <x v="6"/>
    <s v="Percent change"/>
    <s v="Units"/>
    <x v="3"/>
    <n v="3.2"/>
  </r>
  <r>
    <n v="1"/>
    <x v="2"/>
    <x v="115"/>
    <x v="6"/>
    <s v="Percent change"/>
    <s v="Units"/>
    <x v="4"/>
    <n v="-5.2380000000000004"/>
  </r>
  <r>
    <n v="1"/>
    <x v="2"/>
    <x v="115"/>
    <x v="6"/>
    <s v="Percent change"/>
    <s v="Units"/>
    <x v="5"/>
    <n v="-4.0960000000000001"/>
  </r>
  <r>
    <n v="1"/>
    <x v="2"/>
    <x v="115"/>
    <x v="6"/>
    <s v="Percent change"/>
    <s v="Units"/>
    <x v="6"/>
    <n v="2.653"/>
  </r>
  <r>
    <n v="163"/>
    <x v="5"/>
    <x v="115"/>
    <x v="6"/>
    <s v="Percent change"/>
    <s v="Units"/>
    <x v="0"/>
    <n v="3.7349999999999999"/>
  </r>
  <r>
    <n v="163"/>
    <x v="5"/>
    <x v="115"/>
    <x v="6"/>
    <s v="Percent change"/>
    <s v="Units"/>
    <x v="1"/>
    <n v="1.3009999999999999"/>
  </r>
  <r>
    <n v="163"/>
    <x v="5"/>
    <x v="115"/>
    <x v="6"/>
    <s v="Percent change"/>
    <s v="Units"/>
    <x v="2"/>
    <n v="23.234999999999999"/>
  </r>
  <r>
    <n v="163"/>
    <x v="5"/>
    <x v="115"/>
    <x v="6"/>
    <s v="Percent change"/>
    <s v="Units"/>
    <x v="3"/>
    <n v="3.2"/>
  </r>
  <r>
    <n v="163"/>
    <x v="5"/>
    <x v="115"/>
    <x v="6"/>
    <s v="Percent change"/>
    <s v="Units"/>
    <x v="4"/>
    <n v="-5.2380000000000004"/>
  </r>
  <r>
    <n v="163"/>
    <x v="5"/>
    <x v="115"/>
    <x v="6"/>
    <s v="Percent change"/>
    <s v="Units"/>
    <x v="5"/>
    <n v="-4.0960000000000001"/>
  </r>
  <r>
    <n v="163"/>
    <x v="5"/>
    <x v="115"/>
    <x v="6"/>
    <s v="Percent change"/>
    <s v="Units"/>
    <x v="6"/>
    <n v="2.653"/>
  </r>
  <r>
    <n v="603"/>
    <x v="12"/>
    <x v="97"/>
    <x v="9"/>
    <s v="Percent of GDP"/>
    <s v="Units"/>
    <x v="0"/>
    <n v="-4.8159999999999998"/>
  </r>
  <r>
    <n v="603"/>
    <x v="12"/>
    <x v="97"/>
    <x v="9"/>
    <s v="Percent of GDP"/>
    <s v="Units"/>
    <x v="1"/>
    <n v="-7.758"/>
  </r>
  <r>
    <n v="603"/>
    <x v="12"/>
    <x v="97"/>
    <x v="9"/>
    <s v="Percent of GDP"/>
    <s v="Units"/>
    <x v="2"/>
    <n v="-7.5060000000000002"/>
  </r>
  <r>
    <n v="603"/>
    <x v="12"/>
    <x v="97"/>
    <x v="9"/>
    <s v="Percent of GDP"/>
    <s v="Units"/>
    <x v="3"/>
    <n v="-6.3079999999999998"/>
  </r>
  <r>
    <n v="603"/>
    <x v="12"/>
    <x v="97"/>
    <x v="9"/>
    <s v="Percent of GDP"/>
    <s v="Units"/>
    <x v="4"/>
    <n v="-5.0419999999999998"/>
  </r>
  <r>
    <n v="603"/>
    <x v="12"/>
    <x v="97"/>
    <x v="9"/>
    <s v="Percent of GDP"/>
    <s v="Units"/>
    <x v="5"/>
    <n v="-4.125"/>
  </r>
  <r>
    <n v="603"/>
    <x v="12"/>
    <x v="97"/>
    <x v="9"/>
    <s v="Percent of GDP"/>
    <s v="Units"/>
    <x v="6"/>
    <n v="-3.6320000000000001"/>
  </r>
  <r>
    <n v="200"/>
    <x v="3"/>
    <x v="97"/>
    <x v="9"/>
    <s v="Percent of GDP"/>
    <s v="Units"/>
    <x v="0"/>
    <n v="-4.8159999999999998"/>
  </r>
  <r>
    <n v="200"/>
    <x v="3"/>
    <x v="97"/>
    <x v="9"/>
    <s v="Percent of GDP"/>
    <s v="Units"/>
    <x v="1"/>
    <n v="-7.758"/>
  </r>
  <r>
    <n v="200"/>
    <x v="3"/>
    <x v="97"/>
    <x v="9"/>
    <s v="Percent of GDP"/>
    <s v="Units"/>
    <x v="2"/>
    <n v="-7.5060000000000002"/>
  </r>
  <r>
    <n v="200"/>
    <x v="3"/>
    <x v="97"/>
    <x v="9"/>
    <s v="Percent of GDP"/>
    <s v="Units"/>
    <x v="3"/>
    <n v="-6.3079999999999998"/>
  </r>
  <r>
    <n v="200"/>
    <x v="3"/>
    <x v="97"/>
    <x v="9"/>
    <s v="Percent of GDP"/>
    <s v="Units"/>
    <x v="4"/>
    <n v="-5.0419999999999998"/>
  </r>
  <r>
    <n v="200"/>
    <x v="3"/>
    <x v="97"/>
    <x v="9"/>
    <s v="Percent of GDP"/>
    <s v="Units"/>
    <x v="5"/>
    <n v="-4.125"/>
  </r>
  <r>
    <n v="200"/>
    <x v="3"/>
    <x v="97"/>
    <x v="9"/>
    <s v="Percent of GDP"/>
    <s v="Units"/>
    <x v="6"/>
    <n v="-3.6320000000000001"/>
  </r>
  <r>
    <n v="200"/>
    <x v="3"/>
    <x v="32"/>
    <x v="9"/>
    <s v="Percent of GDP"/>
    <s v="Units"/>
    <x v="0"/>
    <n v="-1.502"/>
  </r>
  <r>
    <n v="200"/>
    <x v="3"/>
    <x v="32"/>
    <x v="9"/>
    <s v="Percent of GDP"/>
    <s v="Units"/>
    <x v="1"/>
    <n v="-5.5439999999999996"/>
  </r>
  <r>
    <n v="200"/>
    <x v="3"/>
    <x v="32"/>
    <x v="9"/>
    <s v="Percent of GDP"/>
    <s v="Units"/>
    <x v="2"/>
    <n v="-6.2309999999999999"/>
  </r>
  <r>
    <n v="200"/>
    <x v="3"/>
    <x v="32"/>
    <x v="9"/>
    <s v="Percent of GDP"/>
    <s v="Units"/>
    <x v="3"/>
    <n v="-5.4770000000000003"/>
  </r>
  <r>
    <n v="200"/>
    <x v="3"/>
    <x v="32"/>
    <x v="9"/>
    <s v="Percent of GDP"/>
    <s v="Units"/>
    <x v="4"/>
    <n v="-5.1470000000000002"/>
  </r>
  <r>
    <n v="200"/>
    <x v="3"/>
    <x v="32"/>
    <x v="9"/>
    <s v="Percent of GDP"/>
    <s v="Units"/>
    <x v="5"/>
    <n v="-4.1429999999999998"/>
  </r>
  <r>
    <n v="200"/>
    <x v="3"/>
    <x v="32"/>
    <x v="9"/>
    <s v="Percent of GDP"/>
    <s v="Units"/>
    <x v="6"/>
    <n v="-3.5739999999999998"/>
  </r>
  <r>
    <n v="510"/>
    <x v="10"/>
    <x v="32"/>
    <x v="9"/>
    <s v="Percent of GDP"/>
    <s v="Units"/>
    <x v="0"/>
    <n v="-1.502"/>
  </r>
  <r>
    <n v="510"/>
    <x v="10"/>
    <x v="32"/>
    <x v="9"/>
    <s v="Percent of GDP"/>
    <s v="Units"/>
    <x v="1"/>
    <n v="-5.5439999999999996"/>
  </r>
  <r>
    <n v="510"/>
    <x v="10"/>
    <x v="32"/>
    <x v="9"/>
    <s v="Percent of GDP"/>
    <s v="Units"/>
    <x v="2"/>
    <n v="-6.2309999999999999"/>
  </r>
  <r>
    <n v="510"/>
    <x v="10"/>
    <x v="32"/>
    <x v="9"/>
    <s v="Percent of GDP"/>
    <s v="Units"/>
    <x v="3"/>
    <n v="-5.4770000000000003"/>
  </r>
  <r>
    <n v="510"/>
    <x v="10"/>
    <x v="32"/>
    <x v="9"/>
    <s v="Percent of GDP"/>
    <s v="Units"/>
    <x v="4"/>
    <n v="-5.1470000000000002"/>
  </r>
  <r>
    <n v="510"/>
    <x v="10"/>
    <x v="32"/>
    <x v="9"/>
    <s v="Percent of GDP"/>
    <s v="Units"/>
    <x v="5"/>
    <n v="-4.1429999999999998"/>
  </r>
  <r>
    <n v="510"/>
    <x v="10"/>
    <x v="32"/>
    <x v="9"/>
    <s v="Percent of GDP"/>
    <s v="Units"/>
    <x v="6"/>
    <n v="-3.5739999999999998"/>
  </r>
  <r>
    <n v="505"/>
    <x v="4"/>
    <x v="32"/>
    <x v="9"/>
    <s v="Percent of GDP"/>
    <s v="Units"/>
    <x v="0"/>
    <n v="-1.502"/>
  </r>
  <r>
    <n v="505"/>
    <x v="4"/>
    <x v="32"/>
    <x v="9"/>
    <s v="Percent of GDP"/>
    <s v="Units"/>
    <x v="1"/>
    <n v="-5.5439999999999996"/>
  </r>
  <r>
    <n v="505"/>
    <x v="4"/>
    <x v="32"/>
    <x v="9"/>
    <s v="Percent of GDP"/>
    <s v="Units"/>
    <x v="2"/>
    <n v="-6.2309999999999999"/>
  </r>
  <r>
    <n v="505"/>
    <x v="4"/>
    <x v="32"/>
    <x v="9"/>
    <s v="Percent of GDP"/>
    <s v="Units"/>
    <x v="3"/>
    <n v="-5.4770000000000003"/>
  </r>
  <r>
    <n v="505"/>
    <x v="4"/>
    <x v="32"/>
    <x v="9"/>
    <s v="Percent of GDP"/>
    <s v="Units"/>
    <x v="4"/>
    <n v="-5.1470000000000002"/>
  </r>
  <r>
    <n v="505"/>
    <x v="4"/>
    <x v="32"/>
    <x v="9"/>
    <s v="Percent of GDP"/>
    <s v="Units"/>
    <x v="5"/>
    <n v="-4.1429999999999998"/>
  </r>
  <r>
    <n v="505"/>
    <x v="4"/>
    <x v="32"/>
    <x v="9"/>
    <s v="Percent of GDP"/>
    <s v="Units"/>
    <x v="6"/>
    <n v="-3.5739999999999998"/>
  </r>
  <r>
    <n v="603"/>
    <x v="12"/>
    <x v="138"/>
    <x v="9"/>
    <s v="Percent of GDP"/>
    <s v="Units"/>
    <x v="0"/>
    <n v="2.133"/>
  </r>
  <r>
    <n v="603"/>
    <x v="12"/>
    <x v="138"/>
    <x v="9"/>
    <s v="Percent of GDP"/>
    <s v="Units"/>
    <x v="1"/>
    <n v="-2.194"/>
  </r>
  <r>
    <n v="603"/>
    <x v="12"/>
    <x v="138"/>
    <x v="9"/>
    <s v="Percent of GDP"/>
    <s v="Units"/>
    <x v="2"/>
    <n v="-1.853"/>
  </r>
  <r>
    <n v="603"/>
    <x v="12"/>
    <x v="138"/>
    <x v="9"/>
    <s v="Percent of GDP"/>
    <s v="Units"/>
    <x v="3"/>
    <n v="-0.68600000000000005"/>
  </r>
  <r>
    <n v="603"/>
    <x v="12"/>
    <x v="138"/>
    <x v="9"/>
    <s v="Percent of GDP"/>
    <s v="Units"/>
    <x v="4"/>
    <n v="-1.8320000000000001"/>
  </r>
  <r>
    <n v="603"/>
    <x v="12"/>
    <x v="138"/>
    <x v="9"/>
    <s v="Percent of GDP"/>
    <s v="Units"/>
    <x v="5"/>
    <n v="-4.1669999999999998"/>
  </r>
  <r>
    <n v="603"/>
    <x v="12"/>
    <x v="138"/>
    <x v="9"/>
    <s v="Percent of GDP"/>
    <s v="Units"/>
    <x v="6"/>
    <n v="-6.391"/>
  </r>
  <r>
    <n v="200"/>
    <x v="3"/>
    <x v="138"/>
    <x v="9"/>
    <s v="Percent of GDP"/>
    <s v="Units"/>
    <x v="0"/>
    <n v="2.133"/>
  </r>
  <r>
    <n v="200"/>
    <x v="3"/>
    <x v="138"/>
    <x v="9"/>
    <s v="Percent of GDP"/>
    <s v="Units"/>
    <x v="1"/>
    <n v="-2.194"/>
  </r>
  <r>
    <n v="200"/>
    <x v="3"/>
    <x v="138"/>
    <x v="9"/>
    <s v="Percent of GDP"/>
    <s v="Units"/>
    <x v="2"/>
    <n v="-1.853"/>
  </r>
  <r>
    <n v="200"/>
    <x v="3"/>
    <x v="138"/>
    <x v="9"/>
    <s v="Percent of GDP"/>
    <s v="Units"/>
    <x v="3"/>
    <n v="-0.68600000000000005"/>
  </r>
  <r>
    <n v="200"/>
    <x v="3"/>
    <x v="138"/>
    <x v="9"/>
    <s v="Percent of GDP"/>
    <s v="Units"/>
    <x v="4"/>
    <n v="-1.8320000000000001"/>
  </r>
  <r>
    <n v="200"/>
    <x v="3"/>
    <x v="138"/>
    <x v="9"/>
    <s v="Percent of GDP"/>
    <s v="Units"/>
    <x v="5"/>
    <n v="-4.1669999999999998"/>
  </r>
  <r>
    <n v="200"/>
    <x v="3"/>
    <x v="138"/>
    <x v="9"/>
    <s v="Percent of GDP"/>
    <s v="Units"/>
    <x v="6"/>
    <n v="-6.391"/>
  </r>
  <r>
    <n v="110"/>
    <x v="0"/>
    <x v="51"/>
    <x v="12"/>
    <s v="Percent of potential GDP"/>
    <s v="Units"/>
    <x v="0"/>
    <n v="-2.778"/>
  </r>
  <r>
    <n v="110"/>
    <x v="0"/>
    <x v="51"/>
    <x v="12"/>
    <s v="Percent of potential GDP"/>
    <s v="Units"/>
    <x v="1"/>
    <n v="-4.6980000000000004"/>
  </r>
  <r>
    <n v="110"/>
    <x v="0"/>
    <x v="51"/>
    <x v="12"/>
    <s v="Percent of potential GDP"/>
    <s v="Units"/>
    <x v="2"/>
    <n v="-4.5"/>
  </r>
  <r>
    <n v="110"/>
    <x v="0"/>
    <x v="51"/>
    <x v="12"/>
    <s v="Percent of potential GDP"/>
    <s v="Units"/>
    <x v="3"/>
    <n v="-5.0510000000000002"/>
  </r>
  <r>
    <n v="110"/>
    <x v="0"/>
    <x v="51"/>
    <x v="12"/>
    <s v="Percent of potential GDP"/>
    <s v="Units"/>
    <x v="4"/>
    <n v="-4.92"/>
  </r>
  <r>
    <n v="110"/>
    <x v="0"/>
    <x v="51"/>
    <x v="12"/>
    <s v="Percent of potential GDP"/>
    <s v="Units"/>
    <x v="5"/>
    <n v="-4.1689999999999996"/>
  </r>
  <r>
    <n v="110"/>
    <x v="0"/>
    <x v="51"/>
    <x v="12"/>
    <s v="Percent of potential GDP"/>
    <s v="Units"/>
    <x v="6"/>
    <n v="-2.8450000000000002"/>
  </r>
  <r>
    <n v="123"/>
    <x v="9"/>
    <x v="51"/>
    <x v="12"/>
    <s v="Percent of potential GDP"/>
    <s v="Units"/>
    <x v="0"/>
    <n v="-2.778"/>
  </r>
  <r>
    <n v="123"/>
    <x v="9"/>
    <x v="51"/>
    <x v="12"/>
    <s v="Percent of potential GDP"/>
    <s v="Units"/>
    <x v="1"/>
    <n v="-4.6980000000000004"/>
  </r>
  <r>
    <n v="123"/>
    <x v="9"/>
    <x v="51"/>
    <x v="12"/>
    <s v="Percent of potential GDP"/>
    <s v="Units"/>
    <x v="2"/>
    <n v="-4.5"/>
  </r>
  <r>
    <n v="123"/>
    <x v="9"/>
    <x v="51"/>
    <x v="12"/>
    <s v="Percent of potential GDP"/>
    <s v="Units"/>
    <x v="3"/>
    <n v="-5.0510000000000002"/>
  </r>
  <r>
    <n v="123"/>
    <x v="9"/>
    <x v="51"/>
    <x v="12"/>
    <s v="Percent of potential GDP"/>
    <s v="Units"/>
    <x v="4"/>
    <n v="-4.92"/>
  </r>
  <r>
    <n v="123"/>
    <x v="9"/>
    <x v="51"/>
    <x v="12"/>
    <s v="Percent of potential GDP"/>
    <s v="Units"/>
    <x v="5"/>
    <n v="-4.1689999999999996"/>
  </r>
  <r>
    <n v="123"/>
    <x v="9"/>
    <x v="51"/>
    <x v="12"/>
    <s v="Percent of potential GDP"/>
    <s v="Units"/>
    <x v="6"/>
    <n v="-2.8450000000000002"/>
  </r>
  <r>
    <n v="603"/>
    <x v="12"/>
    <x v="170"/>
    <x v="9"/>
    <s v="Percent of GDP"/>
    <s v="Units"/>
    <x v="0"/>
    <n v="-1.6839999999999999"/>
  </r>
  <r>
    <n v="603"/>
    <x v="12"/>
    <x v="170"/>
    <x v="9"/>
    <s v="Percent of GDP"/>
    <s v="Units"/>
    <x v="1"/>
    <n v="-5.3730000000000002"/>
  </r>
  <r>
    <n v="603"/>
    <x v="12"/>
    <x v="170"/>
    <x v="9"/>
    <s v="Percent of GDP"/>
    <s v="Units"/>
    <x v="2"/>
    <n v="-4.7969999999999997"/>
  </r>
  <r>
    <n v="603"/>
    <x v="12"/>
    <x v="170"/>
    <x v="9"/>
    <s v="Percent of GDP"/>
    <s v="Units"/>
    <x v="3"/>
    <n v="-4.9009999999999998"/>
  </r>
  <r>
    <n v="603"/>
    <x v="12"/>
    <x v="170"/>
    <x v="9"/>
    <s v="Percent of GDP"/>
    <s v="Units"/>
    <x v="4"/>
    <n v="-4.8490000000000002"/>
  </r>
  <r>
    <n v="603"/>
    <x v="12"/>
    <x v="170"/>
    <x v="9"/>
    <s v="Percent of GDP"/>
    <s v="Units"/>
    <x v="5"/>
    <n v="-4.2"/>
  </r>
  <r>
    <n v="603"/>
    <x v="12"/>
    <x v="170"/>
    <x v="9"/>
    <s v="Percent of GDP"/>
    <s v="Units"/>
    <x v="6"/>
    <n v="-3.6"/>
  </r>
  <r>
    <n v="200"/>
    <x v="3"/>
    <x v="170"/>
    <x v="9"/>
    <s v="Percent of GDP"/>
    <s v="Units"/>
    <x v="0"/>
    <n v="-1.6839999999999999"/>
  </r>
  <r>
    <n v="200"/>
    <x v="3"/>
    <x v="170"/>
    <x v="9"/>
    <s v="Percent of GDP"/>
    <s v="Units"/>
    <x v="1"/>
    <n v="-5.3730000000000002"/>
  </r>
  <r>
    <n v="200"/>
    <x v="3"/>
    <x v="170"/>
    <x v="9"/>
    <s v="Percent of GDP"/>
    <s v="Units"/>
    <x v="2"/>
    <n v="-4.7969999999999997"/>
  </r>
  <r>
    <n v="200"/>
    <x v="3"/>
    <x v="170"/>
    <x v="9"/>
    <s v="Percent of GDP"/>
    <s v="Units"/>
    <x v="3"/>
    <n v="-4.9009999999999998"/>
  </r>
  <r>
    <n v="200"/>
    <x v="3"/>
    <x v="170"/>
    <x v="9"/>
    <s v="Percent of GDP"/>
    <s v="Units"/>
    <x v="4"/>
    <n v="-4.8490000000000002"/>
  </r>
  <r>
    <n v="200"/>
    <x v="3"/>
    <x v="170"/>
    <x v="9"/>
    <s v="Percent of GDP"/>
    <s v="Units"/>
    <x v="5"/>
    <n v="-4.2"/>
  </r>
  <r>
    <n v="200"/>
    <x v="3"/>
    <x v="170"/>
    <x v="9"/>
    <s v="Percent of GDP"/>
    <s v="Units"/>
    <x v="6"/>
    <n v="-3.6"/>
  </r>
  <r>
    <n v="400"/>
    <x v="11"/>
    <x v="60"/>
    <x v="8"/>
    <s v="Percent change"/>
    <s v="Units"/>
    <x v="0"/>
    <n v="-2.5"/>
  </r>
  <r>
    <n v="400"/>
    <x v="11"/>
    <x v="60"/>
    <x v="8"/>
    <s v="Percent change"/>
    <s v="Units"/>
    <x v="1"/>
    <n v="-3.63"/>
  </r>
  <r>
    <n v="400"/>
    <x v="11"/>
    <x v="60"/>
    <x v="8"/>
    <s v="Percent change"/>
    <s v="Units"/>
    <x v="2"/>
    <n v="0.5"/>
  </r>
  <r>
    <n v="400"/>
    <x v="11"/>
    <x v="60"/>
    <x v="8"/>
    <s v="Percent change"/>
    <s v="Units"/>
    <x v="3"/>
    <n v="-2.5"/>
  </r>
  <r>
    <n v="400"/>
    <x v="11"/>
    <x v="60"/>
    <x v="8"/>
    <s v="Percent change"/>
    <s v="Units"/>
    <x v="4"/>
    <n v="-18.3"/>
  </r>
  <r>
    <n v="400"/>
    <x v="11"/>
    <x v="60"/>
    <x v="8"/>
    <s v="Percent change"/>
    <s v="Units"/>
    <x v="5"/>
    <n v="-4.2009999999999996"/>
  </r>
  <r>
    <n v="400"/>
    <x v="11"/>
    <x v="60"/>
    <x v="8"/>
    <s v="Percent change"/>
    <s v="Units"/>
    <x v="6"/>
    <n v="5.4"/>
  </r>
  <r>
    <n v="200"/>
    <x v="3"/>
    <x v="60"/>
    <x v="8"/>
    <s v="Percent change"/>
    <s v="Units"/>
    <x v="0"/>
    <n v="-2.5"/>
  </r>
  <r>
    <n v="200"/>
    <x v="3"/>
    <x v="60"/>
    <x v="8"/>
    <s v="Percent change"/>
    <s v="Units"/>
    <x v="1"/>
    <n v="-3.63"/>
  </r>
  <r>
    <n v="200"/>
    <x v="3"/>
    <x v="60"/>
    <x v="8"/>
    <s v="Percent change"/>
    <s v="Units"/>
    <x v="2"/>
    <n v="0.5"/>
  </r>
  <r>
    <n v="200"/>
    <x v="3"/>
    <x v="60"/>
    <x v="8"/>
    <s v="Percent change"/>
    <s v="Units"/>
    <x v="3"/>
    <n v="-2.5"/>
  </r>
  <r>
    <n v="200"/>
    <x v="3"/>
    <x v="60"/>
    <x v="8"/>
    <s v="Percent change"/>
    <s v="Units"/>
    <x v="4"/>
    <n v="-18.3"/>
  </r>
  <r>
    <n v="200"/>
    <x v="3"/>
    <x v="60"/>
    <x v="8"/>
    <s v="Percent change"/>
    <s v="Units"/>
    <x v="5"/>
    <n v="-4.2009999999999996"/>
  </r>
  <r>
    <n v="200"/>
    <x v="3"/>
    <x v="60"/>
    <x v="8"/>
    <s v="Percent change"/>
    <s v="Units"/>
    <x v="6"/>
    <n v="5.4"/>
  </r>
  <r>
    <n v="1"/>
    <x v="2"/>
    <x v="60"/>
    <x v="8"/>
    <s v="Percent change"/>
    <s v="Units"/>
    <x v="0"/>
    <n v="-2.5"/>
  </r>
  <r>
    <n v="1"/>
    <x v="2"/>
    <x v="60"/>
    <x v="8"/>
    <s v="Percent change"/>
    <s v="Units"/>
    <x v="1"/>
    <n v="-3.63"/>
  </r>
  <r>
    <n v="1"/>
    <x v="2"/>
    <x v="60"/>
    <x v="8"/>
    <s v="Percent change"/>
    <s v="Units"/>
    <x v="2"/>
    <n v="0.5"/>
  </r>
  <r>
    <n v="1"/>
    <x v="2"/>
    <x v="60"/>
    <x v="8"/>
    <s v="Percent change"/>
    <s v="Units"/>
    <x v="3"/>
    <n v="-2.5"/>
  </r>
  <r>
    <n v="1"/>
    <x v="2"/>
    <x v="60"/>
    <x v="8"/>
    <s v="Percent change"/>
    <s v="Units"/>
    <x v="4"/>
    <n v="-18.3"/>
  </r>
  <r>
    <n v="1"/>
    <x v="2"/>
    <x v="60"/>
    <x v="8"/>
    <s v="Percent change"/>
    <s v="Units"/>
    <x v="5"/>
    <n v="-4.2009999999999996"/>
  </r>
  <r>
    <n v="1"/>
    <x v="2"/>
    <x v="60"/>
    <x v="8"/>
    <s v="Percent change"/>
    <s v="Units"/>
    <x v="6"/>
    <n v="5.4"/>
  </r>
  <r>
    <n v="200"/>
    <x v="3"/>
    <x v="59"/>
    <x v="9"/>
    <s v="Percent of GDP"/>
    <s v="Units"/>
    <x v="0"/>
    <n v="-3.5510000000000002"/>
  </r>
  <r>
    <n v="200"/>
    <x v="3"/>
    <x v="59"/>
    <x v="9"/>
    <s v="Percent of GDP"/>
    <s v="Units"/>
    <x v="1"/>
    <n v="-7.1470000000000002"/>
  </r>
  <r>
    <n v="200"/>
    <x v="3"/>
    <x v="59"/>
    <x v="9"/>
    <s v="Percent of GDP"/>
    <s v="Units"/>
    <x v="2"/>
    <n v="-5.9850000000000003"/>
  </r>
  <r>
    <n v="200"/>
    <x v="3"/>
    <x v="59"/>
    <x v="9"/>
    <s v="Percent of GDP"/>
    <s v="Units"/>
    <x v="3"/>
    <n v="-5.3789999999999996"/>
  </r>
  <r>
    <n v="200"/>
    <x v="3"/>
    <x v="59"/>
    <x v="9"/>
    <s v="Percent of GDP"/>
    <s v="Units"/>
    <x v="4"/>
    <n v="-4.431"/>
  </r>
  <r>
    <n v="200"/>
    <x v="3"/>
    <x v="59"/>
    <x v="9"/>
    <s v="Percent of GDP"/>
    <s v="Units"/>
    <x v="5"/>
    <n v="-4.2880000000000003"/>
  </r>
  <r>
    <n v="200"/>
    <x v="3"/>
    <x v="59"/>
    <x v="9"/>
    <s v="Percent of GDP"/>
    <s v="Units"/>
    <x v="6"/>
    <n v="-3.7839999999999998"/>
  </r>
  <r>
    <n v="400"/>
    <x v="11"/>
    <x v="59"/>
    <x v="9"/>
    <s v="Percent of GDP"/>
    <s v="Units"/>
    <x v="0"/>
    <n v="-3.5510000000000002"/>
  </r>
  <r>
    <n v="400"/>
    <x v="11"/>
    <x v="59"/>
    <x v="9"/>
    <s v="Percent of GDP"/>
    <s v="Units"/>
    <x v="1"/>
    <n v="-7.1470000000000002"/>
  </r>
  <r>
    <n v="400"/>
    <x v="11"/>
    <x v="59"/>
    <x v="9"/>
    <s v="Percent of GDP"/>
    <s v="Units"/>
    <x v="2"/>
    <n v="-5.9850000000000003"/>
  </r>
  <r>
    <n v="400"/>
    <x v="11"/>
    <x v="59"/>
    <x v="9"/>
    <s v="Percent of GDP"/>
    <s v="Units"/>
    <x v="3"/>
    <n v="-5.3789999999999996"/>
  </r>
  <r>
    <n v="400"/>
    <x v="11"/>
    <x v="59"/>
    <x v="9"/>
    <s v="Percent of GDP"/>
    <s v="Units"/>
    <x v="4"/>
    <n v="-4.431"/>
  </r>
  <r>
    <n v="400"/>
    <x v="11"/>
    <x v="59"/>
    <x v="9"/>
    <s v="Percent of GDP"/>
    <s v="Units"/>
    <x v="5"/>
    <n v="-4.2880000000000003"/>
  </r>
  <r>
    <n v="400"/>
    <x v="11"/>
    <x v="59"/>
    <x v="9"/>
    <s v="Percent of GDP"/>
    <s v="Units"/>
    <x v="6"/>
    <n v="-3.7839999999999998"/>
  </r>
  <r>
    <n v="205"/>
    <x v="7"/>
    <x v="79"/>
    <x v="4"/>
    <s v="Percent change"/>
    <s v="Units"/>
    <x v="0"/>
    <n v="-9.6000000000000002E-2"/>
  </r>
  <r>
    <n v="205"/>
    <x v="7"/>
    <x v="79"/>
    <x v="4"/>
    <s v="Percent change"/>
    <s v="Units"/>
    <x v="1"/>
    <n v="-27.733000000000001"/>
  </r>
  <r>
    <n v="205"/>
    <x v="7"/>
    <x v="79"/>
    <x v="4"/>
    <s v="Percent change"/>
    <s v="Units"/>
    <x v="2"/>
    <n v="26.867000000000001"/>
  </r>
  <r>
    <n v="205"/>
    <x v="7"/>
    <x v="79"/>
    <x v="4"/>
    <s v="Percent change"/>
    <s v="Units"/>
    <x v="3"/>
    <n v="29.283999999999999"/>
  </r>
  <r>
    <n v="205"/>
    <x v="7"/>
    <x v="79"/>
    <x v="4"/>
    <s v="Percent change"/>
    <s v="Units"/>
    <x v="4"/>
    <n v="12.086"/>
  </r>
  <r>
    <n v="205"/>
    <x v="7"/>
    <x v="79"/>
    <x v="4"/>
    <s v="Percent change"/>
    <s v="Units"/>
    <x v="5"/>
    <n v="-4.2990000000000004"/>
  </r>
  <r>
    <n v="205"/>
    <x v="7"/>
    <x v="79"/>
    <x v="4"/>
    <s v="Percent change"/>
    <s v="Units"/>
    <x v="6"/>
    <n v="4.4210000000000003"/>
  </r>
  <r>
    <n v="200"/>
    <x v="3"/>
    <x v="79"/>
    <x v="4"/>
    <s v="Percent change"/>
    <s v="Units"/>
    <x v="0"/>
    <n v="-9.6000000000000002E-2"/>
  </r>
  <r>
    <n v="200"/>
    <x v="3"/>
    <x v="79"/>
    <x v="4"/>
    <s v="Percent change"/>
    <s v="Units"/>
    <x v="1"/>
    <n v="-27.733000000000001"/>
  </r>
  <r>
    <n v="200"/>
    <x v="3"/>
    <x v="79"/>
    <x v="4"/>
    <s v="Percent change"/>
    <s v="Units"/>
    <x v="2"/>
    <n v="26.867000000000001"/>
  </r>
  <r>
    <n v="200"/>
    <x v="3"/>
    <x v="79"/>
    <x v="4"/>
    <s v="Percent change"/>
    <s v="Units"/>
    <x v="3"/>
    <n v="29.283999999999999"/>
  </r>
  <r>
    <n v="200"/>
    <x v="3"/>
    <x v="79"/>
    <x v="4"/>
    <s v="Percent change"/>
    <s v="Units"/>
    <x v="4"/>
    <n v="12.086"/>
  </r>
  <r>
    <n v="200"/>
    <x v="3"/>
    <x v="79"/>
    <x v="4"/>
    <s v="Percent change"/>
    <s v="Units"/>
    <x v="5"/>
    <n v="-4.2990000000000004"/>
  </r>
  <r>
    <n v="200"/>
    <x v="3"/>
    <x v="79"/>
    <x v="4"/>
    <s v="Percent change"/>
    <s v="Units"/>
    <x v="6"/>
    <n v="4.4210000000000003"/>
  </r>
  <r>
    <n v="1"/>
    <x v="2"/>
    <x v="79"/>
    <x v="4"/>
    <s v="Percent change"/>
    <s v="Units"/>
    <x v="0"/>
    <n v="-9.6000000000000002E-2"/>
  </r>
  <r>
    <n v="1"/>
    <x v="2"/>
    <x v="79"/>
    <x v="4"/>
    <s v="Percent change"/>
    <s v="Units"/>
    <x v="1"/>
    <n v="-27.733000000000001"/>
  </r>
  <r>
    <n v="1"/>
    <x v="2"/>
    <x v="79"/>
    <x v="4"/>
    <s v="Percent change"/>
    <s v="Units"/>
    <x v="2"/>
    <n v="26.867000000000001"/>
  </r>
  <r>
    <n v="1"/>
    <x v="2"/>
    <x v="79"/>
    <x v="4"/>
    <s v="Percent change"/>
    <s v="Units"/>
    <x v="3"/>
    <n v="29.283999999999999"/>
  </r>
  <r>
    <n v="1"/>
    <x v="2"/>
    <x v="79"/>
    <x v="4"/>
    <s v="Percent change"/>
    <s v="Units"/>
    <x v="4"/>
    <n v="12.086"/>
  </r>
  <r>
    <n v="1"/>
    <x v="2"/>
    <x v="79"/>
    <x v="4"/>
    <s v="Percent change"/>
    <s v="Units"/>
    <x v="5"/>
    <n v="-4.2990000000000004"/>
  </r>
  <r>
    <n v="1"/>
    <x v="2"/>
    <x v="79"/>
    <x v="4"/>
    <s v="Percent change"/>
    <s v="Units"/>
    <x v="6"/>
    <n v="4.4210000000000003"/>
  </r>
  <r>
    <n v="163"/>
    <x v="5"/>
    <x v="6"/>
    <x v="12"/>
    <s v="Percent of potential GDP"/>
    <s v="Units"/>
    <x v="0"/>
    <n v="-2.109"/>
  </r>
  <r>
    <n v="163"/>
    <x v="5"/>
    <x v="6"/>
    <x v="12"/>
    <s v="Percent of potential GDP"/>
    <s v="Units"/>
    <x v="1"/>
    <n v="-5.9770000000000003"/>
  </r>
  <r>
    <n v="163"/>
    <x v="5"/>
    <x v="6"/>
    <x v="12"/>
    <s v="Percent of potential GDP"/>
    <s v="Units"/>
    <x v="2"/>
    <n v="-5.0369999999999999"/>
  </r>
  <r>
    <n v="163"/>
    <x v="5"/>
    <x v="6"/>
    <x v="12"/>
    <s v="Percent of potential GDP"/>
    <s v="Units"/>
    <x v="3"/>
    <n v="-4.1879999999999997"/>
  </r>
  <r>
    <n v="163"/>
    <x v="5"/>
    <x v="6"/>
    <x v="12"/>
    <s v="Percent of potential GDP"/>
    <s v="Units"/>
    <x v="4"/>
    <n v="-4.8819999999999997"/>
  </r>
  <r>
    <n v="163"/>
    <x v="5"/>
    <x v="6"/>
    <x v="12"/>
    <s v="Percent of potential GDP"/>
    <s v="Units"/>
    <x v="5"/>
    <n v="-4.3280000000000003"/>
  </r>
  <r>
    <n v="163"/>
    <x v="5"/>
    <x v="6"/>
    <x v="12"/>
    <s v="Percent of potential GDP"/>
    <s v="Units"/>
    <x v="6"/>
    <n v="-4.4290000000000003"/>
  </r>
  <r>
    <n v="119"/>
    <x v="1"/>
    <x v="6"/>
    <x v="12"/>
    <s v="Percent of potential GDP"/>
    <s v="Units"/>
    <x v="0"/>
    <n v="-2.109"/>
  </r>
  <r>
    <n v="119"/>
    <x v="1"/>
    <x v="6"/>
    <x v="12"/>
    <s v="Percent of potential GDP"/>
    <s v="Units"/>
    <x v="1"/>
    <n v="-5.9770000000000003"/>
  </r>
  <r>
    <n v="119"/>
    <x v="1"/>
    <x v="6"/>
    <x v="12"/>
    <s v="Percent of potential GDP"/>
    <s v="Units"/>
    <x v="2"/>
    <n v="-5.0369999999999999"/>
  </r>
  <r>
    <n v="119"/>
    <x v="1"/>
    <x v="6"/>
    <x v="12"/>
    <s v="Percent of potential GDP"/>
    <s v="Units"/>
    <x v="3"/>
    <n v="-4.1879999999999997"/>
  </r>
  <r>
    <n v="119"/>
    <x v="1"/>
    <x v="6"/>
    <x v="12"/>
    <s v="Percent of potential GDP"/>
    <s v="Units"/>
    <x v="4"/>
    <n v="-4.8819999999999997"/>
  </r>
  <r>
    <n v="119"/>
    <x v="1"/>
    <x v="6"/>
    <x v="12"/>
    <s v="Percent of potential GDP"/>
    <s v="Units"/>
    <x v="5"/>
    <n v="-4.3280000000000003"/>
  </r>
  <r>
    <n v="119"/>
    <x v="1"/>
    <x v="6"/>
    <x v="12"/>
    <s v="Percent of potential GDP"/>
    <s v="Units"/>
    <x v="6"/>
    <n v="-4.4290000000000003"/>
  </r>
  <r>
    <n v="110"/>
    <x v="0"/>
    <x v="6"/>
    <x v="12"/>
    <s v="Percent of potential GDP"/>
    <s v="Units"/>
    <x v="0"/>
    <n v="-2.109"/>
  </r>
  <r>
    <n v="110"/>
    <x v="0"/>
    <x v="6"/>
    <x v="12"/>
    <s v="Percent of potential GDP"/>
    <s v="Units"/>
    <x v="1"/>
    <n v="-5.9770000000000003"/>
  </r>
  <r>
    <n v="110"/>
    <x v="0"/>
    <x v="6"/>
    <x v="12"/>
    <s v="Percent of potential GDP"/>
    <s v="Units"/>
    <x v="2"/>
    <n v="-5.0369999999999999"/>
  </r>
  <r>
    <n v="110"/>
    <x v="0"/>
    <x v="6"/>
    <x v="12"/>
    <s v="Percent of potential GDP"/>
    <s v="Units"/>
    <x v="3"/>
    <n v="-4.1879999999999997"/>
  </r>
  <r>
    <n v="110"/>
    <x v="0"/>
    <x v="6"/>
    <x v="12"/>
    <s v="Percent of potential GDP"/>
    <s v="Units"/>
    <x v="4"/>
    <n v="-4.8819999999999997"/>
  </r>
  <r>
    <n v="110"/>
    <x v="0"/>
    <x v="6"/>
    <x v="12"/>
    <s v="Percent of potential GDP"/>
    <s v="Units"/>
    <x v="5"/>
    <n v="-4.3280000000000003"/>
  </r>
  <r>
    <n v="110"/>
    <x v="0"/>
    <x v="6"/>
    <x v="12"/>
    <s v="Percent of potential GDP"/>
    <s v="Units"/>
    <x v="6"/>
    <n v="-4.4290000000000003"/>
  </r>
  <r>
    <n v="998"/>
    <x v="6"/>
    <x v="128"/>
    <x v="9"/>
    <s v="Percent of GDP"/>
    <s v="Units"/>
    <x v="0"/>
    <n v="0.51300000000000001"/>
  </r>
  <r>
    <n v="998"/>
    <x v="6"/>
    <x v="128"/>
    <x v="9"/>
    <s v="Percent of GDP"/>
    <s v="Units"/>
    <x v="1"/>
    <n v="-9.6210000000000004"/>
  </r>
  <r>
    <n v="998"/>
    <x v="6"/>
    <x v="128"/>
    <x v="9"/>
    <s v="Percent of GDP"/>
    <s v="Units"/>
    <x v="2"/>
    <n v="-7.4450000000000003"/>
  </r>
  <r>
    <n v="998"/>
    <x v="6"/>
    <x v="128"/>
    <x v="9"/>
    <s v="Percent of GDP"/>
    <s v="Units"/>
    <x v="3"/>
    <n v="-5.6340000000000003"/>
  </r>
  <r>
    <n v="998"/>
    <x v="6"/>
    <x v="128"/>
    <x v="9"/>
    <s v="Percent of GDP"/>
    <s v="Units"/>
    <x v="4"/>
    <n v="-4.7750000000000004"/>
  </r>
  <r>
    <n v="998"/>
    <x v="6"/>
    <x v="128"/>
    <x v="9"/>
    <s v="Percent of GDP"/>
    <s v="Units"/>
    <x v="5"/>
    <n v="-4.3689999999999998"/>
  </r>
  <r>
    <n v="998"/>
    <x v="6"/>
    <x v="128"/>
    <x v="9"/>
    <s v="Percent of GDP"/>
    <s v="Units"/>
    <x v="6"/>
    <n v="-3.9660000000000002"/>
  </r>
  <r>
    <n v="110"/>
    <x v="0"/>
    <x v="128"/>
    <x v="9"/>
    <s v="Percent of GDP"/>
    <s v="Units"/>
    <x v="0"/>
    <n v="0.51300000000000001"/>
  </r>
  <r>
    <n v="110"/>
    <x v="0"/>
    <x v="128"/>
    <x v="9"/>
    <s v="Percent of GDP"/>
    <s v="Units"/>
    <x v="1"/>
    <n v="-9.6210000000000004"/>
  </r>
  <r>
    <n v="110"/>
    <x v="0"/>
    <x v="128"/>
    <x v="9"/>
    <s v="Percent of GDP"/>
    <s v="Units"/>
    <x v="2"/>
    <n v="-7.4450000000000003"/>
  </r>
  <r>
    <n v="110"/>
    <x v="0"/>
    <x v="128"/>
    <x v="9"/>
    <s v="Percent of GDP"/>
    <s v="Units"/>
    <x v="3"/>
    <n v="-5.6340000000000003"/>
  </r>
  <r>
    <n v="110"/>
    <x v="0"/>
    <x v="128"/>
    <x v="9"/>
    <s v="Percent of GDP"/>
    <s v="Units"/>
    <x v="4"/>
    <n v="-4.7750000000000004"/>
  </r>
  <r>
    <n v="110"/>
    <x v="0"/>
    <x v="128"/>
    <x v="9"/>
    <s v="Percent of GDP"/>
    <s v="Units"/>
    <x v="5"/>
    <n v="-4.3689999999999998"/>
  </r>
  <r>
    <n v="110"/>
    <x v="0"/>
    <x v="128"/>
    <x v="9"/>
    <s v="Percent of GDP"/>
    <s v="Units"/>
    <x v="6"/>
    <n v="-3.9660000000000002"/>
  </r>
  <r>
    <n v="163"/>
    <x v="5"/>
    <x v="128"/>
    <x v="9"/>
    <s v="Percent of GDP"/>
    <s v="Units"/>
    <x v="0"/>
    <n v="0.51300000000000001"/>
  </r>
  <r>
    <n v="163"/>
    <x v="5"/>
    <x v="128"/>
    <x v="9"/>
    <s v="Percent of GDP"/>
    <s v="Units"/>
    <x v="1"/>
    <n v="-9.6210000000000004"/>
  </r>
  <r>
    <n v="163"/>
    <x v="5"/>
    <x v="128"/>
    <x v="9"/>
    <s v="Percent of GDP"/>
    <s v="Units"/>
    <x v="2"/>
    <n v="-7.4450000000000003"/>
  </r>
  <r>
    <n v="163"/>
    <x v="5"/>
    <x v="128"/>
    <x v="9"/>
    <s v="Percent of GDP"/>
    <s v="Units"/>
    <x v="3"/>
    <n v="-5.6340000000000003"/>
  </r>
  <r>
    <n v="163"/>
    <x v="5"/>
    <x v="128"/>
    <x v="9"/>
    <s v="Percent of GDP"/>
    <s v="Units"/>
    <x v="4"/>
    <n v="-4.7750000000000004"/>
  </r>
  <r>
    <n v="163"/>
    <x v="5"/>
    <x v="128"/>
    <x v="9"/>
    <s v="Percent of GDP"/>
    <s v="Units"/>
    <x v="5"/>
    <n v="-4.3689999999999998"/>
  </r>
  <r>
    <n v="163"/>
    <x v="5"/>
    <x v="128"/>
    <x v="9"/>
    <s v="Percent of GDP"/>
    <s v="Units"/>
    <x v="6"/>
    <n v="-3.9660000000000002"/>
  </r>
  <r>
    <n v="200"/>
    <x v="3"/>
    <x v="147"/>
    <x v="9"/>
    <s v="Percent of GDP"/>
    <s v="Units"/>
    <x v="0"/>
    <n v="-3.613"/>
  </r>
  <r>
    <n v="200"/>
    <x v="3"/>
    <x v="147"/>
    <x v="9"/>
    <s v="Percent of GDP"/>
    <s v="Units"/>
    <x v="1"/>
    <n v="-8.0619999999999994"/>
  </r>
  <r>
    <n v="200"/>
    <x v="3"/>
    <x v="147"/>
    <x v="9"/>
    <s v="Percent of GDP"/>
    <s v="Units"/>
    <x v="2"/>
    <n v="-13.657"/>
  </r>
  <r>
    <n v="200"/>
    <x v="3"/>
    <x v="147"/>
    <x v="9"/>
    <s v="Percent of GDP"/>
    <s v="Units"/>
    <x v="3"/>
    <n v="-12.119"/>
  </r>
  <r>
    <n v="200"/>
    <x v="3"/>
    <x v="147"/>
    <x v="9"/>
    <s v="Percent of GDP"/>
    <s v="Units"/>
    <x v="4"/>
    <n v="-7.125"/>
  </r>
  <r>
    <n v="200"/>
    <x v="3"/>
    <x v="147"/>
    <x v="9"/>
    <s v="Percent of GDP"/>
    <s v="Units"/>
    <x v="5"/>
    <n v="-4.391"/>
  </r>
  <r>
    <n v="200"/>
    <x v="3"/>
    <x v="147"/>
    <x v="9"/>
    <s v="Percent of GDP"/>
    <s v="Units"/>
    <x v="6"/>
    <n v="-4.4379999999999997"/>
  </r>
  <r>
    <n v="505"/>
    <x v="4"/>
    <x v="147"/>
    <x v="9"/>
    <s v="Percent of GDP"/>
    <s v="Units"/>
    <x v="0"/>
    <n v="-3.613"/>
  </r>
  <r>
    <n v="505"/>
    <x v="4"/>
    <x v="147"/>
    <x v="9"/>
    <s v="Percent of GDP"/>
    <s v="Units"/>
    <x v="1"/>
    <n v="-8.0619999999999994"/>
  </r>
  <r>
    <n v="505"/>
    <x v="4"/>
    <x v="147"/>
    <x v="9"/>
    <s v="Percent of GDP"/>
    <s v="Units"/>
    <x v="2"/>
    <n v="-13.657"/>
  </r>
  <r>
    <n v="505"/>
    <x v="4"/>
    <x v="147"/>
    <x v="9"/>
    <s v="Percent of GDP"/>
    <s v="Units"/>
    <x v="3"/>
    <n v="-12.119"/>
  </r>
  <r>
    <n v="505"/>
    <x v="4"/>
    <x v="147"/>
    <x v="9"/>
    <s v="Percent of GDP"/>
    <s v="Units"/>
    <x v="4"/>
    <n v="-7.125"/>
  </r>
  <r>
    <n v="505"/>
    <x v="4"/>
    <x v="147"/>
    <x v="9"/>
    <s v="Percent of GDP"/>
    <s v="Units"/>
    <x v="5"/>
    <n v="-4.391"/>
  </r>
  <r>
    <n v="505"/>
    <x v="4"/>
    <x v="147"/>
    <x v="9"/>
    <s v="Percent of GDP"/>
    <s v="Units"/>
    <x v="6"/>
    <n v="-4.4379999999999997"/>
  </r>
  <r>
    <n v="998"/>
    <x v="6"/>
    <x v="21"/>
    <x v="9"/>
    <s v="Percent of GDP"/>
    <s v="Units"/>
    <x v="0"/>
    <n v="-1.9910000000000001"/>
  </r>
  <r>
    <n v="998"/>
    <x v="6"/>
    <x v="21"/>
    <x v="9"/>
    <s v="Percent of GDP"/>
    <s v="Units"/>
    <x v="1"/>
    <n v="-8.8659999999999997"/>
  </r>
  <r>
    <n v="998"/>
    <x v="6"/>
    <x v="21"/>
    <x v="9"/>
    <s v="Percent of GDP"/>
    <s v="Units"/>
    <x v="2"/>
    <n v="-5.3710000000000004"/>
  </r>
  <r>
    <n v="998"/>
    <x v="6"/>
    <x v="21"/>
    <x v="9"/>
    <s v="Percent of GDP"/>
    <s v="Units"/>
    <x v="3"/>
    <n v="-3.5390000000000001"/>
  </r>
  <r>
    <n v="998"/>
    <x v="6"/>
    <x v="21"/>
    <x v="9"/>
    <s v="Percent of GDP"/>
    <s v="Units"/>
    <x v="4"/>
    <n v="-4.6310000000000002"/>
  </r>
  <r>
    <n v="998"/>
    <x v="6"/>
    <x v="21"/>
    <x v="9"/>
    <s v="Percent of GDP"/>
    <s v="Units"/>
    <x v="5"/>
    <n v="-4.3959999999999999"/>
  </r>
  <r>
    <n v="998"/>
    <x v="6"/>
    <x v="21"/>
    <x v="9"/>
    <s v="Percent of GDP"/>
    <s v="Units"/>
    <x v="6"/>
    <n v="-4.6589999999999998"/>
  </r>
  <r>
    <n v="110"/>
    <x v="0"/>
    <x v="21"/>
    <x v="9"/>
    <s v="Percent of GDP"/>
    <s v="Units"/>
    <x v="0"/>
    <n v="-1.9910000000000001"/>
  </r>
  <r>
    <n v="110"/>
    <x v="0"/>
    <x v="21"/>
    <x v="9"/>
    <s v="Percent of GDP"/>
    <s v="Units"/>
    <x v="1"/>
    <n v="-8.8659999999999997"/>
  </r>
  <r>
    <n v="110"/>
    <x v="0"/>
    <x v="21"/>
    <x v="9"/>
    <s v="Percent of GDP"/>
    <s v="Units"/>
    <x v="2"/>
    <n v="-5.3710000000000004"/>
  </r>
  <r>
    <n v="110"/>
    <x v="0"/>
    <x v="21"/>
    <x v="9"/>
    <s v="Percent of GDP"/>
    <s v="Units"/>
    <x v="3"/>
    <n v="-3.5390000000000001"/>
  </r>
  <r>
    <n v="110"/>
    <x v="0"/>
    <x v="21"/>
    <x v="9"/>
    <s v="Percent of GDP"/>
    <s v="Units"/>
    <x v="4"/>
    <n v="-4.6310000000000002"/>
  </r>
  <r>
    <n v="110"/>
    <x v="0"/>
    <x v="21"/>
    <x v="9"/>
    <s v="Percent of GDP"/>
    <s v="Units"/>
    <x v="5"/>
    <n v="-4.3959999999999999"/>
  </r>
  <r>
    <n v="110"/>
    <x v="0"/>
    <x v="21"/>
    <x v="9"/>
    <s v="Percent of GDP"/>
    <s v="Units"/>
    <x v="6"/>
    <n v="-4.6589999999999998"/>
  </r>
  <r>
    <n v="163"/>
    <x v="5"/>
    <x v="21"/>
    <x v="9"/>
    <s v="Percent of GDP"/>
    <s v="Units"/>
    <x v="0"/>
    <n v="-1.9910000000000001"/>
  </r>
  <r>
    <n v="163"/>
    <x v="5"/>
    <x v="21"/>
    <x v="9"/>
    <s v="Percent of GDP"/>
    <s v="Units"/>
    <x v="1"/>
    <n v="-8.8659999999999997"/>
  </r>
  <r>
    <n v="163"/>
    <x v="5"/>
    <x v="21"/>
    <x v="9"/>
    <s v="Percent of GDP"/>
    <s v="Units"/>
    <x v="2"/>
    <n v="-5.3710000000000004"/>
  </r>
  <r>
    <n v="163"/>
    <x v="5"/>
    <x v="21"/>
    <x v="9"/>
    <s v="Percent of GDP"/>
    <s v="Units"/>
    <x v="3"/>
    <n v="-3.5390000000000001"/>
  </r>
  <r>
    <n v="163"/>
    <x v="5"/>
    <x v="21"/>
    <x v="9"/>
    <s v="Percent of GDP"/>
    <s v="Units"/>
    <x v="4"/>
    <n v="-4.6310000000000002"/>
  </r>
  <r>
    <n v="163"/>
    <x v="5"/>
    <x v="21"/>
    <x v="9"/>
    <s v="Percent of GDP"/>
    <s v="Units"/>
    <x v="5"/>
    <n v="-4.3959999999999999"/>
  </r>
  <r>
    <n v="163"/>
    <x v="5"/>
    <x v="21"/>
    <x v="9"/>
    <s v="Percent of GDP"/>
    <s v="Units"/>
    <x v="6"/>
    <n v="-4.6589999999999998"/>
  </r>
  <r>
    <n v="110"/>
    <x v="0"/>
    <x v="21"/>
    <x v="12"/>
    <s v="Percent of potential GDP"/>
    <s v="Units"/>
    <x v="0"/>
    <n v="-2.9329999999999998"/>
  </r>
  <r>
    <n v="110"/>
    <x v="0"/>
    <x v="21"/>
    <x v="12"/>
    <s v="Percent of potential GDP"/>
    <s v="Units"/>
    <x v="1"/>
    <n v="-6.3159999999999998"/>
  </r>
  <r>
    <n v="110"/>
    <x v="0"/>
    <x v="21"/>
    <x v="12"/>
    <s v="Percent of potential GDP"/>
    <s v="Units"/>
    <x v="2"/>
    <n v="-5.1669999999999998"/>
  </r>
  <r>
    <n v="110"/>
    <x v="0"/>
    <x v="21"/>
    <x v="12"/>
    <s v="Percent of potential GDP"/>
    <s v="Units"/>
    <x v="3"/>
    <n v="-4.0449999999999999"/>
  </r>
  <r>
    <n v="110"/>
    <x v="0"/>
    <x v="21"/>
    <x v="12"/>
    <s v="Percent of potential GDP"/>
    <s v="Units"/>
    <x v="4"/>
    <n v="-4.7619999999999996"/>
  </r>
  <r>
    <n v="110"/>
    <x v="0"/>
    <x v="21"/>
    <x v="12"/>
    <s v="Percent of potential GDP"/>
    <s v="Units"/>
    <x v="5"/>
    <n v="-4.4279999999999999"/>
  </r>
  <r>
    <n v="110"/>
    <x v="0"/>
    <x v="21"/>
    <x v="12"/>
    <s v="Percent of potential GDP"/>
    <s v="Units"/>
    <x v="6"/>
    <n v="-4.7359999999999998"/>
  </r>
  <r>
    <n v="163"/>
    <x v="5"/>
    <x v="21"/>
    <x v="12"/>
    <s v="Percent of potential GDP"/>
    <s v="Units"/>
    <x v="0"/>
    <n v="-2.9329999999999998"/>
  </r>
  <r>
    <n v="163"/>
    <x v="5"/>
    <x v="21"/>
    <x v="12"/>
    <s v="Percent of potential GDP"/>
    <s v="Units"/>
    <x v="1"/>
    <n v="-6.3159999999999998"/>
  </r>
  <r>
    <n v="163"/>
    <x v="5"/>
    <x v="21"/>
    <x v="12"/>
    <s v="Percent of potential GDP"/>
    <s v="Units"/>
    <x v="2"/>
    <n v="-5.1669999999999998"/>
  </r>
  <r>
    <n v="163"/>
    <x v="5"/>
    <x v="21"/>
    <x v="12"/>
    <s v="Percent of potential GDP"/>
    <s v="Units"/>
    <x v="3"/>
    <n v="-4.0449999999999999"/>
  </r>
  <r>
    <n v="163"/>
    <x v="5"/>
    <x v="21"/>
    <x v="12"/>
    <s v="Percent of potential GDP"/>
    <s v="Units"/>
    <x v="4"/>
    <n v="-4.7619999999999996"/>
  </r>
  <r>
    <n v="163"/>
    <x v="5"/>
    <x v="21"/>
    <x v="12"/>
    <s v="Percent of potential GDP"/>
    <s v="Units"/>
    <x v="5"/>
    <n v="-4.4279999999999999"/>
  </r>
  <r>
    <n v="163"/>
    <x v="5"/>
    <x v="21"/>
    <x v="12"/>
    <s v="Percent of potential GDP"/>
    <s v="Units"/>
    <x v="6"/>
    <n v="-4.7359999999999998"/>
  </r>
  <r>
    <n v="123"/>
    <x v="9"/>
    <x v="38"/>
    <x v="9"/>
    <s v="Percent of GDP"/>
    <s v="Units"/>
    <x v="0"/>
    <n v="-0.58299999999999996"/>
  </r>
  <r>
    <n v="123"/>
    <x v="9"/>
    <x v="38"/>
    <x v="9"/>
    <s v="Percent of GDP"/>
    <s v="Units"/>
    <x v="1"/>
    <n v="-9.2289999999999992"/>
  </r>
  <r>
    <n v="123"/>
    <x v="9"/>
    <x v="38"/>
    <x v="9"/>
    <s v="Percent of GDP"/>
    <s v="Units"/>
    <x v="2"/>
    <n v="8.0000000000000002E-3"/>
  </r>
  <r>
    <n v="123"/>
    <x v="9"/>
    <x v="38"/>
    <x v="9"/>
    <s v="Percent of GDP"/>
    <s v="Units"/>
    <x v="3"/>
    <n v="-6.5529999999999999"/>
  </r>
  <r>
    <n v="123"/>
    <x v="9"/>
    <x v="38"/>
    <x v="9"/>
    <s v="Percent of GDP"/>
    <s v="Units"/>
    <x v="4"/>
    <n v="-5.681"/>
  </r>
  <r>
    <n v="123"/>
    <x v="9"/>
    <x v="38"/>
    <x v="9"/>
    <s v="Percent of GDP"/>
    <s v="Units"/>
    <x v="5"/>
    <n v="-4.4610000000000003"/>
  </r>
  <r>
    <n v="123"/>
    <x v="9"/>
    <x v="38"/>
    <x v="9"/>
    <s v="Percent of GDP"/>
    <s v="Units"/>
    <x v="6"/>
    <n v="-2.4649999999999999"/>
  </r>
  <r>
    <n v="110"/>
    <x v="0"/>
    <x v="38"/>
    <x v="9"/>
    <s v="Percent of GDP"/>
    <s v="Units"/>
    <x v="0"/>
    <n v="-0.58299999999999996"/>
  </r>
  <r>
    <n v="110"/>
    <x v="0"/>
    <x v="38"/>
    <x v="9"/>
    <s v="Percent of GDP"/>
    <s v="Units"/>
    <x v="1"/>
    <n v="-9.2289999999999992"/>
  </r>
  <r>
    <n v="110"/>
    <x v="0"/>
    <x v="38"/>
    <x v="9"/>
    <s v="Percent of GDP"/>
    <s v="Units"/>
    <x v="2"/>
    <n v="8.0000000000000002E-3"/>
  </r>
  <r>
    <n v="110"/>
    <x v="0"/>
    <x v="38"/>
    <x v="9"/>
    <s v="Percent of GDP"/>
    <s v="Units"/>
    <x v="3"/>
    <n v="-6.5529999999999999"/>
  </r>
  <r>
    <n v="110"/>
    <x v="0"/>
    <x v="38"/>
    <x v="9"/>
    <s v="Percent of GDP"/>
    <s v="Units"/>
    <x v="4"/>
    <n v="-5.681"/>
  </r>
  <r>
    <n v="110"/>
    <x v="0"/>
    <x v="38"/>
    <x v="9"/>
    <s v="Percent of GDP"/>
    <s v="Units"/>
    <x v="5"/>
    <n v="-4.4610000000000003"/>
  </r>
  <r>
    <n v="110"/>
    <x v="0"/>
    <x v="38"/>
    <x v="9"/>
    <s v="Percent of GDP"/>
    <s v="Units"/>
    <x v="6"/>
    <n v="-2.4649999999999999"/>
  </r>
  <r>
    <n v="119"/>
    <x v="1"/>
    <x v="5"/>
    <x v="9"/>
    <s v="Percent of GDP"/>
    <s v="Units"/>
    <x v="0"/>
    <n v="-2.4809999999999999"/>
  </r>
  <r>
    <n v="119"/>
    <x v="1"/>
    <x v="5"/>
    <x v="9"/>
    <s v="Percent of GDP"/>
    <s v="Units"/>
    <x v="1"/>
    <n v="-13.14"/>
  </r>
  <r>
    <n v="119"/>
    <x v="1"/>
    <x v="5"/>
    <x v="9"/>
    <s v="Percent of GDP"/>
    <s v="Units"/>
    <x v="2"/>
    <n v="-7.8639999999999999"/>
  </r>
  <r>
    <n v="119"/>
    <x v="1"/>
    <x v="5"/>
    <x v="9"/>
    <s v="Percent of GDP"/>
    <s v="Units"/>
    <x v="3"/>
    <n v="-4.7409999999999997"/>
  </r>
  <r>
    <n v="119"/>
    <x v="1"/>
    <x v="5"/>
    <x v="9"/>
    <s v="Percent of GDP"/>
    <s v="Units"/>
    <x v="4"/>
    <n v="-6.03"/>
  </r>
  <r>
    <n v="119"/>
    <x v="1"/>
    <x v="5"/>
    <x v="9"/>
    <s v="Percent of GDP"/>
    <s v="Units"/>
    <x v="5"/>
    <n v="-4.5810000000000004"/>
  </r>
  <r>
    <n v="119"/>
    <x v="1"/>
    <x v="5"/>
    <x v="9"/>
    <s v="Percent of GDP"/>
    <s v="Units"/>
    <x v="6"/>
    <n v="-3.7160000000000002"/>
  </r>
  <r>
    <n v="110"/>
    <x v="0"/>
    <x v="5"/>
    <x v="9"/>
    <s v="Percent of GDP"/>
    <s v="Units"/>
    <x v="0"/>
    <n v="-2.4809999999999999"/>
  </r>
  <r>
    <n v="110"/>
    <x v="0"/>
    <x v="5"/>
    <x v="9"/>
    <s v="Percent of GDP"/>
    <s v="Units"/>
    <x v="1"/>
    <n v="-13.14"/>
  </r>
  <r>
    <n v="110"/>
    <x v="0"/>
    <x v="5"/>
    <x v="9"/>
    <s v="Percent of GDP"/>
    <s v="Units"/>
    <x v="2"/>
    <n v="-7.8639999999999999"/>
  </r>
  <r>
    <n v="110"/>
    <x v="0"/>
    <x v="5"/>
    <x v="9"/>
    <s v="Percent of GDP"/>
    <s v="Units"/>
    <x v="3"/>
    <n v="-4.7409999999999997"/>
  </r>
  <r>
    <n v="110"/>
    <x v="0"/>
    <x v="5"/>
    <x v="9"/>
    <s v="Percent of GDP"/>
    <s v="Units"/>
    <x v="4"/>
    <n v="-6.03"/>
  </r>
  <r>
    <n v="110"/>
    <x v="0"/>
    <x v="5"/>
    <x v="9"/>
    <s v="Percent of GDP"/>
    <s v="Units"/>
    <x v="5"/>
    <n v="-4.5810000000000004"/>
  </r>
  <r>
    <n v="110"/>
    <x v="0"/>
    <x v="5"/>
    <x v="9"/>
    <s v="Percent of GDP"/>
    <s v="Units"/>
    <x v="6"/>
    <n v="-3.7160000000000002"/>
  </r>
  <r>
    <n v="603"/>
    <x v="12"/>
    <x v="52"/>
    <x v="9"/>
    <s v="Percent of GDP"/>
    <s v="Units"/>
    <x v="0"/>
    <n v="-4.6900000000000004"/>
  </r>
  <r>
    <n v="603"/>
    <x v="12"/>
    <x v="52"/>
    <x v="9"/>
    <s v="Percent of GDP"/>
    <s v="Units"/>
    <x v="1"/>
    <n v="-5.5750000000000002"/>
  </r>
  <r>
    <n v="603"/>
    <x v="12"/>
    <x v="52"/>
    <x v="9"/>
    <s v="Percent of GDP"/>
    <s v="Units"/>
    <x v="2"/>
    <n v="-5.4809999999999999"/>
  </r>
  <r>
    <n v="603"/>
    <x v="12"/>
    <x v="52"/>
    <x v="9"/>
    <s v="Percent of GDP"/>
    <s v="Units"/>
    <x v="3"/>
    <n v="-5.42"/>
  </r>
  <r>
    <n v="603"/>
    <x v="12"/>
    <x v="52"/>
    <x v="9"/>
    <s v="Percent of GDP"/>
    <s v="Units"/>
    <x v="4"/>
    <n v="-4.226"/>
  </r>
  <r>
    <n v="603"/>
    <x v="12"/>
    <x v="52"/>
    <x v="9"/>
    <s v="Percent of GDP"/>
    <s v="Units"/>
    <x v="5"/>
    <n v="-4.6040000000000001"/>
  </r>
  <r>
    <n v="603"/>
    <x v="12"/>
    <x v="52"/>
    <x v="9"/>
    <s v="Percent of GDP"/>
    <s v="Units"/>
    <x v="6"/>
    <n v="-4.1929999999999996"/>
  </r>
  <r>
    <n v="200"/>
    <x v="3"/>
    <x v="52"/>
    <x v="9"/>
    <s v="Percent of GDP"/>
    <s v="Units"/>
    <x v="0"/>
    <n v="-4.6900000000000004"/>
  </r>
  <r>
    <n v="200"/>
    <x v="3"/>
    <x v="52"/>
    <x v="9"/>
    <s v="Percent of GDP"/>
    <s v="Units"/>
    <x v="1"/>
    <n v="-5.5750000000000002"/>
  </r>
  <r>
    <n v="200"/>
    <x v="3"/>
    <x v="52"/>
    <x v="9"/>
    <s v="Percent of GDP"/>
    <s v="Units"/>
    <x v="2"/>
    <n v="-5.4809999999999999"/>
  </r>
  <r>
    <n v="200"/>
    <x v="3"/>
    <x v="52"/>
    <x v="9"/>
    <s v="Percent of GDP"/>
    <s v="Units"/>
    <x v="3"/>
    <n v="-5.42"/>
  </r>
  <r>
    <n v="200"/>
    <x v="3"/>
    <x v="52"/>
    <x v="9"/>
    <s v="Percent of GDP"/>
    <s v="Units"/>
    <x v="4"/>
    <n v="-4.226"/>
  </r>
  <r>
    <n v="200"/>
    <x v="3"/>
    <x v="52"/>
    <x v="9"/>
    <s v="Percent of GDP"/>
    <s v="Units"/>
    <x v="5"/>
    <n v="-4.6040000000000001"/>
  </r>
  <r>
    <n v="200"/>
    <x v="3"/>
    <x v="52"/>
    <x v="9"/>
    <s v="Percent of GDP"/>
    <s v="Units"/>
    <x v="6"/>
    <n v="-4.1929999999999996"/>
  </r>
  <r>
    <n v="400"/>
    <x v="11"/>
    <x v="157"/>
    <x v="9"/>
    <s v="Percent of GDP"/>
    <s v="Units"/>
    <x v="0"/>
    <n v="-0.97699999999999998"/>
  </r>
  <r>
    <n v="400"/>
    <x v="11"/>
    <x v="157"/>
    <x v="9"/>
    <s v="Percent of GDP"/>
    <s v="Units"/>
    <x v="1"/>
    <n v="-5.4029999999999996"/>
  </r>
  <r>
    <n v="400"/>
    <x v="11"/>
    <x v="157"/>
    <x v="9"/>
    <s v="Percent of GDP"/>
    <s v="Units"/>
    <x v="2"/>
    <n v="-4.5839999999999996"/>
  </r>
  <r>
    <n v="400"/>
    <x v="11"/>
    <x v="157"/>
    <x v="9"/>
    <s v="Percent of GDP"/>
    <s v="Units"/>
    <x v="3"/>
    <n v="-2.1110000000000002"/>
  </r>
  <r>
    <n v="400"/>
    <x v="11"/>
    <x v="157"/>
    <x v="9"/>
    <s v="Percent of GDP"/>
    <s v="Units"/>
    <x v="4"/>
    <n v="-2.0169999999999999"/>
  </r>
  <r>
    <n v="400"/>
    <x v="11"/>
    <x v="157"/>
    <x v="9"/>
    <s v="Percent of GDP"/>
    <s v="Units"/>
    <x v="5"/>
    <n v="-4.609"/>
  </r>
  <r>
    <n v="400"/>
    <x v="11"/>
    <x v="157"/>
    <x v="9"/>
    <s v="Percent of GDP"/>
    <s v="Units"/>
    <x v="6"/>
    <n v="-4.633"/>
  </r>
  <r>
    <n v="200"/>
    <x v="3"/>
    <x v="157"/>
    <x v="9"/>
    <s v="Percent of GDP"/>
    <s v="Units"/>
    <x v="0"/>
    <n v="-0.97699999999999998"/>
  </r>
  <r>
    <n v="200"/>
    <x v="3"/>
    <x v="157"/>
    <x v="9"/>
    <s v="Percent of GDP"/>
    <s v="Units"/>
    <x v="1"/>
    <n v="-5.4029999999999996"/>
  </r>
  <r>
    <n v="200"/>
    <x v="3"/>
    <x v="157"/>
    <x v="9"/>
    <s v="Percent of GDP"/>
    <s v="Units"/>
    <x v="2"/>
    <n v="-4.5839999999999996"/>
  </r>
  <r>
    <n v="200"/>
    <x v="3"/>
    <x v="157"/>
    <x v="9"/>
    <s v="Percent of GDP"/>
    <s v="Units"/>
    <x v="3"/>
    <n v="-2.1110000000000002"/>
  </r>
  <r>
    <n v="200"/>
    <x v="3"/>
    <x v="157"/>
    <x v="9"/>
    <s v="Percent of GDP"/>
    <s v="Units"/>
    <x v="4"/>
    <n v="-2.0169999999999999"/>
  </r>
  <r>
    <n v="200"/>
    <x v="3"/>
    <x v="157"/>
    <x v="9"/>
    <s v="Percent of GDP"/>
    <s v="Units"/>
    <x v="5"/>
    <n v="-4.609"/>
  </r>
  <r>
    <n v="200"/>
    <x v="3"/>
    <x v="157"/>
    <x v="9"/>
    <s v="Percent of GDP"/>
    <s v="Units"/>
    <x v="6"/>
    <n v="-4.633"/>
  </r>
  <r>
    <n v="163"/>
    <x v="5"/>
    <x v="8"/>
    <x v="9"/>
    <s v="Percent of GDP"/>
    <s v="Units"/>
    <x v="0"/>
    <n v="-1.5029999999999999"/>
  </r>
  <r>
    <n v="163"/>
    <x v="5"/>
    <x v="8"/>
    <x v="9"/>
    <s v="Percent of GDP"/>
    <s v="Units"/>
    <x v="1"/>
    <n v="-9.3810000000000002"/>
  </r>
  <r>
    <n v="163"/>
    <x v="5"/>
    <x v="8"/>
    <x v="9"/>
    <s v="Percent of GDP"/>
    <s v="Units"/>
    <x v="2"/>
    <n v="-8.7360000000000007"/>
  </r>
  <r>
    <n v="163"/>
    <x v="5"/>
    <x v="8"/>
    <x v="9"/>
    <s v="Percent of GDP"/>
    <s v="Units"/>
    <x v="3"/>
    <n v="-8.5570000000000004"/>
  </r>
  <r>
    <n v="163"/>
    <x v="5"/>
    <x v="8"/>
    <x v="9"/>
    <s v="Percent of GDP"/>
    <s v="Units"/>
    <x v="4"/>
    <n v="-7.1680000000000001"/>
  </r>
  <r>
    <n v="163"/>
    <x v="5"/>
    <x v="8"/>
    <x v="9"/>
    <s v="Percent of GDP"/>
    <s v="Units"/>
    <x v="5"/>
    <n v="-4.6180000000000003"/>
  </r>
  <r>
    <n v="163"/>
    <x v="5"/>
    <x v="8"/>
    <x v="9"/>
    <s v="Percent of GDP"/>
    <s v="Units"/>
    <x v="6"/>
    <n v="-3.2069999999999999"/>
  </r>
  <r>
    <n v="998"/>
    <x v="6"/>
    <x v="8"/>
    <x v="9"/>
    <s v="Percent of GDP"/>
    <s v="Units"/>
    <x v="0"/>
    <n v="-1.5029999999999999"/>
  </r>
  <r>
    <n v="998"/>
    <x v="6"/>
    <x v="8"/>
    <x v="9"/>
    <s v="Percent of GDP"/>
    <s v="Units"/>
    <x v="1"/>
    <n v="-9.3810000000000002"/>
  </r>
  <r>
    <n v="998"/>
    <x v="6"/>
    <x v="8"/>
    <x v="9"/>
    <s v="Percent of GDP"/>
    <s v="Units"/>
    <x v="2"/>
    <n v="-8.7360000000000007"/>
  </r>
  <r>
    <n v="998"/>
    <x v="6"/>
    <x v="8"/>
    <x v="9"/>
    <s v="Percent of GDP"/>
    <s v="Units"/>
    <x v="3"/>
    <n v="-8.5570000000000004"/>
  </r>
  <r>
    <n v="998"/>
    <x v="6"/>
    <x v="8"/>
    <x v="9"/>
    <s v="Percent of GDP"/>
    <s v="Units"/>
    <x v="4"/>
    <n v="-7.1680000000000001"/>
  </r>
  <r>
    <n v="998"/>
    <x v="6"/>
    <x v="8"/>
    <x v="9"/>
    <s v="Percent of GDP"/>
    <s v="Units"/>
    <x v="5"/>
    <n v="-4.6180000000000003"/>
  </r>
  <r>
    <n v="998"/>
    <x v="6"/>
    <x v="8"/>
    <x v="9"/>
    <s v="Percent of GDP"/>
    <s v="Units"/>
    <x v="6"/>
    <n v="-3.2069999999999999"/>
  </r>
  <r>
    <n v="119"/>
    <x v="1"/>
    <x v="8"/>
    <x v="9"/>
    <s v="Percent of GDP"/>
    <s v="Units"/>
    <x v="0"/>
    <n v="-1.5029999999999999"/>
  </r>
  <r>
    <n v="119"/>
    <x v="1"/>
    <x v="8"/>
    <x v="9"/>
    <s v="Percent of GDP"/>
    <s v="Units"/>
    <x v="1"/>
    <n v="-9.3810000000000002"/>
  </r>
  <r>
    <n v="119"/>
    <x v="1"/>
    <x v="8"/>
    <x v="9"/>
    <s v="Percent of GDP"/>
    <s v="Units"/>
    <x v="2"/>
    <n v="-8.7360000000000007"/>
  </r>
  <r>
    <n v="119"/>
    <x v="1"/>
    <x v="8"/>
    <x v="9"/>
    <s v="Percent of GDP"/>
    <s v="Units"/>
    <x v="3"/>
    <n v="-8.5570000000000004"/>
  </r>
  <r>
    <n v="119"/>
    <x v="1"/>
    <x v="8"/>
    <x v="9"/>
    <s v="Percent of GDP"/>
    <s v="Units"/>
    <x v="4"/>
    <n v="-7.1680000000000001"/>
  </r>
  <r>
    <n v="119"/>
    <x v="1"/>
    <x v="8"/>
    <x v="9"/>
    <s v="Percent of GDP"/>
    <s v="Units"/>
    <x v="5"/>
    <n v="-4.6180000000000003"/>
  </r>
  <r>
    <n v="119"/>
    <x v="1"/>
    <x v="8"/>
    <x v="9"/>
    <s v="Percent of GDP"/>
    <s v="Units"/>
    <x v="6"/>
    <n v="-3.2069999999999999"/>
  </r>
  <r>
    <n v="110"/>
    <x v="0"/>
    <x v="8"/>
    <x v="9"/>
    <s v="Percent of GDP"/>
    <s v="Units"/>
    <x v="0"/>
    <n v="-1.5029999999999999"/>
  </r>
  <r>
    <n v="110"/>
    <x v="0"/>
    <x v="8"/>
    <x v="9"/>
    <s v="Percent of GDP"/>
    <s v="Units"/>
    <x v="1"/>
    <n v="-9.3810000000000002"/>
  </r>
  <r>
    <n v="110"/>
    <x v="0"/>
    <x v="8"/>
    <x v="9"/>
    <s v="Percent of GDP"/>
    <s v="Units"/>
    <x v="2"/>
    <n v="-8.7360000000000007"/>
  </r>
  <r>
    <n v="110"/>
    <x v="0"/>
    <x v="8"/>
    <x v="9"/>
    <s v="Percent of GDP"/>
    <s v="Units"/>
    <x v="3"/>
    <n v="-8.5570000000000004"/>
  </r>
  <r>
    <n v="110"/>
    <x v="0"/>
    <x v="8"/>
    <x v="9"/>
    <s v="Percent of GDP"/>
    <s v="Units"/>
    <x v="4"/>
    <n v="-7.1680000000000001"/>
  </r>
  <r>
    <n v="110"/>
    <x v="0"/>
    <x v="8"/>
    <x v="9"/>
    <s v="Percent of GDP"/>
    <s v="Units"/>
    <x v="5"/>
    <n v="-4.6180000000000003"/>
  </r>
  <r>
    <n v="110"/>
    <x v="0"/>
    <x v="8"/>
    <x v="9"/>
    <s v="Percent of GDP"/>
    <s v="Units"/>
    <x v="6"/>
    <n v="-3.2069999999999999"/>
  </r>
  <r>
    <n v="200"/>
    <x v="3"/>
    <x v="35"/>
    <x v="9"/>
    <s v="Percent of GDP"/>
    <s v="Units"/>
    <x v="0"/>
    <n v="-5.4080000000000004"/>
  </r>
  <r>
    <n v="200"/>
    <x v="3"/>
    <x v="35"/>
    <x v="9"/>
    <s v="Percent of GDP"/>
    <s v="Units"/>
    <x v="1"/>
    <n v="-4.84"/>
  </r>
  <r>
    <n v="200"/>
    <x v="3"/>
    <x v="35"/>
    <x v="9"/>
    <s v="Percent of GDP"/>
    <s v="Units"/>
    <x v="2"/>
    <n v="-3.605"/>
  </r>
  <r>
    <n v="200"/>
    <x v="3"/>
    <x v="35"/>
    <x v="9"/>
    <s v="Percent of GDP"/>
    <s v="Units"/>
    <x v="3"/>
    <n v="-4.0940000000000003"/>
  </r>
  <r>
    <n v="200"/>
    <x v="3"/>
    <x v="35"/>
    <x v="9"/>
    <s v="Percent of GDP"/>
    <s v="Units"/>
    <x v="4"/>
    <n v="-4.6310000000000002"/>
  </r>
  <r>
    <n v="200"/>
    <x v="3"/>
    <x v="35"/>
    <x v="9"/>
    <s v="Percent of GDP"/>
    <s v="Units"/>
    <x v="5"/>
    <n v="-4.6479999999999997"/>
  </r>
  <r>
    <n v="200"/>
    <x v="3"/>
    <x v="35"/>
    <x v="9"/>
    <s v="Percent of GDP"/>
    <s v="Units"/>
    <x v="6"/>
    <n v="-4.5970000000000004"/>
  </r>
  <r>
    <n v="505"/>
    <x v="4"/>
    <x v="35"/>
    <x v="9"/>
    <s v="Percent of GDP"/>
    <s v="Units"/>
    <x v="0"/>
    <n v="-5.4080000000000004"/>
  </r>
  <r>
    <n v="505"/>
    <x v="4"/>
    <x v="35"/>
    <x v="9"/>
    <s v="Percent of GDP"/>
    <s v="Units"/>
    <x v="1"/>
    <n v="-4.84"/>
  </r>
  <r>
    <n v="505"/>
    <x v="4"/>
    <x v="35"/>
    <x v="9"/>
    <s v="Percent of GDP"/>
    <s v="Units"/>
    <x v="2"/>
    <n v="-3.605"/>
  </r>
  <r>
    <n v="505"/>
    <x v="4"/>
    <x v="35"/>
    <x v="9"/>
    <s v="Percent of GDP"/>
    <s v="Units"/>
    <x v="3"/>
    <n v="-4.0940000000000003"/>
  </r>
  <r>
    <n v="505"/>
    <x v="4"/>
    <x v="35"/>
    <x v="9"/>
    <s v="Percent of GDP"/>
    <s v="Units"/>
    <x v="4"/>
    <n v="-4.6310000000000002"/>
  </r>
  <r>
    <n v="505"/>
    <x v="4"/>
    <x v="35"/>
    <x v="9"/>
    <s v="Percent of GDP"/>
    <s v="Units"/>
    <x v="5"/>
    <n v="-4.6479999999999997"/>
  </r>
  <r>
    <n v="505"/>
    <x v="4"/>
    <x v="35"/>
    <x v="9"/>
    <s v="Percent of GDP"/>
    <s v="Units"/>
    <x v="6"/>
    <n v="-4.5970000000000004"/>
  </r>
  <r>
    <n v="903"/>
    <x v="8"/>
    <x v="133"/>
    <x v="9"/>
    <s v="Percent of GDP"/>
    <s v="Units"/>
    <x v="0"/>
    <n v="-1.466"/>
  </r>
  <r>
    <n v="903"/>
    <x v="8"/>
    <x v="133"/>
    <x v="9"/>
    <s v="Percent of GDP"/>
    <s v="Units"/>
    <x v="1"/>
    <n v="-5.3170000000000002"/>
  </r>
  <r>
    <n v="903"/>
    <x v="8"/>
    <x v="133"/>
    <x v="9"/>
    <s v="Percent of GDP"/>
    <s v="Units"/>
    <x v="2"/>
    <n v="-2.617"/>
  </r>
  <r>
    <n v="903"/>
    <x v="8"/>
    <x v="133"/>
    <x v="9"/>
    <s v="Percent of GDP"/>
    <s v="Units"/>
    <x v="3"/>
    <n v="-3.2269999999999999"/>
  </r>
  <r>
    <n v="903"/>
    <x v="8"/>
    <x v="133"/>
    <x v="9"/>
    <s v="Percent of GDP"/>
    <s v="Units"/>
    <x v="4"/>
    <n v="-5.0199999999999996"/>
  </r>
  <r>
    <n v="903"/>
    <x v="8"/>
    <x v="133"/>
    <x v="9"/>
    <s v="Percent of GDP"/>
    <s v="Units"/>
    <x v="5"/>
    <n v="-4.7210000000000001"/>
  </r>
  <r>
    <n v="903"/>
    <x v="8"/>
    <x v="133"/>
    <x v="9"/>
    <s v="Percent of GDP"/>
    <s v="Units"/>
    <x v="6"/>
    <n v="-3.8"/>
  </r>
  <r>
    <n v="200"/>
    <x v="3"/>
    <x v="133"/>
    <x v="9"/>
    <s v="Percent of GDP"/>
    <s v="Units"/>
    <x v="0"/>
    <n v="-1.466"/>
  </r>
  <r>
    <n v="200"/>
    <x v="3"/>
    <x v="133"/>
    <x v="9"/>
    <s v="Percent of GDP"/>
    <s v="Units"/>
    <x v="1"/>
    <n v="-5.3170000000000002"/>
  </r>
  <r>
    <n v="200"/>
    <x v="3"/>
    <x v="133"/>
    <x v="9"/>
    <s v="Percent of GDP"/>
    <s v="Units"/>
    <x v="2"/>
    <n v="-2.617"/>
  </r>
  <r>
    <n v="200"/>
    <x v="3"/>
    <x v="133"/>
    <x v="9"/>
    <s v="Percent of GDP"/>
    <s v="Units"/>
    <x v="3"/>
    <n v="-3.2269999999999999"/>
  </r>
  <r>
    <n v="200"/>
    <x v="3"/>
    <x v="133"/>
    <x v="9"/>
    <s v="Percent of GDP"/>
    <s v="Units"/>
    <x v="4"/>
    <n v="-5.0199999999999996"/>
  </r>
  <r>
    <n v="200"/>
    <x v="3"/>
    <x v="133"/>
    <x v="9"/>
    <s v="Percent of GDP"/>
    <s v="Units"/>
    <x v="5"/>
    <n v="-4.7210000000000001"/>
  </r>
  <r>
    <n v="200"/>
    <x v="3"/>
    <x v="133"/>
    <x v="9"/>
    <s v="Percent of GDP"/>
    <s v="Units"/>
    <x v="6"/>
    <n v="-3.8"/>
  </r>
  <r>
    <n v="110"/>
    <x v="0"/>
    <x v="115"/>
    <x v="4"/>
    <s v="Percent change"/>
    <s v="Units"/>
    <x v="0"/>
    <n v="5.0309999999999997"/>
  </r>
  <r>
    <n v="110"/>
    <x v="0"/>
    <x v="115"/>
    <x v="4"/>
    <s v="Percent change"/>
    <s v="Units"/>
    <x v="1"/>
    <n v="-5.4539999999999997"/>
  </r>
  <r>
    <n v="110"/>
    <x v="0"/>
    <x v="115"/>
    <x v="4"/>
    <s v="Percent change"/>
    <s v="Units"/>
    <x v="2"/>
    <n v="22.128"/>
  </r>
  <r>
    <n v="110"/>
    <x v="0"/>
    <x v="115"/>
    <x v="4"/>
    <s v="Percent change"/>
    <s v="Units"/>
    <x v="3"/>
    <n v="3.008"/>
  </r>
  <r>
    <n v="110"/>
    <x v="0"/>
    <x v="115"/>
    <x v="4"/>
    <s v="Percent change"/>
    <s v="Units"/>
    <x v="4"/>
    <n v="-6.8689999999999998"/>
  </r>
  <r>
    <n v="110"/>
    <x v="0"/>
    <x v="115"/>
    <x v="4"/>
    <s v="Percent change"/>
    <s v="Units"/>
    <x v="5"/>
    <n v="-4.7839999999999998"/>
  </r>
  <r>
    <n v="110"/>
    <x v="0"/>
    <x v="115"/>
    <x v="4"/>
    <s v="Percent change"/>
    <s v="Units"/>
    <x v="6"/>
    <n v="3.0619999999999998"/>
  </r>
  <r>
    <n v="1"/>
    <x v="2"/>
    <x v="115"/>
    <x v="4"/>
    <s v="Percent change"/>
    <s v="Units"/>
    <x v="0"/>
    <n v="5.0309999999999997"/>
  </r>
  <r>
    <n v="1"/>
    <x v="2"/>
    <x v="115"/>
    <x v="4"/>
    <s v="Percent change"/>
    <s v="Units"/>
    <x v="1"/>
    <n v="-5.4539999999999997"/>
  </r>
  <r>
    <n v="1"/>
    <x v="2"/>
    <x v="115"/>
    <x v="4"/>
    <s v="Percent change"/>
    <s v="Units"/>
    <x v="2"/>
    <n v="22.128"/>
  </r>
  <r>
    <n v="1"/>
    <x v="2"/>
    <x v="115"/>
    <x v="4"/>
    <s v="Percent change"/>
    <s v="Units"/>
    <x v="3"/>
    <n v="3.008"/>
  </r>
  <r>
    <n v="1"/>
    <x v="2"/>
    <x v="115"/>
    <x v="4"/>
    <s v="Percent change"/>
    <s v="Units"/>
    <x v="4"/>
    <n v="-6.8689999999999998"/>
  </r>
  <r>
    <n v="1"/>
    <x v="2"/>
    <x v="115"/>
    <x v="4"/>
    <s v="Percent change"/>
    <s v="Units"/>
    <x v="5"/>
    <n v="-4.7839999999999998"/>
  </r>
  <r>
    <n v="1"/>
    <x v="2"/>
    <x v="115"/>
    <x v="4"/>
    <s v="Percent change"/>
    <s v="Units"/>
    <x v="6"/>
    <n v="3.0619999999999998"/>
  </r>
  <r>
    <n v="163"/>
    <x v="5"/>
    <x v="115"/>
    <x v="4"/>
    <s v="Percent change"/>
    <s v="Units"/>
    <x v="0"/>
    <n v="5.0309999999999997"/>
  </r>
  <r>
    <n v="163"/>
    <x v="5"/>
    <x v="115"/>
    <x v="4"/>
    <s v="Percent change"/>
    <s v="Units"/>
    <x v="1"/>
    <n v="-5.4539999999999997"/>
  </r>
  <r>
    <n v="163"/>
    <x v="5"/>
    <x v="115"/>
    <x v="4"/>
    <s v="Percent change"/>
    <s v="Units"/>
    <x v="2"/>
    <n v="22.128"/>
  </r>
  <r>
    <n v="163"/>
    <x v="5"/>
    <x v="115"/>
    <x v="4"/>
    <s v="Percent change"/>
    <s v="Units"/>
    <x v="3"/>
    <n v="3.008"/>
  </r>
  <r>
    <n v="163"/>
    <x v="5"/>
    <x v="115"/>
    <x v="4"/>
    <s v="Percent change"/>
    <s v="Units"/>
    <x v="4"/>
    <n v="-6.8689999999999998"/>
  </r>
  <r>
    <n v="163"/>
    <x v="5"/>
    <x v="115"/>
    <x v="4"/>
    <s v="Percent change"/>
    <s v="Units"/>
    <x v="5"/>
    <n v="-4.7839999999999998"/>
  </r>
  <r>
    <n v="163"/>
    <x v="5"/>
    <x v="115"/>
    <x v="4"/>
    <s v="Percent change"/>
    <s v="Units"/>
    <x v="6"/>
    <n v="3.0619999999999998"/>
  </r>
  <r>
    <n v="119"/>
    <x v="1"/>
    <x v="8"/>
    <x v="12"/>
    <s v="Percent of potential GDP"/>
    <s v="Units"/>
    <x v="0"/>
    <n v="-0.84"/>
  </r>
  <r>
    <n v="119"/>
    <x v="1"/>
    <x v="8"/>
    <x v="12"/>
    <s v="Percent of potential GDP"/>
    <s v="Units"/>
    <x v="1"/>
    <n v="-5.7610000000000001"/>
  </r>
  <r>
    <n v="119"/>
    <x v="1"/>
    <x v="8"/>
    <x v="12"/>
    <s v="Percent of potential GDP"/>
    <s v="Units"/>
    <x v="2"/>
    <n v="-8.1270000000000007"/>
  </r>
  <r>
    <n v="119"/>
    <x v="1"/>
    <x v="8"/>
    <x v="12"/>
    <s v="Percent of potential GDP"/>
    <s v="Units"/>
    <x v="3"/>
    <n v="-9.1739999999999995"/>
  </r>
  <r>
    <n v="119"/>
    <x v="1"/>
    <x v="8"/>
    <x v="12"/>
    <s v="Percent of potential GDP"/>
    <s v="Units"/>
    <x v="4"/>
    <n v="-7.7610000000000001"/>
  </r>
  <r>
    <n v="119"/>
    <x v="1"/>
    <x v="8"/>
    <x v="12"/>
    <s v="Percent of potential GDP"/>
    <s v="Units"/>
    <x v="5"/>
    <n v="-4.7960000000000003"/>
  </r>
  <r>
    <n v="119"/>
    <x v="1"/>
    <x v="8"/>
    <x v="12"/>
    <s v="Percent of potential GDP"/>
    <s v="Units"/>
    <x v="6"/>
    <n v="-3.6230000000000002"/>
  </r>
  <r>
    <n v="110"/>
    <x v="0"/>
    <x v="8"/>
    <x v="12"/>
    <s v="Percent of potential GDP"/>
    <s v="Units"/>
    <x v="0"/>
    <n v="-0.84"/>
  </r>
  <r>
    <n v="110"/>
    <x v="0"/>
    <x v="8"/>
    <x v="12"/>
    <s v="Percent of potential GDP"/>
    <s v="Units"/>
    <x v="1"/>
    <n v="-5.7610000000000001"/>
  </r>
  <r>
    <n v="110"/>
    <x v="0"/>
    <x v="8"/>
    <x v="12"/>
    <s v="Percent of potential GDP"/>
    <s v="Units"/>
    <x v="2"/>
    <n v="-8.1270000000000007"/>
  </r>
  <r>
    <n v="110"/>
    <x v="0"/>
    <x v="8"/>
    <x v="12"/>
    <s v="Percent of potential GDP"/>
    <s v="Units"/>
    <x v="3"/>
    <n v="-9.1739999999999995"/>
  </r>
  <r>
    <n v="110"/>
    <x v="0"/>
    <x v="8"/>
    <x v="12"/>
    <s v="Percent of potential GDP"/>
    <s v="Units"/>
    <x v="4"/>
    <n v="-7.7610000000000001"/>
  </r>
  <r>
    <n v="110"/>
    <x v="0"/>
    <x v="8"/>
    <x v="12"/>
    <s v="Percent of potential GDP"/>
    <s v="Units"/>
    <x v="5"/>
    <n v="-4.7960000000000003"/>
  </r>
  <r>
    <n v="110"/>
    <x v="0"/>
    <x v="8"/>
    <x v="12"/>
    <s v="Percent of potential GDP"/>
    <s v="Units"/>
    <x v="6"/>
    <n v="-3.6230000000000002"/>
  </r>
  <r>
    <n v="163"/>
    <x v="5"/>
    <x v="8"/>
    <x v="12"/>
    <s v="Percent of potential GDP"/>
    <s v="Units"/>
    <x v="0"/>
    <n v="-0.84"/>
  </r>
  <r>
    <n v="163"/>
    <x v="5"/>
    <x v="8"/>
    <x v="12"/>
    <s v="Percent of potential GDP"/>
    <s v="Units"/>
    <x v="1"/>
    <n v="-5.7610000000000001"/>
  </r>
  <r>
    <n v="163"/>
    <x v="5"/>
    <x v="8"/>
    <x v="12"/>
    <s v="Percent of potential GDP"/>
    <s v="Units"/>
    <x v="2"/>
    <n v="-8.1270000000000007"/>
  </r>
  <r>
    <n v="163"/>
    <x v="5"/>
    <x v="8"/>
    <x v="12"/>
    <s v="Percent of potential GDP"/>
    <s v="Units"/>
    <x v="3"/>
    <n v="-9.1739999999999995"/>
  </r>
  <r>
    <n v="163"/>
    <x v="5"/>
    <x v="8"/>
    <x v="12"/>
    <s v="Percent of potential GDP"/>
    <s v="Units"/>
    <x v="4"/>
    <n v="-7.7610000000000001"/>
  </r>
  <r>
    <n v="163"/>
    <x v="5"/>
    <x v="8"/>
    <x v="12"/>
    <s v="Percent of potential GDP"/>
    <s v="Units"/>
    <x v="5"/>
    <n v="-4.7960000000000003"/>
  </r>
  <r>
    <n v="163"/>
    <x v="5"/>
    <x v="8"/>
    <x v="12"/>
    <s v="Percent of potential GDP"/>
    <s v="Units"/>
    <x v="6"/>
    <n v="-3.6230000000000002"/>
  </r>
  <r>
    <n v="163"/>
    <x v="5"/>
    <x v="128"/>
    <x v="12"/>
    <s v="Percent of potential GDP"/>
    <s v="Units"/>
    <x v="0"/>
    <n v="-1.863"/>
  </r>
  <r>
    <n v="163"/>
    <x v="5"/>
    <x v="128"/>
    <x v="12"/>
    <s v="Percent of potential GDP"/>
    <s v="Units"/>
    <x v="1"/>
    <n v="-5.6479999999999997"/>
  </r>
  <r>
    <n v="163"/>
    <x v="5"/>
    <x v="128"/>
    <x v="12"/>
    <s v="Percent of potential GDP"/>
    <s v="Units"/>
    <x v="2"/>
    <n v="-6.6420000000000003"/>
  </r>
  <r>
    <n v="163"/>
    <x v="5"/>
    <x v="128"/>
    <x v="12"/>
    <s v="Percent of potential GDP"/>
    <s v="Units"/>
    <x v="3"/>
    <n v="-5.931"/>
  </r>
  <r>
    <n v="163"/>
    <x v="5"/>
    <x v="128"/>
    <x v="12"/>
    <s v="Percent of potential GDP"/>
    <s v="Units"/>
    <x v="4"/>
    <n v="-5.3250000000000002"/>
  </r>
  <r>
    <n v="163"/>
    <x v="5"/>
    <x v="128"/>
    <x v="12"/>
    <s v="Percent of potential GDP"/>
    <s v="Units"/>
    <x v="5"/>
    <n v="-4.8499999999999996"/>
  </r>
  <r>
    <n v="163"/>
    <x v="5"/>
    <x v="128"/>
    <x v="12"/>
    <s v="Percent of potential GDP"/>
    <s v="Units"/>
    <x v="6"/>
    <n v="-4.16"/>
  </r>
  <r>
    <n v="110"/>
    <x v="0"/>
    <x v="128"/>
    <x v="12"/>
    <s v="Percent of potential GDP"/>
    <s v="Units"/>
    <x v="0"/>
    <n v="-1.863"/>
  </r>
  <r>
    <n v="110"/>
    <x v="0"/>
    <x v="128"/>
    <x v="12"/>
    <s v="Percent of potential GDP"/>
    <s v="Units"/>
    <x v="1"/>
    <n v="-5.6479999999999997"/>
  </r>
  <r>
    <n v="110"/>
    <x v="0"/>
    <x v="128"/>
    <x v="12"/>
    <s v="Percent of potential GDP"/>
    <s v="Units"/>
    <x v="2"/>
    <n v="-6.6420000000000003"/>
  </r>
  <r>
    <n v="110"/>
    <x v="0"/>
    <x v="128"/>
    <x v="12"/>
    <s v="Percent of potential GDP"/>
    <s v="Units"/>
    <x v="3"/>
    <n v="-5.931"/>
  </r>
  <r>
    <n v="110"/>
    <x v="0"/>
    <x v="128"/>
    <x v="12"/>
    <s v="Percent of potential GDP"/>
    <s v="Units"/>
    <x v="4"/>
    <n v="-5.3250000000000002"/>
  </r>
  <r>
    <n v="110"/>
    <x v="0"/>
    <x v="128"/>
    <x v="12"/>
    <s v="Percent of potential GDP"/>
    <s v="Units"/>
    <x v="5"/>
    <n v="-4.8499999999999996"/>
  </r>
  <r>
    <n v="110"/>
    <x v="0"/>
    <x v="128"/>
    <x v="12"/>
    <s v="Percent of potential GDP"/>
    <s v="Units"/>
    <x v="6"/>
    <n v="-4.16"/>
  </r>
  <r>
    <n v="505"/>
    <x v="4"/>
    <x v="117"/>
    <x v="9"/>
    <s v="Percent of GDP"/>
    <s v="Units"/>
    <x v="0"/>
    <n v="-4.9870000000000001"/>
  </r>
  <r>
    <n v="505"/>
    <x v="4"/>
    <x v="117"/>
    <x v="9"/>
    <s v="Percent of GDP"/>
    <s v="Units"/>
    <x v="1"/>
    <n v="-5.3639999999999999"/>
  </r>
  <r>
    <n v="505"/>
    <x v="4"/>
    <x v="117"/>
    <x v="9"/>
    <s v="Percent of GDP"/>
    <s v="Units"/>
    <x v="2"/>
    <n v="-3.9790000000000001"/>
  </r>
  <r>
    <n v="505"/>
    <x v="4"/>
    <x v="117"/>
    <x v="9"/>
    <s v="Percent of GDP"/>
    <s v="Units"/>
    <x v="3"/>
    <n v="-3.15"/>
  </r>
  <r>
    <n v="505"/>
    <x v="4"/>
    <x v="117"/>
    <x v="9"/>
    <s v="Percent of GDP"/>
    <s v="Units"/>
    <x v="4"/>
    <n v="-5.8079999999999998"/>
  </r>
  <r>
    <n v="505"/>
    <x v="4"/>
    <x v="117"/>
    <x v="9"/>
    <s v="Percent of GDP"/>
    <s v="Units"/>
    <x v="5"/>
    <n v="-4.8620000000000001"/>
  </r>
  <r>
    <n v="505"/>
    <x v="4"/>
    <x v="117"/>
    <x v="9"/>
    <s v="Percent of GDP"/>
    <s v="Units"/>
    <x v="6"/>
    <n v="-4.3029999999999999"/>
  </r>
  <r>
    <n v="200"/>
    <x v="3"/>
    <x v="117"/>
    <x v="9"/>
    <s v="Percent of GDP"/>
    <s v="Units"/>
    <x v="0"/>
    <n v="-4.9870000000000001"/>
  </r>
  <r>
    <n v="200"/>
    <x v="3"/>
    <x v="117"/>
    <x v="9"/>
    <s v="Percent of GDP"/>
    <s v="Units"/>
    <x v="1"/>
    <n v="-5.3639999999999999"/>
  </r>
  <r>
    <n v="200"/>
    <x v="3"/>
    <x v="117"/>
    <x v="9"/>
    <s v="Percent of GDP"/>
    <s v="Units"/>
    <x v="2"/>
    <n v="-3.9790000000000001"/>
  </r>
  <r>
    <n v="200"/>
    <x v="3"/>
    <x v="117"/>
    <x v="9"/>
    <s v="Percent of GDP"/>
    <s v="Units"/>
    <x v="3"/>
    <n v="-3.15"/>
  </r>
  <r>
    <n v="200"/>
    <x v="3"/>
    <x v="117"/>
    <x v="9"/>
    <s v="Percent of GDP"/>
    <s v="Units"/>
    <x v="4"/>
    <n v="-5.8079999999999998"/>
  </r>
  <r>
    <n v="200"/>
    <x v="3"/>
    <x v="117"/>
    <x v="9"/>
    <s v="Percent of GDP"/>
    <s v="Units"/>
    <x v="5"/>
    <n v="-4.8620000000000001"/>
  </r>
  <r>
    <n v="200"/>
    <x v="3"/>
    <x v="117"/>
    <x v="9"/>
    <s v="Percent of GDP"/>
    <s v="Units"/>
    <x v="6"/>
    <n v="-4.3029999999999999"/>
  </r>
  <r>
    <n v="200"/>
    <x v="3"/>
    <x v="130"/>
    <x v="9"/>
    <s v="Percent of GDP"/>
    <s v="Units"/>
    <x v="0"/>
    <n v="-1.486"/>
  </r>
  <r>
    <n v="200"/>
    <x v="3"/>
    <x v="130"/>
    <x v="9"/>
    <s v="Percent of GDP"/>
    <s v="Units"/>
    <x v="1"/>
    <n v="-1.8069999999999999"/>
  </r>
  <r>
    <n v="200"/>
    <x v="3"/>
    <x v="130"/>
    <x v="9"/>
    <s v="Percent of GDP"/>
    <s v="Units"/>
    <x v="2"/>
    <n v="-5.76"/>
  </r>
  <r>
    <n v="200"/>
    <x v="3"/>
    <x v="130"/>
    <x v="9"/>
    <s v="Percent of GDP"/>
    <s v="Units"/>
    <x v="3"/>
    <n v="-6.952"/>
  </r>
  <r>
    <n v="200"/>
    <x v="3"/>
    <x v="130"/>
    <x v="9"/>
    <s v="Percent of GDP"/>
    <s v="Units"/>
    <x v="4"/>
    <n v="-4.7460000000000004"/>
  </r>
  <r>
    <n v="200"/>
    <x v="3"/>
    <x v="130"/>
    <x v="9"/>
    <s v="Percent of GDP"/>
    <s v="Units"/>
    <x v="5"/>
    <n v="-4.8899999999999997"/>
  </r>
  <r>
    <n v="200"/>
    <x v="3"/>
    <x v="130"/>
    <x v="9"/>
    <s v="Percent of GDP"/>
    <s v="Units"/>
    <x v="6"/>
    <n v="-4.5359999999999996"/>
  </r>
  <r>
    <n v="505"/>
    <x v="4"/>
    <x v="130"/>
    <x v="9"/>
    <s v="Percent of GDP"/>
    <s v="Units"/>
    <x v="0"/>
    <n v="-1.486"/>
  </r>
  <r>
    <n v="505"/>
    <x v="4"/>
    <x v="130"/>
    <x v="9"/>
    <s v="Percent of GDP"/>
    <s v="Units"/>
    <x v="1"/>
    <n v="-1.8069999999999999"/>
  </r>
  <r>
    <n v="505"/>
    <x v="4"/>
    <x v="130"/>
    <x v="9"/>
    <s v="Percent of GDP"/>
    <s v="Units"/>
    <x v="2"/>
    <n v="-5.76"/>
  </r>
  <r>
    <n v="505"/>
    <x v="4"/>
    <x v="130"/>
    <x v="9"/>
    <s v="Percent of GDP"/>
    <s v="Units"/>
    <x v="3"/>
    <n v="-6.952"/>
  </r>
  <r>
    <n v="505"/>
    <x v="4"/>
    <x v="130"/>
    <x v="9"/>
    <s v="Percent of GDP"/>
    <s v="Units"/>
    <x v="4"/>
    <n v="-4.7460000000000004"/>
  </r>
  <r>
    <n v="505"/>
    <x v="4"/>
    <x v="130"/>
    <x v="9"/>
    <s v="Percent of GDP"/>
    <s v="Units"/>
    <x v="5"/>
    <n v="-4.8899999999999997"/>
  </r>
  <r>
    <n v="505"/>
    <x v="4"/>
    <x v="130"/>
    <x v="9"/>
    <s v="Percent of GDP"/>
    <s v="Units"/>
    <x v="6"/>
    <n v="-4.5359999999999996"/>
  </r>
  <r>
    <n v="119"/>
    <x v="1"/>
    <x v="6"/>
    <x v="9"/>
    <s v="Percent of GDP"/>
    <s v="Units"/>
    <x v="0"/>
    <n v="-3.0649999999999999"/>
  </r>
  <r>
    <n v="119"/>
    <x v="1"/>
    <x v="6"/>
    <x v="9"/>
    <s v="Percent of GDP"/>
    <s v="Units"/>
    <x v="1"/>
    <n v="-8.984"/>
  </r>
  <r>
    <n v="119"/>
    <x v="1"/>
    <x v="6"/>
    <x v="9"/>
    <s v="Percent of GDP"/>
    <s v="Units"/>
    <x v="2"/>
    <n v="-6.4809999999999999"/>
  </r>
  <r>
    <n v="119"/>
    <x v="1"/>
    <x v="6"/>
    <x v="9"/>
    <s v="Percent of GDP"/>
    <s v="Units"/>
    <x v="3"/>
    <n v="-4.806"/>
  </r>
  <r>
    <n v="119"/>
    <x v="1"/>
    <x v="6"/>
    <x v="9"/>
    <s v="Percent of GDP"/>
    <s v="Units"/>
    <x v="4"/>
    <n v="-5.4939999999999998"/>
  </r>
  <r>
    <n v="119"/>
    <x v="1"/>
    <x v="6"/>
    <x v="9"/>
    <s v="Percent of GDP"/>
    <s v="Units"/>
    <x v="5"/>
    <n v="-4.891"/>
  </r>
  <r>
    <n v="119"/>
    <x v="1"/>
    <x v="6"/>
    <x v="9"/>
    <s v="Percent of GDP"/>
    <s v="Units"/>
    <x v="6"/>
    <n v="-4.8970000000000002"/>
  </r>
  <r>
    <n v="110"/>
    <x v="0"/>
    <x v="6"/>
    <x v="9"/>
    <s v="Percent of GDP"/>
    <s v="Units"/>
    <x v="0"/>
    <n v="-3.0649999999999999"/>
  </r>
  <r>
    <n v="110"/>
    <x v="0"/>
    <x v="6"/>
    <x v="9"/>
    <s v="Percent of GDP"/>
    <s v="Units"/>
    <x v="1"/>
    <n v="-8.984"/>
  </r>
  <r>
    <n v="110"/>
    <x v="0"/>
    <x v="6"/>
    <x v="9"/>
    <s v="Percent of GDP"/>
    <s v="Units"/>
    <x v="2"/>
    <n v="-6.4809999999999999"/>
  </r>
  <r>
    <n v="110"/>
    <x v="0"/>
    <x v="6"/>
    <x v="9"/>
    <s v="Percent of GDP"/>
    <s v="Units"/>
    <x v="3"/>
    <n v="-4.806"/>
  </r>
  <r>
    <n v="110"/>
    <x v="0"/>
    <x v="6"/>
    <x v="9"/>
    <s v="Percent of GDP"/>
    <s v="Units"/>
    <x v="4"/>
    <n v="-5.4939999999999998"/>
  </r>
  <r>
    <n v="110"/>
    <x v="0"/>
    <x v="6"/>
    <x v="9"/>
    <s v="Percent of GDP"/>
    <s v="Units"/>
    <x v="5"/>
    <n v="-4.891"/>
  </r>
  <r>
    <n v="110"/>
    <x v="0"/>
    <x v="6"/>
    <x v="9"/>
    <s v="Percent of GDP"/>
    <s v="Units"/>
    <x v="6"/>
    <n v="-4.8970000000000002"/>
  </r>
  <r>
    <n v="163"/>
    <x v="5"/>
    <x v="6"/>
    <x v="9"/>
    <s v="Percent of GDP"/>
    <s v="Units"/>
    <x v="0"/>
    <n v="-3.0649999999999999"/>
  </r>
  <r>
    <n v="163"/>
    <x v="5"/>
    <x v="6"/>
    <x v="9"/>
    <s v="Percent of GDP"/>
    <s v="Units"/>
    <x v="1"/>
    <n v="-8.984"/>
  </r>
  <r>
    <n v="163"/>
    <x v="5"/>
    <x v="6"/>
    <x v="9"/>
    <s v="Percent of GDP"/>
    <s v="Units"/>
    <x v="2"/>
    <n v="-6.4809999999999999"/>
  </r>
  <r>
    <n v="163"/>
    <x v="5"/>
    <x v="6"/>
    <x v="9"/>
    <s v="Percent of GDP"/>
    <s v="Units"/>
    <x v="3"/>
    <n v="-4.806"/>
  </r>
  <r>
    <n v="163"/>
    <x v="5"/>
    <x v="6"/>
    <x v="9"/>
    <s v="Percent of GDP"/>
    <s v="Units"/>
    <x v="4"/>
    <n v="-5.4939999999999998"/>
  </r>
  <r>
    <n v="163"/>
    <x v="5"/>
    <x v="6"/>
    <x v="9"/>
    <s v="Percent of GDP"/>
    <s v="Units"/>
    <x v="5"/>
    <n v="-4.891"/>
  </r>
  <r>
    <n v="163"/>
    <x v="5"/>
    <x v="6"/>
    <x v="9"/>
    <s v="Percent of GDP"/>
    <s v="Units"/>
    <x v="6"/>
    <n v="-4.8970000000000002"/>
  </r>
  <r>
    <n v="998"/>
    <x v="6"/>
    <x v="6"/>
    <x v="9"/>
    <s v="Percent of GDP"/>
    <s v="Units"/>
    <x v="0"/>
    <n v="-3.0649999999999999"/>
  </r>
  <r>
    <n v="998"/>
    <x v="6"/>
    <x v="6"/>
    <x v="9"/>
    <s v="Percent of GDP"/>
    <s v="Units"/>
    <x v="1"/>
    <n v="-8.984"/>
  </r>
  <r>
    <n v="998"/>
    <x v="6"/>
    <x v="6"/>
    <x v="9"/>
    <s v="Percent of GDP"/>
    <s v="Units"/>
    <x v="2"/>
    <n v="-6.4809999999999999"/>
  </r>
  <r>
    <n v="998"/>
    <x v="6"/>
    <x v="6"/>
    <x v="9"/>
    <s v="Percent of GDP"/>
    <s v="Units"/>
    <x v="3"/>
    <n v="-4.806"/>
  </r>
  <r>
    <n v="998"/>
    <x v="6"/>
    <x v="6"/>
    <x v="9"/>
    <s v="Percent of GDP"/>
    <s v="Units"/>
    <x v="4"/>
    <n v="-5.4939999999999998"/>
  </r>
  <r>
    <n v="998"/>
    <x v="6"/>
    <x v="6"/>
    <x v="9"/>
    <s v="Percent of GDP"/>
    <s v="Units"/>
    <x v="5"/>
    <n v="-4.891"/>
  </r>
  <r>
    <n v="998"/>
    <x v="6"/>
    <x v="6"/>
    <x v="9"/>
    <s v="Percent of GDP"/>
    <s v="Units"/>
    <x v="6"/>
    <n v="-4.8970000000000002"/>
  </r>
  <r>
    <n v="603"/>
    <x v="12"/>
    <x v="172"/>
    <x v="9"/>
    <s v="Percent of GDP"/>
    <s v="Units"/>
    <x v="0"/>
    <n v="-4.9240000000000004"/>
  </r>
  <r>
    <n v="603"/>
    <x v="12"/>
    <x v="172"/>
    <x v="9"/>
    <s v="Percent of GDP"/>
    <s v="Units"/>
    <x v="1"/>
    <n v="-4.0199999999999996"/>
  </r>
  <r>
    <n v="603"/>
    <x v="12"/>
    <x v="172"/>
    <x v="9"/>
    <s v="Percent of GDP"/>
    <s v="Units"/>
    <x v="2"/>
    <n v="-2.504"/>
  </r>
  <r>
    <n v="603"/>
    <x v="12"/>
    <x v="172"/>
    <x v="9"/>
    <s v="Percent of GDP"/>
    <s v="Units"/>
    <x v="3"/>
    <n v="-5.3319999999999999"/>
  </r>
  <r>
    <n v="603"/>
    <x v="12"/>
    <x v="172"/>
    <x v="9"/>
    <s v="Percent of GDP"/>
    <s v="Units"/>
    <x v="4"/>
    <n v="-6.44"/>
  </r>
  <r>
    <n v="603"/>
    <x v="12"/>
    <x v="172"/>
    <x v="9"/>
    <s v="Percent of GDP"/>
    <s v="Units"/>
    <x v="5"/>
    <n v="-4.9729999999999999"/>
  </r>
  <r>
    <n v="603"/>
    <x v="12"/>
    <x v="172"/>
    <x v="9"/>
    <s v="Percent of GDP"/>
    <s v="Units"/>
    <x v="6"/>
    <n v="-4.9960000000000004"/>
  </r>
  <r>
    <n v="200"/>
    <x v="3"/>
    <x v="172"/>
    <x v="9"/>
    <s v="Percent of GDP"/>
    <s v="Units"/>
    <x v="0"/>
    <n v="-4.9240000000000004"/>
  </r>
  <r>
    <n v="200"/>
    <x v="3"/>
    <x v="172"/>
    <x v="9"/>
    <s v="Percent of GDP"/>
    <s v="Units"/>
    <x v="1"/>
    <n v="-4.0199999999999996"/>
  </r>
  <r>
    <n v="200"/>
    <x v="3"/>
    <x v="172"/>
    <x v="9"/>
    <s v="Percent of GDP"/>
    <s v="Units"/>
    <x v="2"/>
    <n v="-2.504"/>
  </r>
  <r>
    <n v="200"/>
    <x v="3"/>
    <x v="172"/>
    <x v="9"/>
    <s v="Percent of GDP"/>
    <s v="Units"/>
    <x v="3"/>
    <n v="-5.3319999999999999"/>
  </r>
  <r>
    <n v="200"/>
    <x v="3"/>
    <x v="172"/>
    <x v="9"/>
    <s v="Percent of GDP"/>
    <s v="Units"/>
    <x v="4"/>
    <n v="-6.44"/>
  </r>
  <r>
    <n v="200"/>
    <x v="3"/>
    <x v="172"/>
    <x v="9"/>
    <s v="Percent of GDP"/>
    <s v="Units"/>
    <x v="5"/>
    <n v="-4.9729999999999999"/>
  </r>
  <r>
    <n v="200"/>
    <x v="3"/>
    <x v="172"/>
    <x v="9"/>
    <s v="Percent of GDP"/>
    <s v="Units"/>
    <x v="6"/>
    <n v="-4.9960000000000004"/>
  </r>
  <r>
    <n v="603"/>
    <x v="12"/>
    <x v="87"/>
    <x v="9"/>
    <s v="Percent of GDP"/>
    <s v="Units"/>
    <x v="0"/>
    <n v="-7.5190000000000001"/>
  </r>
  <r>
    <n v="603"/>
    <x v="12"/>
    <x v="87"/>
    <x v="9"/>
    <s v="Percent of GDP"/>
    <s v="Units"/>
    <x v="1"/>
    <n v="-17.443000000000001"/>
  </r>
  <r>
    <n v="603"/>
    <x v="12"/>
    <x v="87"/>
    <x v="9"/>
    <s v="Percent of GDP"/>
    <s v="Units"/>
    <x v="2"/>
    <n v="-12.03"/>
  </r>
  <r>
    <n v="603"/>
    <x v="12"/>
    <x v="87"/>
    <x v="9"/>
    <s v="Percent of GDP"/>
    <s v="Units"/>
    <x v="3"/>
    <n v="-11.839"/>
  </r>
  <r>
    <n v="603"/>
    <x v="12"/>
    <x v="87"/>
    <x v="9"/>
    <s v="Percent of GDP"/>
    <s v="Units"/>
    <x v="4"/>
    <n v="-4.633"/>
  </r>
  <r>
    <n v="603"/>
    <x v="12"/>
    <x v="87"/>
    <x v="9"/>
    <s v="Percent of GDP"/>
    <s v="Units"/>
    <x v="5"/>
    <n v="-5.0199999999999996"/>
  </r>
  <r>
    <n v="603"/>
    <x v="12"/>
    <x v="87"/>
    <x v="9"/>
    <s v="Percent of GDP"/>
    <s v="Units"/>
    <x v="6"/>
    <n v="-4.2889999999999997"/>
  </r>
  <r>
    <n v="200"/>
    <x v="3"/>
    <x v="87"/>
    <x v="9"/>
    <s v="Percent of GDP"/>
    <s v="Units"/>
    <x v="0"/>
    <n v="-7.5190000000000001"/>
  </r>
  <r>
    <n v="200"/>
    <x v="3"/>
    <x v="87"/>
    <x v="9"/>
    <s v="Percent of GDP"/>
    <s v="Units"/>
    <x v="1"/>
    <n v="-17.443000000000001"/>
  </r>
  <r>
    <n v="200"/>
    <x v="3"/>
    <x v="87"/>
    <x v="9"/>
    <s v="Percent of GDP"/>
    <s v="Units"/>
    <x v="2"/>
    <n v="-12.03"/>
  </r>
  <r>
    <n v="200"/>
    <x v="3"/>
    <x v="87"/>
    <x v="9"/>
    <s v="Percent of GDP"/>
    <s v="Units"/>
    <x v="3"/>
    <n v="-11.839"/>
  </r>
  <r>
    <n v="200"/>
    <x v="3"/>
    <x v="87"/>
    <x v="9"/>
    <s v="Percent of GDP"/>
    <s v="Units"/>
    <x v="4"/>
    <n v="-4.633"/>
  </r>
  <r>
    <n v="200"/>
    <x v="3"/>
    <x v="87"/>
    <x v="9"/>
    <s v="Percent of GDP"/>
    <s v="Units"/>
    <x v="5"/>
    <n v="-5.0199999999999996"/>
  </r>
  <r>
    <n v="200"/>
    <x v="3"/>
    <x v="87"/>
    <x v="9"/>
    <s v="Percent of GDP"/>
    <s v="Units"/>
    <x v="6"/>
    <n v="-4.2889999999999997"/>
  </r>
  <r>
    <n v="998"/>
    <x v="6"/>
    <x v="55"/>
    <x v="9"/>
    <s v="Percent of GDP"/>
    <s v="Units"/>
    <x v="0"/>
    <n v="-2.0470000000000002"/>
  </r>
  <r>
    <n v="998"/>
    <x v="6"/>
    <x v="55"/>
    <x v="9"/>
    <s v="Percent of GDP"/>
    <s v="Units"/>
    <x v="1"/>
    <n v="-7.56"/>
  </r>
  <r>
    <n v="998"/>
    <x v="6"/>
    <x v="55"/>
    <x v="9"/>
    <s v="Percent of GDP"/>
    <s v="Units"/>
    <x v="2"/>
    <n v="-7.1559999999999997"/>
  </r>
  <r>
    <n v="998"/>
    <x v="6"/>
    <x v="55"/>
    <x v="9"/>
    <s v="Percent of GDP"/>
    <s v="Units"/>
    <x v="3"/>
    <n v="-6.2439999999999998"/>
  </r>
  <r>
    <n v="998"/>
    <x v="6"/>
    <x v="55"/>
    <x v="9"/>
    <s v="Percent of GDP"/>
    <s v="Units"/>
    <x v="4"/>
    <n v="-6.6630000000000003"/>
  </r>
  <r>
    <n v="998"/>
    <x v="6"/>
    <x v="55"/>
    <x v="9"/>
    <s v="Percent of GDP"/>
    <s v="Units"/>
    <x v="5"/>
    <n v="-5.1609999999999996"/>
  </r>
  <r>
    <n v="998"/>
    <x v="6"/>
    <x v="55"/>
    <x v="9"/>
    <s v="Percent of GDP"/>
    <s v="Units"/>
    <x v="6"/>
    <n v="-4.2530000000000001"/>
  </r>
  <r>
    <n v="200"/>
    <x v="3"/>
    <x v="55"/>
    <x v="9"/>
    <s v="Percent of GDP"/>
    <s v="Units"/>
    <x v="0"/>
    <n v="-2.0470000000000002"/>
  </r>
  <r>
    <n v="200"/>
    <x v="3"/>
    <x v="55"/>
    <x v="9"/>
    <s v="Percent of GDP"/>
    <s v="Units"/>
    <x v="1"/>
    <n v="-7.56"/>
  </r>
  <r>
    <n v="200"/>
    <x v="3"/>
    <x v="55"/>
    <x v="9"/>
    <s v="Percent of GDP"/>
    <s v="Units"/>
    <x v="2"/>
    <n v="-7.1559999999999997"/>
  </r>
  <r>
    <n v="200"/>
    <x v="3"/>
    <x v="55"/>
    <x v="9"/>
    <s v="Percent of GDP"/>
    <s v="Units"/>
    <x v="3"/>
    <n v="-6.2439999999999998"/>
  </r>
  <r>
    <n v="200"/>
    <x v="3"/>
    <x v="55"/>
    <x v="9"/>
    <s v="Percent of GDP"/>
    <s v="Units"/>
    <x v="4"/>
    <n v="-6.6630000000000003"/>
  </r>
  <r>
    <n v="200"/>
    <x v="3"/>
    <x v="55"/>
    <x v="9"/>
    <s v="Percent of GDP"/>
    <s v="Units"/>
    <x v="5"/>
    <n v="-5.1609999999999996"/>
  </r>
  <r>
    <n v="200"/>
    <x v="3"/>
    <x v="55"/>
    <x v="9"/>
    <s v="Percent of GDP"/>
    <s v="Units"/>
    <x v="6"/>
    <n v="-4.2530000000000001"/>
  </r>
  <r>
    <n v="903"/>
    <x v="8"/>
    <x v="55"/>
    <x v="9"/>
    <s v="Percent of GDP"/>
    <s v="Units"/>
    <x v="0"/>
    <n v="-2.0470000000000002"/>
  </r>
  <r>
    <n v="903"/>
    <x v="8"/>
    <x v="55"/>
    <x v="9"/>
    <s v="Percent of GDP"/>
    <s v="Units"/>
    <x v="1"/>
    <n v="-7.56"/>
  </r>
  <r>
    <n v="903"/>
    <x v="8"/>
    <x v="55"/>
    <x v="9"/>
    <s v="Percent of GDP"/>
    <s v="Units"/>
    <x v="2"/>
    <n v="-7.1559999999999997"/>
  </r>
  <r>
    <n v="903"/>
    <x v="8"/>
    <x v="55"/>
    <x v="9"/>
    <s v="Percent of GDP"/>
    <s v="Units"/>
    <x v="3"/>
    <n v="-6.2439999999999998"/>
  </r>
  <r>
    <n v="903"/>
    <x v="8"/>
    <x v="55"/>
    <x v="9"/>
    <s v="Percent of GDP"/>
    <s v="Units"/>
    <x v="4"/>
    <n v="-6.6630000000000003"/>
  </r>
  <r>
    <n v="903"/>
    <x v="8"/>
    <x v="55"/>
    <x v="9"/>
    <s v="Percent of GDP"/>
    <s v="Units"/>
    <x v="5"/>
    <n v="-5.1609999999999996"/>
  </r>
  <r>
    <n v="903"/>
    <x v="8"/>
    <x v="55"/>
    <x v="9"/>
    <s v="Percent of GDP"/>
    <s v="Units"/>
    <x v="6"/>
    <n v="-4.2530000000000001"/>
  </r>
  <r>
    <n v="110"/>
    <x v="0"/>
    <x v="61"/>
    <x v="12"/>
    <s v="Percent of potential GDP"/>
    <s v="Units"/>
    <x v="0"/>
    <n v="-1.68"/>
  </r>
  <r>
    <n v="110"/>
    <x v="0"/>
    <x v="61"/>
    <x v="12"/>
    <s v="Percent of potential GDP"/>
    <s v="Units"/>
    <x v="1"/>
    <n v="-2.169"/>
  </r>
  <r>
    <n v="110"/>
    <x v="0"/>
    <x v="61"/>
    <x v="12"/>
    <s v="Percent of potential GDP"/>
    <s v="Units"/>
    <x v="2"/>
    <n v="-1.595"/>
  </r>
  <r>
    <n v="110"/>
    <x v="0"/>
    <x v="61"/>
    <x v="12"/>
    <s v="Percent of potential GDP"/>
    <s v="Units"/>
    <x v="3"/>
    <n v="-1.397"/>
  </r>
  <r>
    <n v="110"/>
    <x v="0"/>
    <x v="61"/>
    <x v="12"/>
    <s v="Percent of potential GDP"/>
    <s v="Units"/>
    <x v="4"/>
    <n v="-4.4390000000000001"/>
  </r>
  <r>
    <n v="110"/>
    <x v="0"/>
    <x v="61"/>
    <x v="12"/>
    <s v="Percent of potential GDP"/>
    <s v="Units"/>
    <x v="5"/>
    <n v="-5.2709999999999999"/>
  </r>
  <r>
    <n v="110"/>
    <x v="0"/>
    <x v="61"/>
    <x v="12"/>
    <s v="Percent of potential GDP"/>
    <s v="Units"/>
    <x v="6"/>
    <n v="-5.6"/>
  </r>
  <r>
    <n v="163"/>
    <x v="5"/>
    <x v="61"/>
    <x v="12"/>
    <s v="Percent of potential GDP"/>
    <s v="Units"/>
    <x v="0"/>
    <n v="-1.68"/>
  </r>
  <r>
    <n v="163"/>
    <x v="5"/>
    <x v="61"/>
    <x v="12"/>
    <s v="Percent of potential GDP"/>
    <s v="Units"/>
    <x v="1"/>
    <n v="-2.169"/>
  </r>
  <r>
    <n v="163"/>
    <x v="5"/>
    <x v="61"/>
    <x v="12"/>
    <s v="Percent of potential GDP"/>
    <s v="Units"/>
    <x v="2"/>
    <n v="-1.595"/>
  </r>
  <r>
    <n v="163"/>
    <x v="5"/>
    <x v="61"/>
    <x v="12"/>
    <s v="Percent of potential GDP"/>
    <s v="Units"/>
    <x v="3"/>
    <n v="-1.397"/>
  </r>
  <r>
    <n v="163"/>
    <x v="5"/>
    <x v="61"/>
    <x v="12"/>
    <s v="Percent of potential GDP"/>
    <s v="Units"/>
    <x v="4"/>
    <n v="-4.4390000000000001"/>
  </r>
  <r>
    <n v="163"/>
    <x v="5"/>
    <x v="61"/>
    <x v="12"/>
    <s v="Percent of potential GDP"/>
    <s v="Units"/>
    <x v="5"/>
    <n v="-5.2709999999999999"/>
  </r>
  <r>
    <n v="163"/>
    <x v="5"/>
    <x v="61"/>
    <x v="12"/>
    <s v="Percent of potential GDP"/>
    <s v="Units"/>
    <x v="6"/>
    <n v="-5.6"/>
  </r>
  <r>
    <n v="200"/>
    <x v="3"/>
    <x v="99"/>
    <x v="9"/>
    <s v="Percent of GDP"/>
    <s v="Units"/>
    <x v="0"/>
    <n v="-3.6030000000000002"/>
  </r>
  <r>
    <n v="200"/>
    <x v="3"/>
    <x v="99"/>
    <x v="9"/>
    <s v="Percent of GDP"/>
    <s v="Units"/>
    <x v="1"/>
    <n v="-9.0470000000000006"/>
  </r>
  <r>
    <n v="200"/>
    <x v="3"/>
    <x v="99"/>
    <x v="9"/>
    <s v="Percent of GDP"/>
    <s v="Units"/>
    <x v="2"/>
    <n v="-7.6180000000000003"/>
  </r>
  <r>
    <n v="200"/>
    <x v="3"/>
    <x v="99"/>
    <x v="9"/>
    <s v="Percent of GDP"/>
    <s v="Units"/>
    <x v="3"/>
    <n v="-6.6589999999999998"/>
  </r>
  <r>
    <n v="200"/>
    <x v="3"/>
    <x v="99"/>
    <x v="9"/>
    <s v="Percent of GDP"/>
    <s v="Units"/>
    <x v="4"/>
    <n v="-6.6210000000000004"/>
  </r>
  <r>
    <n v="200"/>
    <x v="3"/>
    <x v="99"/>
    <x v="9"/>
    <s v="Percent of GDP"/>
    <s v="Units"/>
    <x v="5"/>
    <n v="-5.3940000000000001"/>
  </r>
  <r>
    <n v="200"/>
    <x v="3"/>
    <x v="99"/>
    <x v="9"/>
    <s v="Percent of GDP"/>
    <s v="Units"/>
    <x v="6"/>
    <n v="-4.8600000000000003"/>
  </r>
  <r>
    <n v="400"/>
    <x v="11"/>
    <x v="99"/>
    <x v="9"/>
    <s v="Percent of GDP"/>
    <s v="Units"/>
    <x v="0"/>
    <n v="-3.6030000000000002"/>
  </r>
  <r>
    <n v="400"/>
    <x v="11"/>
    <x v="99"/>
    <x v="9"/>
    <s v="Percent of GDP"/>
    <s v="Units"/>
    <x v="1"/>
    <n v="-9.0470000000000006"/>
  </r>
  <r>
    <n v="400"/>
    <x v="11"/>
    <x v="99"/>
    <x v="9"/>
    <s v="Percent of GDP"/>
    <s v="Units"/>
    <x v="2"/>
    <n v="-7.6180000000000003"/>
  </r>
  <r>
    <n v="400"/>
    <x v="11"/>
    <x v="99"/>
    <x v="9"/>
    <s v="Percent of GDP"/>
    <s v="Units"/>
    <x v="3"/>
    <n v="-6.6589999999999998"/>
  </r>
  <r>
    <n v="400"/>
    <x v="11"/>
    <x v="99"/>
    <x v="9"/>
    <s v="Percent of GDP"/>
    <s v="Units"/>
    <x v="4"/>
    <n v="-6.6210000000000004"/>
  </r>
  <r>
    <n v="400"/>
    <x v="11"/>
    <x v="99"/>
    <x v="9"/>
    <s v="Percent of GDP"/>
    <s v="Units"/>
    <x v="5"/>
    <n v="-5.3940000000000001"/>
  </r>
  <r>
    <n v="400"/>
    <x v="11"/>
    <x v="99"/>
    <x v="9"/>
    <s v="Percent of GDP"/>
    <s v="Units"/>
    <x v="6"/>
    <n v="-4.8600000000000003"/>
  </r>
  <r>
    <n v="903"/>
    <x v="8"/>
    <x v="16"/>
    <x v="9"/>
    <s v="Percent of GDP"/>
    <s v="Units"/>
    <x v="0"/>
    <n v="-4.7949999999999999"/>
  </r>
  <r>
    <n v="903"/>
    <x v="8"/>
    <x v="16"/>
    <x v="9"/>
    <s v="Percent of GDP"/>
    <s v="Units"/>
    <x v="1"/>
    <n v="-4.7229999999999999"/>
  </r>
  <r>
    <n v="903"/>
    <x v="8"/>
    <x v="16"/>
    <x v="9"/>
    <s v="Percent of GDP"/>
    <s v="Units"/>
    <x v="2"/>
    <n v="-3.0089999999999999"/>
  </r>
  <r>
    <n v="903"/>
    <x v="8"/>
    <x v="16"/>
    <x v="9"/>
    <s v="Percent of GDP"/>
    <s v="Units"/>
    <x v="3"/>
    <n v="-1.119"/>
  </r>
  <r>
    <n v="903"/>
    <x v="8"/>
    <x v="16"/>
    <x v="9"/>
    <s v="Percent of GDP"/>
    <s v="Units"/>
    <x v="4"/>
    <n v="-5.4939999999999998"/>
  </r>
  <r>
    <n v="903"/>
    <x v="8"/>
    <x v="16"/>
    <x v="9"/>
    <s v="Percent of GDP"/>
    <s v="Units"/>
    <x v="5"/>
    <n v="-5.4450000000000003"/>
  </r>
  <r>
    <n v="903"/>
    <x v="8"/>
    <x v="16"/>
    <x v="9"/>
    <s v="Percent of GDP"/>
    <s v="Units"/>
    <x v="6"/>
    <n v="-3.6589999999999998"/>
  </r>
  <r>
    <n v="200"/>
    <x v="3"/>
    <x v="16"/>
    <x v="9"/>
    <s v="Percent of GDP"/>
    <s v="Units"/>
    <x v="0"/>
    <n v="-4.7949999999999999"/>
  </r>
  <r>
    <n v="200"/>
    <x v="3"/>
    <x v="16"/>
    <x v="9"/>
    <s v="Percent of GDP"/>
    <s v="Units"/>
    <x v="1"/>
    <n v="-4.7229999999999999"/>
  </r>
  <r>
    <n v="200"/>
    <x v="3"/>
    <x v="16"/>
    <x v="9"/>
    <s v="Percent of GDP"/>
    <s v="Units"/>
    <x v="2"/>
    <n v="-3.0089999999999999"/>
  </r>
  <r>
    <n v="200"/>
    <x v="3"/>
    <x v="16"/>
    <x v="9"/>
    <s v="Percent of GDP"/>
    <s v="Units"/>
    <x v="3"/>
    <n v="-1.119"/>
  </r>
  <r>
    <n v="200"/>
    <x v="3"/>
    <x v="16"/>
    <x v="9"/>
    <s v="Percent of GDP"/>
    <s v="Units"/>
    <x v="4"/>
    <n v="-5.4939999999999998"/>
  </r>
  <r>
    <n v="200"/>
    <x v="3"/>
    <x v="16"/>
    <x v="9"/>
    <s v="Percent of GDP"/>
    <s v="Units"/>
    <x v="5"/>
    <n v="-5.4450000000000003"/>
  </r>
  <r>
    <n v="200"/>
    <x v="3"/>
    <x v="16"/>
    <x v="9"/>
    <s v="Percent of GDP"/>
    <s v="Units"/>
    <x v="6"/>
    <n v="-3.6589999999999998"/>
  </r>
  <r>
    <n v="200"/>
    <x v="3"/>
    <x v="19"/>
    <x v="9"/>
    <s v="Percent of GDP"/>
    <s v="Units"/>
    <x v="0"/>
    <n v="-0.74299999999999999"/>
  </r>
  <r>
    <n v="200"/>
    <x v="3"/>
    <x v="19"/>
    <x v="9"/>
    <s v="Percent of GDP"/>
    <s v="Units"/>
    <x v="1"/>
    <n v="-6.923"/>
  </r>
  <r>
    <n v="200"/>
    <x v="3"/>
    <x v="19"/>
    <x v="9"/>
    <s v="Percent of GDP"/>
    <s v="Units"/>
    <x v="2"/>
    <n v="-1.8320000000000001"/>
  </r>
  <r>
    <n v="200"/>
    <x v="3"/>
    <x v="19"/>
    <x v="9"/>
    <s v="Percent of GDP"/>
    <s v="Units"/>
    <x v="3"/>
    <n v="-3.6779999999999999"/>
  </r>
  <r>
    <n v="200"/>
    <x v="3"/>
    <x v="19"/>
    <x v="9"/>
    <s v="Percent of GDP"/>
    <s v="Units"/>
    <x v="4"/>
    <n v="-5.6189999999999998"/>
  </r>
  <r>
    <n v="200"/>
    <x v="3"/>
    <x v="19"/>
    <x v="9"/>
    <s v="Percent of GDP"/>
    <s v="Units"/>
    <x v="5"/>
    <n v="-5.4550000000000001"/>
  </r>
  <r>
    <n v="200"/>
    <x v="3"/>
    <x v="19"/>
    <x v="9"/>
    <s v="Percent of GDP"/>
    <s v="Units"/>
    <x v="6"/>
    <n v="-4.758"/>
  </r>
  <r>
    <n v="903"/>
    <x v="8"/>
    <x v="19"/>
    <x v="9"/>
    <s v="Percent of GDP"/>
    <s v="Units"/>
    <x v="0"/>
    <n v="-0.74299999999999999"/>
  </r>
  <r>
    <n v="903"/>
    <x v="8"/>
    <x v="19"/>
    <x v="9"/>
    <s v="Percent of GDP"/>
    <s v="Units"/>
    <x v="1"/>
    <n v="-6.923"/>
  </r>
  <r>
    <n v="903"/>
    <x v="8"/>
    <x v="19"/>
    <x v="9"/>
    <s v="Percent of GDP"/>
    <s v="Units"/>
    <x v="2"/>
    <n v="-1.8320000000000001"/>
  </r>
  <r>
    <n v="903"/>
    <x v="8"/>
    <x v="19"/>
    <x v="9"/>
    <s v="Percent of GDP"/>
    <s v="Units"/>
    <x v="3"/>
    <n v="-3.6779999999999999"/>
  </r>
  <r>
    <n v="903"/>
    <x v="8"/>
    <x v="19"/>
    <x v="9"/>
    <s v="Percent of GDP"/>
    <s v="Units"/>
    <x v="4"/>
    <n v="-5.6189999999999998"/>
  </r>
  <r>
    <n v="903"/>
    <x v="8"/>
    <x v="19"/>
    <x v="9"/>
    <s v="Percent of GDP"/>
    <s v="Units"/>
    <x v="5"/>
    <n v="-5.4550000000000001"/>
  </r>
  <r>
    <n v="903"/>
    <x v="8"/>
    <x v="19"/>
    <x v="9"/>
    <s v="Percent of GDP"/>
    <s v="Units"/>
    <x v="6"/>
    <n v="-4.758"/>
  </r>
  <r>
    <n v="998"/>
    <x v="6"/>
    <x v="19"/>
    <x v="9"/>
    <s v="Percent of GDP"/>
    <s v="Units"/>
    <x v="0"/>
    <n v="-0.74299999999999999"/>
  </r>
  <r>
    <n v="998"/>
    <x v="6"/>
    <x v="19"/>
    <x v="9"/>
    <s v="Percent of GDP"/>
    <s v="Units"/>
    <x v="1"/>
    <n v="-6.923"/>
  </r>
  <r>
    <n v="998"/>
    <x v="6"/>
    <x v="19"/>
    <x v="9"/>
    <s v="Percent of GDP"/>
    <s v="Units"/>
    <x v="2"/>
    <n v="-1.8320000000000001"/>
  </r>
  <r>
    <n v="998"/>
    <x v="6"/>
    <x v="19"/>
    <x v="9"/>
    <s v="Percent of GDP"/>
    <s v="Units"/>
    <x v="3"/>
    <n v="-3.6779999999999999"/>
  </r>
  <r>
    <n v="998"/>
    <x v="6"/>
    <x v="19"/>
    <x v="9"/>
    <s v="Percent of GDP"/>
    <s v="Units"/>
    <x v="4"/>
    <n v="-5.6189999999999998"/>
  </r>
  <r>
    <n v="998"/>
    <x v="6"/>
    <x v="19"/>
    <x v="9"/>
    <s v="Percent of GDP"/>
    <s v="Units"/>
    <x v="5"/>
    <n v="-5.4550000000000001"/>
  </r>
  <r>
    <n v="998"/>
    <x v="6"/>
    <x v="19"/>
    <x v="9"/>
    <s v="Percent of GDP"/>
    <s v="Units"/>
    <x v="6"/>
    <n v="-4.758"/>
  </r>
  <r>
    <n v="200"/>
    <x v="3"/>
    <x v="164"/>
    <x v="9"/>
    <s v="Percent of GDP"/>
    <s v="Units"/>
    <x v="0"/>
    <n v="-3.4"/>
  </r>
  <r>
    <n v="200"/>
    <x v="3"/>
    <x v="164"/>
    <x v="9"/>
    <s v="Percent of GDP"/>
    <s v="Units"/>
    <x v="1"/>
    <n v="-5.1840000000000002"/>
  </r>
  <r>
    <n v="200"/>
    <x v="3"/>
    <x v="164"/>
    <x v="9"/>
    <s v="Percent of GDP"/>
    <s v="Units"/>
    <x v="2"/>
    <n v="-7.47"/>
  </r>
  <r>
    <n v="200"/>
    <x v="3"/>
    <x v="164"/>
    <x v="9"/>
    <s v="Percent of GDP"/>
    <s v="Units"/>
    <x v="3"/>
    <n v="-10.749000000000001"/>
  </r>
  <r>
    <n v="200"/>
    <x v="3"/>
    <x v="164"/>
    <x v="9"/>
    <s v="Percent of GDP"/>
    <s v="Units"/>
    <x v="4"/>
    <n v="-6.8209999999999997"/>
  </r>
  <r>
    <n v="200"/>
    <x v="3"/>
    <x v="164"/>
    <x v="9"/>
    <s v="Percent of GDP"/>
    <s v="Units"/>
    <x v="5"/>
    <n v="-5.6660000000000004"/>
  </r>
  <r>
    <n v="200"/>
    <x v="3"/>
    <x v="164"/>
    <x v="9"/>
    <s v="Percent of GDP"/>
    <s v="Units"/>
    <x v="6"/>
    <n v="-4.6900000000000004"/>
  </r>
  <r>
    <n v="603"/>
    <x v="12"/>
    <x v="164"/>
    <x v="9"/>
    <s v="Percent of GDP"/>
    <s v="Units"/>
    <x v="0"/>
    <n v="-3.4"/>
  </r>
  <r>
    <n v="603"/>
    <x v="12"/>
    <x v="164"/>
    <x v="9"/>
    <s v="Percent of GDP"/>
    <s v="Units"/>
    <x v="1"/>
    <n v="-5.1840000000000002"/>
  </r>
  <r>
    <n v="603"/>
    <x v="12"/>
    <x v="164"/>
    <x v="9"/>
    <s v="Percent of GDP"/>
    <s v="Units"/>
    <x v="2"/>
    <n v="-7.47"/>
  </r>
  <r>
    <n v="603"/>
    <x v="12"/>
    <x v="164"/>
    <x v="9"/>
    <s v="Percent of GDP"/>
    <s v="Units"/>
    <x v="3"/>
    <n v="-10.749000000000001"/>
  </r>
  <r>
    <n v="603"/>
    <x v="12"/>
    <x v="164"/>
    <x v="9"/>
    <s v="Percent of GDP"/>
    <s v="Units"/>
    <x v="4"/>
    <n v="-6.8209999999999997"/>
  </r>
  <r>
    <n v="603"/>
    <x v="12"/>
    <x v="164"/>
    <x v="9"/>
    <s v="Percent of GDP"/>
    <s v="Units"/>
    <x v="5"/>
    <n v="-5.6660000000000004"/>
  </r>
  <r>
    <n v="603"/>
    <x v="12"/>
    <x v="164"/>
    <x v="9"/>
    <s v="Percent of GDP"/>
    <s v="Units"/>
    <x v="6"/>
    <n v="-4.6900000000000004"/>
  </r>
  <r>
    <n v="1"/>
    <x v="2"/>
    <x v="75"/>
    <x v="6"/>
    <s v="Percent change"/>
    <s v="Units"/>
    <x v="0"/>
    <n v="-11.250999999999999"/>
  </r>
  <r>
    <n v="1"/>
    <x v="2"/>
    <x v="75"/>
    <x v="6"/>
    <s v="Percent change"/>
    <s v="Units"/>
    <x v="1"/>
    <n v="-32.646000000000001"/>
  </r>
  <r>
    <n v="1"/>
    <x v="2"/>
    <x v="75"/>
    <x v="6"/>
    <s v="Percent change"/>
    <s v="Units"/>
    <x v="2"/>
    <n v="8.173"/>
  </r>
  <r>
    <n v="1"/>
    <x v="2"/>
    <x v="75"/>
    <x v="6"/>
    <s v="Percent change"/>
    <s v="Units"/>
    <x v="3"/>
    <n v="42.125999999999998"/>
  </r>
  <r>
    <n v="1"/>
    <x v="2"/>
    <x v="75"/>
    <x v="6"/>
    <s v="Percent change"/>
    <s v="Units"/>
    <x v="4"/>
    <n v="-13.032999999999999"/>
  </r>
  <r>
    <n v="1"/>
    <x v="2"/>
    <x v="75"/>
    <x v="6"/>
    <s v="Percent change"/>
    <s v="Units"/>
    <x v="5"/>
    <n v="-5.7530000000000001"/>
  </r>
  <r>
    <n v="1"/>
    <x v="2"/>
    <x v="75"/>
    <x v="6"/>
    <s v="Percent change"/>
    <s v="Units"/>
    <x v="6"/>
    <n v="1.63"/>
  </r>
  <r>
    <n v="200"/>
    <x v="3"/>
    <x v="75"/>
    <x v="6"/>
    <s v="Percent change"/>
    <s v="Units"/>
    <x v="0"/>
    <n v="-11.250999999999999"/>
  </r>
  <r>
    <n v="200"/>
    <x v="3"/>
    <x v="75"/>
    <x v="6"/>
    <s v="Percent change"/>
    <s v="Units"/>
    <x v="1"/>
    <n v="-32.646000000000001"/>
  </r>
  <r>
    <n v="200"/>
    <x v="3"/>
    <x v="75"/>
    <x v="6"/>
    <s v="Percent change"/>
    <s v="Units"/>
    <x v="2"/>
    <n v="8.173"/>
  </r>
  <r>
    <n v="200"/>
    <x v="3"/>
    <x v="75"/>
    <x v="6"/>
    <s v="Percent change"/>
    <s v="Units"/>
    <x v="3"/>
    <n v="42.125999999999998"/>
  </r>
  <r>
    <n v="200"/>
    <x v="3"/>
    <x v="75"/>
    <x v="6"/>
    <s v="Percent change"/>
    <s v="Units"/>
    <x v="4"/>
    <n v="-13.032999999999999"/>
  </r>
  <r>
    <n v="200"/>
    <x v="3"/>
    <x v="75"/>
    <x v="6"/>
    <s v="Percent change"/>
    <s v="Units"/>
    <x v="5"/>
    <n v="-5.7530000000000001"/>
  </r>
  <r>
    <n v="200"/>
    <x v="3"/>
    <x v="75"/>
    <x v="6"/>
    <s v="Percent change"/>
    <s v="Units"/>
    <x v="6"/>
    <n v="1.63"/>
  </r>
  <r>
    <n v="603"/>
    <x v="12"/>
    <x v="75"/>
    <x v="6"/>
    <s v="Percent change"/>
    <s v="Units"/>
    <x v="0"/>
    <n v="-11.250999999999999"/>
  </r>
  <r>
    <n v="603"/>
    <x v="12"/>
    <x v="75"/>
    <x v="6"/>
    <s v="Percent change"/>
    <s v="Units"/>
    <x v="1"/>
    <n v="-32.646000000000001"/>
  </r>
  <r>
    <n v="603"/>
    <x v="12"/>
    <x v="75"/>
    <x v="6"/>
    <s v="Percent change"/>
    <s v="Units"/>
    <x v="2"/>
    <n v="8.173"/>
  </r>
  <r>
    <n v="603"/>
    <x v="12"/>
    <x v="75"/>
    <x v="6"/>
    <s v="Percent change"/>
    <s v="Units"/>
    <x v="3"/>
    <n v="42.125999999999998"/>
  </r>
  <r>
    <n v="603"/>
    <x v="12"/>
    <x v="75"/>
    <x v="6"/>
    <s v="Percent change"/>
    <s v="Units"/>
    <x v="4"/>
    <n v="-13.032999999999999"/>
  </r>
  <r>
    <n v="603"/>
    <x v="12"/>
    <x v="75"/>
    <x v="6"/>
    <s v="Percent change"/>
    <s v="Units"/>
    <x v="5"/>
    <n v="-5.7530000000000001"/>
  </r>
  <r>
    <n v="603"/>
    <x v="12"/>
    <x v="75"/>
    <x v="6"/>
    <s v="Percent change"/>
    <s v="Units"/>
    <x v="6"/>
    <n v="1.63"/>
  </r>
  <r>
    <n v="505"/>
    <x v="4"/>
    <x v="93"/>
    <x v="9"/>
    <s v="Percent of GDP"/>
    <s v="Units"/>
    <x v="0"/>
    <n v="-3.907"/>
  </r>
  <r>
    <n v="505"/>
    <x v="4"/>
    <x v="93"/>
    <x v="9"/>
    <s v="Percent of GDP"/>
    <s v="Units"/>
    <x v="1"/>
    <n v="-5.859"/>
  </r>
  <r>
    <n v="505"/>
    <x v="4"/>
    <x v="93"/>
    <x v="9"/>
    <s v="Percent of GDP"/>
    <s v="Units"/>
    <x v="2"/>
    <n v="-6.9880000000000004"/>
  </r>
  <r>
    <n v="505"/>
    <x v="4"/>
    <x v="93"/>
    <x v="9"/>
    <s v="Percent of GDP"/>
    <s v="Units"/>
    <x v="3"/>
    <n v="-5.9589999999999996"/>
  </r>
  <r>
    <n v="505"/>
    <x v="4"/>
    <x v="93"/>
    <x v="9"/>
    <s v="Percent of GDP"/>
    <s v="Units"/>
    <x v="4"/>
    <n v="-6.1210000000000004"/>
  </r>
  <r>
    <n v="505"/>
    <x v="4"/>
    <x v="93"/>
    <x v="9"/>
    <s v="Percent of GDP"/>
    <s v="Units"/>
    <x v="5"/>
    <n v="-5.7880000000000003"/>
  </r>
  <r>
    <n v="505"/>
    <x v="4"/>
    <x v="93"/>
    <x v="9"/>
    <s v="Percent of GDP"/>
    <s v="Units"/>
    <x v="6"/>
    <n v="-5.86"/>
  </r>
  <r>
    <n v="200"/>
    <x v="3"/>
    <x v="93"/>
    <x v="9"/>
    <s v="Percent of GDP"/>
    <s v="Units"/>
    <x v="0"/>
    <n v="-3.907"/>
  </r>
  <r>
    <n v="200"/>
    <x v="3"/>
    <x v="93"/>
    <x v="9"/>
    <s v="Percent of GDP"/>
    <s v="Units"/>
    <x v="1"/>
    <n v="-5.859"/>
  </r>
  <r>
    <n v="200"/>
    <x v="3"/>
    <x v="93"/>
    <x v="9"/>
    <s v="Percent of GDP"/>
    <s v="Units"/>
    <x v="2"/>
    <n v="-6.9880000000000004"/>
  </r>
  <r>
    <n v="200"/>
    <x v="3"/>
    <x v="93"/>
    <x v="9"/>
    <s v="Percent of GDP"/>
    <s v="Units"/>
    <x v="3"/>
    <n v="-5.9589999999999996"/>
  </r>
  <r>
    <n v="200"/>
    <x v="3"/>
    <x v="93"/>
    <x v="9"/>
    <s v="Percent of GDP"/>
    <s v="Units"/>
    <x v="4"/>
    <n v="-6.1210000000000004"/>
  </r>
  <r>
    <n v="200"/>
    <x v="3"/>
    <x v="93"/>
    <x v="9"/>
    <s v="Percent of GDP"/>
    <s v="Units"/>
    <x v="5"/>
    <n v="-5.7880000000000003"/>
  </r>
  <r>
    <n v="200"/>
    <x v="3"/>
    <x v="93"/>
    <x v="9"/>
    <s v="Percent of GDP"/>
    <s v="Units"/>
    <x v="6"/>
    <n v="-5.86"/>
  </r>
  <r>
    <n v="205"/>
    <x v="7"/>
    <x v="160"/>
    <x v="4"/>
    <s v="Percent change"/>
    <s v="Units"/>
    <x v="0"/>
    <n v="-17.081"/>
  </r>
  <r>
    <n v="205"/>
    <x v="7"/>
    <x v="160"/>
    <x v="4"/>
    <s v="Percent change"/>
    <s v="Units"/>
    <x v="1"/>
    <n v="-26.777000000000001"/>
  </r>
  <r>
    <n v="205"/>
    <x v="7"/>
    <x v="160"/>
    <x v="4"/>
    <s v="Percent change"/>
    <s v="Units"/>
    <x v="2"/>
    <n v="39.871000000000002"/>
  </r>
  <r>
    <n v="205"/>
    <x v="7"/>
    <x v="160"/>
    <x v="4"/>
    <s v="Percent change"/>
    <s v="Units"/>
    <x v="3"/>
    <n v="30.965"/>
  </r>
  <r>
    <n v="205"/>
    <x v="7"/>
    <x v="160"/>
    <x v="4"/>
    <s v="Percent change"/>
    <s v="Units"/>
    <x v="4"/>
    <n v="-27.542999999999999"/>
  </r>
  <r>
    <n v="205"/>
    <x v="7"/>
    <x v="160"/>
    <x v="4"/>
    <s v="Percent change"/>
    <s v="Units"/>
    <x v="5"/>
    <n v="-5.8239999999999998"/>
  </r>
  <r>
    <n v="205"/>
    <x v="7"/>
    <x v="160"/>
    <x v="4"/>
    <s v="Percent change"/>
    <s v="Units"/>
    <x v="6"/>
    <n v="5.7240000000000002"/>
  </r>
  <r>
    <n v="1"/>
    <x v="2"/>
    <x v="160"/>
    <x v="4"/>
    <s v="Percent change"/>
    <s v="Units"/>
    <x v="0"/>
    <n v="-17.081"/>
  </r>
  <r>
    <n v="1"/>
    <x v="2"/>
    <x v="160"/>
    <x v="4"/>
    <s v="Percent change"/>
    <s v="Units"/>
    <x v="1"/>
    <n v="-26.777000000000001"/>
  </r>
  <r>
    <n v="1"/>
    <x v="2"/>
    <x v="160"/>
    <x v="4"/>
    <s v="Percent change"/>
    <s v="Units"/>
    <x v="2"/>
    <n v="39.871000000000002"/>
  </r>
  <r>
    <n v="1"/>
    <x v="2"/>
    <x v="160"/>
    <x v="4"/>
    <s v="Percent change"/>
    <s v="Units"/>
    <x v="3"/>
    <n v="30.965"/>
  </r>
  <r>
    <n v="1"/>
    <x v="2"/>
    <x v="160"/>
    <x v="4"/>
    <s v="Percent change"/>
    <s v="Units"/>
    <x v="4"/>
    <n v="-27.542999999999999"/>
  </r>
  <r>
    <n v="1"/>
    <x v="2"/>
    <x v="160"/>
    <x v="4"/>
    <s v="Percent change"/>
    <s v="Units"/>
    <x v="5"/>
    <n v="-5.8239999999999998"/>
  </r>
  <r>
    <n v="1"/>
    <x v="2"/>
    <x v="160"/>
    <x v="4"/>
    <s v="Percent change"/>
    <s v="Units"/>
    <x v="6"/>
    <n v="5.7240000000000002"/>
  </r>
  <r>
    <n v="200"/>
    <x v="3"/>
    <x v="160"/>
    <x v="4"/>
    <s v="Percent change"/>
    <s v="Units"/>
    <x v="0"/>
    <n v="-17.081"/>
  </r>
  <r>
    <n v="200"/>
    <x v="3"/>
    <x v="160"/>
    <x v="4"/>
    <s v="Percent change"/>
    <s v="Units"/>
    <x v="1"/>
    <n v="-26.777000000000001"/>
  </r>
  <r>
    <n v="200"/>
    <x v="3"/>
    <x v="160"/>
    <x v="4"/>
    <s v="Percent change"/>
    <s v="Units"/>
    <x v="2"/>
    <n v="39.871000000000002"/>
  </r>
  <r>
    <n v="200"/>
    <x v="3"/>
    <x v="160"/>
    <x v="4"/>
    <s v="Percent change"/>
    <s v="Units"/>
    <x v="3"/>
    <n v="30.965"/>
  </r>
  <r>
    <n v="200"/>
    <x v="3"/>
    <x v="160"/>
    <x v="4"/>
    <s v="Percent change"/>
    <s v="Units"/>
    <x v="4"/>
    <n v="-27.542999999999999"/>
  </r>
  <r>
    <n v="200"/>
    <x v="3"/>
    <x v="160"/>
    <x v="4"/>
    <s v="Percent change"/>
    <s v="Units"/>
    <x v="5"/>
    <n v="-5.8239999999999998"/>
  </r>
  <r>
    <n v="200"/>
    <x v="3"/>
    <x v="160"/>
    <x v="4"/>
    <s v="Percent change"/>
    <s v="Units"/>
    <x v="6"/>
    <n v="5.7240000000000002"/>
  </r>
  <r>
    <n v="200"/>
    <x v="3"/>
    <x v="129"/>
    <x v="9"/>
    <s v="Percent of GDP"/>
    <s v="Units"/>
    <x v="0"/>
    <n v="-6.3949999999999996"/>
  </r>
  <r>
    <n v="200"/>
    <x v="3"/>
    <x v="129"/>
    <x v="9"/>
    <s v="Percent of GDP"/>
    <s v="Units"/>
    <x v="1"/>
    <n v="-6.3369999999999997"/>
  </r>
  <r>
    <n v="200"/>
    <x v="3"/>
    <x v="129"/>
    <x v="9"/>
    <s v="Percent of GDP"/>
    <s v="Units"/>
    <x v="2"/>
    <n v="-5.25"/>
  </r>
  <r>
    <n v="200"/>
    <x v="3"/>
    <x v="129"/>
    <x v="9"/>
    <s v="Percent of GDP"/>
    <s v="Units"/>
    <x v="3"/>
    <n v="-10.602"/>
  </r>
  <r>
    <n v="200"/>
    <x v="3"/>
    <x v="129"/>
    <x v="9"/>
    <s v="Percent of GDP"/>
    <s v="Units"/>
    <x v="4"/>
    <n v="-9.0730000000000004"/>
  </r>
  <r>
    <n v="200"/>
    <x v="3"/>
    <x v="129"/>
    <x v="9"/>
    <s v="Percent of GDP"/>
    <s v="Units"/>
    <x v="5"/>
    <n v="-5.8879999999999999"/>
  </r>
  <r>
    <n v="200"/>
    <x v="3"/>
    <x v="129"/>
    <x v="9"/>
    <s v="Percent of GDP"/>
    <s v="Units"/>
    <x v="6"/>
    <n v="-3.2629999999999999"/>
  </r>
  <r>
    <n v="603"/>
    <x v="12"/>
    <x v="129"/>
    <x v="9"/>
    <s v="Percent of GDP"/>
    <s v="Units"/>
    <x v="0"/>
    <n v="-6.3949999999999996"/>
  </r>
  <r>
    <n v="603"/>
    <x v="12"/>
    <x v="129"/>
    <x v="9"/>
    <s v="Percent of GDP"/>
    <s v="Units"/>
    <x v="1"/>
    <n v="-6.3369999999999997"/>
  </r>
  <r>
    <n v="603"/>
    <x v="12"/>
    <x v="129"/>
    <x v="9"/>
    <s v="Percent of GDP"/>
    <s v="Units"/>
    <x v="2"/>
    <n v="-5.25"/>
  </r>
  <r>
    <n v="603"/>
    <x v="12"/>
    <x v="129"/>
    <x v="9"/>
    <s v="Percent of GDP"/>
    <s v="Units"/>
    <x v="3"/>
    <n v="-10.602"/>
  </r>
  <r>
    <n v="603"/>
    <x v="12"/>
    <x v="129"/>
    <x v="9"/>
    <s v="Percent of GDP"/>
    <s v="Units"/>
    <x v="4"/>
    <n v="-9.0730000000000004"/>
  </r>
  <r>
    <n v="603"/>
    <x v="12"/>
    <x v="129"/>
    <x v="9"/>
    <s v="Percent of GDP"/>
    <s v="Units"/>
    <x v="5"/>
    <n v="-5.8879999999999999"/>
  </r>
  <r>
    <n v="603"/>
    <x v="12"/>
    <x v="129"/>
    <x v="9"/>
    <s v="Percent of GDP"/>
    <s v="Units"/>
    <x v="6"/>
    <n v="-3.2629999999999999"/>
  </r>
  <r>
    <n v="200"/>
    <x v="3"/>
    <x v="11"/>
    <x v="9"/>
    <s v="Percent of GDP"/>
    <s v="Units"/>
    <x v="0"/>
    <n v="-2.2639999999999998"/>
  </r>
  <r>
    <n v="200"/>
    <x v="3"/>
    <x v="11"/>
    <x v="9"/>
    <s v="Percent of GDP"/>
    <s v="Units"/>
    <x v="1"/>
    <n v="-4.2910000000000004"/>
  </r>
  <r>
    <n v="200"/>
    <x v="3"/>
    <x v="11"/>
    <x v="9"/>
    <s v="Percent of GDP"/>
    <s v="Units"/>
    <x v="2"/>
    <n v="-3.7570000000000001"/>
  </r>
  <r>
    <n v="200"/>
    <x v="3"/>
    <x v="11"/>
    <x v="9"/>
    <s v="Percent of GDP"/>
    <s v="Units"/>
    <x v="3"/>
    <n v="-4.2709999999999999"/>
  </r>
  <r>
    <n v="200"/>
    <x v="3"/>
    <x v="11"/>
    <x v="9"/>
    <s v="Percent of GDP"/>
    <s v="Units"/>
    <x v="4"/>
    <n v="-4.2910000000000004"/>
  </r>
  <r>
    <n v="200"/>
    <x v="3"/>
    <x v="11"/>
    <x v="9"/>
    <s v="Percent of GDP"/>
    <s v="Units"/>
    <x v="5"/>
    <n v="-5.9"/>
  </r>
  <r>
    <n v="200"/>
    <x v="3"/>
    <x v="11"/>
    <x v="9"/>
    <s v="Percent of GDP"/>
    <s v="Units"/>
    <x v="6"/>
    <n v="-3"/>
  </r>
  <r>
    <n v="205"/>
    <x v="7"/>
    <x v="11"/>
    <x v="9"/>
    <s v="Percent of GDP"/>
    <s v="Units"/>
    <x v="0"/>
    <n v="-2.2639999999999998"/>
  </r>
  <r>
    <n v="205"/>
    <x v="7"/>
    <x v="11"/>
    <x v="9"/>
    <s v="Percent of GDP"/>
    <s v="Units"/>
    <x v="1"/>
    <n v="-4.2910000000000004"/>
  </r>
  <r>
    <n v="205"/>
    <x v="7"/>
    <x v="11"/>
    <x v="9"/>
    <s v="Percent of GDP"/>
    <s v="Units"/>
    <x v="2"/>
    <n v="-3.7570000000000001"/>
  </r>
  <r>
    <n v="205"/>
    <x v="7"/>
    <x v="11"/>
    <x v="9"/>
    <s v="Percent of GDP"/>
    <s v="Units"/>
    <x v="3"/>
    <n v="-4.2709999999999999"/>
  </r>
  <r>
    <n v="205"/>
    <x v="7"/>
    <x v="11"/>
    <x v="9"/>
    <s v="Percent of GDP"/>
    <s v="Units"/>
    <x v="4"/>
    <n v="-4.2910000000000004"/>
  </r>
  <r>
    <n v="205"/>
    <x v="7"/>
    <x v="11"/>
    <x v="9"/>
    <s v="Percent of GDP"/>
    <s v="Units"/>
    <x v="5"/>
    <n v="-5.9"/>
  </r>
  <r>
    <n v="205"/>
    <x v="7"/>
    <x v="11"/>
    <x v="9"/>
    <s v="Percent of GDP"/>
    <s v="Units"/>
    <x v="6"/>
    <n v="-3"/>
  </r>
  <r>
    <n v="998"/>
    <x v="6"/>
    <x v="61"/>
    <x v="9"/>
    <s v="Percent of GDP"/>
    <s v="Units"/>
    <x v="0"/>
    <n v="-1.2190000000000001"/>
  </r>
  <r>
    <n v="998"/>
    <x v="6"/>
    <x v="61"/>
    <x v="9"/>
    <s v="Percent of GDP"/>
    <s v="Units"/>
    <x v="1"/>
    <n v="-5.3579999999999997"/>
  </r>
  <r>
    <n v="998"/>
    <x v="6"/>
    <x v="61"/>
    <x v="9"/>
    <s v="Percent of GDP"/>
    <s v="Units"/>
    <x v="2"/>
    <n v="-5.4340000000000002"/>
  </r>
  <r>
    <n v="998"/>
    <x v="6"/>
    <x v="61"/>
    <x v="9"/>
    <s v="Percent of GDP"/>
    <s v="Units"/>
    <x v="3"/>
    <n v="-2.44"/>
  </r>
  <r>
    <n v="998"/>
    <x v="6"/>
    <x v="61"/>
    <x v="9"/>
    <s v="Percent of GDP"/>
    <s v="Units"/>
    <x v="4"/>
    <n v="-6.4370000000000003"/>
  </r>
  <r>
    <n v="998"/>
    <x v="6"/>
    <x v="61"/>
    <x v="9"/>
    <s v="Percent of GDP"/>
    <s v="Units"/>
    <x v="5"/>
    <n v="-5.9580000000000002"/>
  </r>
  <r>
    <n v="998"/>
    <x v="6"/>
    <x v="61"/>
    <x v="9"/>
    <s v="Percent of GDP"/>
    <s v="Units"/>
    <x v="6"/>
    <n v="-6.1310000000000002"/>
  </r>
  <r>
    <n v="163"/>
    <x v="5"/>
    <x v="61"/>
    <x v="9"/>
    <s v="Percent of GDP"/>
    <s v="Units"/>
    <x v="0"/>
    <n v="-1.2190000000000001"/>
  </r>
  <r>
    <n v="163"/>
    <x v="5"/>
    <x v="61"/>
    <x v="9"/>
    <s v="Percent of GDP"/>
    <s v="Units"/>
    <x v="1"/>
    <n v="-5.3579999999999997"/>
  </r>
  <r>
    <n v="163"/>
    <x v="5"/>
    <x v="61"/>
    <x v="9"/>
    <s v="Percent of GDP"/>
    <s v="Units"/>
    <x v="2"/>
    <n v="-5.4340000000000002"/>
  </r>
  <r>
    <n v="163"/>
    <x v="5"/>
    <x v="61"/>
    <x v="9"/>
    <s v="Percent of GDP"/>
    <s v="Units"/>
    <x v="3"/>
    <n v="-2.44"/>
  </r>
  <r>
    <n v="163"/>
    <x v="5"/>
    <x v="61"/>
    <x v="9"/>
    <s v="Percent of GDP"/>
    <s v="Units"/>
    <x v="4"/>
    <n v="-6.4370000000000003"/>
  </r>
  <r>
    <n v="163"/>
    <x v="5"/>
    <x v="61"/>
    <x v="9"/>
    <s v="Percent of GDP"/>
    <s v="Units"/>
    <x v="5"/>
    <n v="-5.9580000000000002"/>
  </r>
  <r>
    <n v="163"/>
    <x v="5"/>
    <x v="61"/>
    <x v="9"/>
    <s v="Percent of GDP"/>
    <s v="Units"/>
    <x v="6"/>
    <n v="-6.1310000000000002"/>
  </r>
  <r>
    <n v="110"/>
    <x v="0"/>
    <x v="61"/>
    <x v="9"/>
    <s v="Percent of GDP"/>
    <s v="Units"/>
    <x v="0"/>
    <n v="-1.2190000000000001"/>
  </r>
  <r>
    <n v="110"/>
    <x v="0"/>
    <x v="61"/>
    <x v="9"/>
    <s v="Percent of GDP"/>
    <s v="Units"/>
    <x v="1"/>
    <n v="-5.3579999999999997"/>
  </r>
  <r>
    <n v="110"/>
    <x v="0"/>
    <x v="61"/>
    <x v="9"/>
    <s v="Percent of GDP"/>
    <s v="Units"/>
    <x v="2"/>
    <n v="-5.4340000000000002"/>
  </r>
  <r>
    <n v="110"/>
    <x v="0"/>
    <x v="61"/>
    <x v="9"/>
    <s v="Percent of GDP"/>
    <s v="Units"/>
    <x v="3"/>
    <n v="-2.44"/>
  </r>
  <r>
    <n v="110"/>
    <x v="0"/>
    <x v="61"/>
    <x v="9"/>
    <s v="Percent of GDP"/>
    <s v="Units"/>
    <x v="4"/>
    <n v="-6.4370000000000003"/>
  </r>
  <r>
    <n v="110"/>
    <x v="0"/>
    <x v="61"/>
    <x v="9"/>
    <s v="Percent of GDP"/>
    <s v="Units"/>
    <x v="5"/>
    <n v="-5.9580000000000002"/>
  </r>
  <r>
    <n v="110"/>
    <x v="0"/>
    <x v="61"/>
    <x v="9"/>
    <s v="Percent of GDP"/>
    <s v="Units"/>
    <x v="6"/>
    <n v="-6.1310000000000002"/>
  </r>
  <r>
    <n v="603"/>
    <x v="12"/>
    <x v="163"/>
    <x v="9"/>
    <s v="Percent of GDP"/>
    <s v="Units"/>
    <x v="0"/>
    <n v="1.6659999999999999"/>
  </r>
  <r>
    <n v="603"/>
    <x v="12"/>
    <x v="163"/>
    <x v="9"/>
    <s v="Percent of GDP"/>
    <s v="Units"/>
    <x v="1"/>
    <n v="-7.0469999999999997"/>
  </r>
  <r>
    <n v="603"/>
    <x v="12"/>
    <x v="163"/>
    <x v="9"/>
    <s v="Percent of GDP"/>
    <s v="Units"/>
    <x v="2"/>
    <n v="-4.6529999999999996"/>
  </r>
  <r>
    <n v="603"/>
    <x v="12"/>
    <x v="163"/>
    <x v="9"/>
    <s v="Percent of GDP"/>
    <s v="Units"/>
    <x v="3"/>
    <n v="-8.3350000000000009"/>
  </r>
  <r>
    <n v="603"/>
    <x v="12"/>
    <x v="163"/>
    <x v="9"/>
    <s v="Percent of GDP"/>
    <s v="Units"/>
    <x v="4"/>
    <n v="-6.5759999999999996"/>
  </r>
  <r>
    <n v="603"/>
    <x v="12"/>
    <x v="163"/>
    <x v="9"/>
    <s v="Percent of GDP"/>
    <s v="Units"/>
    <x v="5"/>
    <n v="-5.9690000000000003"/>
  </r>
  <r>
    <n v="603"/>
    <x v="12"/>
    <x v="163"/>
    <x v="9"/>
    <s v="Percent of GDP"/>
    <s v="Units"/>
    <x v="6"/>
    <n v="-2.9609999999999999"/>
  </r>
  <r>
    <n v="200"/>
    <x v="3"/>
    <x v="163"/>
    <x v="9"/>
    <s v="Percent of GDP"/>
    <s v="Units"/>
    <x v="0"/>
    <n v="1.6659999999999999"/>
  </r>
  <r>
    <n v="200"/>
    <x v="3"/>
    <x v="163"/>
    <x v="9"/>
    <s v="Percent of GDP"/>
    <s v="Units"/>
    <x v="1"/>
    <n v="-7.0469999999999997"/>
  </r>
  <r>
    <n v="200"/>
    <x v="3"/>
    <x v="163"/>
    <x v="9"/>
    <s v="Percent of GDP"/>
    <s v="Units"/>
    <x v="2"/>
    <n v="-4.6529999999999996"/>
  </r>
  <r>
    <n v="200"/>
    <x v="3"/>
    <x v="163"/>
    <x v="9"/>
    <s v="Percent of GDP"/>
    <s v="Units"/>
    <x v="3"/>
    <n v="-8.3350000000000009"/>
  </r>
  <r>
    <n v="200"/>
    <x v="3"/>
    <x v="163"/>
    <x v="9"/>
    <s v="Percent of GDP"/>
    <s v="Units"/>
    <x v="4"/>
    <n v="-6.5759999999999996"/>
  </r>
  <r>
    <n v="200"/>
    <x v="3"/>
    <x v="163"/>
    <x v="9"/>
    <s v="Percent of GDP"/>
    <s v="Units"/>
    <x v="5"/>
    <n v="-5.9690000000000003"/>
  </r>
  <r>
    <n v="200"/>
    <x v="3"/>
    <x v="163"/>
    <x v="9"/>
    <s v="Percent of GDP"/>
    <s v="Units"/>
    <x v="6"/>
    <n v="-2.9609999999999999"/>
  </r>
  <r>
    <n v="200"/>
    <x v="3"/>
    <x v="139"/>
    <x v="9"/>
    <s v="Percent of GDP"/>
    <s v="Units"/>
    <x v="0"/>
    <n v="-9.407"/>
  </r>
  <r>
    <n v="200"/>
    <x v="3"/>
    <x v="139"/>
    <x v="9"/>
    <s v="Percent of GDP"/>
    <s v="Units"/>
    <x v="1"/>
    <n v="-13.762"/>
  </r>
  <r>
    <n v="200"/>
    <x v="3"/>
    <x v="139"/>
    <x v="9"/>
    <s v="Percent of GDP"/>
    <s v="Units"/>
    <x v="2"/>
    <n v="-8.1349999999999998"/>
  </r>
  <r>
    <n v="200"/>
    <x v="3"/>
    <x v="139"/>
    <x v="9"/>
    <s v="Percent of GDP"/>
    <s v="Units"/>
    <x v="3"/>
    <n v="-7.8209999999999997"/>
  </r>
  <r>
    <n v="200"/>
    <x v="3"/>
    <x v="139"/>
    <x v="9"/>
    <s v="Percent of GDP"/>
    <s v="Units"/>
    <x v="4"/>
    <n v="-6.8010000000000002"/>
  </r>
  <r>
    <n v="200"/>
    <x v="3"/>
    <x v="139"/>
    <x v="9"/>
    <s v="Percent of GDP"/>
    <s v="Units"/>
    <x v="5"/>
    <n v="-6.1420000000000003"/>
  </r>
  <r>
    <n v="200"/>
    <x v="3"/>
    <x v="139"/>
    <x v="9"/>
    <s v="Percent of GDP"/>
    <s v="Units"/>
    <x v="6"/>
    <n v="-5.3920000000000003"/>
  </r>
  <r>
    <n v="603"/>
    <x v="12"/>
    <x v="139"/>
    <x v="9"/>
    <s v="Percent of GDP"/>
    <s v="Units"/>
    <x v="0"/>
    <n v="-9.407"/>
  </r>
  <r>
    <n v="603"/>
    <x v="12"/>
    <x v="139"/>
    <x v="9"/>
    <s v="Percent of GDP"/>
    <s v="Units"/>
    <x v="1"/>
    <n v="-13.762"/>
  </r>
  <r>
    <n v="603"/>
    <x v="12"/>
    <x v="139"/>
    <x v="9"/>
    <s v="Percent of GDP"/>
    <s v="Units"/>
    <x v="2"/>
    <n v="-8.1349999999999998"/>
  </r>
  <r>
    <n v="603"/>
    <x v="12"/>
    <x v="139"/>
    <x v="9"/>
    <s v="Percent of GDP"/>
    <s v="Units"/>
    <x v="3"/>
    <n v="-7.8209999999999997"/>
  </r>
  <r>
    <n v="603"/>
    <x v="12"/>
    <x v="139"/>
    <x v="9"/>
    <s v="Percent of GDP"/>
    <s v="Units"/>
    <x v="4"/>
    <n v="-6.8010000000000002"/>
  </r>
  <r>
    <n v="603"/>
    <x v="12"/>
    <x v="139"/>
    <x v="9"/>
    <s v="Percent of GDP"/>
    <s v="Units"/>
    <x v="5"/>
    <n v="-6.1420000000000003"/>
  </r>
  <r>
    <n v="603"/>
    <x v="12"/>
    <x v="139"/>
    <x v="9"/>
    <s v="Percent of GDP"/>
    <s v="Units"/>
    <x v="6"/>
    <n v="-5.3920000000000003"/>
  </r>
  <r>
    <n v="603"/>
    <x v="12"/>
    <x v="40"/>
    <x v="9"/>
    <s v="Percent of GDP"/>
    <s v="Units"/>
    <x v="0"/>
    <n v="-4.6959999999999997"/>
  </r>
  <r>
    <n v="603"/>
    <x v="12"/>
    <x v="40"/>
    <x v="9"/>
    <s v="Percent of GDP"/>
    <s v="Units"/>
    <x v="1"/>
    <n v="-9.6120000000000001"/>
  </r>
  <r>
    <n v="603"/>
    <x v="12"/>
    <x v="40"/>
    <x v="9"/>
    <s v="Percent of GDP"/>
    <s v="Units"/>
    <x v="2"/>
    <n v="-5.5339999999999998"/>
  </r>
  <r>
    <n v="603"/>
    <x v="12"/>
    <x v="40"/>
    <x v="9"/>
    <s v="Percent of GDP"/>
    <s v="Units"/>
    <x v="3"/>
    <n v="-4.2729999999999997"/>
  </r>
  <r>
    <n v="603"/>
    <x v="12"/>
    <x v="40"/>
    <x v="9"/>
    <s v="Percent of GDP"/>
    <s v="Units"/>
    <x v="4"/>
    <n v="-5.9509999999999996"/>
  </r>
  <r>
    <n v="603"/>
    <x v="12"/>
    <x v="40"/>
    <x v="9"/>
    <s v="Percent of GDP"/>
    <s v="Units"/>
    <x v="5"/>
    <n v="-6.1470000000000002"/>
  </r>
  <r>
    <n v="603"/>
    <x v="12"/>
    <x v="40"/>
    <x v="9"/>
    <s v="Percent of GDP"/>
    <s v="Units"/>
    <x v="6"/>
    <n v="-6.3460000000000001"/>
  </r>
  <r>
    <n v="200"/>
    <x v="3"/>
    <x v="40"/>
    <x v="9"/>
    <s v="Percent of GDP"/>
    <s v="Units"/>
    <x v="0"/>
    <n v="-4.6959999999999997"/>
  </r>
  <r>
    <n v="200"/>
    <x v="3"/>
    <x v="40"/>
    <x v="9"/>
    <s v="Percent of GDP"/>
    <s v="Units"/>
    <x v="1"/>
    <n v="-9.6120000000000001"/>
  </r>
  <r>
    <n v="200"/>
    <x v="3"/>
    <x v="40"/>
    <x v="9"/>
    <s v="Percent of GDP"/>
    <s v="Units"/>
    <x v="2"/>
    <n v="-5.5339999999999998"/>
  </r>
  <r>
    <n v="200"/>
    <x v="3"/>
    <x v="40"/>
    <x v="9"/>
    <s v="Percent of GDP"/>
    <s v="Units"/>
    <x v="3"/>
    <n v="-4.2729999999999997"/>
  </r>
  <r>
    <n v="200"/>
    <x v="3"/>
    <x v="40"/>
    <x v="9"/>
    <s v="Percent of GDP"/>
    <s v="Units"/>
    <x v="4"/>
    <n v="-5.9509999999999996"/>
  </r>
  <r>
    <n v="200"/>
    <x v="3"/>
    <x v="40"/>
    <x v="9"/>
    <s v="Percent of GDP"/>
    <s v="Units"/>
    <x v="5"/>
    <n v="-6.1470000000000002"/>
  </r>
  <r>
    <n v="200"/>
    <x v="3"/>
    <x v="40"/>
    <x v="9"/>
    <s v="Percent of GDP"/>
    <s v="Units"/>
    <x v="6"/>
    <n v="-6.3460000000000001"/>
  </r>
  <r>
    <n v="903"/>
    <x v="8"/>
    <x v="41"/>
    <x v="9"/>
    <s v="Percent of GDP"/>
    <s v="Units"/>
    <x v="0"/>
    <n v="-4.5570000000000004"/>
  </r>
  <r>
    <n v="903"/>
    <x v="8"/>
    <x v="41"/>
    <x v="9"/>
    <s v="Percent of GDP"/>
    <s v="Units"/>
    <x v="1"/>
    <n v="-9.5640000000000001"/>
  </r>
  <r>
    <n v="903"/>
    <x v="8"/>
    <x v="41"/>
    <x v="9"/>
    <s v="Percent of GDP"/>
    <s v="Units"/>
    <x v="2"/>
    <n v="-6.7220000000000004"/>
  </r>
  <r>
    <n v="903"/>
    <x v="8"/>
    <x v="41"/>
    <x v="9"/>
    <s v="Percent of GDP"/>
    <s v="Units"/>
    <x v="3"/>
    <n v="-5.7770000000000001"/>
  </r>
  <r>
    <n v="903"/>
    <x v="8"/>
    <x v="41"/>
    <x v="9"/>
    <s v="Percent of GDP"/>
    <s v="Units"/>
    <x v="4"/>
    <n v="-5.6879999999999997"/>
  </r>
  <r>
    <n v="903"/>
    <x v="8"/>
    <x v="41"/>
    <x v="9"/>
    <s v="Percent of GDP"/>
    <s v="Units"/>
    <x v="5"/>
    <n v="-6.2460000000000004"/>
  </r>
  <r>
    <n v="903"/>
    <x v="8"/>
    <x v="41"/>
    <x v="9"/>
    <s v="Percent of GDP"/>
    <s v="Units"/>
    <x v="6"/>
    <n v="-6.452"/>
  </r>
  <r>
    <n v="200"/>
    <x v="3"/>
    <x v="41"/>
    <x v="9"/>
    <s v="Percent of GDP"/>
    <s v="Units"/>
    <x v="0"/>
    <n v="-4.5570000000000004"/>
  </r>
  <r>
    <n v="200"/>
    <x v="3"/>
    <x v="41"/>
    <x v="9"/>
    <s v="Percent of GDP"/>
    <s v="Units"/>
    <x v="1"/>
    <n v="-9.5640000000000001"/>
  </r>
  <r>
    <n v="200"/>
    <x v="3"/>
    <x v="41"/>
    <x v="9"/>
    <s v="Percent of GDP"/>
    <s v="Units"/>
    <x v="2"/>
    <n v="-6.7220000000000004"/>
  </r>
  <r>
    <n v="200"/>
    <x v="3"/>
    <x v="41"/>
    <x v="9"/>
    <s v="Percent of GDP"/>
    <s v="Units"/>
    <x v="3"/>
    <n v="-5.7770000000000001"/>
  </r>
  <r>
    <n v="200"/>
    <x v="3"/>
    <x v="41"/>
    <x v="9"/>
    <s v="Percent of GDP"/>
    <s v="Units"/>
    <x v="4"/>
    <n v="-5.6879999999999997"/>
  </r>
  <r>
    <n v="200"/>
    <x v="3"/>
    <x v="41"/>
    <x v="9"/>
    <s v="Percent of GDP"/>
    <s v="Units"/>
    <x v="5"/>
    <n v="-6.2460000000000004"/>
  </r>
  <r>
    <n v="200"/>
    <x v="3"/>
    <x v="41"/>
    <x v="9"/>
    <s v="Percent of GDP"/>
    <s v="Units"/>
    <x v="6"/>
    <n v="-6.452"/>
  </r>
  <r>
    <n v="998"/>
    <x v="6"/>
    <x v="41"/>
    <x v="9"/>
    <s v="Percent of GDP"/>
    <s v="Units"/>
    <x v="0"/>
    <n v="-4.5570000000000004"/>
  </r>
  <r>
    <n v="998"/>
    <x v="6"/>
    <x v="41"/>
    <x v="9"/>
    <s v="Percent of GDP"/>
    <s v="Units"/>
    <x v="1"/>
    <n v="-9.5640000000000001"/>
  </r>
  <r>
    <n v="998"/>
    <x v="6"/>
    <x v="41"/>
    <x v="9"/>
    <s v="Percent of GDP"/>
    <s v="Units"/>
    <x v="2"/>
    <n v="-6.7220000000000004"/>
  </r>
  <r>
    <n v="998"/>
    <x v="6"/>
    <x v="41"/>
    <x v="9"/>
    <s v="Percent of GDP"/>
    <s v="Units"/>
    <x v="3"/>
    <n v="-5.7770000000000001"/>
  </r>
  <r>
    <n v="998"/>
    <x v="6"/>
    <x v="41"/>
    <x v="9"/>
    <s v="Percent of GDP"/>
    <s v="Units"/>
    <x v="4"/>
    <n v="-5.6879999999999997"/>
  </r>
  <r>
    <n v="998"/>
    <x v="6"/>
    <x v="41"/>
    <x v="9"/>
    <s v="Percent of GDP"/>
    <s v="Units"/>
    <x v="5"/>
    <n v="-6.2460000000000004"/>
  </r>
  <r>
    <n v="998"/>
    <x v="6"/>
    <x v="41"/>
    <x v="9"/>
    <s v="Percent of GDP"/>
    <s v="Units"/>
    <x v="6"/>
    <n v="-6.452"/>
  </r>
  <r>
    <n v="505"/>
    <x v="4"/>
    <x v="156"/>
    <x v="6"/>
    <s v="Percent change"/>
    <s v="Units"/>
    <x v="0"/>
    <n v="3.298"/>
  </r>
  <r>
    <n v="505"/>
    <x v="4"/>
    <x v="156"/>
    <x v="6"/>
    <s v="Percent change"/>
    <s v="Units"/>
    <x v="1"/>
    <n v="-21.052"/>
  </r>
  <r>
    <n v="505"/>
    <x v="4"/>
    <x v="156"/>
    <x v="6"/>
    <s v="Percent change"/>
    <s v="Units"/>
    <x v="2"/>
    <n v="-8.81"/>
  </r>
  <r>
    <n v="505"/>
    <x v="4"/>
    <x v="156"/>
    <x v="6"/>
    <s v="Percent change"/>
    <s v="Units"/>
    <x v="3"/>
    <n v="6.673"/>
  </r>
  <r>
    <n v="505"/>
    <x v="4"/>
    <x v="156"/>
    <x v="6"/>
    <s v="Percent change"/>
    <s v="Units"/>
    <x v="4"/>
    <n v="13.598000000000001"/>
  </r>
  <r>
    <n v="505"/>
    <x v="4"/>
    <x v="156"/>
    <x v="6"/>
    <s v="Percent change"/>
    <s v="Units"/>
    <x v="5"/>
    <n v="-6.2960000000000003"/>
  </r>
  <r>
    <n v="505"/>
    <x v="4"/>
    <x v="156"/>
    <x v="6"/>
    <s v="Percent change"/>
    <s v="Units"/>
    <x v="6"/>
    <n v="8.8070000000000004"/>
  </r>
  <r>
    <n v="1"/>
    <x v="2"/>
    <x v="156"/>
    <x v="6"/>
    <s v="Percent change"/>
    <s v="Units"/>
    <x v="0"/>
    <n v="3.298"/>
  </r>
  <r>
    <n v="1"/>
    <x v="2"/>
    <x v="156"/>
    <x v="6"/>
    <s v="Percent change"/>
    <s v="Units"/>
    <x v="1"/>
    <n v="-21.052"/>
  </r>
  <r>
    <n v="1"/>
    <x v="2"/>
    <x v="156"/>
    <x v="6"/>
    <s v="Percent change"/>
    <s v="Units"/>
    <x v="2"/>
    <n v="-8.81"/>
  </r>
  <r>
    <n v="1"/>
    <x v="2"/>
    <x v="156"/>
    <x v="6"/>
    <s v="Percent change"/>
    <s v="Units"/>
    <x v="3"/>
    <n v="6.673"/>
  </r>
  <r>
    <n v="1"/>
    <x v="2"/>
    <x v="156"/>
    <x v="6"/>
    <s v="Percent change"/>
    <s v="Units"/>
    <x v="4"/>
    <n v="13.598000000000001"/>
  </r>
  <r>
    <n v="1"/>
    <x v="2"/>
    <x v="156"/>
    <x v="6"/>
    <s v="Percent change"/>
    <s v="Units"/>
    <x v="5"/>
    <n v="-6.2960000000000003"/>
  </r>
  <r>
    <n v="1"/>
    <x v="2"/>
    <x v="156"/>
    <x v="6"/>
    <s v="Percent change"/>
    <s v="Units"/>
    <x v="6"/>
    <n v="8.8070000000000004"/>
  </r>
  <r>
    <n v="200"/>
    <x v="3"/>
    <x v="156"/>
    <x v="6"/>
    <s v="Percent change"/>
    <s v="Units"/>
    <x v="0"/>
    <n v="3.298"/>
  </r>
  <r>
    <n v="200"/>
    <x v="3"/>
    <x v="156"/>
    <x v="6"/>
    <s v="Percent change"/>
    <s v="Units"/>
    <x v="1"/>
    <n v="-21.052"/>
  </r>
  <r>
    <n v="200"/>
    <x v="3"/>
    <x v="156"/>
    <x v="6"/>
    <s v="Percent change"/>
    <s v="Units"/>
    <x v="2"/>
    <n v="-8.81"/>
  </r>
  <r>
    <n v="200"/>
    <x v="3"/>
    <x v="156"/>
    <x v="6"/>
    <s v="Percent change"/>
    <s v="Units"/>
    <x v="3"/>
    <n v="6.673"/>
  </r>
  <r>
    <n v="200"/>
    <x v="3"/>
    <x v="156"/>
    <x v="6"/>
    <s v="Percent change"/>
    <s v="Units"/>
    <x v="4"/>
    <n v="13.598000000000001"/>
  </r>
  <r>
    <n v="200"/>
    <x v="3"/>
    <x v="156"/>
    <x v="6"/>
    <s v="Percent change"/>
    <s v="Units"/>
    <x v="5"/>
    <n v="-6.2960000000000003"/>
  </r>
  <r>
    <n v="200"/>
    <x v="3"/>
    <x v="156"/>
    <x v="6"/>
    <s v="Percent change"/>
    <s v="Units"/>
    <x v="6"/>
    <n v="8.8070000000000004"/>
  </r>
  <r>
    <n v="205"/>
    <x v="7"/>
    <x v="7"/>
    <x v="9"/>
    <s v="Percent of GDP"/>
    <s v="Units"/>
    <x v="0"/>
    <n v="-5.032"/>
  </r>
  <r>
    <n v="205"/>
    <x v="7"/>
    <x v="7"/>
    <x v="9"/>
    <s v="Percent of GDP"/>
    <s v="Units"/>
    <x v="1"/>
    <n v="-11.87"/>
  </r>
  <r>
    <n v="205"/>
    <x v="7"/>
    <x v="7"/>
    <x v="9"/>
    <s v="Percent of GDP"/>
    <s v="Units"/>
    <x v="2"/>
    <n v="-2.5129999999999999"/>
  </r>
  <r>
    <n v="205"/>
    <x v="7"/>
    <x v="7"/>
    <x v="9"/>
    <s v="Percent of GDP"/>
    <s v="Units"/>
    <x v="3"/>
    <n v="-3.0539999999999998"/>
  </r>
  <r>
    <n v="205"/>
    <x v="7"/>
    <x v="7"/>
    <x v="9"/>
    <s v="Percent of GDP"/>
    <s v="Units"/>
    <x v="4"/>
    <n v="-7.8879999999999999"/>
  </r>
  <r>
    <n v="205"/>
    <x v="7"/>
    <x v="7"/>
    <x v="9"/>
    <s v="Percent of GDP"/>
    <s v="Units"/>
    <x v="5"/>
    <n v="-6.327"/>
  </r>
  <r>
    <n v="205"/>
    <x v="7"/>
    <x v="7"/>
    <x v="9"/>
    <s v="Percent of GDP"/>
    <s v="Units"/>
    <x v="6"/>
    <n v="-5.4509999999999996"/>
  </r>
  <r>
    <n v="200"/>
    <x v="3"/>
    <x v="7"/>
    <x v="9"/>
    <s v="Percent of GDP"/>
    <s v="Units"/>
    <x v="0"/>
    <n v="-5.032"/>
  </r>
  <r>
    <n v="200"/>
    <x v="3"/>
    <x v="7"/>
    <x v="9"/>
    <s v="Percent of GDP"/>
    <s v="Units"/>
    <x v="1"/>
    <n v="-11.87"/>
  </r>
  <r>
    <n v="200"/>
    <x v="3"/>
    <x v="7"/>
    <x v="9"/>
    <s v="Percent of GDP"/>
    <s v="Units"/>
    <x v="2"/>
    <n v="-2.5129999999999999"/>
  </r>
  <r>
    <n v="200"/>
    <x v="3"/>
    <x v="7"/>
    <x v="9"/>
    <s v="Percent of GDP"/>
    <s v="Units"/>
    <x v="3"/>
    <n v="-3.0539999999999998"/>
  </r>
  <r>
    <n v="200"/>
    <x v="3"/>
    <x v="7"/>
    <x v="9"/>
    <s v="Percent of GDP"/>
    <s v="Units"/>
    <x v="4"/>
    <n v="-7.8879999999999999"/>
  </r>
  <r>
    <n v="200"/>
    <x v="3"/>
    <x v="7"/>
    <x v="9"/>
    <s v="Percent of GDP"/>
    <s v="Units"/>
    <x v="5"/>
    <n v="-6.327"/>
  </r>
  <r>
    <n v="200"/>
    <x v="3"/>
    <x v="7"/>
    <x v="9"/>
    <s v="Percent of GDP"/>
    <s v="Units"/>
    <x v="6"/>
    <n v="-5.4509999999999996"/>
  </r>
  <r>
    <n v="1"/>
    <x v="2"/>
    <x v="34"/>
    <x v="6"/>
    <s v="Percent change"/>
    <s v="Units"/>
    <x v="0"/>
    <n v="-4.8159999999999998"/>
  </r>
  <r>
    <n v="1"/>
    <x v="2"/>
    <x v="34"/>
    <x v="6"/>
    <s v="Percent change"/>
    <s v="Units"/>
    <x v="1"/>
    <n v="-27.283999999999999"/>
  </r>
  <r>
    <n v="1"/>
    <x v="2"/>
    <x v="34"/>
    <x v="6"/>
    <s v="Percent change"/>
    <s v="Units"/>
    <x v="2"/>
    <n v="20.625"/>
  </r>
  <r>
    <n v="1"/>
    <x v="2"/>
    <x v="34"/>
    <x v="6"/>
    <s v="Percent change"/>
    <s v="Units"/>
    <x v="3"/>
    <n v="6.7279999999999998"/>
  </r>
  <r>
    <n v="1"/>
    <x v="2"/>
    <x v="34"/>
    <x v="6"/>
    <s v="Percent change"/>
    <s v="Units"/>
    <x v="4"/>
    <n v="-2.1909999999999998"/>
  </r>
  <r>
    <n v="1"/>
    <x v="2"/>
    <x v="34"/>
    <x v="6"/>
    <s v="Percent change"/>
    <s v="Units"/>
    <x v="5"/>
    <n v="-6.4349999999999996"/>
  </r>
  <r>
    <n v="1"/>
    <x v="2"/>
    <x v="34"/>
    <x v="6"/>
    <s v="Percent change"/>
    <s v="Units"/>
    <x v="6"/>
    <n v="-9.2129999999999992"/>
  </r>
  <r>
    <n v="400"/>
    <x v="11"/>
    <x v="34"/>
    <x v="6"/>
    <s v="Percent change"/>
    <s v="Units"/>
    <x v="0"/>
    <n v="-4.8159999999999998"/>
  </r>
  <r>
    <n v="400"/>
    <x v="11"/>
    <x v="34"/>
    <x v="6"/>
    <s v="Percent change"/>
    <s v="Units"/>
    <x v="1"/>
    <n v="-27.283999999999999"/>
  </r>
  <r>
    <n v="400"/>
    <x v="11"/>
    <x v="34"/>
    <x v="6"/>
    <s v="Percent change"/>
    <s v="Units"/>
    <x v="2"/>
    <n v="20.625"/>
  </r>
  <r>
    <n v="400"/>
    <x v="11"/>
    <x v="34"/>
    <x v="6"/>
    <s v="Percent change"/>
    <s v="Units"/>
    <x v="3"/>
    <n v="6.7279999999999998"/>
  </r>
  <r>
    <n v="400"/>
    <x v="11"/>
    <x v="34"/>
    <x v="6"/>
    <s v="Percent change"/>
    <s v="Units"/>
    <x v="4"/>
    <n v="-2.1909999999999998"/>
  </r>
  <r>
    <n v="400"/>
    <x v="11"/>
    <x v="34"/>
    <x v="6"/>
    <s v="Percent change"/>
    <s v="Units"/>
    <x v="5"/>
    <n v="-6.4349999999999996"/>
  </r>
  <r>
    <n v="400"/>
    <x v="11"/>
    <x v="34"/>
    <x v="6"/>
    <s v="Percent change"/>
    <s v="Units"/>
    <x v="6"/>
    <n v="-9.2129999999999992"/>
  </r>
  <r>
    <n v="200"/>
    <x v="3"/>
    <x v="34"/>
    <x v="6"/>
    <s v="Percent change"/>
    <s v="Units"/>
    <x v="0"/>
    <n v="-4.8159999999999998"/>
  </r>
  <r>
    <n v="200"/>
    <x v="3"/>
    <x v="34"/>
    <x v="6"/>
    <s v="Percent change"/>
    <s v="Units"/>
    <x v="1"/>
    <n v="-27.283999999999999"/>
  </r>
  <r>
    <n v="200"/>
    <x v="3"/>
    <x v="34"/>
    <x v="6"/>
    <s v="Percent change"/>
    <s v="Units"/>
    <x v="2"/>
    <n v="20.625"/>
  </r>
  <r>
    <n v="200"/>
    <x v="3"/>
    <x v="34"/>
    <x v="6"/>
    <s v="Percent change"/>
    <s v="Units"/>
    <x v="3"/>
    <n v="6.7279999999999998"/>
  </r>
  <r>
    <n v="200"/>
    <x v="3"/>
    <x v="34"/>
    <x v="6"/>
    <s v="Percent change"/>
    <s v="Units"/>
    <x v="4"/>
    <n v="-2.1909999999999998"/>
  </r>
  <r>
    <n v="200"/>
    <x v="3"/>
    <x v="34"/>
    <x v="6"/>
    <s v="Percent change"/>
    <s v="Units"/>
    <x v="5"/>
    <n v="-6.4349999999999996"/>
  </r>
  <r>
    <n v="200"/>
    <x v="3"/>
    <x v="34"/>
    <x v="6"/>
    <s v="Percent change"/>
    <s v="Units"/>
    <x v="6"/>
    <n v="-9.2129999999999992"/>
  </r>
  <r>
    <n v="400"/>
    <x v="11"/>
    <x v="157"/>
    <x v="6"/>
    <s v="Percent change"/>
    <s v="Units"/>
    <x v="0"/>
    <n v="13.696999999999999"/>
  </r>
  <r>
    <n v="400"/>
    <x v="11"/>
    <x v="157"/>
    <x v="6"/>
    <s v="Percent change"/>
    <s v="Units"/>
    <x v="1"/>
    <n v="-31.509"/>
  </r>
  <r>
    <n v="400"/>
    <x v="11"/>
    <x v="157"/>
    <x v="6"/>
    <s v="Percent change"/>
    <s v="Units"/>
    <x v="2"/>
    <n v="2.8170000000000002"/>
  </r>
  <r>
    <n v="400"/>
    <x v="11"/>
    <x v="157"/>
    <x v="6"/>
    <s v="Percent change"/>
    <s v="Units"/>
    <x v="3"/>
    <n v="49.651000000000003"/>
  </r>
  <r>
    <n v="400"/>
    <x v="11"/>
    <x v="157"/>
    <x v="6"/>
    <s v="Percent change"/>
    <s v="Units"/>
    <x v="4"/>
    <n v="46.222999999999999"/>
  </r>
  <r>
    <n v="400"/>
    <x v="11"/>
    <x v="157"/>
    <x v="6"/>
    <s v="Percent change"/>
    <s v="Units"/>
    <x v="5"/>
    <n v="-6.4870000000000001"/>
  </r>
  <r>
    <n v="400"/>
    <x v="11"/>
    <x v="157"/>
    <x v="6"/>
    <s v="Percent change"/>
    <s v="Units"/>
    <x v="6"/>
    <n v="-0.29699999999999999"/>
  </r>
  <r>
    <n v="200"/>
    <x v="3"/>
    <x v="157"/>
    <x v="6"/>
    <s v="Percent change"/>
    <s v="Units"/>
    <x v="0"/>
    <n v="13.696999999999999"/>
  </r>
  <r>
    <n v="200"/>
    <x v="3"/>
    <x v="157"/>
    <x v="6"/>
    <s v="Percent change"/>
    <s v="Units"/>
    <x v="1"/>
    <n v="-31.509"/>
  </r>
  <r>
    <n v="200"/>
    <x v="3"/>
    <x v="157"/>
    <x v="6"/>
    <s v="Percent change"/>
    <s v="Units"/>
    <x v="2"/>
    <n v="2.8170000000000002"/>
  </r>
  <r>
    <n v="200"/>
    <x v="3"/>
    <x v="157"/>
    <x v="6"/>
    <s v="Percent change"/>
    <s v="Units"/>
    <x v="3"/>
    <n v="49.651000000000003"/>
  </r>
  <r>
    <n v="200"/>
    <x v="3"/>
    <x v="157"/>
    <x v="6"/>
    <s v="Percent change"/>
    <s v="Units"/>
    <x v="4"/>
    <n v="46.222999999999999"/>
  </r>
  <r>
    <n v="200"/>
    <x v="3"/>
    <x v="157"/>
    <x v="6"/>
    <s v="Percent change"/>
    <s v="Units"/>
    <x v="5"/>
    <n v="-6.4870000000000001"/>
  </r>
  <r>
    <n v="200"/>
    <x v="3"/>
    <x v="157"/>
    <x v="6"/>
    <s v="Percent change"/>
    <s v="Units"/>
    <x v="6"/>
    <n v="-0.29699999999999999"/>
  </r>
  <r>
    <n v="1"/>
    <x v="2"/>
    <x v="157"/>
    <x v="6"/>
    <s v="Percent change"/>
    <s v="Units"/>
    <x v="0"/>
    <n v="13.696999999999999"/>
  </r>
  <r>
    <n v="1"/>
    <x v="2"/>
    <x v="157"/>
    <x v="6"/>
    <s v="Percent change"/>
    <s v="Units"/>
    <x v="1"/>
    <n v="-31.509"/>
  </r>
  <r>
    <n v="1"/>
    <x v="2"/>
    <x v="157"/>
    <x v="6"/>
    <s v="Percent change"/>
    <s v="Units"/>
    <x v="2"/>
    <n v="2.8170000000000002"/>
  </r>
  <r>
    <n v="1"/>
    <x v="2"/>
    <x v="157"/>
    <x v="6"/>
    <s v="Percent change"/>
    <s v="Units"/>
    <x v="3"/>
    <n v="49.651000000000003"/>
  </r>
  <r>
    <n v="1"/>
    <x v="2"/>
    <x v="157"/>
    <x v="6"/>
    <s v="Percent change"/>
    <s v="Units"/>
    <x v="4"/>
    <n v="46.222999999999999"/>
  </r>
  <r>
    <n v="1"/>
    <x v="2"/>
    <x v="157"/>
    <x v="6"/>
    <s v="Percent change"/>
    <s v="Units"/>
    <x v="5"/>
    <n v="-6.4870000000000001"/>
  </r>
  <r>
    <n v="1"/>
    <x v="2"/>
    <x v="157"/>
    <x v="6"/>
    <s v="Percent change"/>
    <s v="Units"/>
    <x v="6"/>
    <n v="-0.29699999999999999"/>
  </r>
  <r>
    <n v="119"/>
    <x v="1"/>
    <x v="0"/>
    <x v="9"/>
    <s v="Percent of GDP"/>
    <s v="Units"/>
    <x v="0"/>
    <n v="-5.8129999999999997"/>
  </r>
  <r>
    <n v="119"/>
    <x v="1"/>
    <x v="0"/>
    <x v="9"/>
    <s v="Percent of GDP"/>
    <s v="Units"/>
    <x v="1"/>
    <n v="-13.945"/>
  </r>
  <r>
    <n v="119"/>
    <x v="1"/>
    <x v="0"/>
    <x v="9"/>
    <s v="Percent of GDP"/>
    <s v="Units"/>
    <x v="2"/>
    <n v="-11.09"/>
  </r>
  <r>
    <n v="119"/>
    <x v="1"/>
    <x v="0"/>
    <x v="9"/>
    <s v="Percent of GDP"/>
    <s v="Units"/>
    <x v="3"/>
    <n v="-4.0709999999999997"/>
  </r>
  <r>
    <n v="119"/>
    <x v="1"/>
    <x v="0"/>
    <x v="9"/>
    <s v="Percent of GDP"/>
    <s v="Units"/>
    <x v="4"/>
    <n v="-8.7910000000000004"/>
  </r>
  <r>
    <n v="119"/>
    <x v="1"/>
    <x v="0"/>
    <x v="9"/>
    <s v="Percent of GDP"/>
    <s v="Units"/>
    <x v="5"/>
    <n v="-6.5359999999999996"/>
  </r>
  <r>
    <n v="119"/>
    <x v="1"/>
    <x v="0"/>
    <x v="9"/>
    <s v="Percent of GDP"/>
    <s v="Units"/>
    <x v="6"/>
    <n v="-7.0540000000000003"/>
  </r>
  <r>
    <n v="110"/>
    <x v="0"/>
    <x v="0"/>
    <x v="9"/>
    <s v="Percent of GDP"/>
    <s v="Units"/>
    <x v="0"/>
    <n v="-5.8129999999999997"/>
  </r>
  <r>
    <n v="110"/>
    <x v="0"/>
    <x v="0"/>
    <x v="9"/>
    <s v="Percent of GDP"/>
    <s v="Units"/>
    <x v="1"/>
    <n v="-13.945"/>
  </r>
  <r>
    <n v="110"/>
    <x v="0"/>
    <x v="0"/>
    <x v="9"/>
    <s v="Percent of GDP"/>
    <s v="Units"/>
    <x v="2"/>
    <n v="-11.09"/>
  </r>
  <r>
    <n v="110"/>
    <x v="0"/>
    <x v="0"/>
    <x v="9"/>
    <s v="Percent of GDP"/>
    <s v="Units"/>
    <x v="3"/>
    <n v="-4.0709999999999997"/>
  </r>
  <r>
    <n v="110"/>
    <x v="0"/>
    <x v="0"/>
    <x v="9"/>
    <s v="Percent of GDP"/>
    <s v="Units"/>
    <x v="4"/>
    <n v="-8.7910000000000004"/>
  </r>
  <r>
    <n v="110"/>
    <x v="0"/>
    <x v="0"/>
    <x v="9"/>
    <s v="Percent of GDP"/>
    <s v="Units"/>
    <x v="5"/>
    <n v="-6.5359999999999996"/>
  </r>
  <r>
    <n v="110"/>
    <x v="0"/>
    <x v="0"/>
    <x v="9"/>
    <s v="Percent of GDP"/>
    <s v="Units"/>
    <x v="6"/>
    <n v="-7.0540000000000003"/>
  </r>
  <r>
    <n v="110"/>
    <x v="0"/>
    <x v="3"/>
    <x v="9"/>
    <s v="Percent of GDP"/>
    <s v="Units"/>
    <x v="0"/>
    <n v="-3.0449999999999999"/>
  </r>
  <r>
    <n v="110"/>
    <x v="0"/>
    <x v="3"/>
    <x v="9"/>
    <s v="Percent of GDP"/>
    <s v="Units"/>
    <x v="1"/>
    <n v="-9.0530000000000008"/>
  </r>
  <r>
    <n v="110"/>
    <x v="0"/>
    <x v="3"/>
    <x v="9"/>
    <s v="Percent of GDP"/>
    <s v="Units"/>
    <x v="2"/>
    <n v="-6.1040000000000001"/>
  </r>
  <r>
    <n v="110"/>
    <x v="0"/>
    <x v="3"/>
    <x v="9"/>
    <s v="Percent of GDP"/>
    <s v="Units"/>
    <x v="3"/>
    <n v="-4.3540000000000001"/>
  </r>
  <r>
    <n v="110"/>
    <x v="0"/>
    <x v="3"/>
    <x v="9"/>
    <s v="Percent of GDP"/>
    <s v="Units"/>
    <x v="4"/>
    <n v="-5.7590000000000003"/>
  </r>
  <r>
    <n v="110"/>
    <x v="0"/>
    <x v="3"/>
    <x v="9"/>
    <s v="Percent of GDP"/>
    <s v="Units"/>
    <x v="5"/>
    <n v="-6.5359999999999996"/>
  </r>
  <r>
    <n v="110"/>
    <x v="0"/>
    <x v="3"/>
    <x v="9"/>
    <s v="Percent of GDP"/>
    <s v="Units"/>
    <x v="6"/>
    <n v="-3.18"/>
  </r>
  <r>
    <n v="119"/>
    <x v="1"/>
    <x v="3"/>
    <x v="9"/>
    <s v="Percent of GDP"/>
    <s v="Units"/>
    <x v="0"/>
    <n v="-3.0449999999999999"/>
  </r>
  <r>
    <n v="119"/>
    <x v="1"/>
    <x v="3"/>
    <x v="9"/>
    <s v="Percent of GDP"/>
    <s v="Units"/>
    <x v="1"/>
    <n v="-9.0530000000000008"/>
  </r>
  <r>
    <n v="119"/>
    <x v="1"/>
    <x v="3"/>
    <x v="9"/>
    <s v="Percent of GDP"/>
    <s v="Units"/>
    <x v="2"/>
    <n v="-6.1040000000000001"/>
  </r>
  <r>
    <n v="119"/>
    <x v="1"/>
    <x v="3"/>
    <x v="9"/>
    <s v="Percent of GDP"/>
    <s v="Units"/>
    <x v="3"/>
    <n v="-4.3540000000000001"/>
  </r>
  <r>
    <n v="119"/>
    <x v="1"/>
    <x v="3"/>
    <x v="9"/>
    <s v="Percent of GDP"/>
    <s v="Units"/>
    <x v="4"/>
    <n v="-5.7590000000000003"/>
  </r>
  <r>
    <n v="119"/>
    <x v="1"/>
    <x v="3"/>
    <x v="9"/>
    <s v="Percent of GDP"/>
    <s v="Units"/>
    <x v="5"/>
    <n v="-6.5359999999999996"/>
  </r>
  <r>
    <n v="119"/>
    <x v="1"/>
    <x v="3"/>
    <x v="9"/>
    <s v="Percent of GDP"/>
    <s v="Units"/>
    <x v="6"/>
    <n v="-3.18"/>
  </r>
  <r>
    <n v="200"/>
    <x v="3"/>
    <x v="162"/>
    <x v="9"/>
    <s v="Percent of GDP"/>
    <s v="Units"/>
    <x v="0"/>
    <n v="-4.5490000000000004"/>
  </r>
  <r>
    <n v="200"/>
    <x v="3"/>
    <x v="162"/>
    <x v="9"/>
    <s v="Percent of GDP"/>
    <s v="Units"/>
    <x v="1"/>
    <n v="-8.1829999999999998"/>
  </r>
  <r>
    <n v="200"/>
    <x v="3"/>
    <x v="162"/>
    <x v="9"/>
    <s v="Percent of GDP"/>
    <s v="Units"/>
    <x v="2"/>
    <n v="-8.6069999999999993"/>
  </r>
  <r>
    <n v="200"/>
    <x v="3"/>
    <x v="162"/>
    <x v="9"/>
    <s v="Percent of GDP"/>
    <s v="Units"/>
    <x v="3"/>
    <n v="-9.3550000000000004"/>
  </r>
  <r>
    <n v="200"/>
    <x v="3"/>
    <x v="162"/>
    <x v="9"/>
    <s v="Percent of GDP"/>
    <s v="Units"/>
    <x v="4"/>
    <n v="-7.5519999999999996"/>
  </r>
  <r>
    <n v="200"/>
    <x v="3"/>
    <x v="162"/>
    <x v="9"/>
    <s v="Percent of GDP"/>
    <s v="Units"/>
    <x v="5"/>
    <n v="-6.5759999999999996"/>
  </r>
  <r>
    <n v="200"/>
    <x v="3"/>
    <x v="162"/>
    <x v="9"/>
    <s v="Percent of GDP"/>
    <s v="Units"/>
    <x v="6"/>
    <n v="-7.5129999999999999"/>
  </r>
  <r>
    <n v="603"/>
    <x v="12"/>
    <x v="162"/>
    <x v="9"/>
    <s v="Percent of GDP"/>
    <s v="Units"/>
    <x v="0"/>
    <n v="-4.5490000000000004"/>
  </r>
  <r>
    <n v="603"/>
    <x v="12"/>
    <x v="162"/>
    <x v="9"/>
    <s v="Percent of GDP"/>
    <s v="Units"/>
    <x v="1"/>
    <n v="-8.1829999999999998"/>
  </r>
  <r>
    <n v="603"/>
    <x v="12"/>
    <x v="162"/>
    <x v="9"/>
    <s v="Percent of GDP"/>
    <s v="Units"/>
    <x v="2"/>
    <n v="-8.6069999999999993"/>
  </r>
  <r>
    <n v="603"/>
    <x v="12"/>
    <x v="162"/>
    <x v="9"/>
    <s v="Percent of GDP"/>
    <s v="Units"/>
    <x v="3"/>
    <n v="-9.3550000000000004"/>
  </r>
  <r>
    <n v="603"/>
    <x v="12"/>
    <x v="162"/>
    <x v="9"/>
    <s v="Percent of GDP"/>
    <s v="Units"/>
    <x v="4"/>
    <n v="-7.5519999999999996"/>
  </r>
  <r>
    <n v="603"/>
    <x v="12"/>
    <x v="162"/>
    <x v="9"/>
    <s v="Percent of GDP"/>
    <s v="Units"/>
    <x v="5"/>
    <n v="-6.5759999999999996"/>
  </r>
  <r>
    <n v="603"/>
    <x v="12"/>
    <x v="162"/>
    <x v="9"/>
    <s v="Percent of GDP"/>
    <s v="Units"/>
    <x v="6"/>
    <n v="-7.5129999999999999"/>
  </r>
  <r>
    <n v="119"/>
    <x v="1"/>
    <x v="3"/>
    <x v="12"/>
    <s v="Percent of potential GDP"/>
    <s v="Units"/>
    <x v="0"/>
    <n v="-3.3330000000000002"/>
  </r>
  <r>
    <n v="119"/>
    <x v="1"/>
    <x v="3"/>
    <x v="12"/>
    <s v="Percent of potential GDP"/>
    <s v="Units"/>
    <x v="1"/>
    <n v="-8.1210000000000004"/>
  </r>
  <r>
    <n v="119"/>
    <x v="1"/>
    <x v="3"/>
    <x v="12"/>
    <s v="Percent of potential GDP"/>
    <s v="Units"/>
    <x v="2"/>
    <n v="-5.4160000000000004"/>
  </r>
  <r>
    <n v="119"/>
    <x v="1"/>
    <x v="3"/>
    <x v="12"/>
    <s v="Percent of potential GDP"/>
    <s v="Units"/>
    <x v="3"/>
    <n v="-4.3310000000000004"/>
  </r>
  <r>
    <n v="119"/>
    <x v="1"/>
    <x v="3"/>
    <x v="12"/>
    <s v="Percent of potential GDP"/>
    <s v="Units"/>
    <x v="4"/>
    <n v="-5.8280000000000003"/>
  </r>
  <r>
    <n v="119"/>
    <x v="1"/>
    <x v="3"/>
    <x v="12"/>
    <s v="Percent of potential GDP"/>
    <s v="Units"/>
    <x v="5"/>
    <n v="-6.5830000000000002"/>
  </r>
  <r>
    <n v="119"/>
    <x v="1"/>
    <x v="3"/>
    <x v="12"/>
    <s v="Percent of potential GDP"/>
    <s v="Units"/>
    <x v="6"/>
    <n v="-3.2040000000000002"/>
  </r>
  <r>
    <n v="110"/>
    <x v="0"/>
    <x v="3"/>
    <x v="12"/>
    <s v="Percent of potential GDP"/>
    <s v="Units"/>
    <x v="0"/>
    <n v="-3.3330000000000002"/>
  </r>
  <r>
    <n v="110"/>
    <x v="0"/>
    <x v="3"/>
    <x v="12"/>
    <s v="Percent of potential GDP"/>
    <s v="Units"/>
    <x v="1"/>
    <n v="-8.1210000000000004"/>
  </r>
  <r>
    <n v="110"/>
    <x v="0"/>
    <x v="3"/>
    <x v="12"/>
    <s v="Percent of potential GDP"/>
    <s v="Units"/>
    <x v="2"/>
    <n v="-5.4160000000000004"/>
  </r>
  <r>
    <n v="110"/>
    <x v="0"/>
    <x v="3"/>
    <x v="12"/>
    <s v="Percent of potential GDP"/>
    <s v="Units"/>
    <x v="3"/>
    <n v="-4.3310000000000004"/>
  </r>
  <r>
    <n v="110"/>
    <x v="0"/>
    <x v="3"/>
    <x v="12"/>
    <s v="Percent of potential GDP"/>
    <s v="Units"/>
    <x v="4"/>
    <n v="-5.8280000000000003"/>
  </r>
  <r>
    <n v="110"/>
    <x v="0"/>
    <x v="3"/>
    <x v="12"/>
    <s v="Percent of potential GDP"/>
    <s v="Units"/>
    <x v="5"/>
    <n v="-6.5830000000000002"/>
  </r>
  <r>
    <n v="110"/>
    <x v="0"/>
    <x v="3"/>
    <x v="12"/>
    <s v="Percent of potential GDP"/>
    <s v="Units"/>
    <x v="6"/>
    <n v="-3.2040000000000002"/>
  </r>
  <r>
    <n v="505"/>
    <x v="4"/>
    <x v="107"/>
    <x v="9"/>
    <s v="Percent of GDP"/>
    <s v="Units"/>
    <x v="0"/>
    <n v="3.165"/>
  </r>
  <r>
    <n v="505"/>
    <x v="4"/>
    <x v="107"/>
    <x v="9"/>
    <s v="Percent of GDP"/>
    <s v="Units"/>
    <x v="1"/>
    <n v="5.3780000000000001"/>
  </r>
  <r>
    <n v="505"/>
    <x v="4"/>
    <x v="107"/>
    <x v="9"/>
    <s v="Percent of GDP"/>
    <s v="Units"/>
    <x v="2"/>
    <n v="-0.95899999999999996"/>
  </r>
  <r>
    <n v="505"/>
    <x v="4"/>
    <x v="107"/>
    <x v="9"/>
    <s v="Percent of GDP"/>
    <s v="Units"/>
    <x v="3"/>
    <n v="-0.71099999999999997"/>
  </r>
  <r>
    <n v="505"/>
    <x v="4"/>
    <x v="107"/>
    <x v="9"/>
    <s v="Percent of GDP"/>
    <s v="Units"/>
    <x v="4"/>
    <n v="0.39900000000000002"/>
  </r>
  <r>
    <n v="505"/>
    <x v="4"/>
    <x v="107"/>
    <x v="9"/>
    <s v="Percent of GDP"/>
    <s v="Units"/>
    <x v="5"/>
    <n v="-6.5869999999999997"/>
  </r>
  <r>
    <n v="505"/>
    <x v="4"/>
    <x v="107"/>
    <x v="9"/>
    <s v="Percent of GDP"/>
    <s v="Units"/>
    <x v="6"/>
    <n v="-8.0909999999999993"/>
  </r>
  <r>
    <n v="200"/>
    <x v="3"/>
    <x v="107"/>
    <x v="9"/>
    <s v="Percent of GDP"/>
    <s v="Units"/>
    <x v="0"/>
    <n v="3.165"/>
  </r>
  <r>
    <n v="200"/>
    <x v="3"/>
    <x v="107"/>
    <x v="9"/>
    <s v="Percent of GDP"/>
    <s v="Units"/>
    <x v="1"/>
    <n v="5.3780000000000001"/>
  </r>
  <r>
    <n v="200"/>
    <x v="3"/>
    <x v="107"/>
    <x v="9"/>
    <s v="Percent of GDP"/>
    <s v="Units"/>
    <x v="2"/>
    <n v="-0.95899999999999996"/>
  </r>
  <r>
    <n v="200"/>
    <x v="3"/>
    <x v="107"/>
    <x v="9"/>
    <s v="Percent of GDP"/>
    <s v="Units"/>
    <x v="3"/>
    <n v="-0.71099999999999997"/>
  </r>
  <r>
    <n v="200"/>
    <x v="3"/>
    <x v="107"/>
    <x v="9"/>
    <s v="Percent of GDP"/>
    <s v="Units"/>
    <x v="4"/>
    <n v="0.39900000000000002"/>
  </r>
  <r>
    <n v="200"/>
    <x v="3"/>
    <x v="107"/>
    <x v="9"/>
    <s v="Percent of GDP"/>
    <s v="Units"/>
    <x v="5"/>
    <n v="-6.5869999999999997"/>
  </r>
  <r>
    <n v="200"/>
    <x v="3"/>
    <x v="107"/>
    <x v="9"/>
    <s v="Percent of GDP"/>
    <s v="Units"/>
    <x v="6"/>
    <n v="-8.0909999999999993"/>
  </r>
  <r>
    <n v="119"/>
    <x v="1"/>
    <x v="0"/>
    <x v="12"/>
    <s v="Percent of potential GDP"/>
    <s v="Units"/>
    <x v="0"/>
    <n v="-6.0359999999999996"/>
  </r>
  <r>
    <n v="119"/>
    <x v="1"/>
    <x v="0"/>
    <x v="12"/>
    <s v="Percent of potential GDP"/>
    <s v="Units"/>
    <x v="1"/>
    <n v="-10.63"/>
  </r>
  <r>
    <n v="119"/>
    <x v="1"/>
    <x v="0"/>
    <x v="12"/>
    <s v="Percent of potential GDP"/>
    <s v="Units"/>
    <x v="2"/>
    <n v="-10.827999999999999"/>
  </r>
  <r>
    <n v="119"/>
    <x v="1"/>
    <x v="0"/>
    <x v="12"/>
    <s v="Percent of potential GDP"/>
    <s v="Units"/>
    <x v="3"/>
    <n v="-6.8339999999999996"/>
  </r>
  <r>
    <n v="119"/>
    <x v="1"/>
    <x v="0"/>
    <x v="12"/>
    <s v="Percent of potential GDP"/>
    <s v="Units"/>
    <x v="4"/>
    <n v="-8.5879999999999992"/>
  </r>
  <r>
    <n v="119"/>
    <x v="1"/>
    <x v="0"/>
    <x v="12"/>
    <s v="Percent of potential GDP"/>
    <s v="Units"/>
    <x v="5"/>
    <n v="-6.6749999999999998"/>
  </r>
  <r>
    <n v="119"/>
    <x v="1"/>
    <x v="0"/>
    <x v="12"/>
    <s v="Percent of potential GDP"/>
    <s v="Units"/>
    <x v="6"/>
    <n v="-7.06"/>
  </r>
  <r>
    <n v="110"/>
    <x v="0"/>
    <x v="0"/>
    <x v="12"/>
    <s v="Percent of potential GDP"/>
    <s v="Units"/>
    <x v="0"/>
    <n v="-6.0359999999999996"/>
  </r>
  <r>
    <n v="110"/>
    <x v="0"/>
    <x v="0"/>
    <x v="12"/>
    <s v="Percent of potential GDP"/>
    <s v="Units"/>
    <x v="1"/>
    <n v="-10.63"/>
  </r>
  <r>
    <n v="110"/>
    <x v="0"/>
    <x v="0"/>
    <x v="12"/>
    <s v="Percent of potential GDP"/>
    <s v="Units"/>
    <x v="2"/>
    <n v="-10.827999999999999"/>
  </r>
  <r>
    <n v="110"/>
    <x v="0"/>
    <x v="0"/>
    <x v="12"/>
    <s v="Percent of potential GDP"/>
    <s v="Units"/>
    <x v="3"/>
    <n v="-6.8339999999999996"/>
  </r>
  <r>
    <n v="110"/>
    <x v="0"/>
    <x v="0"/>
    <x v="12"/>
    <s v="Percent of potential GDP"/>
    <s v="Units"/>
    <x v="4"/>
    <n v="-8.5879999999999992"/>
  </r>
  <r>
    <n v="110"/>
    <x v="0"/>
    <x v="0"/>
    <x v="12"/>
    <s v="Percent of potential GDP"/>
    <s v="Units"/>
    <x v="5"/>
    <n v="-6.6749999999999998"/>
  </r>
  <r>
    <n v="110"/>
    <x v="0"/>
    <x v="0"/>
    <x v="12"/>
    <s v="Percent of potential GDP"/>
    <s v="Units"/>
    <x v="6"/>
    <n v="-7.06"/>
  </r>
  <r>
    <n v="200"/>
    <x v="3"/>
    <x v="108"/>
    <x v="9"/>
    <s v="Percent of GDP"/>
    <s v="Units"/>
    <x v="0"/>
    <n v="-8.9640000000000004"/>
  </r>
  <r>
    <n v="200"/>
    <x v="3"/>
    <x v="108"/>
    <x v="9"/>
    <s v="Percent of GDP"/>
    <s v="Units"/>
    <x v="1"/>
    <n v="-17.911999999999999"/>
  </r>
  <r>
    <n v="200"/>
    <x v="3"/>
    <x v="108"/>
    <x v="9"/>
    <s v="Percent of GDP"/>
    <s v="Units"/>
    <x v="2"/>
    <n v="-10.988"/>
  </r>
  <r>
    <n v="200"/>
    <x v="3"/>
    <x v="108"/>
    <x v="9"/>
    <s v="Percent of GDP"/>
    <s v="Units"/>
    <x v="3"/>
    <n v="-5.3879999999999999"/>
  </r>
  <r>
    <n v="200"/>
    <x v="3"/>
    <x v="108"/>
    <x v="9"/>
    <s v="Percent of GDP"/>
    <s v="Units"/>
    <x v="4"/>
    <n v="-8.327"/>
  </r>
  <r>
    <n v="200"/>
    <x v="3"/>
    <x v="108"/>
    <x v="9"/>
    <s v="Percent of GDP"/>
    <s v="Units"/>
    <x v="5"/>
    <n v="-6.8940000000000001"/>
  </r>
  <r>
    <n v="200"/>
    <x v="3"/>
    <x v="108"/>
    <x v="9"/>
    <s v="Percent of GDP"/>
    <s v="Units"/>
    <x v="6"/>
    <n v="-7.6130000000000004"/>
  </r>
  <r>
    <n v="400"/>
    <x v="11"/>
    <x v="108"/>
    <x v="9"/>
    <s v="Percent of GDP"/>
    <s v="Units"/>
    <x v="0"/>
    <n v="-8.9640000000000004"/>
  </r>
  <r>
    <n v="400"/>
    <x v="11"/>
    <x v="108"/>
    <x v="9"/>
    <s v="Percent of GDP"/>
    <s v="Units"/>
    <x v="1"/>
    <n v="-17.911999999999999"/>
  </r>
  <r>
    <n v="400"/>
    <x v="11"/>
    <x v="108"/>
    <x v="9"/>
    <s v="Percent of GDP"/>
    <s v="Units"/>
    <x v="2"/>
    <n v="-10.988"/>
  </r>
  <r>
    <n v="400"/>
    <x v="11"/>
    <x v="108"/>
    <x v="9"/>
    <s v="Percent of GDP"/>
    <s v="Units"/>
    <x v="3"/>
    <n v="-5.3879999999999999"/>
  </r>
  <r>
    <n v="400"/>
    <x v="11"/>
    <x v="108"/>
    <x v="9"/>
    <s v="Percent of GDP"/>
    <s v="Units"/>
    <x v="4"/>
    <n v="-8.327"/>
  </r>
  <r>
    <n v="400"/>
    <x v="11"/>
    <x v="108"/>
    <x v="9"/>
    <s v="Percent of GDP"/>
    <s v="Units"/>
    <x v="5"/>
    <n v="-6.8940000000000001"/>
  </r>
  <r>
    <n v="400"/>
    <x v="11"/>
    <x v="108"/>
    <x v="9"/>
    <s v="Percent of GDP"/>
    <s v="Units"/>
    <x v="6"/>
    <n v="-7.6130000000000004"/>
  </r>
  <r>
    <n v="200"/>
    <x v="3"/>
    <x v="158"/>
    <x v="9"/>
    <s v="Percent of GDP"/>
    <s v="Units"/>
    <x v="0"/>
    <n v="-5.0789999999999997"/>
  </r>
  <r>
    <n v="200"/>
    <x v="3"/>
    <x v="158"/>
    <x v="9"/>
    <s v="Percent of GDP"/>
    <s v="Units"/>
    <x v="1"/>
    <n v="-9.5440000000000005"/>
  </r>
  <r>
    <n v="200"/>
    <x v="3"/>
    <x v="158"/>
    <x v="9"/>
    <s v="Percent of GDP"/>
    <s v="Units"/>
    <x v="2"/>
    <n v="-7.008"/>
  </r>
  <r>
    <n v="200"/>
    <x v="3"/>
    <x v="158"/>
    <x v="9"/>
    <s v="Percent of GDP"/>
    <s v="Units"/>
    <x v="3"/>
    <n v="-5.7370000000000001"/>
  </r>
  <r>
    <n v="200"/>
    <x v="3"/>
    <x v="158"/>
    <x v="9"/>
    <s v="Percent of GDP"/>
    <s v="Units"/>
    <x v="4"/>
    <n v="-5.4749999999999996"/>
  </r>
  <r>
    <n v="200"/>
    <x v="3"/>
    <x v="158"/>
    <x v="9"/>
    <s v="Percent of GDP"/>
    <s v="Units"/>
    <x v="5"/>
    <n v="-6.9619999999999997"/>
  </r>
  <r>
    <n v="200"/>
    <x v="3"/>
    <x v="158"/>
    <x v="9"/>
    <s v="Percent of GDP"/>
    <s v="Units"/>
    <x v="6"/>
    <n v="-3.415"/>
  </r>
  <r>
    <n v="603"/>
    <x v="12"/>
    <x v="158"/>
    <x v="9"/>
    <s v="Percent of GDP"/>
    <s v="Units"/>
    <x v="0"/>
    <n v="-5.0789999999999997"/>
  </r>
  <r>
    <n v="603"/>
    <x v="12"/>
    <x v="158"/>
    <x v="9"/>
    <s v="Percent of GDP"/>
    <s v="Units"/>
    <x v="1"/>
    <n v="-9.5440000000000005"/>
  </r>
  <r>
    <n v="603"/>
    <x v="12"/>
    <x v="158"/>
    <x v="9"/>
    <s v="Percent of GDP"/>
    <s v="Units"/>
    <x v="2"/>
    <n v="-7.008"/>
  </r>
  <r>
    <n v="603"/>
    <x v="12"/>
    <x v="158"/>
    <x v="9"/>
    <s v="Percent of GDP"/>
    <s v="Units"/>
    <x v="3"/>
    <n v="-5.7370000000000001"/>
  </r>
  <r>
    <n v="603"/>
    <x v="12"/>
    <x v="158"/>
    <x v="9"/>
    <s v="Percent of GDP"/>
    <s v="Units"/>
    <x v="4"/>
    <n v="-5.4749999999999996"/>
  </r>
  <r>
    <n v="603"/>
    <x v="12"/>
    <x v="158"/>
    <x v="9"/>
    <s v="Percent of GDP"/>
    <s v="Units"/>
    <x v="5"/>
    <n v="-6.9619999999999997"/>
  </r>
  <r>
    <n v="603"/>
    <x v="12"/>
    <x v="158"/>
    <x v="9"/>
    <s v="Percent of GDP"/>
    <s v="Units"/>
    <x v="6"/>
    <n v="-3.415"/>
  </r>
  <r>
    <n v="200"/>
    <x v="3"/>
    <x v="145"/>
    <x v="6"/>
    <s v="Percent change"/>
    <s v="Units"/>
    <x v="0"/>
    <n v="6.7469999999999999"/>
  </r>
  <r>
    <n v="200"/>
    <x v="3"/>
    <x v="145"/>
    <x v="6"/>
    <s v="Percent change"/>
    <s v="Units"/>
    <x v="1"/>
    <n v="-17.073"/>
  </r>
  <r>
    <n v="200"/>
    <x v="3"/>
    <x v="145"/>
    <x v="6"/>
    <s v="Percent change"/>
    <s v="Units"/>
    <x v="2"/>
    <n v="11"/>
  </r>
  <r>
    <n v="200"/>
    <x v="3"/>
    <x v="145"/>
    <x v="6"/>
    <s v="Percent change"/>
    <s v="Units"/>
    <x v="3"/>
    <n v="15.975"/>
  </r>
  <r>
    <n v="200"/>
    <x v="3"/>
    <x v="145"/>
    <x v="6"/>
    <s v="Percent change"/>
    <s v="Units"/>
    <x v="4"/>
    <n v="14.302"/>
  </r>
  <r>
    <n v="200"/>
    <x v="3"/>
    <x v="145"/>
    <x v="6"/>
    <s v="Percent change"/>
    <s v="Units"/>
    <x v="5"/>
    <n v="-6.9950000000000001"/>
  </r>
  <r>
    <n v="200"/>
    <x v="3"/>
    <x v="145"/>
    <x v="6"/>
    <s v="Percent change"/>
    <s v="Units"/>
    <x v="6"/>
    <n v="3.3530000000000002"/>
  </r>
  <r>
    <n v="400"/>
    <x v="11"/>
    <x v="145"/>
    <x v="6"/>
    <s v="Percent change"/>
    <s v="Units"/>
    <x v="0"/>
    <n v="6.7469999999999999"/>
  </r>
  <r>
    <n v="400"/>
    <x v="11"/>
    <x v="145"/>
    <x v="6"/>
    <s v="Percent change"/>
    <s v="Units"/>
    <x v="1"/>
    <n v="-17.073"/>
  </r>
  <r>
    <n v="400"/>
    <x v="11"/>
    <x v="145"/>
    <x v="6"/>
    <s v="Percent change"/>
    <s v="Units"/>
    <x v="2"/>
    <n v="11"/>
  </r>
  <r>
    <n v="400"/>
    <x v="11"/>
    <x v="145"/>
    <x v="6"/>
    <s v="Percent change"/>
    <s v="Units"/>
    <x v="3"/>
    <n v="15.975"/>
  </r>
  <r>
    <n v="400"/>
    <x v="11"/>
    <x v="145"/>
    <x v="6"/>
    <s v="Percent change"/>
    <s v="Units"/>
    <x v="4"/>
    <n v="14.302"/>
  </r>
  <r>
    <n v="400"/>
    <x v="11"/>
    <x v="145"/>
    <x v="6"/>
    <s v="Percent change"/>
    <s v="Units"/>
    <x v="5"/>
    <n v="-6.9950000000000001"/>
  </r>
  <r>
    <n v="400"/>
    <x v="11"/>
    <x v="145"/>
    <x v="6"/>
    <s v="Percent change"/>
    <s v="Units"/>
    <x v="6"/>
    <n v="3.3530000000000002"/>
  </r>
  <r>
    <n v="1"/>
    <x v="2"/>
    <x v="145"/>
    <x v="6"/>
    <s v="Percent change"/>
    <s v="Units"/>
    <x v="0"/>
    <n v="6.7469999999999999"/>
  </r>
  <r>
    <n v="1"/>
    <x v="2"/>
    <x v="145"/>
    <x v="6"/>
    <s v="Percent change"/>
    <s v="Units"/>
    <x v="1"/>
    <n v="-17.073"/>
  </r>
  <r>
    <n v="1"/>
    <x v="2"/>
    <x v="145"/>
    <x v="6"/>
    <s v="Percent change"/>
    <s v="Units"/>
    <x v="2"/>
    <n v="11"/>
  </r>
  <r>
    <n v="1"/>
    <x v="2"/>
    <x v="145"/>
    <x v="6"/>
    <s v="Percent change"/>
    <s v="Units"/>
    <x v="3"/>
    <n v="15.975"/>
  </r>
  <r>
    <n v="1"/>
    <x v="2"/>
    <x v="145"/>
    <x v="6"/>
    <s v="Percent change"/>
    <s v="Units"/>
    <x v="4"/>
    <n v="14.302"/>
  </r>
  <r>
    <n v="1"/>
    <x v="2"/>
    <x v="145"/>
    <x v="6"/>
    <s v="Percent change"/>
    <s v="Units"/>
    <x v="5"/>
    <n v="-6.9950000000000001"/>
  </r>
  <r>
    <n v="1"/>
    <x v="2"/>
    <x v="145"/>
    <x v="6"/>
    <s v="Percent change"/>
    <s v="Units"/>
    <x v="6"/>
    <n v="3.3530000000000002"/>
  </r>
  <r>
    <n v="200"/>
    <x v="3"/>
    <x v="1"/>
    <x v="9"/>
    <s v="Percent of GDP"/>
    <s v="Units"/>
    <x v="0"/>
    <n v="-6.1020000000000003"/>
  </r>
  <r>
    <n v="200"/>
    <x v="3"/>
    <x v="1"/>
    <x v="9"/>
    <s v="Percent of GDP"/>
    <s v="Units"/>
    <x v="1"/>
    <n v="-9.718"/>
  </r>
  <r>
    <n v="200"/>
    <x v="3"/>
    <x v="1"/>
    <x v="9"/>
    <s v="Percent of GDP"/>
    <s v="Units"/>
    <x v="2"/>
    <n v="-6.0449999999999999"/>
  </r>
  <r>
    <n v="200"/>
    <x v="3"/>
    <x v="1"/>
    <x v="9"/>
    <s v="Percent of GDP"/>
    <s v="Units"/>
    <x v="3"/>
    <n v="-7.5069999999999997"/>
  </r>
  <r>
    <n v="200"/>
    <x v="3"/>
    <x v="1"/>
    <x v="9"/>
    <s v="Percent of GDP"/>
    <s v="Units"/>
    <x v="4"/>
    <n v="-7.0709999999999997"/>
  </r>
  <r>
    <n v="200"/>
    <x v="3"/>
    <x v="1"/>
    <x v="9"/>
    <s v="Percent of GDP"/>
    <s v="Units"/>
    <x v="5"/>
    <n v="-7.367"/>
  </r>
  <r>
    <n v="200"/>
    <x v="3"/>
    <x v="1"/>
    <x v="9"/>
    <s v="Percent of GDP"/>
    <s v="Units"/>
    <x v="6"/>
    <n v="-7.6159999999999997"/>
  </r>
  <r>
    <n v="505"/>
    <x v="4"/>
    <x v="1"/>
    <x v="9"/>
    <s v="Percent of GDP"/>
    <s v="Units"/>
    <x v="0"/>
    <n v="-6.1020000000000003"/>
  </r>
  <r>
    <n v="505"/>
    <x v="4"/>
    <x v="1"/>
    <x v="9"/>
    <s v="Percent of GDP"/>
    <s v="Units"/>
    <x v="1"/>
    <n v="-9.718"/>
  </r>
  <r>
    <n v="505"/>
    <x v="4"/>
    <x v="1"/>
    <x v="9"/>
    <s v="Percent of GDP"/>
    <s v="Units"/>
    <x v="2"/>
    <n v="-6.0449999999999999"/>
  </r>
  <r>
    <n v="505"/>
    <x v="4"/>
    <x v="1"/>
    <x v="9"/>
    <s v="Percent of GDP"/>
    <s v="Units"/>
    <x v="3"/>
    <n v="-7.5069999999999997"/>
  </r>
  <r>
    <n v="505"/>
    <x v="4"/>
    <x v="1"/>
    <x v="9"/>
    <s v="Percent of GDP"/>
    <s v="Units"/>
    <x v="4"/>
    <n v="-7.0709999999999997"/>
  </r>
  <r>
    <n v="505"/>
    <x v="4"/>
    <x v="1"/>
    <x v="9"/>
    <s v="Percent of GDP"/>
    <s v="Units"/>
    <x v="5"/>
    <n v="-7.367"/>
  </r>
  <r>
    <n v="505"/>
    <x v="4"/>
    <x v="1"/>
    <x v="9"/>
    <s v="Percent of GDP"/>
    <s v="Units"/>
    <x v="6"/>
    <n v="-7.6159999999999997"/>
  </r>
  <r>
    <n v="400"/>
    <x v="11"/>
    <x v="174"/>
    <x v="9"/>
    <s v="Percent of GDP"/>
    <s v="Units"/>
    <x v="0"/>
    <n v="-7.7889999999999997"/>
  </r>
  <r>
    <n v="400"/>
    <x v="11"/>
    <x v="174"/>
    <x v="9"/>
    <s v="Percent of GDP"/>
    <s v="Units"/>
    <x v="1"/>
    <n v="-7.032"/>
  </r>
  <r>
    <n v="400"/>
    <x v="11"/>
    <x v="174"/>
    <x v="9"/>
    <s v="Percent of GDP"/>
    <s v="Units"/>
    <x v="2"/>
    <n v="-6.0410000000000004"/>
  </r>
  <r>
    <n v="400"/>
    <x v="11"/>
    <x v="174"/>
    <x v="9"/>
    <s v="Percent of GDP"/>
    <s v="Units"/>
    <x v="3"/>
    <n v="-7.84"/>
  </r>
  <r>
    <n v="400"/>
    <x v="11"/>
    <x v="174"/>
    <x v="9"/>
    <s v="Percent of GDP"/>
    <s v="Units"/>
    <x v="4"/>
    <n v="-7.75"/>
  </r>
  <r>
    <n v="400"/>
    <x v="11"/>
    <x v="174"/>
    <x v="9"/>
    <s v="Percent of GDP"/>
    <s v="Units"/>
    <x v="5"/>
    <n v="-7.3920000000000003"/>
  </r>
  <r>
    <n v="400"/>
    <x v="11"/>
    <x v="174"/>
    <x v="9"/>
    <s v="Percent of GDP"/>
    <s v="Units"/>
    <x v="6"/>
    <n v="-7.26"/>
  </r>
  <r>
    <n v="200"/>
    <x v="3"/>
    <x v="174"/>
    <x v="9"/>
    <s v="Percent of GDP"/>
    <s v="Units"/>
    <x v="0"/>
    <n v="-7.7889999999999997"/>
  </r>
  <r>
    <n v="200"/>
    <x v="3"/>
    <x v="174"/>
    <x v="9"/>
    <s v="Percent of GDP"/>
    <s v="Units"/>
    <x v="1"/>
    <n v="-7.032"/>
  </r>
  <r>
    <n v="200"/>
    <x v="3"/>
    <x v="174"/>
    <x v="9"/>
    <s v="Percent of GDP"/>
    <s v="Units"/>
    <x v="2"/>
    <n v="-6.0410000000000004"/>
  </r>
  <r>
    <n v="200"/>
    <x v="3"/>
    <x v="174"/>
    <x v="9"/>
    <s v="Percent of GDP"/>
    <s v="Units"/>
    <x v="3"/>
    <n v="-7.84"/>
  </r>
  <r>
    <n v="200"/>
    <x v="3"/>
    <x v="174"/>
    <x v="9"/>
    <s v="Percent of GDP"/>
    <s v="Units"/>
    <x v="4"/>
    <n v="-7.75"/>
  </r>
  <r>
    <n v="200"/>
    <x v="3"/>
    <x v="174"/>
    <x v="9"/>
    <s v="Percent of GDP"/>
    <s v="Units"/>
    <x v="5"/>
    <n v="-7.3920000000000003"/>
  </r>
  <r>
    <n v="200"/>
    <x v="3"/>
    <x v="174"/>
    <x v="9"/>
    <s v="Percent of GDP"/>
    <s v="Units"/>
    <x v="6"/>
    <n v="-7.26"/>
  </r>
  <r>
    <n v="205"/>
    <x v="7"/>
    <x v="137"/>
    <x v="9"/>
    <s v="Percent of GDP"/>
    <s v="Units"/>
    <x v="0"/>
    <n v="-2.206"/>
  </r>
  <r>
    <n v="205"/>
    <x v="7"/>
    <x v="137"/>
    <x v="9"/>
    <s v="Percent of GDP"/>
    <s v="Units"/>
    <x v="1"/>
    <n v="-4.7869999999999999"/>
  </r>
  <r>
    <n v="205"/>
    <x v="7"/>
    <x v="137"/>
    <x v="9"/>
    <s v="Percent of GDP"/>
    <s v="Units"/>
    <x v="2"/>
    <n v="-7.32"/>
  </r>
  <r>
    <n v="205"/>
    <x v="7"/>
    <x v="137"/>
    <x v="9"/>
    <s v="Percent of GDP"/>
    <s v="Units"/>
    <x v="3"/>
    <n v="-9.5820000000000007"/>
  </r>
  <r>
    <n v="205"/>
    <x v="7"/>
    <x v="137"/>
    <x v="9"/>
    <s v="Percent of GDP"/>
    <s v="Units"/>
    <x v="4"/>
    <n v="-10.718999999999999"/>
  </r>
  <r>
    <n v="205"/>
    <x v="7"/>
    <x v="137"/>
    <x v="9"/>
    <s v="Percent of GDP"/>
    <s v="Units"/>
    <x v="5"/>
    <n v="-7.3940000000000001"/>
  </r>
  <r>
    <n v="205"/>
    <x v="7"/>
    <x v="137"/>
    <x v="9"/>
    <s v="Percent of GDP"/>
    <s v="Units"/>
    <x v="6"/>
    <n v="-3.4140000000000001"/>
  </r>
  <r>
    <n v="200"/>
    <x v="3"/>
    <x v="137"/>
    <x v="9"/>
    <s v="Percent of GDP"/>
    <s v="Units"/>
    <x v="0"/>
    <n v="-2.206"/>
  </r>
  <r>
    <n v="200"/>
    <x v="3"/>
    <x v="137"/>
    <x v="9"/>
    <s v="Percent of GDP"/>
    <s v="Units"/>
    <x v="1"/>
    <n v="-4.7869999999999999"/>
  </r>
  <r>
    <n v="200"/>
    <x v="3"/>
    <x v="137"/>
    <x v="9"/>
    <s v="Percent of GDP"/>
    <s v="Units"/>
    <x v="2"/>
    <n v="-7.32"/>
  </r>
  <r>
    <n v="200"/>
    <x v="3"/>
    <x v="137"/>
    <x v="9"/>
    <s v="Percent of GDP"/>
    <s v="Units"/>
    <x v="3"/>
    <n v="-9.5820000000000007"/>
  </r>
  <r>
    <n v="200"/>
    <x v="3"/>
    <x v="137"/>
    <x v="9"/>
    <s v="Percent of GDP"/>
    <s v="Units"/>
    <x v="4"/>
    <n v="-10.718999999999999"/>
  </r>
  <r>
    <n v="200"/>
    <x v="3"/>
    <x v="137"/>
    <x v="9"/>
    <s v="Percent of GDP"/>
    <s v="Units"/>
    <x v="5"/>
    <n v="-7.3940000000000001"/>
  </r>
  <r>
    <n v="200"/>
    <x v="3"/>
    <x v="137"/>
    <x v="9"/>
    <s v="Percent of GDP"/>
    <s v="Units"/>
    <x v="6"/>
    <n v="-3.4140000000000001"/>
  </r>
  <r>
    <n v="200"/>
    <x v="3"/>
    <x v="122"/>
    <x v="9"/>
    <s v="Percent of GDP"/>
    <s v="Units"/>
    <x v="0"/>
    <n v="2.8109999999999999"/>
  </r>
  <r>
    <n v="200"/>
    <x v="3"/>
    <x v="122"/>
    <x v="9"/>
    <s v="Percent of GDP"/>
    <s v="Units"/>
    <x v="1"/>
    <n v="-1.9470000000000001"/>
  </r>
  <r>
    <n v="200"/>
    <x v="3"/>
    <x v="122"/>
    <x v="9"/>
    <s v="Percent of GDP"/>
    <s v="Units"/>
    <x v="2"/>
    <n v="2.38"/>
  </r>
  <r>
    <n v="200"/>
    <x v="3"/>
    <x v="122"/>
    <x v="9"/>
    <s v="Percent of GDP"/>
    <s v="Units"/>
    <x v="3"/>
    <n v="-6.3630000000000004"/>
  </r>
  <r>
    <n v="200"/>
    <x v="3"/>
    <x v="122"/>
    <x v="9"/>
    <s v="Percent of GDP"/>
    <s v="Units"/>
    <x v="4"/>
    <n v="-3.06"/>
  </r>
  <r>
    <n v="200"/>
    <x v="3"/>
    <x v="122"/>
    <x v="9"/>
    <s v="Percent of GDP"/>
    <s v="Units"/>
    <x v="5"/>
    <n v="-7.4589999999999996"/>
  </r>
  <r>
    <n v="200"/>
    <x v="3"/>
    <x v="122"/>
    <x v="9"/>
    <s v="Percent of GDP"/>
    <s v="Units"/>
    <x v="6"/>
    <n v="-7.1749999999999998"/>
  </r>
  <r>
    <n v="505"/>
    <x v="4"/>
    <x v="122"/>
    <x v="9"/>
    <s v="Percent of GDP"/>
    <s v="Units"/>
    <x v="0"/>
    <n v="2.8109999999999999"/>
  </r>
  <r>
    <n v="505"/>
    <x v="4"/>
    <x v="122"/>
    <x v="9"/>
    <s v="Percent of GDP"/>
    <s v="Units"/>
    <x v="1"/>
    <n v="-1.9470000000000001"/>
  </r>
  <r>
    <n v="505"/>
    <x v="4"/>
    <x v="122"/>
    <x v="9"/>
    <s v="Percent of GDP"/>
    <s v="Units"/>
    <x v="2"/>
    <n v="2.38"/>
  </r>
  <r>
    <n v="505"/>
    <x v="4"/>
    <x v="122"/>
    <x v="9"/>
    <s v="Percent of GDP"/>
    <s v="Units"/>
    <x v="3"/>
    <n v="-6.3630000000000004"/>
  </r>
  <r>
    <n v="505"/>
    <x v="4"/>
    <x v="122"/>
    <x v="9"/>
    <s v="Percent of GDP"/>
    <s v="Units"/>
    <x v="4"/>
    <n v="-3.06"/>
  </r>
  <r>
    <n v="505"/>
    <x v="4"/>
    <x v="122"/>
    <x v="9"/>
    <s v="Percent of GDP"/>
    <s v="Units"/>
    <x v="5"/>
    <n v="-7.4589999999999996"/>
  </r>
  <r>
    <n v="505"/>
    <x v="4"/>
    <x v="122"/>
    <x v="9"/>
    <s v="Percent of GDP"/>
    <s v="Units"/>
    <x v="6"/>
    <n v="-7.1749999999999998"/>
  </r>
  <r>
    <n v="400"/>
    <x v="11"/>
    <x v="50"/>
    <x v="9"/>
    <s v="Percent of GDP"/>
    <s v="Units"/>
    <x v="0"/>
    <n v="0.84899999999999998"/>
  </r>
  <r>
    <n v="400"/>
    <x v="11"/>
    <x v="50"/>
    <x v="9"/>
    <s v="Percent of GDP"/>
    <s v="Units"/>
    <x v="1"/>
    <n v="-12.933999999999999"/>
  </r>
  <r>
    <n v="400"/>
    <x v="11"/>
    <x v="50"/>
    <x v="9"/>
    <s v="Percent of GDP"/>
    <s v="Units"/>
    <x v="2"/>
    <n v="-0.38500000000000001"/>
  </r>
  <r>
    <n v="400"/>
    <x v="11"/>
    <x v="50"/>
    <x v="9"/>
    <s v="Percent of GDP"/>
    <s v="Units"/>
    <x v="3"/>
    <n v="8.9280000000000008"/>
  </r>
  <r>
    <n v="400"/>
    <x v="11"/>
    <x v="50"/>
    <x v="9"/>
    <s v="Percent of GDP"/>
    <s v="Units"/>
    <x v="4"/>
    <n v="-1.25"/>
  </r>
  <r>
    <n v="400"/>
    <x v="11"/>
    <x v="50"/>
    <x v="9"/>
    <s v="Percent of GDP"/>
    <s v="Units"/>
    <x v="5"/>
    <n v="-7.5979999999999999"/>
  </r>
  <r>
    <n v="400"/>
    <x v="11"/>
    <x v="50"/>
    <x v="9"/>
    <s v="Percent of GDP"/>
    <s v="Units"/>
    <x v="6"/>
    <n v="-8.8000000000000007"/>
  </r>
  <r>
    <n v="200"/>
    <x v="3"/>
    <x v="50"/>
    <x v="9"/>
    <s v="Percent of GDP"/>
    <s v="Units"/>
    <x v="0"/>
    <n v="0.84899999999999998"/>
  </r>
  <r>
    <n v="200"/>
    <x v="3"/>
    <x v="50"/>
    <x v="9"/>
    <s v="Percent of GDP"/>
    <s v="Units"/>
    <x v="1"/>
    <n v="-12.933999999999999"/>
  </r>
  <r>
    <n v="200"/>
    <x v="3"/>
    <x v="50"/>
    <x v="9"/>
    <s v="Percent of GDP"/>
    <s v="Units"/>
    <x v="2"/>
    <n v="-0.38500000000000001"/>
  </r>
  <r>
    <n v="200"/>
    <x v="3"/>
    <x v="50"/>
    <x v="9"/>
    <s v="Percent of GDP"/>
    <s v="Units"/>
    <x v="3"/>
    <n v="8.9280000000000008"/>
  </r>
  <r>
    <n v="200"/>
    <x v="3"/>
    <x v="50"/>
    <x v="9"/>
    <s v="Percent of GDP"/>
    <s v="Units"/>
    <x v="4"/>
    <n v="-1.25"/>
  </r>
  <r>
    <n v="200"/>
    <x v="3"/>
    <x v="50"/>
    <x v="9"/>
    <s v="Percent of GDP"/>
    <s v="Units"/>
    <x v="5"/>
    <n v="-7.5979999999999999"/>
  </r>
  <r>
    <n v="200"/>
    <x v="3"/>
    <x v="50"/>
    <x v="9"/>
    <s v="Percent of GDP"/>
    <s v="Units"/>
    <x v="6"/>
    <n v="-8.8000000000000007"/>
  </r>
  <r>
    <n v="200"/>
    <x v="3"/>
    <x v="101"/>
    <x v="9"/>
    <s v="Percent of GDP"/>
    <s v="Units"/>
    <x v="0"/>
    <n v="-5.7389999999999999"/>
  </r>
  <r>
    <n v="200"/>
    <x v="3"/>
    <x v="101"/>
    <x v="9"/>
    <s v="Percent of GDP"/>
    <s v="Units"/>
    <x v="1"/>
    <n v="-8.5890000000000004"/>
  </r>
  <r>
    <n v="200"/>
    <x v="3"/>
    <x v="101"/>
    <x v="9"/>
    <s v="Percent of GDP"/>
    <s v="Units"/>
    <x v="2"/>
    <n v="-7.5570000000000004"/>
  </r>
  <r>
    <n v="200"/>
    <x v="3"/>
    <x v="101"/>
    <x v="9"/>
    <s v="Percent of GDP"/>
    <s v="Units"/>
    <x v="3"/>
    <n v="-6.96"/>
  </r>
  <r>
    <n v="200"/>
    <x v="3"/>
    <x v="101"/>
    <x v="9"/>
    <s v="Percent of GDP"/>
    <s v="Units"/>
    <x v="4"/>
    <n v="-7.3230000000000004"/>
  </r>
  <r>
    <n v="200"/>
    <x v="3"/>
    <x v="101"/>
    <x v="9"/>
    <s v="Percent of GDP"/>
    <s v="Units"/>
    <x v="5"/>
    <n v="-7.6680000000000001"/>
  </r>
  <r>
    <n v="200"/>
    <x v="3"/>
    <x v="101"/>
    <x v="9"/>
    <s v="Percent of GDP"/>
    <s v="Units"/>
    <x v="6"/>
    <n v="-5.306"/>
  </r>
  <r>
    <n v="400"/>
    <x v="11"/>
    <x v="101"/>
    <x v="9"/>
    <s v="Percent of GDP"/>
    <s v="Units"/>
    <x v="0"/>
    <n v="-5.7389999999999999"/>
  </r>
  <r>
    <n v="400"/>
    <x v="11"/>
    <x v="101"/>
    <x v="9"/>
    <s v="Percent of GDP"/>
    <s v="Units"/>
    <x v="1"/>
    <n v="-8.5890000000000004"/>
  </r>
  <r>
    <n v="400"/>
    <x v="11"/>
    <x v="101"/>
    <x v="9"/>
    <s v="Percent of GDP"/>
    <s v="Units"/>
    <x v="2"/>
    <n v="-7.5570000000000004"/>
  </r>
  <r>
    <n v="400"/>
    <x v="11"/>
    <x v="101"/>
    <x v="9"/>
    <s v="Percent of GDP"/>
    <s v="Units"/>
    <x v="3"/>
    <n v="-6.96"/>
  </r>
  <r>
    <n v="400"/>
    <x v="11"/>
    <x v="101"/>
    <x v="9"/>
    <s v="Percent of GDP"/>
    <s v="Units"/>
    <x v="4"/>
    <n v="-7.3230000000000004"/>
  </r>
  <r>
    <n v="400"/>
    <x v="11"/>
    <x v="101"/>
    <x v="9"/>
    <s v="Percent of GDP"/>
    <s v="Units"/>
    <x v="5"/>
    <n v="-7.6680000000000001"/>
  </r>
  <r>
    <n v="400"/>
    <x v="11"/>
    <x v="101"/>
    <x v="9"/>
    <s v="Percent of GDP"/>
    <s v="Units"/>
    <x v="6"/>
    <n v="-5.306"/>
  </r>
  <r>
    <n v="110"/>
    <x v="0"/>
    <x v="28"/>
    <x v="12"/>
    <s v="Percent of potential GDP"/>
    <s v="Units"/>
    <x v="0"/>
    <n v="-4.26"/>
  </r>
  <r>
    <n v="110"/>
    <x v="0"/>
    <x v="28"/>
    <x v="12"/>
    <s v="Percent of potential GDP"/>
    <s v="Units"/>
    <x v="1"/>
    <n v="-9.49"/>
  </r>
  <r>
    <n v="110"/>
    <x v="0"/>
    <x v="28"/>
    <x v="12"/>
    <s v="Percent of potential GDP"/>
    <s v="Units"/>
    <x v="2"/>
    <n v="-3.5070000000000001"/>
  </r>
  <r>
    <n v="110"/>
    <x v="0"/>
    <x v="28"/>
    <x v="12"/>
    <s v="Percent of potential GDP"/>
    <s v="Units"/>
    <x v="3"/>
    <n v="-0.216"/>
  </r>
  <r>
    <n v="110"/>
    <x v="0"/>
    <x v="28"/>
    <x v="12"/>
    <s v="Percent of potential GDP"/>
    <s v="Units"/>
    <x v="4"/>
    <n v="-5.3019999999999996"/>
  </r>
  <r>
    <n v="110"/>
    <x v="0"/>
    <x v="28"/>
    <x v="12"/>
    <s v="Percent of potential GDP"/>
    <s v="Units"/>
    <x v="5"/>
    <n v="-7.7069999999999999"/>
  </r>
  <r>
    <n v="110"/>
    <x v="0"/>
    <x v="28"/>
    <x v="12"/>
    <s v="Percent of potential GDP"/>
    <s v="Units"/>
    <x v="6"/>
    <n v="-5.71"/>
  </r>
  <r>
    <n v="123"/>
    <x v="9"/>
    <x v="28"/>
    <x v="12"/>
    <s v="Percent of potential GDP"/>
    <s v="Units"/>
    <x v="0"/>
    <n v="-4.26"/>
  </r>
  <r>
    <n v="123"/>
    <x v="9"/>
    <x v="28"/>
    <x v="12"/>
    <s v="Percent of potential GDP"/>
    <s v="Units"/>
    <x v="1"/>
    <n v="-9.49"/>
  </r>
  <r>
    <n v="123"/>
    <x v="9"/>
    <x v="28"/>
    <x v="12"/>
    <s v="Percent of potential GDP"/>
    <s v="Units"/>
    <x v="2"/>
    <n v="-3.5070000000000001"/>
  </r>
  <r>
    <n v="123"/>
    <x v="9"/>
    <x v="28"/>
    <x v="12"/>
    <s v="Percent of potential GDP"/>
    <s v="Units"/>
    <x v="3"/>
    <n v="-0.216"/>
  </r>
  <r>
    <n v="123"/>
    <x v="9"/>
    <x v="28"/>
    <x v="12"/>
    <s v="Percent of potential GDP"/>
    <s v="Units"/>
    <x v="4"/>
    <n v="-5.3019999999999996"/>
  </r>
  <r>
    <n v="123"/>
    <x v="9"/>
    <x v="28"/>
    <x v="12"/>
    <s v="Percent of potential GDP"/>
    <s v="Units"/>
    <x v="5"/>
    <n v="-7.7069999999999999"/>
  </r>
  <r>
    <n v="123"/>
    <x v="9"/>
    <x v="28"/>
    <x v="12"/>
    <s v="Percent of potential GDP"/>
    <s v="Units"/>
    <x v="6"/>
    <n v="-5.71"/>
  </r>
  <r>
    <n v="200"/>
    <x v="3"/>
    <x v="4"/>
    <x v="9"/>
    <s v="Percent of GDP"/>
    <s v="Units"/>
    <x v="0"/>
    <n v="-7.694"/>
  </r>
  <r>
    <n v="200"/>
    <x v="3"/>
    <x v="4"/>
    <x v="9"/>
    <s v="Percent of GDP"/>
    <s v="Units"/>
    <x v="1"/>
    <n v="-12.864000000000001"/>
  </r>
  <r>
    <n v="200"/>
    <x v="3"/>
    <x v="4"/>
    <x v="9"/>
    <s v="Percent of GDP"/>
    <s v="Units"/>
    <x v="2"/>
    <n v="-8.56"/>
  </r>
  <r>
    <n v="200"/>
    <x v="3"/>
    <x v="4"/>
    <x v="9"/>
    <s v="Percent of GDP"/>
    <s v="Units"/>
    <x v="3"/>
    <n v="-9.2230000000000008"/>
  </r>
  <r>
    <n v="200"/>
    <x v="3"/>
    <x v="4"/>
    <x v="9"/>
    <s v="Percent of GDP"/>
    <s v="Units"/>
    <x v="4"/>
    <n v="-8.6219999999999999"/>
  </r>
  <r>
    <n v="200"/>
    <x v="3"/>
    <x v="4"/>
    <x v="9"/>
    <s v="Percent of GDP"/>
    <s v="Units"/>
    <x v="5"/>
    <n v="-7.8339999999999996"/>
  </r>
  <r>
    <n v="200"/>
    <x v="3"/>
    <x v="4"/>
    <x v="9"/>
    <s v="Percent of GDP"/>
    <s v="Units"/>
    <x v="6"/>
    <n v="-7.6289999999999996"/>
  </r>
  <r>
    <n v="505"/>
    <x v="4"/>
    <x v="4"/>
    <x v="9"/>
    <s v="Percent of GDP"/>
    <s v="Units"/>
    <x v="0"/>
    <n v="-7.694"/>
  </r>
  <r>
    <n v="505"/>
    <x v="4"/>
    <x v="4"/>
    <x v="9"/>
    <s v="Percent of GDP"/>
    <s v="Units"/>
    <x v="1"/>
    <n v="-12.864000000000001"/>
  </r>
  <r>
    <n v="505"/>
    <x v="4"/>
    <x v="4"/>
    <x v="9"/>
    <s v="Percent of GDP"/>
    <s v="Units"/>
    <x v="2"/>
    <n v="-8.56"/>
  </r>
  <r>
    <n v="505"/>
    <x v="4"/>
    <x v="4"/>
    <x v="9"/>
    <s v="Percent of GDP"/>
    <s v="Units"/>
    <x v="3"/>
    <n v="-9.2230000000000008"/>
  </r>
  <r>
    <n v="505"/>
    <x v="4"/>
    <x v="4"/>
    <x v="9"/>
    <s v="Percent of GDP"/>
    <s v="Units"/>
    <x v="4"/>
    <n v="-8.6219999999999999"/>
  </r>
  <r>
    <n v="505"/>
    <x v="4"/>
    <x v="4"/>
    <x v="9"/>
    <s v="Percent of GDP"/>
    <s v="Units"/>
    <x v="5"/>
    <n v="-7.8339999999999996"/>
  </r>
  <r>
    <n v="505"/>
    <x v="4"/>
    <x v="4"/>
    <x v="9"/>
    <s v="Percent of GDP"/>
    <s v="Units"/>
    <x v="6"/>
    <n v="-7.6289999999999996"/>
  </r>
  <r>
    <n v="200"/>
    <x v="3"/>
    <x v="106"/>
    <x v="9"/>
    <s v="Percent of GDP"/>
    <s v="Units"/>
    <x v="0"/>
    <n v="-7.2210000000000001"/>
  </r>
  <r>
    <n v="200"/>
    <x v="3"/>
    <x v="106"/>
    <x v="9"/>
    <s v="Percent of GDP"/>
    <s v="Units"/>
    <x v="1"/>
    <n v="-12.722"/>
  </r>
  <r>
    <n v="200"/>
    <x v="3"/>
    <x v="106"/>
    <x v="9"/>
    <s v="Percent of GDP"/>
    <s v="Units"/>
    <x v="2"/>
    <n v="-9.3279999999999994"/>
  </r>
  <r>
    <n v="200"/>
    <x v="3"/>
    <x v="106"/>
    <x v="9"/>
    <s v="Percent of GDP"/>
    <s v="Units"/>
    <x v="3"/>
    <n v="-7.1230000000000002"/>
  </r>
  <r>
    <n v="200"/>
    <x v="3"/>
    <x v="106"/>
    <x v="9"/>
    <s v="Percent of GDP"/>
    <s v="Units"/>
    <x v="4"/>
    <n v="-7.0060000000000002"/>
  </r>
  <r>
    <n v="200"/>
    <x v="3"/>
    <x v="106"/>
    <x v="9"/>
    <s v="Percent of GDP"/>
    <s v="Units"/>
    <x v="5"/>
    <n v="-7.8719999999999999"/>
  </r>
  <r>
    <n v="200"/>
    <x v="3"/>
    <x v="106"/>
    <x v="9"/>
    <s v="Percent of GDP"/>
    <s v="Units"/>
    <x v="6"/>
    <n v="-7.484"/>
  </r>
  <r>
    <n v="205"/>
    <x v="7"/>
    <x v="106"/>
    <x v="9"/>
    <s v="Percent of GDP"/>
    <s v="Units"/>
    <x v="0"/>
    <n v="-7.2210000000000001"/>
  </r>
  <r>
    <n v="205"/>
    <x v="7"/>
    <x v="106"/>
    <x v="9"/>
    <s v="Percent of GDP"/>
    <s v="Units"/>
    <x v="1"/>
    <n v="-12.722"/>
  </r>
  <r>
    <n v="205"/>
    <x v="7"/>
    <x v="106"/>
    <x v="9"/>
    <s v="Percent of GDP"/>
    <s v="Units"/>
    <x v="2"/>
    <n v="-9.3279999999999994"/>
  </r>
  <r>
    <n v="205"/>
    <x v="7"/>
    <x v="106"/>
    <x v="9"/>
    <s v="Percent of GDP"/>
    <s v="Units"/>
    <x v="3"/>
    <n v="-7.1230000000000002"/>
  </r>
  <r>
    <n v="205"/>
    <x v="7"/>
    <x v="106"/>
    <x v="9"/>
    <s v="Percent of GDP"/>
    <s v="Units"/>
    <x v="4"/>
    <n v="-7.0060000000000002"/>
  </r>
  <r>
    <n v="205"/>
    <x v="7"/>
    <x v="106"/>
    <x v="9"/>
    <s v="Percent of GDP"/>
    <s v="Units"/>
    <x v="5"/>
    <n v="-7.8719999999999999"/>
  </r>
  <r>
    <n v="205"/>
    <x v="7"/>
    <x v="106"/>
    <x v="9"/>
    <s v="Percent of GDP"/>
    <s v="Units"/>
    <x v="6"/>
    <n v="-7.484"/>
  </r>
  <r>
    <n v="110"/>
    <x v="0"/>
    <x v="28"/>
    <x v="9"/>
    <s v="Percent of GDP"/>
    <s v="Units"/>
    <x v="0"/>
    <n v="-3.903"/>
  </r>
  <r>
    <n v="110"/>
    <x v="0"/>
    <x v="28"/>
    <x v="9"/>
    <s v="Percent of GDP"/>
    <s v="Units"/>
    <x v="1"/>
    <n v="-10.797000000000001"/>
  </r>
  <r>
    <n v="110"/>
    <x v="0"/>
    <x v="28"/>
    <x v="9"/>
    <s v="Percent of GDP"/>
    <s v="Units"/>
    <x v="2"/>
    <n v="-3.6669999999999998"/>
  </r>
  <r>
    <n v="110"/>
    <x v="0"/>
    <x v="28"/>
    <x v="9"/>
    <s v="Percent of GDP"/>
    <s v="Units"/>
    <x v="3"/>
    <n v="0.61799999999999999"/>
  </r>
  <r>
    <n v="110"/>
    <x v="0"/>
    <x v="28"/>
    <x v="9"/>
    <s v="Percent of GDP"/>
    <s v="Units"/>
    <x v="4"/>
    <n v="-4.9870000000000001"/>
  </r>
  <r>
    <n v="110"/>
    <x v="0"/>
    <x v="28"/>
    <x v="9"/>
    <s v="Percent of GDP"/>
    <s v="Units"/>
    <x v="5"/>
    <n v="-8.1620000000000008"/>
  </r>
  <r>
    <n v="110"/>
    <x v="0"/>
    <x v="28"/>
    <x v="9"/>
    <s v="Percent of GDP"/>
    <s v="Units"/>
    <x v="6"/>
    <n v="-5.3860000000000001"/>
  </r>
  <r>
    <n v="123"/>
    <x v="9"/>
    <x v="28"/>
    <x v="9"/>
    <s v="Percent of GDP"/>
    <s v="Units"/>
    <x v="0"/>
    <n v="-3.903"/>
  </r>
  <r>
    <n v="123"/>
    <x v="9"/>
    <x v="28"/>
    <x v="9"/>
    <s v="Percent of GDP"/>
    <s v="Units"/>
    <x v="1"/>
    <n v="-10.797000000000001"/>
  </r>
  <r>
    <n v="123"/>
    <x v="9"/>
    <x v="28"/>
    <x v="9"/>
    <s v="Percent of GDP"/>
    <s v="Units"/>
    <x v="2"/>
    <n v="-3.6669999999999998"/>
  </r>
  <r>
    <n v="123"/>
    <x v="9"/>
    <x v="28"/>
    <x v="9"/>
    <s v="Percent of GDP"/>
    <s v="Units"/>
    <x v="3"/>
    <n v="0.61799999999999999"/>
  </r>
  <r>
    <n v="123"/>
    <x v="9"/>
    <x v="28"/>
    <x v="9"/>
    <s v="Percent of GDP"/>
    <s v="Units"/>
    <x v="4"/>
    <n v="-4.9870000000000001"/>
  </r>
  <r>
    <n v="123"/>
    <x v="9"/>
    <x v="28"/>
    <x v="9"/>
    <s v="Percent of GDP"/>
    <s v="Units"/>
    <x v="5"/>
    <n v="-8.1620000000000008"/>
  </r>
  <r>
    <n v="123"/>
    <x v="9"/>
    <x v="28"/>
    <x v="9"/>
    <s v="Percent of GDP"/>
    <s v="Units"/>
    <x v="6"/>
    <n v="-5.3860000000000001"/>
  </r>
  <r>
    <n v="400"/>
    <x v="11"/>
    <x v="42"/>
    <x v="4"/>
    <s v="Percent change"/>
    <s v="Units"/>
    <x v="0"/>
    <n v="9.6379999999999999"/>
  </r>
  <r>
    <n v="400"/>
    <x v="11"/>
    <x v="42"/>
    <x v="4"/>
    <s v="Percent change"/>
    <s v="Units"/>
    <x v="1"/>
    <n v="-4.4139999999999997"/>
  </r>
  <r>
    <n v="400"/>
    <x v="11"/>
    <x v="42"/>
    <x v="4"/>
    <s v="Percent change"/>
    <s v="Units"/>
    <x v="2"/>
    <n v="-10.43"/>
  </r>
  <r>
    <n v="400"/>
    <x v="11"/>
    <x v="42"/>
    <x v="4"/>
    <s v="Percent change"/>
    <s v="Units"/>
    <x v="3"/>
    <n v="30.623999999999999"/>
  </r>
  <r>
    <n v="400"/>
    <x v="11"/>
    <x v="42"/>
    <x v="4"/>
    <s v="Percent change"/>
    <s v="Units"/>
    <x v="4"/>
    <n v="2.3340000000000001"/>
  </r>
  <r>
    <n v="400"/>
    <x v="11"/>
    <x v="42"/>
    <x v="4"/>
    <s v="Percent change"/>
    <s v="Units"/>
    <x v="5"/>
    <n v="-8.1890000000000001"/>
  </r>
  <r>
    <n v="400"/>
    <x v="11"/>
    <x v="42"/>
    <x v="4"/>
    <s v="Percent change"/>
    <s v="Units"/>
    <x v="6"/>
    <n v="2.7469999999999999"/>
  </r>
  <r>
    <n v="1"/>
    <x v="2"/>
    <x v="42"/>
    <x v="4"/>
    <s v="Percent change"/>
    <s v="Units"/>
    <x v="0"/>
    <n v="9.6379999999999999"/>
  </r>
  <r>
    <n v="1"/>
    <x v="2"/>
    <x v="42"/>
    <x v="4"/>
    <s v="Percent change"/>
    <s v="Units"/>
    <x v="1"/>
    <n v="-4.4139999999999997"/>
  </r>
  <r>
    <n v="1"/>
    <x v="2"/>
    <x v="42"/>
    <x v="4"/>
    <s v="Percent change"/>
    <s v="Units"/>
    <x v="2"/>
    <n v="-10.43"/>
  </r>
  <r>
    <n v="1"/>
    <x v="2"/>
    <x v="42"/>
    <x v="4"/>
    <s v="Percent change"/>
    <s v="Units"/>
    <x v="3"/>
    <n v="30.623999999999999"/>
  </r>
  <r>
    <n v="1"/>
    <x v="2"/>
    <x v="42"/>
    <x v="4"/>
    <s v="Percent change"/>
    <s v="Units"/>
    <x v="4"/>
    <n v="2.3340000000000001"/>
  </r>
  <r>
    <n v="1"/>
    <x v="2"/>
    <x v="42"/>
    <x v="4"/>
    <s v="Percent change"/>
    <s v="Units"/>
    <x v="5"/>
    <n v="-8.1890000000000001"/>
  </r>
  <r>
    <n v="1"/>
    <x v="2"/>
    <x v="42"/>
    <x v="4"/>
    <s v="Percent change"/>
    <s v="Units"/>
    <x v="6"/>
    <n v="2.7469999999999999"/>
  </r>
  <r>
    <n v="200"/>
    <x v="3"/>
    <x v="42"/>
    <x v="4"/>
    <s v="Percent change"/>
    <s v="Units"/>
    <x v="0"/>
    <n v="9.6379999999999999"/>
  </r>
  <r>
    <n v="200"/>
    <x v="3"/>
    <x v="42"/>
    <x v="4"/>
    <s v="Percent change"/>
    <s v="Units"/>
    <x v="1"/>
    <n v="-4.4139999999999997"/>
  </r>
  <r>
    <n v="200"/>
    <x v="3"/>
    <x v="42"/>
    <x v="4"/>
    <s v="Percent change"/>
    <s v="Units"/>
    <x v="2"/>
    <n v="-10.43"/>
  </r>
  <r>
    <n v="200"/>
    <x v="3"/>
    <x v="42"/>
    <x v="4"/>
    <s v="Percent change"/>
    <s v="Units"/>
    <x v="3"/>
    <n v="30.623999999999999"/>
  </r>
  <r>
    <n v="200"/>
    <x v="3"/>
    <x v="42"/>
    <x v="4"/>
    <s v="Percent change"/>
    <s v="Units"/>
    <x v="4"/>
    <n v="2.3340000000000001"/>
  </r>
  <r>
    <n v="200"/>
    <x v="3"/>
    <x v="42"/>
    <x v="4"/>
    <s v="Percent change"/>
    <s v="Units"/>
    <x v="5"/>
    <n v="-8.1890000000000001"/>
  </r>
  <r>
    <n v="200"/>
    <x v="3"/>
    <x v="42"/>
    <x v="4"/>
    <s v="Percent change"/>
    <s v="Units"/>
    <x v="6"/>
    <n v="2.7469999999999999"/>
  </r>
  <r>
    <n v="400"/>
    <x v="11"/>
    <x v="49"/>
    <x v="9"/>
    <s v="Percent of GDP"/>
    <s v="Units"/>
    <x v="0"/>
    <n v="-8.5090000000000003"/>
  </r>
  <r>
    <n v="400"/>
    <x v="11"/>
    <x v="49"/>
    <x v="9"/>
    <s v="Percent of GDP"/>
    <s v="Units"/>
    <x v="1"/>
    <n v="-10.518000000000001"/>
  </r>
  <r>
    <n v="400"/>
    <x v="11"/>
    <x v="49"/>
    <x v="9"/>
    <s v="Percent of GDP"/>
    <s v="Units"/>
    <x v="2"/>
    <n v="-6.3150000000000004"/>
  </r>
  <r>
    <n v="400"/>
    <x v="11"/>
    <x v="49"/>
    <x v="9"/>
    <s v="Percent of GDP"/>
    <s v="Units"/>
    <x v="3"/>
    <n v="-2.4700000000000002"/>
  </r>
  <r>
    <n v="400"/>
    <x v="11"/>
    <x v="49"/>
    <x v="9"/>
    <s v="Percent of GDP"/>
    <s v="Units"/>
    <x v="4"/>
    <n v="-2.9870000000000001"/>
  </r>
  <r>
    <n v="400"/>
    <x v="11"/>
    <x v="49"/>
    <x v="9"/>
    <s v="Percent of GDP"/>
    <s v="Units"/>
    <x v="5"/>
    <n v="-8.51"/>
  </r>
  <r>
    <n v="400"/>
    <x v="11"/>
    <x v="49"/>
    <x v="9"/>
    <s v="Percent of GDP"/>
    <s v="Units"/>
    <x v="6"/>
    <n v="-7.835"/>
  </r>
  <r>
    <n v="200"/>
    <x v="3"/>
    <x v="49"/>
    <x v="9"/>
    <s v="Percent of GDP"/>
    <s v="Units"/>
    <x v="0"/>
    <n v="-8.5090000000000003"/>
  </r>
  <r>
    <n v="200"/>
    <x v="3"/>
    <x v="49"/>
    <x v="9"/>
    <s v="Percent of GDP"/>
    <s v="Units"/>
    <x v="1"/>
    <n v="-10.518000000000001"/>
  </r>
  <r>
    <n v="200"/>
    <x v="3"/>
    <x v="49"/>
    <x v="9"/>
    <s v="Percent of GDP"/>
    <s v="Units"/>
    <x v="2"/>
    <n v="-6.3150000000000004"/>
  </r>
  <r>
    <n v="200"/>
    <x v="3"/>
    <x v="49"/>
    <x v="9"/>
    <s v="Percent of GDP"/>
    <s v="Units"/>
    <x v="3"/>
    <n v="-2.4700000000000002"/>
  </r>
  <r>
    <n v="200"/>
    <x v="3"/>
    <x v="49"/>
    <x v="9"/>
    <s v="Percent of GDP"/>
    <s v="Units"/>
    <x v="4"/>
    <n v="-2.9870000000000001"/>
  </r>
  <r>
    <n v="200"/>
    <x v="3"/>
    <x v="49"/>
    <x v="9"/>
    <s v="Percent of GDP"/>
    <s v="Units"/>
    <x v="5"/>
    <n v="-8.51"/>
  </r>
  <r>
    <n v="200"/>
    <x v="3"/>
    <x v="49"/>
    <x v="9"/>
    <s v="Percent of GDP"/>
    <s v="Units"/>
    <x v="6"/>
    <n v="-7.835"/>
  </r>
  <r>
    <n v="200"/>
    <x v="3"/>
    <x v="120"/>
    <x v="9"/>
    <s v="Percent of GDP"/>
    <s v="Units"/>
    <x v="0"/>
    <n v="-2.5169999999999999"/>
  </r>
  <r>
    <n v="200"/>
    <x v="3"/>
    <x v="120"/>
    <x v="9"/>
    <s v="Percent of GDP"/>
    <s v="Units"/>
    <x v="1"/>
    <n v="-7.782"/>
  </r>
  <r>
    <n v="200"/>
    <x v="3"/>
    <x v="120"/>
    <x v="9"/>
    <s v="Percent of GDP"/>
    <s v="Units"/>
    <x v="2"/>
    <n v="-7.282"/>
  </r>
  <r>
    <n v="200"/>
    <x v="3"/>
    <x v="120"/>
    <x v="9"/>
    <s v="Percent of GDP"/>
    <s v="Units"/>
    <x v="3"/>
    <n v="-5.1779999999999999"/>
  </r>
  <r>
    <n v="200"/>
    <x v="3"/>
    <x v="120"/>
    <x v="9"/>
    <s v="Percent of GDP"/>
    <s v="Units"/>
    <x v="4"/>
    <n v="-5.7389999999999999"/>
  </r>
  <r>
    <n v="200"/>
    <x v="3"/>
    <x v="120"/>
    <x v="9"/>
    <s v="Percent of GDP"/>
    <s v="Units"/>
    <x v="5"/>
    <n v="-8.7309999999999999"/>
  </r>
  <r>
    <n v="200"/>
    <x v="3"/>
    <x v="120"/>
    <x v="9"/>
    <s v="Percent of GDP"/>
    <s v="Units"/>
    <x v="6"/>
    <n v="-3.0070000000000001"/>
  </r>
  <r>
    <n v="205"/>
    <x v="7"/>
    <x v="120"/>
    <x v="9"/>
    <s v="Percent of GDP"/>
    <s v="Units"/>
    <x v="0"/>
    <n v="-2.5169999999999999"/>
  </r>
  <r>
    <n v="205"/>
    <x v="7"/>
    <x v="120"/>
    <x v="9"/>
    <s v="Percent of GDP"/>
    <s v="Units"/>
    <x v="1"/>
    <n v="-7.782"/>
  </r>
  <r>
    <n v="205"/>
    <x v="7"/>
    <x v="120"/>
    <x v="9"/>
    <s v="Percent of GDP"/>
    <s v="Units"/>
    <x v="2"/>
    <n v="-7.282"/>
  </r>
  <r>
    <n v="205"/>
    <x v="7"/>
    <x v="120"/>
    <x v="9"/>
    <s v="Percent of GDP"/>
    <s v="Units"/>
    <x v="3"/>
    <n v="-5.1779999999999999"/>
  </r>
  <r>
    <n v="205"/>
    <x v="7"/>
    <x v="120"/>
    <x v="9"/>
    <s v="Percent of GDP"/>
    <s v="Units"/>
    <x v="4"/>
    <n v="-5.7389999999999999"/>
  </r>
  <r>
    <n v="205"/>
    <x v="7"/>
    <x v="120"/>
    <x v="9"/>
    <s v="Percent of GDP"/>
    <s v="Units"/>
    <x v="5"/>
    <n v="-8.7309999999999999"/>
  </r>
  <r>
    <n v="205"/>
    <x v="7"/>
    <x v="120"/>
    <x v="9"/>
    <s v="Percent of GDP"/>
    <s v="Units"/>
    <x v="6"/>
    <n v="-3.0070000000000001"/>
  </r>
  <r>
    <n v="200"/>
    <x v="3"/>
    <x v="25"/>
    <x v="9"/>
    <s v="Percent of GDP"/>
    <s v="Units"/>
    <x v="0"/>
    <n v="-0.88100000000000001"/>
  </r>
  <r>
    <n v="200"/>
    <x v="3"/>
    <x v="25"/>
    <x v="9"/>
    <s v="Percent of GDP"/>
    <s v="Units"/>
    <x v="1"/>
    <n v="0.752"/>
  </r>
  <r>
    <n v="200"/>
    <x v="3"/>
    <x v="25"/>
    <x v="9"/>
    <s v="Percent of GDP"/>
    <s v="Units"/>
    <x v="2"/>
    <n v="-2.161"/>
  </r>
  <r>
    <n v="200"/>
    <x v="3"/>
    <x v="25"/>
    <x v="9"/>
    <s v="Percent of GDP"/>
    <s v="Units"/>
    <x v="3"/>
    <n v="-6.0190000000000001"/>
  </r>
  <r>
    <n v="200"/>
    <x v="3"/>
    <x v="25"/>
    <x v="9"/>
    <s v="Percent of GDP"/>
    <s v="Units"/>
    <x v="4"/>
    <n v="-7.8419999999999996"/>
  </r>
  <r>
    <n v="200"/>
    <x v="3"/>
    <x v="25"/>
    <x v="9"/>
    <s v="Percent of GDP"/>
    <s v="Units"/>
    <x v="5"/>
    <n v="-9.93"/>
  </r>
  <r>
    <n v="200"/>
    <x v="3"/>
    <x v="25"/>
    <x v="9"/>
    <s v="Percent of GDP"/>
    <s v="Units"/>
    <x v="6"/>
    <n v="-9.7840000000000007"/>
  </r>
  <r>
    <n v="603"/>
    <x v="12"/>
    <x v="25"/>
    <x v="9"/>
    <s v="Percent of GDP"/>
    <s v="Units"/>
    <x v="0"/>
    <n v="-0.88100000000000001"/>
  </r>
  <r>
    <n v="603"/>
    <x v="12"/>
    <x v="25"/>
    <x v="9"/>
    <s v="Percent of GDP"/>
    <s v="Units"/>
    <x v="1"/>
    <n v="0.752"/>
  </r>
  <r>
    <n v="603"/>
    <x v="12"/>
    <x v="25"/>
    <x v="9"/>
    <s v="Percent of GDP"/>
    <s v="Units"/>
    <x v="2"/>
    <n v="-2.161"/>
  </r>
  <r>
    <n v="603"/>
    <x v="12"/>
    <x v="25"/>
    <x v="9"/>
    <s v="Percent of GDP"/>
    <s v="Units"/>
    <x v="3"/>
    <n v="-6.0190000000000001"/>
  </r>
  <r>
    <n v="603"/>
    <x v="12"/>
    <x v="25"/>
    <x v="9"/>
    <s v="Percent of GDP"/>
    <s v="Units"/>
    <x v="4"/>
    <n v="-7.8419999999999996"/>
  </r>
  <r>
    <n v="603"/>
    <x v="12"/>
    <x v="25"/>
    <x v="9"/>
    <s v="Percent of GDP"/>
    <s v="Units"/>
    <x v="5"/>
    <n v="-9.93"/>
  </r>
  <r>
    <n v="603"/>
    <x v="12"/>
    <x v="25"/>
    <x v="9"/>
    <s v="Percent of GDP"/>
    <s v="Units"/>
    <x v="6"/>
    <n v="-9.7840000000000007"/>
  </r>
  <r>
    <n v="1"/>
    <x v="2"/>
    <x v="145"/>
    <x v="4"/>
    <s v="Percent change"/>
    <s v="Units"/>
    <x v="0"/>
    <n v="9.9979999999999993"/>
  </r>
  <r>
    <n v="1"/>
    <x v="2"/>
    <x v="145"/>
    <x v="4"/>
    <s v="Percent change"/>
    <s v="Units"/>
    <x v="1"/>
    <n v="-36.494"/>
  </r>
  <r>
    <n v="1"/>
    <x v="2"/>
    <x v="145"/>
    <x v="4"/>
    <s v="Percent change"/>
    <s v="Units"/>
    <x v="2"/>
    <n v="24.585999999999999"/>
  </r>
  <r>
    <n v="1"/>
    <x v="2"/>
    <x v="145"/>
    <x v="4"/>
    <s v="Percent change"/>
    <s v="Units"/>
    <x v="3"/>
    <n v="40.209000000000003"/>
  </r>
  <r>
    <n v="1"/>
    <x v="2"/>
    <x v="145"/>
    <x v="4"/>
    <s v="Percent change"/>
    <s v="Units"/>
    <x v="4"/>
    <n v="9.2829999999999995"/>
  </r>
  <r>
    <n v="1"/>
    <x v="2"/>
    <x v="145"/>
    <x v="4"/>
    <s v="Percent change"/>
    <s v="Units"/>
    <x v="5"/>
    <n v="-9.9949999999999992"/>
  </r>
  <r>
    <n v="1"/>
    <x v="2"/>
    <x v="145"/>
    <x v="4"/>
    <s v="Percent change"/>
    <s v="Units"/>
    <x v="6"/>
    <n v="5.0449999999999999"/>
  </r>
  <r>
    <n v="200"/>
    <x v="3"/>
    <x v="145"/>
    <x v="4"/>
    <s v="Percent change"/>
    <s v="Units"/>
    <x v="0"/>
    <n v="9.9979999999999993"/>
  </r>
  <r>
    <n v="200"/>
    <x v="3"/>
    <x v="145"/>
    <x v="4"/>
    <s v="Percent change"/>
    <s v="Units"/>
    <x v="1"/>
    <n v="-36.494"/>
  </r>
  <r>
    <n v="200"/>
    <x v="3"/>
    <x v="145"/>
    <x v="4"/>
    <s v="Percent change"/>
    <s v="Units"/>
    <x v="2"/>
    <n v="24.585999999999999"/>
  </r>
  <r>
    <n v="200"/>
    <x v="3"/>
    <x v="145"/>
    <x v="4"/>
    <s v="Percent change"/>
    <s v="Units"/>
    <x v="3"/>
    <n v="40.209000000000003"/>
  </r>
  <r>
    <n v="200"/>
    <x v="3"/>
    <x v="145"/>
    <x v="4"/>
    <s v="Percent change"/>
    <s v="Units"/>
    <x v="4"/>
    <n v="9.2829999999999995"/>
  </r>
  <r>
    <n v="200"/>
    <x v="3"/>
    <x v="145"/>
    <x v="4"/>
    <s v="Percent change"/>
    <s v="Units"/>
    <x v="5"/>
    <n v="-9.9949999999999992"/>
  </r>
  <r>
    <n v="200"/>
    <x v="3"/>
    <x v="145"/>
    <x v="4"/>
    <s v="Percent change"/>
    <s v="Units"/>
    <x v="6"/>
    <n v="5.0449999999999999"/>
  </r>
  <r>
    <n v="400"/>
    <x v="11"/>
    <x v="145"/>
    <x v="4"/>
    <s v="Percent change"/>
    <s v="Units"/>
    <x v="0"/>
    <n v="9.9979999999999993"/>
  </r>
  <r>
    <n v="400"/>
    <x v="11"/>
    <x v="145"/>
    <x v="4"/>
    <s v="Percent change"/>
    <s v="Units"/>
    <x v="1"/>
    <n v="-36.494"/>
  </r>
  <r>
    <n v="400"/>
    <x v="11"/>
    <x v="145"/>
    <x v="4"/>
    <s v="Percent change"/>
    <s v="Units"/>
    <x v="2"/>
    <n v="24.585999999999999"/>
  </r>
  <r>
    <n v="400"/>
    <x v="11"/>
    <x v="145"/>
    <x v="4"/>
    <s v="Percent change"/>
    <s v="Units"/>
    <x v="3"/>
    <n v="40.209000000000003"/>
  </r>
  <r>
    <n v="400"/>
    <x v="11"/>
    <x v="145"/>
    <x v="4"/>
    <s v="Percent change"/>
    <s v="Units"/>
    <x v="4"/>
    <n v="9.2829999999999995"/>
  </r>
  <r>
    <n v="400"/>
    <x v="11"/>
    <x v="145"/>
    <x v="4"/>
    <s v="Percent change"/>
    <s v="Units"/>
    <x v="5"/>
    <n v="-9.9949999999999992"/>
  </r>
  <r>
    <n v="400"/>
    <x v="11"/>
    <x v="145"/>
    <x v="4"/>
    <s v="Percent change"/>
    <s v="Units"/>
    <x v="6"/>
    <n v="5.0449999999999999"/>
  </r>
  <r>
    <n v="123"/>
    <x v="9"/>
    <x v="30"/>
    <x v="12"/>
    <s v="Percent of potential GDP"/>
    <s v="Units"/>
    <x v="0"/>
    <n v="-7.8949999999999996"/>
  </r>
  <r>
    <n v="123"/>
    <x v="9"/>
    <x v="30"/>
    <x v="12"/>
    <s v="Percent of potential GDP"/>
    <s v="Units"/>
    <x v="1"/>
    <n v="-12.115"/>
  </r>
  <r>
    <n v="123"/>
    <x v="9"/>
    <x v="30"/>
    <x v="12"/>
    <s v="Percent of potential GDP"/>
    <s v="Units"/>
    <x v="2"/>
    <n v="-10.946"/>
  </r>
  <r>
    <n v="123"/>
    <x v="9"/>
    <x v="30"/>
    <x v="12"/>
    <s v="Percent of potential GDP"/>
    <s v="Units"/>
    <x v="3"/>
    <n v="-9.4819999999999993"/>
  </r>
  <r>
    <n v="123"/>
    <x v="9"/>
    <x v="30"/>
    <x v="12"/>
    <s v="Percent of potential GDP"/>
    <s v="Units"/>
    <x v="4"/>
    <n v="-9.5980000000000008"/>
  </r>
  <r>
    <n v="123"/>
    <x v="9"/>
    <x v="30"/>
    <x v="12"/>
    <s v="Percent of potential GDP"/>
    <s v="Units"/>
    <x v="5"/>
    <n v="-10.131"/>
  </r>
  <r>
    <n v="123"/>
    <x v="9"/>
    <x v="30"/>
    <x v="12"/>
    <s v="Percent of potential GDP"/>
    <s v="Units"/>
    <x v="6"/>
    <n v="-10.308999999999999"/>
  </r>
  <r>
    <n v="110"/>
    <x v="0"/>
    <x v="30"/>
    <x v="12"/>
    <s v="Percent of potential GDP"/>
    <s v="Units"/>
    <x v="0"/>
    <n v="-7.8949999999999996"/>
  </r>
  <r>
    <n v="110"/>
    <x v="0"/>
    <x v="30"/>
    <x v="12"/>
    <s v="Percent of potential GDP"/>
    <s v="Units"/>
    <x v="1"/>
    <n v="-12.115"/>
  </r>
  <r>
    <n v="110"/>
    <x v="0"/>
    <x v="30"/>
    <x v="12"/>
    <s v="Percent of potential GDP"/>
    <s v="Units"/>
    <x v="2"/>
    <n v="-10.946"/>
  </r>
  <r>
    <n v="110"/>
    <x v="0"/>
    <x v="30"/>
    <x v="12"/>
    <s v="Percent of potential GDP"/>
    <s v="Units"/>
    <x v="3"/>
    <n v="-9.4819999999999993"/>
  </r>
  <r>
    <n v="110"/>
    <x v="0"/>
    <x v="30"/>
    <x v="12"/>
    <s v="Percent of potential GDP"/>
    <s v="Units"/>
    <x v="4"/>
    <n v="-9.5980000000000008"/>
  </r>
  <r>
    <n v="110"/>
    <x v="0"/>
    <x v="30"/>
    <x v="12"/>
    <s v="Percent of potential GDP"/>
    <s v="Units"/>
    <x v="5"/>
    <n v="-10.131"/>
  </r>
  <r>
    <n v="110"/>
    <x v="0"/>
    <x v="30"/>
    <x v="12"/>
    <s v="Percent of potential GDP"/>
    <s v="Units"/>
    <x v="6"/>
    <n v="-10.308999999999999"/>
  </r>
  <r>
    <n v="1"/>
    <x v="2"/>
    <x v="156"/>
    <x v="4"/>
    <s v="Percent change"/>
    <s v="Units"/>
    <x v="0"/>
    <n v="-14.885"/>
  </r>
  <r>
    <n v="1"/>
    <x v="2"/>
    <x v="156"/>
    <x v="4"/>
    <s v="Percent change"/>
    <s v="Units"/>
    <x v="1"/>
    <n v="-28.449000000000002"/>
  </r>
  <r>
    <n v="1"/>
    <x v="2"/>
    <x v="156"/>
    <x v="4"/>
    <s v="Percent change"/>
    <s v="Units"/>
    <x v="2"/>
    <n v="-13.257999999999999"/>
  </r>
  <r>
    <n v="1"/>
    <x v="2"/>
    <x v="156"/>
    <x v="4"/>
    <s v="Percent change"/>
    <s v="Units"/>
    <x v="3"/>
    <n v="-2.6059999999999999"/>
  </r>
  <r>
    <n v="1"/>
    <x v="2"/>
    <x v="156"/>
    <x v="4"/>
    <s v="Percent change"/>
    <s v="Units"/>
    <x v="4"/>
    <n v="32.134999999999998"/>
  </r>
  <r>
    <n v="1"/>
    <x v="2"/>
    <x v="156"/>
    <x v="4"/>
    <s v="Percent change"/>
    <s v="Units"/>
    <x v="5"/>
    <n v="-10.597"/>
  </r>
  <r>
    <n v="1"/>
    <x v="2"/>
    <x v="156"/>
    <x v="4"/>
    <s v="Percent change"/>
    <s v="Units"/>
    <x v="6"/>
    <n v="10.176"/>
  </r>
  <r>
    <n v="200"/>
    <x v="3"/>
    <x v="156"/>
    <x v="4"/>
    <s v="Percent change"/>
    <s v="Units"/>
    <x v="0"/>
    <n v="-14.885"/>
  </r>
  <r>
    <n v="200"/>
    <x v="3"/>
    <x v="156"/>
    <x v="4"/>
    <s v="Percent change"/>
    <s v="Units"/>
    <x v="1"/>
    <n v="-28.449000000000002"/>
  </r>
  <r>
    <n v="200"/>
    <x v="3"/>
    <x v="156"/>
    <x v="4"/>
    <s v="Percent change"/>
    <s v="Units"/>
    <x v="2"/>
    <n v="-13.257999999999999"/>
  </r>
  <r>
    <n v="200"/>
    <x v="3"/>
    <x v="156"/>
    <x v="4"/>
    <s v="Percent change"/>
    <s v="Units"/>
    <x v="3"/>
    <n v="-2.6059999999999999"/>
  </r>
  <r>
    <n v="200"/>
    <x v="3"/>
    <x v="156"/>
    <x v="4"/>
    <s v="Percent change"/>
    <s v="Units"/>
    <x v="4"/>
    <n v="32.134999999999998"/>
  </r>
  <r>
    <n v="200"/>
    <x v="3"/>
    <x v="156"/>
    <x v="4"/>
    <s v="Percent change"/>
    <s v="Units"/>
    <x v="5"/>
    <n v="-10.597"/>
  </r>
  <r>
    <n v="200"/>
    <x v="3"/>
    <x v="156"/>
    <x v="4"/>
    <s v="Percent change"/>
    <s v="Units"/>
    <x v="6"/>
    <n v="10.176"/>
  </r>
  <r>
    <n v="505"/>
    <x v="4"/>
    <x v="156"/>
    <x v="4"/>
    <s v="Percent change"/>
    <s v="Units"/>
    <x v="0"/>
    <n v="-14.885"/>
  </r>
  <r>
    <n v="505"/>
    <x v="4"/>
    <x v="156"/>
    <x v="4"/>
    <s v="Percent change"/>
    <s v="Units"/>
    <x v="1"/>
    <n v="-28.449000000000002"/>
  </r>
  <r>
    <n v="505"/>
    <x v="4"/>
    <x v="156"/>
    <x v="4"/>
    <s v="Percent change"/>
    <s v="Units"/>
    <x v="2"/>
    <n v="-13.257999999999999"/>
  </r>
  <r>
    <n v="505"/>
    <x v="4"/>
    <x v="156"/>
    <x v="4"/>
    <s v="Percent change"/>
    <s v="Units"/>
    <x v="3"/>
    <n v="-2.6059999999999999"/>
  </r>
  <r>
    <n v="505"/>
    <x v="4"/>
    <x v="156"/>
    <x v="4"/>
    <s v="Percent change"/>
    <s v="Units"/>
    <x v="4"/>
    <n v="32.134999999999998"/>
  </r>
  <r>
    <n v="505"/>
    <x v="4"/>
    <x v="156"/>
    <x v="4"/>
    <s v="Percent change"/>
    <s v="Units"/>
    <x v="5"/>
    <n v="-10.597"/>
  </r>
  <r>
    <n v="505"/>
    <x v="4"/>
    <x v="156"/>
    <x v="4"/>
    <s v="Percent change"/>
    <s v="Units"/>
    <x v="6"/>
    <n v="10.176"/>
  </r>
  <r>
    <n v="400"/>
    <x v="11"/>
    <x v="157"/>
    <x v="4"/>
    <s v="Percent change"/>
    <s v="Units"/>
    <x v="0"/>
    <n v="17.494"/>
  </r>
  <r>
    <n v="400"/>
    <x v="11"/>
    <x v="157"/>
    <x v="4"/>
    <s v="Percent change"/>
    <s v="Units"/>
    <x v="1"/>
    <n v="-34.701999999999998"/>
  </r>
  <r>
    <n v="400"/>
    <x v="11"/>
    <x v="157"/>
    <x v="4"/>
    <s v="Percent change"/>
    <s v="Units"/>
    <x v="2"/>
    <n v="5.4240000000000004"/>
  </r>
  <r>
    <n v="400"/>
    <x v="11"/>
    <x v="157"/>
    <x v="4"/>
    <s v="Percent change"/>
    <s v="Units"/>
    <x v="3"/>
    <n v="91.587000000000003"/>
  </r>
  <r>
    <n v="400"/>
    <x v="11"/>
    <x v="157"/>
    <x v="4"/>
    <s v="Percent change"/>
    <s v="Units"/>
    <x v="4"/>
    <n v="40.174999999999997"/>
  </r>
  <r>
    <n v="400"/>
    <x v="11"/>
    <x v="157"/>
    <x v="4"/>
    <s v="Percent change"/>
    <s v="Units"/>
    <x v="5"/>
    <n v="-10.846"/>
  </r>
  <r>
    <n v="400"/>
    <x v="11"/>
    <x v="157"/>
    <x v="4"/>
    <s v="Percent change"/>
    <s v="Units"/>
    <x v="6"/>
    <n v="-2.2959999999999998"/>
  </r>
  <r>
    <n v="1"/>
    <x v="2"/>
    <x v="157"/>
    <x v="4"/>
    <s v="Percent change"/>
    <s v="Units"/>
    <x v="0"/>
    <n v="17.494"/>
  </r>
  <r>
    <n v="1"/>
    <x v="2"/>
    <x v="157"/>
    <x v="4"/>
    <s v="Percent change"/>
    <s v="Units"/>
    <x v="1"/>
    <n v="-34.701999999999998"/>
  </r>
  <r>
    <n v="1"/>
    <x v="2"/>
    <x v="157"/>
    <x v="4"/>
    <s v="Percent change"/>
    <s v="Units"/>
    <x v="2"/>
    <n v="5.4240000000000004"/>
  </r>
  <r>
    <n v="1"/>
    <x v="2"/>
    <x v="157"/>
    <x v="4"/>
    <s v="Percent change"/>
    <s v="Units"/>
    <x v="3"/>
    <n v="91.587000000000003"/>
  </r>
  <r>
    <n v="1"/>
    <x v="2"/>
    <x v="157"/>
    <x v="4"/>
    <s v="Percent change"/>
    <s v="Units"/>
    <x v="4"/>
    <n v="40.174999999999997"/>
  </r>
  <r>
    <n v="1"/>
    <x v="2"/>
    <x v="157"/>
    <x v="4"/>
    <s v="Percent change"/>
    <s v="Units"/>
    <x v="5"/>
    <n v="-10.846"/>
  </r>
  <r>
    <n v="1"/>
    <x v="2"/>
    <x v="157"/>
    <x v="4"/>
    <s v="Percent change"/>
    <s v="Units"/>
    <x v="6"/>
    <n v="-2.2959999999999998"/>
  </r>
  <r>
    <n v="200"/>
    <x v="3"/>
    <x v="157"/>
    <x v="4"/>
    <s v="Percent change"/>
    <s v="Units"/>
    <x v="0"/>
    <n v="17.494"/>
  </r>
  <r>
    <n v="200"/>
    <x v="3"/>
    <x v="157"/>
    <x v="4"/>
    <s v="Percent change"/>
    <s v="Units"/>
    <x v="1"/>
    <n v="-34.701999999999998"/>
  </r>
  <r>
    <n v="200"/>
    <x v="3"/>
    <x v="157"/>
    <x v="4"/>
    <s v="Percent change"/>
    <s v="Units"/>
    <x v="2"/>
    <n v="5.4240000000000004"/>
  </r>
  <r>
    <n v="200"/>
    <x v="3"/>
    <x v="157"/>
    <x v="4"/>
    <s v="Percent change"/>
    <s v="Units"/>
    <x v="3"/>
    <n v="91.587000000000003"/>
  </r>
  <r>
    <n v="200"/>
    <x v="3"/>
    <x v="157"/>
    <x v="4"/>
    <s v="Percent change"/>
    <s v="Units"/>
    <x v="4"/>
    <n v="40.174999999999997"/>
  </r>
  <r>
    <n v="200"/>
    <x v="3"/>
    <x v="157"/>
    <x v="4"/>
    <s v="Percent change"/>
    <s v="Units"/>
    <x v="5"/>
    <n v="-10.846"/>
  </r>
  <r>
    <n v="200"/>
    <x v="3"/>
    <x v="157"/>
    <x v="4"/>
    <s v="Percent change"/>
    <s v="Units"/>
    <x v="6"/>
    <n v="-2.2959999999999998"/>
  </r>
  <r>
    <n v="400"/>
    <x v="11"/>
    <x v="42"/>
    <x v="9"/>
    <s v="Percent of GDP"/>
    <s v="Units"/>
    <x v="0"/>
    <n v="-7.5949999999999998"/>
  </r>
  <r>
    <n v="400"/>
    <x v="11"/>
    <x v="42"/>
    <x v="9"/>
    <s v="Percent of GDP"/>
    <s v="Units"/>
    <x v="1"/>
    <n v="-7.4690000000000003"/>
  </r>
  <r>
    <n v="400"/>
    <x v="11"/>
    <x v="42"/>
    <x v="9"/>
    <s v="Percent of GDP"/>
    <s v="Units"/>
    <x v="2"/>
    <n v="-6.9550000000000001"/>
  </r>
  <r>
    <n v="400"/>
    <x v="11"/>
    <x v="42"/>
    <x v="9"/>
    <s v="Percent of GDP"/>
    <s v="Units"/>
    <x v="3"/>
    <n v="-5.7789999999999999"/>
  </r>
  <r>
    <n v="400"/>
    <x v="11"/>
    <x v="42"/>
    <x v="9"/>
    <s v="Percent of GDP"/>
    <s v="Units"/>
    <x v="4"/>
    <n v="-5.7670000000000003"/>
  </r>
  <r>
    <n v="400"/>
    <x v="11"/>
    <x v="42"/>
    <x v="9"/>
    <s v="Percent of GDP"/>
    <s v="Units"/>
    <x v="5"/>
    <n v="-10.936"/>
  </r>
  <r>
    <n v="400"/>
    <x v="11"/>
    <x v="42"/>
    <x v="9"/>
    <s v="Percent of GDP"/>
    <s v="Units"/>
    <x v="6"/>
    <n v="-9.2690000000000001"/>
  </r>
  <r>
    <n v="200"/>
    <x v="3"/>
    <x v="42"/>
    <x v="9"/>
    <s v="Percent of GDP"/>
    <s v="Units"/>
    <x v="0"/>
    <n v="-7.5949999999999998"/>
  </r>
  <r>
    <n v="200"/>
    <x v="3"/>
    <x v="42"/>
    <x v="9"/>
    <s v="Percent of GDP"/>
    <s v="Units"/>
    <x v="1"/>
    <n v="-7.4690000000000003"/>
  </r>
  <r>
    <n v="200"/>
    <x v="3"/>
    <x v="42"/>
    <x v="9"/>
    <s v="Percent of GDP"/>
    <s v="Units"/>
    <x v="2"/>
    <n v="-6.9550000000000001"/>
  </r>
  <r>
    <n v="200"/>
    <x v="3"/>
    <x v="42"/>
    <x v="9"/>
    <s v="Percent of GDP"/>
    <s v="Units"/>
    <x v="3"/>
    <n v="-5.7789999999999999"/>
  </r>
  <r>
    <n v="200"/>
    <x v="3"/>
    <x v="42"/>
    <x v="9"/>
    <s v="Percent of GDP"/>
    <s v="Units"/>
    <x v="4"/>
    <n v="-5.7670000000000003"/>
  </r>
  <r>
    <n v="200"/>
    <x v="3"/>
    <x v="42"/>
    <x v="9"/>
    <s v="Percent of GDP"/>
    <s v="Units"/>
    <x v="5"/>
    <n v="-10.936"/>
  </r>
  <r>
    <n v="200"/>
    <x v="3"/>
    <x v="42"/>
    <x v="9"/>
    <s v="Percent of GDP"/>
    <s v="Units"/>
    <x v="6"/>
    <n v="-9.2690000000000001"/>
  </r>
  <r>
    <n v="205"/>
    <x v="7"/>
    <x v="176"/>
    <x v="4"/>
    <s v="Percent change"/>
    <s v="Units"/>
    <x v="0"/>
    <n v="-3.12"/>
  </r>
  <r>
    <n v="205"/>
    <x v="7"/>
    <x v="176"/>
    <x v="4"/>
    <s v="Percent change"/>
    <s v="Units"/>
    <x v="1"/>
    <n v="-39.317999999999998"/>
  </r>
  <r>
    <n v="205"/>
    <x v="7"/>
    <x v="176"/>
    <x v="4"/>
    <s v="Percent change"/>
    <s v="Units"/>
    <x v="2"/>
    <n v="17.224"/>
  </r>
  <r>
    <n v="205"/>
    <x v="7"/>
    <x v="176"/>
    <x v="4"/>
    <s v="Percent change"/>
    <s v="Units"/>
    <x v="3"/>
    <n v="-1.1759999999999999"/>
  </r>
  <r>
    <n v="205"/>
    <x v="7"/>
    <x v="176"/>
    <x v="4"/>
    <s v="Percent change"/>
    <s v="Units"/>
    <x v="4"/>
    <n v="-19.035"/>
  </r>
  <r>
    <n v="205"/>
    <x v="7"/>
    <x v="176"/>
    <x v="4"/>
    <s v="Percent change"/>
    <s v="Units"/>
    <x v="5"/>
    <n v="-11.77"/>
  </r>
  <r>
    <n v="205"/>
    <x v="7"/>
    <x v="176"/>
    <x v="4"/>
    <s v="Percent change"/>
    <s v="Units"/>
    <x v="6"/>
    <n v="10.016"/>
  </r>
  <r>
    <n v="1"/>
    <x v="2"/>
    <x v="176"/>
    <x v="4"/>
    <s v="Percent change"/>
    <s v="Units"/>
    <x v="0"/>
    <n v="-3.12"/>
  </r>
  <r>
    <n v="1"/>
    <x v="2"/>
    <x v="176"/>
    <x v="4"/>
    <s v="Percent change"/>
    <s v="Units"/>
    <x v="1"/>
    <n v="-39.317999999999998"/>
  </r>
  <r>
    <n v="1"/>
    <x v="2"/>
    <x v="176"/>
    <x v="4"/>
    <s v="Percent change"/>
    <s v="Units"/>
    <x v="2"/>
    <n v="17.224"/>
  </r>
  <r>
    <n v="1"/>
    <x v="2"/>
    <x v="176"/>
    <x v="4"/>
    <s v="Percent change"/>
    <s v="Units"/>
    <x v="3"/>
    <n v="-1.1759999999999999"/>
  </r>
  <r>
    <n v="1"/>
    <x v="2"/>
    <x v="176"/>
    <x v="4"/>
    <s v="Percent change"/>
    <s v="Units"/>
    <x v="4"/>
    <n v="-19.035"/>
  </r>
  <r>
    <n v="1"/>
    <x v="2"/>
    <x v="176"/>
    <x v="4"/>
    <s v="Percent change"/>
    <s v="Units"/>
    <x v="5"/>
    <n v="-11.77"/>
  </r>
  <r>
    <n v="1"/>
    <x v="2"/>
    <x v="176"/>
    <x v="4"/>
    <s v="Percent change"/>
    <s v="Units"/>
    <x v="6"/>
    <n v="10.016"/>
  </r>
  <r>
    <n v="200"/>
    <x v="3"/>
    <x v="176"/>
    <x v="4"/>
    <s v="Percent change"/>
    <s v="Units"/>
    <x v="0"/>
    <n v="-3.12"/>
  </r>
  <r>
    <n v="200"/>
    <x v="3"/>
    <x v="176"/>
    <x v="4"/>
    <s v="Percent change"/>
    <s v="Units"/>
    <x v="1"/>
    <n v="-39.317999999999998"/>
  </r>
  <r>
    <n v="200"/>
    <x v="3"/>
    <x v="176"/>
    <x v="4"/>
    <s v="Percent change"/>
    <s v="Units"/>
    <x v="2"/>
    <n v="17.224"/>
  </r>
  <r>
    <n v="200"/>
    <x v="3"/>
    <x v="176"/>
    <x v="4"/>
    <s v="Percent change"/>
    <s v="Units"/>
    <x v="3"/>
    <n v="-1.1759999999999999"/>
  </r>
  <r>
    <n v="200"/>
    <x v="3"/>
    <x v="176"/>
    <x v="4"/>
    <s v="Percent change"/>
    <s v="Units"/>
    <x v="4"/>
    <n v="-19.035"/>
  </r>
  <r>
    <n v="200"/>
    <x v="3"/>
    <x v="176"/>
    <x v="4"/>
    <s v="Percent change"/>
    <s v="Units"/>
    <x v="5"/>
    <n v="-11.77"/>
  </r>
  <r>
    <n v="200"/>
    <x v="3"/>
    <x v="176"/>
    <x v="4"/>
    <s v="Percent change"/>
    <s v="Units"/>
    <x v="6"/>
    <n v="10.016"/>
  </r>
  <r>
    <n v="200"/>
    <x v="3"/>
    <x v="123"/>
    <x v="9"/>
    <s v="Percent of GDP"/>
    <s v="Units"/>
    <x v="0"/>
    <n v="-6.6790000000000003"/>
  </r>
  <r>
    <n v="200"/>
    <x v="3"/>
    <x v="123"/>
    <x v="9"/>
    <s v="Percent of GDP"/>
    <s v="Units"/>
    <x v="1"/>
    <n v="-23.483000000000001"/>
  </r>
  <r>
    <n v="200"/>
    <x v="3"/>
    <x v="123"/>
    <x v="9"/>
    <s v="Percent of GDP"/>
    <s v="Units"/>
    <x v="2"/>
    <n v="-13.763999999999999"/>
  </r>
  <r>
    <n v="200"/>
    <x v="3"/>
    <x v="123"/>
    <x v="9"/>
    <s v="Percent of GDP"/>
    <s v="Units"/>
    <x v="3"/>
    <n v="-11.013999999999999"/>
  </r>
  <r>
    <n v="200"/>
    <x v="3"/>
    <x v="123"/>
    <x v="9"/>
    <s v="Percent of GDP"/>
    <s v="Units"/>
    <x v="4"/>
    <n v="-13.382999999999999"/>
  </r>
  <r>
    <n v="200"/>
    <x v="3"/>
    <x v="123"/>
    <x v="9"/>
    <s v="Percent of GDP"/>
    <s v="Units"/>
    <x v="5"/>
    <n v="-12.178000000000001"/>
  </r>
  <r>
    <n v="200"/>
    <x v="3"/>
    <x v="123"/>
    <x v="9"/>
    <s v="Percent of GDP"/>
    <s v="Units"/>
    <x v="6"/>
    <n v="-9.3559999999999999"/>
  </r>
  <r>
    <n v="505"/>
    <x v="4"/>
    <x v="123"/>
    <x v="9"/>
    <s v="Percent of GDP"/>
    <s v="Units"/>
    <x v="0"/>
    <n v="-6.6790000000000003"/>
  </r>
  <r>
    <n v="505"/>
    <x v="4"/>
    <x v="123"/>
    <x v="9"/>
    <s v="Percent of GDP"/>
    <s v="Units"/>
    <x v="1"/>
    <n v="-23.483000000000001"/>
  </r>
  <r>
    <n v="505"/>
    <x v="4"/>
    <x v="123"/>
    <x v="9"/>
    <s v="Percent of GDP"/>
    <s v="Units"/>
    <x v="2"/>
    <n v="-13.763999999999999"/>
  </r>
  <r>
    <n v="505"/>
    <x v="4"/>
    <x v="123"/>
    <x v="9"/>
    <s v="Percent of GDP"/>
    <s v="Units"/>
    <x v="3"/>
    <n v="-11.013999999999999"/>
  </r>
  <r>
    <n v="505"/>
    <x v="4"/>
    <x v="123"/>
    <x v="9"/>
    <s v="Percent of GDP"/>
    <s v="Units"/>
    <x v="4"/>
    <n v="-13.382999999999999"/>
  </r>
  <r>
    <n v="505"/>
    <x v="4"/>
    <x v="123"/>
    <x v="9"/>
    <s v="Percent of GDP"/>
    <s v="Units"/>
    <x v="5"/>
    <n v="-12.178000000000001"/>
  </r>
  <r>
    <n v="505"/>
    <x v="4"/>
    <x v="123"/>
    <x v="9"/>
    <s v="Percent of GDP"/>
    <s v="Units"/>
    <x v="6"/>
    <n v="-9.3559999999999999"/>
  </r>
  <r>
    <n v="505"/>
    <x v="4"/>
    <x v="149"/>
    <x v="9"/>
    <s v="Percent of GDP"/>
    <s v="Units"/>
    <x v="0"/>
    <n v="-3.6890000000000001"/>
  </r>
  <r>
    <n v="505"/>
    <x v="4"/>
    <x v="149"/>
    <x v="9"/>
    <s v="Percent of GDP"/>
    <s v="Units"/>
    <x v="1"/>
    <n v="-15.773999999999999"/>
  </r>
  <r>
    <n v="505"/>
    <x v="4"/>
    <x v="149"/>
    <x v="9"/>
    <s v="Percent of GDP"/>
    <s v="Units"/>
    <x v="2"/>
    <n v="-8.1639999999999997"/>
  </r>
  <r>
    <n v="505"/>
    <x v="4"/>
    <x v="149"/>
    <x v="9"/>
    <s v="Percent of GDP"/>
    <s v="Units"/>
    <x v="3"/>
    <n v="2.5310000000000001"/>
  </r>
  <r>
    <n v="505"/>
    <x v="4"/>
    <x v="149"/>
    <x v="9"/>
    <s v="Percent of GDP"/>
    <s v="Units"/>
    <x v="4"/>
    <n v="-13.125"/>
  </r>
  <r>
    <n v="505"/>
    <x v="4"/>
    <x v="149"/>
    <x v="9"/>
    <s v="Percent of GDP"/>
    <s v="Units"/>
    <x v="5"/>
    <n v="-13.37"/>
  </r>
  <r>
    <n v="505"/>
    <x v="4"/>
    <x v="149"/>
    <x v="9"/>
    <s v="Percent of GDP"/>
    <s v="Units"/>
    <x v="6"/>
    <n v="-12.725"/>
  </r>
  <r>
    <n v="200"/>
    <x v="3"/>
    <x v="149"/>
    <x v="9"/>
    <s v="Percent of GDP"/>
    <s v="Units"/>
    <x v="0"/>
    <n v="-3.6890000000000001"/>
  </r>
  <r>
    <n v="200"/>
    <x v="3"/>
    <x v="149"/>
    <x v="9"/>
    <s v="Percent of GDP"/>
    <s v="Units"/>
    <x v="1"/>
    <n v="-15.773999999999999"/>
  </r>
  <r>
    <n v="200"/>
    <x v="3"/>
    <x v="149"/>
    <x v="9"/>
    <s v="Percent of GDP"/>
    <s v="Units"/>
    <x v="2"/>
    <n v="-8.1639999999999997"/>
  </r>
  <r>
    <n v="200"/>
    <x v="3"/>
    <x v="149"/>
    <x v="9"/>
    <s v="Percent of GDP"/>
    <s v="Units"/>
    <x v="3"/>
    <n v="2.5310000000000001"/>
  </r>
  <r>
    <n v="200"/>
    <x v="3"/>
    <x v="149"/>
    <x v="9"/>
    <s v="Percent of GDP"/>
    <s v="Units"/>
    <x v="4"/>
    <n v="-13.125"/>
  </r>
  <r>
    <n v="200"/>
    <x v="3"/>
    <x v="149"/>
    <x v="9"/>
    <s v="Percent of GDP"/>
    <s v="Units"/>
    <x v="5"/>
    <n v="-13.37"/>
  </r>
  <r>
    <n v="200"/>
    <x v="3"/>
    <x v="149"/>
    <x v="9"/>
    <s v="Percent of GDP"/>
    <s v="Units"/>
    <x v="6"/>
    <n v="-12.725"/>
  </r>
  <r>
    <n v="903"/>
    <x v="8"/>
    <x v="57"/>
    <x v="9"/>
    <s v="Percent of GDP"/>
    <s v="Units"/>
    <x v="0"/>
    <n v="-2.0819999999999999"/>
  </r>
  <r>
    <n v="903"/>
    <x v="8"/>
    <x v="57"/>
    <x v="9"/>
    <s v="Percent of GDP"/>
    <s v="Units"/>
    <x v="1"/>
    <n v="-5.9180000000000001"/>
  </r>
  <r>
    <n v="903"/>
    <x v="8"/>
    <x v="57"/>
    <x v="9"/>
    <s v="Percent of GDP"/>
    <s v="Units"/>
    <x v="2"/>
    <n v="-3.972"/>
  </r>
  <r>
    <n v="903"/>
    <x v="8"/>
    <x v="57"/>
    <x v="9"/>
    <s v="Percent of GDP"/>
    <s v="Units"/>
    <x v="3"/>
    <n v="-15.746"/>
  </r>
  <r>
    <n v="903"/>
    <x v="8"/>
    <x v="57"/>
    <x v="9"/>
    <s v="Percent of GDP"/>
    <s v="Units"/>
    <x v="4"/>
    <n v="-19.739000000000001"/>
  </r>
  <r>
    <n v="903"/>
    <x v="8"/>
    <x v="57"/>
    <x v="9"/>
    <s v="Percent of GDP"/>
    <s v="Units"/>
    <x v="5"/>
    <n v="-13.731999999999999"/>
  </r>
  <r>
    <n v="903"/>
    <x v="8"/>
    <x v="57"/>
    <x v="9"/>
    <s v="Percent of GDP"/>
    <s v="Units"/>
    <x v="6"/>
    <n v="-7.3410000000000002"/>
  </r>
  <r>
    <n v="200"/>
    <x v="3"/>
    <x v="57"/>
    <x v="9"/>
    <s v="Percent of GDP"/>
    <s v="Units"/>
    <x v="0"/>
    <n v="-2.0819999999999999"/>
  </r>
  <r>
    <n v="200"/>
    <x v="3"/>
    <x v="57"/>
    <x v="9"/>
    <s v="Percent of GDP"/>
    <s v="Units"/>
    <x v="1"/>
    <n v="-5.9180000000000001"/>
  </r>
  <r>
    <n v="200"/>
    <x v="3"/>
    <x v="57"/>
    <x v="9"/>
    <s v="Percent of GDP"/>
    <s v="Units"/>
    <x v="2"/>
    <n v="-3.972"/>
  </r>
  <r>
    <n v="200"/>
    <x v="3"/>
    <x v="57"/>
    <x v="9"/>
    <s v="Percent of GDP"/>
    <s v="Units"/>
    <x v="3"/>
    <n v="-15.746"/>
  </r>
  <r>
    <n v="200"/>
    <x v="3"/>
    <x v="57"/>
    <x v="9"/>
    <s v="Percent of GDP"/>
    <s v="Units"/>
    <x v="4"/>
    <n v="-19.739000000000001"/>
  </r>
  <r>
    <n v="200"/>
    <x v="3"/>
    <x v="57"/>
    <x v="9"/>
    <s v="Percent of GDP"/>
    <s v="Units"/>
    <x v="5"/>
    <n v="-13.731999999999999"/>
  </r>
  <r>
    <n v="200"/>
    <x v="3"/>
    <x v="57"/>
    <x v="9"/>
    <s v="Percent of GDP"/>
    <s v="Units"/>
    <x v="6"/>
    <n v="-7.3410000000000002"/>
  </r>
  <r>
    <n v="200"/>
    <x v="3"/>
    <x v="23"/>
    <x v="6"/>
    <s v="Percent change"/>
    <s v="Units"/>
    <x v="0"/>
    <n v="-20.997"/>
  </r>
  <r>
    <n v="200"/>
    <x v="3"/>
    <x v="23"/>
    <x v="6"/>
    <s v="Percent change"/>
    <s v="Units"/>
    <x v="1"/>
    <n v="-10.411"/>
  </r>
  <r>
    <n v="200"/>
    <x v="3"/>
    <x v="23"/>
    <x v="6"/>
    <s v="Percent change"/>
    <s v="Units"/>
    <x v="2"/>
    <n v="29.637"/>
  </r>
  <r>
    <n v="200"/>
    <x v="3"/>
    <x v="23"/>
    <x v="6"/>
    <s v="Percent change"/>
    <s v="Units"/>
    <x v="3"/>
    <n v="12.839"/>
  </r>
  <r>
    <n v="200"/>
    <x v="3"/>
    <x v="23"/>
    <x v="6"/>
    <s v="Percent change"/>
    <s v="Units"/>
    <x v="4"/>
    <n v="6.1479999999999997"/>
  </r>
  <r>
    <n v="200"/>
    <x v="3"/>
    <x v="23"/>
    <x v="6"/>
    <s v="Percent change"/>
    <s v="Units"/>
    <x v="5"/>
    <n v="-15.151"/>
  </r>
  <r>
    <n v="200"/>
    <x v="3"/>
    <x v="23"/>
    <x v="6"/>
    <s v="Percent change"/>
    <s v="Units"/>
    <x v="6"/>
    <n v="6.7320000000000002"/>
  </r>
  <r>
    <n v="205"/>
    <x v="7"/>
    <x v="23"/>
    <x v="6"/>
    <s v="Percent change"/>
    <s v="Units"/>
    <x v="0"/>
    <n v="-20.997"/>
  </r>
  <r>
    <n v="205"/>
    <x v="7"/>
    <x v="23"/>
    <x v="6"/>
    <s v="Percent change"/>
    <s v="Units"/>
    <x v="1"/>
    <n v="-10.411"/>
  </r>
  <r>
    <n v="205"/>
    <x v="7"/>
    <x v="23"/>
    <x v="6"/>
    <s v="Percent change"/>
    <s v="Units"/>
    <x v="2"/>
    <n v="29.637"/>
  </r>
  <r>
    <n v="205"/>
    <x v="7"/>
    <x v="23"/>
    <x v="6"/>
    <s v="Percent change"/>
    <s v="Units"/>
    <x v="3"/>
    <n v="12.839"/>
  </r>
  <r>
    <n v="205"/>
    <x v="7"/>
    <x v="23"/>
    <x v="6"/>
    <s v="Percent change"/>
    <s v="Units"/>
    <x v="4"/>
    <n v="6.1479999999999997"/>
  </r>
  <r>
    <n v="205"/>
    <x v="7"/>
    <x v="23"/>
    <x v="6"/>
    <s v="Percent change"/>
    <s v="Units"/>
    <x v="5"/>
    <n v="-15.151"/>
  </r>
  <r>
    <n v="205"/>
    <x v="7"/>
    <x v="23"/>
    <x v="6"/>
    <s v="Percent change"/>
    <s v="Units"/>
    <x v="6"/>
    <n v="6.7320000000000002"/>
  </r>
  <r>
    <n v="1"/>
    <x v="2"/>
    <x v="23"/>
    <x v="6"/>
    <s v="Percent change"/>
    <s v="Units"/>
    <x v="0"/>
    <n v="-20.997"/>
  </r>
  <r>
    <n v="1"/>
    <x v="2"/>
    <x v="23"/>
    <x v="6"/>
    <s v="Percent change"/>
    <s v="Units"/>
    <x v="1"/>
    <n v="-10.411"/>
  </r>
  <r>
    <n v="1"/>
    <x v="2"/>
    <x v="23"/>
    <x v="6"/>
    <s v="Percent change"/>
    <s v="Units"/>
    <x v="2"/>
    <n v="29.637"/>
  </r>
  <r>
    <n v="1"/>
    <x v="2"/>
    <x v="23"/>
    <x v="6"/>
    <s v="Percent change"/>
    <s v="Units"/>
    <x v="3"/>
    <n v="12.839"/>
  </r>
  <r>
    <n v="1"/>
    <x v="2"/>
    <x v="23"/>
    <x v="6"/>
    <s v="Percent change"/>
    <s v="Units"/>
    <x v="4"/>
    <n v="6.1479999999999997"/>
  </r>
  <r>
    <n v="1"/>
    <x v="2"/>
    <x v="23"/>
    <x v="6"/>
    <s v="Percent change"/>
    <s v="Units"/>
    <x v="5"/>
    <n v="-15.151"/>
  </r>
  <r>
    <n v="1"/>
    <x v="2"/>
    <x v="23"/>
    <x v="6"/>
    <s v="Percent change"/>
    <s v="Units"/>
    <x v="6"/>
    <n v="6.7320000000000002"/>
  </r>
  <r>
    <n v="200"/>
    <x v="3"/>
    <x v="183"/>
    <x v="5"/>
    <s v="Percent of GDP"/>
    <s v="Units"/>
    <x v="0"/>
    <n v="20.54"/>
  </r>
  <r>
    <n v="200"/>
    <x v="3"/>
    <x v="183"/>
    <x v="5"/>
    <s v="Percent of GDP"/>
    <s v="Units"/>
    <x v="1"/>
    <n v="12.544"/>
  </r>
  <r>
    <n v="200"/>
    <x v="3"/>
    <x v="183"/>
    <x v="5"/>
    <s v="Percent of GDP"/>
    <s v="Units"/>
    <x v="2"/>
    <n v="-22.532"/>
  </r>
  <r>
    <n v="200"/>
    <x v="3"/>
    <x v="183"/>
    <x v="5"/>
    <s v="Percent of GDP"/>
    <s v="Units"/>
    <x v="3"/>
    <n v="-22.605"/>
  </r>
  <r>
    <n v="200"/>
    <x v="3"/>
    <x v="183"/>
    <x v="5"/>
    <s v="Percent of GDP"/>
    <s v="Units"/>
    <x v="4"/>
    <n v="-16.238"/>
  </r>
  <r>
    <n v="200"/>
    <x v="3"/>
    <x v="183"/>
    <x v="5"/>
    <s v="Percent of GDP"/>
    <s v="Units"/>
    <x v="5"/>
    <n v="-18.149000000000001"/>
  </r>
  <r>
    <n v="200"/>
    <x v="3"/>
    <x v="183"/>
    <x v="5"/>
    <s v="Percent of GDP"/>
    <s v="Units"/>
    <x v="6"/>
    <n v="-18.164000000000001"/>
  </r>
  <r>
    <n v="400"/>
    <x v="11"/>
    <x v="183"/>
    <x v="5"/>
    <s v="Percent of GDP"/>
    <s v="Units"/>
    <x v="0"/>
    <n v="20.54"/>
  </r>
  <r>
    <n v="400"/>
    <x v="11"/>
    <x v="183"/>
    <x v="5"/>
    <s v="Percent of GDP"/>
    <s v="Units"/>
    <x v="1"/>
    <n v="12.544"/>
  </r>
  <r>
    <n v="400"/>
    <x v="11"/>
    <x v="183"/>
    <x v="5"/>
    <s v="Percent of GDP"/>
    <s v="Units"/>
    <x v="2"/>
    <n v="-22.532"/>
  </r>
  <r>
    <n v="400"/>
    <x v="11"/>
    <x v="183"/>
    <x v="5"/>
    <s v="Percent of GDP"/>
    <s v="Units"/>
    <x v="3"/>
    <n v="-22.605"/>
  </r>
  <r>
    <n v="400"/>
    <x v="11"/>
    <x v="183"/>
    <x v="5"/>
    <s v="Percent of GDP"/>
    <s v="Units"/>
    <x v="4"/>
    <n v="-16.238"/>
  </r>
  <r>
    <n v="400"/>
    <x v="11"/>
    <x v="183"/>
    <x v="5"/>
    <s v="Percent of GDP"/>
    <s v="Units"/>
    <x v="5"/>
    <n v="-18.149000000000001"/>
  </r>
  <r>
    <n v="400"/>
    <x v="11"/>
    <x v="183"/>
    <x v="5"/>
    <s v="Percent of GDP"/>
    <s v="Units"/>
    <x v="6"/>
    <n v="-18.164000000000001"/>
  </r>
  <r>
    <n v="1"/>
    <x v="2"/>
    <x v="183"/>
    <x v="5"/>
    <s v="Percent of GDP"/>
    <s v="Units"/>
    <x v="0"/>
    <n v="20.54"/>
  </r>
  <r>
    <n v="1"/>
    <x v="2"/>
    <x v="183"/>
    <x v="5"/>
    <s v="Percent of GDP"/>
    <s v="Units"/>
    <x v="1"/>
    <n v="12.544"/>
  </r>
  <r>
    <n v="1"/>
    <x v="2"/>
    <x v="183"/>
    <x v="5"/>
    <s v="Percent of GDP"/>
    <s v="Units"/>
    <x v="2"/>
    <n v="-22.532"/>
  </r>
  <r>
    <n v="1"/>
    <x v="2"/>
    <x v="183"/>
    <x v="5"/>
    <s v="Percent of GDP"/>
    <s v="Units"/>
    <x v="3"/>
    <n v="-22.605"/>
  </r>
  <r>
    <n v="1"/>
    <x v="2"/>
    <x v="183"/>
    <x v="5"/>
    <s v="Percent of GDP"/>
    <s v="Units"/>
    <x v="4"/>
    <n v="-16.238"/>
  </r>
  <r>
    <n v="1"/>
    <x v="2"/>
    <x v="183"/>
    <x v="5"/>
    <s v="Percent of GDP"/>
    <s v="Units"/>
    <x v="5"/>
    <n v="-18.149000000000001"/>
  </r>
  <r>
    <n v="1"/>
    <x v="2"/>
    <x v="183"/>
    <x v="5"/>
    <s v="Percent of GDP"/>
    <s v="Units"/>
    <x v="6"/>
    <n v="-18.164000000000001"/>
  </r>
  <r>
    <n v="1"/>
    <x v="2"/>
    <x v="187"/>
    <x v="5"/>
    <s v="Percent of GDP"/>
    <s v="Units"/>
    <x v="0"/>
    <n v="2.2909999999999999"/>
  </r>
  <r>
    <n v="1"/>
    <x v="2"/>
    <x v="187"/>
    <x v="5"/>
    <s v="Percent of GDP"/>
    <s v="Units"/>
    <x v="1"/>
    <n v="-10.028"/>
  </r>
  <r>
    <n v="1"/>
    <x v="2"/>
    <x v="187"/>
    <x v="5"/>
    <s v="Percent of GDP"/>
    <s v="Units"/>
    <x v="2"/>
    <n v="-8.5570000000000004"/>
  </r>
  <r>
    <n v="1"/>
    <x v="2"/>
    <x v="187"/>
    <x v="5"/>
    <s v="Percent of GDP"/>
    <s v="Units"/>
    <x v="3"/>
    <n v="-12.368"/>
  </r>
  <r>
    <n v="1"/>
    <x v="2"/>
    <x v="187"/>
    <x v="5"/>
    <s v="Percent of GDP"/>
    <s v="Units"/>
    <x v="4"/>
    <n v="-13.662000000000001"/>
  </r>
  <r>
    <n v="1"/>
    <x v="2"/>
    <x v="187"/>
    <x v="5"/>
    <s v="Percent of GDP"/>
    <s v="Units"/>
    <x v="5"/>
    <n v="-18.309000000000001"/>
  </r>
  <r>
    <n v="1"/>
    <x v="2"/>
    <x v="187"/>
    <x v="5"/>
    <s v="Percent of GDP"/>
    <s v="Units"/>
    <x v="6"/>
    <n v="-15.42"/>
  </r>
  <r>
    <n v="200"/>
    <x v="3"/>
    <x v="187"/>
    <x v="5"/>
    <s v="Percent of GDP"/>
    <s v="Units"/>
    <x v="0"/>
    <n v="2.2909999999999999"/>
  </r>
  <r>
    <n v="200"/>
    <x v="3"/>
    <x v="187"/>
    <x v="5"/>
    <s v="Percent of GDP"/>
    <s v="Units"/>
    <x v="1"/>
    <n v="-10.028"/>
  </r>
  <r>
    <n v="200"/>
    <x v="3"/>
    <x v="187"/>
    <x v="5"/>
    <s v="Percent of GDP"/>
    <s v="Units"/>
    <x v="2"/>
    <n v="-8.5570000000000004"/>
  </r>
  <r>
    <n v="200"/>
    <x v="3"/>
    <x v="187"/>
    <x v="5"/>
    <s v="Percent of GDP"/>
    <s v="Units"/>
    <x v="3"/>
    <n v="-12.368"/>
  </r>
  <r>
    <n v="200"/>
    <x v="3"/>
    <x v="187"/>
    <x v="5"/>
    <s v="Percent of GDP"/>
    <s v="Units"/>
    <x v="4"/>
    <n v="-13.662000000000001"/>
  </r>
  <r>
    <n v="200"/>
    <x v="3"/>
    <x v="187"/>
    <x v="5"/>
    <s v="Percent of GDP"/>
    <s v="Units"/>
    <x v="5"/>
    <n v="-18.309000000000001"/>
  </r>
  <r>
    <n v="200"/>
    <x v="3"/>
    <x v="187"/>
    <x v="5"/>
    <s v="Percent of GDP"/>
    <s v="Units"/>
    <x v="6"/>
    <n v="-15.42"/>
  </r>
  <r>
    <n v="400"/>
    <x v="11"/>
    <x v="187"/>
    <x v="5"/>
    <s v="Percent of GDP"/>
    <s v="Units"/>
    <x v="0"/>
    <n v="2.2909999999999999"/>
  </r>
  <r>
    <n v="400"/>
    <x v="11"/>
    <x v="187"/>
    <x v="5"/>
    <s v="Percent of GDP"/>
    <s v="Units"/>
    <x v="1"/>
    <n v="-10.028"/>
  </r>
  <r>
    <n v="400"/>
    <x v="11"/>
    <x v="187"/>
    <x v="5"/>
    <s v="Percent of GDP"/>
    <s v="Units"/>
    <x v="2"/>
    <n v="-8.5570000000000004"/>
  </r>
  <r>
    <n v="400"/>
    <x v="11"/>
    <x v="187"/>
    <x v="5"/>
    <s v="Percent of GDP"/>
    <s v="Units"/>
    <x v="3"/>
    <n v="-12.368"/>
  </r>
  <r>
    <n v="400"/>
    <x v="11"/>
    <x v="187"/>
    <x v="5"/>
    <s v="Percent of GDP"/>
    <s v="Units"/>
    <x v="4"/>
    <n v="-13.662000000000001"/>
  </r>
  <r>
    <n v="400"/>
    <x v="11"/>
    <x v="187"/>
    <x v="5"/>
    <s v="Percent of GDP"/>
    <s v="Units"/>
    <x v="5"/>
    <n v="-18.309000000000001"/>
  </r>
  <r>
    <n v="400"/>
    <x v="11"/>
    <x v="187"/>
    <x v="5"/>
    <s v="Percent of GDP"/>
    <s v="Units"/>
    <x v="6"/>
    <n v="-15.42"/>
  </r>
  <r>
    <n v="1"/>
    <x v="2"/>
    <x v="130"/>
    <x v="6"/>
    <s v="Percent change"/>
    <s v="Units"/>
    <x v="0"/>
    <n v="1.8029999999999999"/>
  </r>
  <r>
    <n v="1"/>
    <x v="2"/>
    <x v="130"/>
    <x v="6"/>
    <s v="Percent change"/>
    <s v="Units"/>
    <x v="1"/>
    <n v="-1.0289999999999999"/>
  </r>
  <r>
    <n v="1"/>
    <x v="2"/>
    <x v="130"/>
    <x v="6"/>
    <s v="Percent change"/>
    <s v="Units"/>
    <x v="2"/>
    <n v="-19.472999999999999"/>
  </r>
  <r>
    <n v="1"/>
    <x v="2"/>
    <x v="130"/>
    <x v="6"/>
    <s v="Percent change"/>
    <s v="Units"/>
    <x v="3"/>
    <n v="43.442"/>
  </r>
  <r>
    <n v="1"/>
    <x v="2"/>
    <x v="130"/>
    <x v="6"/>
    <s v="Percent change"/>
    <s v="Units"/>
    <x v="4"/>
    <n v="5.8159999999999998"/>
  </r>
  <r>
    <n v="1"/>
    <x v="2"/>
    <x v="130"/>
    <x v="6"/>
    <s v="Percent change"/>
    <s v="Units"/>
    <x v="5"/>
    <n v="-20.114999999999998"/>
  </r>
  <r>
    <n v="1"/>
    <x v="2"/>
    <x v="130"/>
    <x v="6"/>
    <s v="Percent change"/>
    <s v="Units"/>
    <x v="6"/>
    <n v="6.9480000000000004"/>
  </r>
  <r>
    <n v="200"/>
    <x v="3"/>
    <x v="130"/>
    <x v="6"/>
    <s v="Percent change"/>
    <s v="Units"/>
    <x v="0"/>
    <n v="1.8029999999999999"/>
  </r>
  <r>
    <n v="200"/>
    <x v="3"/>
    <x v="130"/>
    <x v="6"/>
    <s v="Percent change"/>
    <s v="Units"/>
    <x v="1"/>
    <n v="-1.0289999999999999"/>
  </r>
  <r>
    <n v="200"/>
    <x v="3"/>
    <x v="130"/>
    <x v="6"/>
    <s v="Percent change"/>
    <s v="Units"/>
    <x v="2"/>
    <n v="-19.472999999999999"/>
  </r>
  <r>
    <n v="200"/>
    <x v="3"/>
    <x v="130"/>
    <x v="6"/>
    <s v="Percent change"/>
    <s v="Units"/>
    <x v="3"/>
    <n v="43.442"/>
  </r>
  <r>
    <n v="200"/>
    <x v="3"/>
    <x v="130"/>
    <x v="6"/>
    <s v="Percent change"/>
    <s v="Units"/>
    <x v="4"/>
    <n v="5.8159999999999998"/>
  </r>
  <r>
    <n v="200"/>
    <x v="3"/>
    <x v="130"/>
    <x v="6"/>
    <s v="Percent change"/>
    <s v="Units"/>
    <x v="5"/>
    <n v="-20.114999999999998"/>
  </r>
  <r>
    <n v="200"/>
    <x v="3"/>
    <x v="130"/>
    <x v="6"/>
    <s v="Percent change"/>
    <s v="Units"/>
    <x v="6"/>
    <n v="6.9480000000000004"/>
  </r>
  <r>
    <n v="505"/>
    <x v="4"/>
    <x v="130"/>
    <x v="6"/>
    <s v="Percent change"/>
    <s v="Units"/>
    <x v="0"/>
    <n v="1.8029999999999999"/>
  </r>
  <r>
    <n v="505"/>
    <x v="4"/>
    <x v="130"/>
    <x v="6"/>
    <s v="Percent change"/>
    <s v="Units"/>
    <x v="1"/>
    <n v="-1.0289999999999999"/>
  </r>
  <r>
    <n v="505"/>
    <x v="4"/>
    <x v="130"/>
    <x v="6"/>
    <s v="Percent change"/>
    <s v="Units"/>
    <x v="2"/>
    <n v="-19.472999999999999"/>
  </r>
  <r>
    <n v="505"/>
    <x v="4"/>
    <x v="130"/>
    <x v="6"/>
    <s v="Percent change"/>
    <s v="Units"/>
    <x v="3"/>
    <n v="43.442"/>
  </r>
  <r>
    <n v="505"/>
    <x v="4"/>
    <x v="130"/>
    <x v="6"/>
    <s v="Percent change"/>
    <s v="Units"/>
    <x v="4"/>
    <n v="5.8159999999999998"/>
  </r>
  <r>
    <n v="505"/>
    <x v="4"/>
    <x v="130"/>
    <x v="6"/>
    <s v="Percent change"/>
    <s v="Units"/>
    <x v="5"/>
    <n v="-20.114999999999998"/>
  </r>
  <r>
    <n v="505"/>
    <x v="4"/>
    <x v="130"/>
    <x v="6"/>
    <s v="Percent change"/>
    <s v="Units"/>
    <x v="6"/>
    <n v="6.9480000000000004"/>
  </r>
  <r>
    <n v="200"/>
    <x v="3"/>
    <x v="64"/>
    <x v="9"/>
    <s v="Percent of GDP"/>
    <s v="Units"/>
    <x v="0"/>
    <n v="10.821999999999999"/>
  </r>
  <r>
    <n v="200"/>
    <x v="3"/>
    <x v="64"/>
    <x v="9"/>
    <s v="Percent of GDP"/>
    <s v="Units"/>
    <x v="1"/>
    <n v="3.5369999999999999"/>
  </r>
  <r>
    <n v="200"/>
    <x v="3"/>
    <x v="64"/>
    <x v="9"/>
    <s v="Percent of GDP"/>
    <s v="Units"/>
    <x v="2"/>
    <n v="-10.615"/>
  </r>
  <r>
    <n v="200"/>
    <x v="3"/>
    <x v="64"/>
    <x v="9"/>
    <s v="Percent of GDP"/>
    <s v="Units"/>
    <x v="3"/>
    <n v="-18.253"/>
  </r>
  <r>
    <n v="200"/>
    <x v="3"/>
    <x v="64"/>
    <x v="9"/>
    <s v="Percent of GDP"/>
    <s v="Units"/>
    <x v="4"/>
    <n v="-1.294"/>
  </r>
  <r>
    <n v="200"/>
    <x v="3"/>
    <x v="64"/>
    <x v="9"/>
    <s v="Percent of GDP"/>
    <s v="Units"/>
    <x v="5"/>
    <n v="-22.376999999999999"/>
  </r>
  <r>
    <n v="200"/>
    <x v="3"/>
    <x v="64"/>
    <x v="9"/>
    <s v="Percent of GDP"/>
    <s v="Units"/>
    <x v="6"/>
    <n v="-14.811999999999999"/>
  </r>
  <r>
    <n v="505"/>
    <x v="4"/>
    <x v="64"/>
    <x v="9"/>
    <s v="Percent of GDP"/>
    <s v="Units"/>
    <x v="0"/>
    <n v="10.821999999999999"/>
  </r>
  <r>
    <n v="505"/>
    <x v="4"/>
    <x v="64"/>
    <x v="9"/>
    <s v="Percent of GDP"/>
    <s v="Units"/>
    <x v="1"/>
    <n v="3.5369999999999999"/>
  </r>
  <r>
    <n v="505"/>
    <x v="4"/>
    <x v="64"/>
    <x v="9"/>
    <s v="Percent of GDP"/>
    <s v="Units"/>
    <x v="2"/>
    <n v="-10.615"/>
  </r>
  <r>
    <n v="505"/>
    <x v="4"/>
    <x v="64"/>
    <x v="9"/>
    <s v="Percent of GDP"/>
    <s v="Units"/>
    <x v="3"/>
    <n v="-18.253"/>
  </r>
  <r>
    <n v="505"/>
    <x v="4"/>
    <x v="64"/>
    <x v="9"/>
    <s v="Percent of GDP"/>
    <s v="Units"/>
    <x v="4"/>
    <n v="-1.294"/>
  </r>
  <r>
    <n v="505"/>
    <x v="4"/>
    <x v="64"/>
    <x v="9"/>
    <s v="Percent of GDP"/>
    <s v="Units"/>
    <x v="5"/>
    <n v="-22.376999999999999"/>
  </r>
  <r>
    <n v="505"/>
    <x v="4"/>
    <x v="64"/>
    <x v="9"/>
    <s v="Percent of GDP"/>
    <s v="Units"/>
    <x v="6"/>
    <n v="-14.811999999999999"/>
  </r>
  <r>
    <n v="1"/>
    <x v="2"/>
    <x v="183"/>
    <x v="7"/>
    <s v="Percent of GDP"/>
    <s v="Units"/>
    <x v="0"/>
    <n v="2.2810000000000001"/>
  </r>
  <r>
    <n v="1"/>
    <x v="2"/>
    <x v="183"/>
    <x v="7"/>
    <s v="Percent of GDP"/>
    <s v="Units"/>
    <x v="1"/>
    <n v="1.042"/>
  </r>
  <r>
    <n v="1"/>
    <x v="2"/>
    <x v="183"/>
    <x v="7"/>
    <s v="Percent of GDP"/>
    <s v="Units"/>
    <x v="2"/>
    <n v="-15.917"/>
  </r>
  <r>
    <n v="1"/>
    <x v="2"/>
    <x v="183"/>
    <x v="7"/>
    <s v="Percent of GDP"/>
    <s v="Units"/>
    <x v="3"/>
    <n v="-40.198999999999998"/>
  </r>
  <r>
    <n v="1"/>
    <x v="2"/>
    <x v="183"/>
    <x v="7"/>
    <s v="Percent of GDP"/>
    <s v="Units"/>
    <x v="4"/>
    <n v="-39.761000000000003"/>
  </r>
  <r>
    <n v="1"/>
    <x v="2"/>
    <x v="183"/>
    <x v="7"/>
    <s v="Percent of GDP"/>
    <s v="Units"/>
    <x v="5"/>
    <n v="-23.254000000000001"/>
  </r>
  <r>
    <n v="1"/>
    <x v="2"/>
    <x v="183"/>
    <x v="7"/>
    <s v="Percent of GDP"/>
    <s v="Units"/>
    <x v="6"/>
    <n v="-22.135999999999999"/>
  </r>
  <r>
    <n v="400"/>
    <x v="11"/>
    <x v="183"/>
    <x v="7"/>
    <s v="Percent of GDP"/>
    <s v="Units"/>
    <x v="0"/>
    <n v="2.2810000000000001"/>
  </r>
  <r>
    <n v="400"/>
    <x v="11"/>
    <x v="183"/>
    <x v="7"/>
    <s v="Percent of GDP"/>
    <s v="Units"/>
    <x v="1"/>
    <n v="1.042"/>
  </r>
  <r>
    <n v="400"/>
    <x v="11"/>
    <x v="183"/>
    <x v="7"/>
    <s v="Percent of GDP"/>
    <s v="Units"/>
    <x v="2"/>
    <n v="-15.917"/>
  </r>
  <r>
    <n v="400"/>
    <x v="11"/>
    <x v="183"/>
    <x v="7"/>
    <s v="Percent of GDP"/>
    <s v="Units"/>
    <x v="3"/>
    <n v="-40.198999999999998"/>
  </r>
  <r>
    <n v="400"/>
    <x v="11"/>
    <x v="183"/>
    <x v="7"/>
    <s v="Percent of GDP"/>
    <s v="Units"/>
    <x v="4"/>
    <n v="-39.761000000000003"/>
  </r>
  <r>
    <n v="400"/>
    <x v="11"/>
    <x v="183"/>
    <x v="7"/>
    <s v="Percent of GDP"/>
    <s v="Units"/>
    <x v="5"/>
    <n v="-23.254000000000001"/>
  </r>
  <r>
    <n v="400"/>
    <x v="11"/>
    <x v="183"/>
    <x v="7"/>
    <s v="Percent of GDP"/>
    <s v="Units"/>
    <x v="6"/>
    <n v="-22.135999999999999"/>
  </r>
  <r>
    <n v="200"/>
    <x v="3"/>
    <x v="183"/>
    <x v="7"/>
    <s v="Percent of GDP"/>
    <s v="Units"/>
    <x v="0"/>
    <n v="2.2810000000000001"/>
  </r>
  <r>
    <n v="200"/>
    <x v="3"/>
    <x v="183"/>
    <x v="7"/>
    <s v="Percent of GDP"/>
    <s v="Units"/>
    <x v="1"/>
    <n v="1.042"/>
  </r>
  <r>
    <n v="200"/>
    <x v="3"/>
    <x v="183"/>
    <x v="7"/>
    <s v="Percent of GDP"/>
    <s v="Units"/>
    <x v="2"/>
    <n v="-15.917"/>
  </r>
  <r>
    <n v="200"/>
    <x v="3"/>
    <x v="183"/>
    <x v="7"/>
    <s v="Percent of GDP"/>
    <s v="Units"/>
    <x v="3"/>
    <n v="-40.198999999999998"/>
  </r>
  <r>
    <n v="200"/>
    <x v="3"/>
    <x v="183"/>
    <x v="7"/>
    <s v="Percent of GDP"/>
    <s v="Units"/>
    <x v="4"/>
    <n v="-39.761000000000003"/>
  </r>
  <r>
    <n v="200"/>
    <x v="3"/>
    <x v="183"/>
    <x v="7"/>
    <s v="Percent of GDP"/>
    <s v="Units"/>
    <x v="5"/>
    <n v="-23.254000000000001"/>
  </r>
  <r>
    <n v="200"/>
    <x v="3"/>
    <x v="183"/>
    <x v="7"/>
    <s v="Percent of GDP"/>
    <s v="Units"/>
    <x v="6"/>
    <n v="-22.135999999999999"/>
  </r>
  <r>
    <n v="200"/>
    <x v="3"/>
    <x v="77"/>
    <x v="9"/>
    <s v="Percent of GDP"/>
    <s v="Units"/>
    <x v="0"/>
    <n v="-25.247"/>
  </r>
  <r>
    <n v="200"/>
    <x v="3"/>
    <x v="77"/>
    <x v="9"/>
    <s v="Percent of GDP"/>
    <s v="Units"/>
    <x v="1"/>
    <n v="-18.899000000000001"/>
  </r>
  <r>
    <n v="200"/>
    <x v="3"/>
    <x v="77"/>
    <x v="9"/>
    <s v="Percent of GDP"/>
    <s v="Units"/>
    <x v="2"/>
    <n v="-19.48"/>
  </r>
  <r>
    <n v="200"/>
    <x v="3"/>
    <x v="77"/>
    <x v="9"/>
    <s v="Percent of GDP"/>
    <s v="Units"/>
    <x v="3"/>
    <n v="-30.347999999999999"/>
  </r>
  <r>
    <n v="200"/>
    <x v="3"/>
    <x v="77"/>
    <x v="9"/>
    <s v="Percent of GDP"/>
    <s v="Units"/>
    <x v="4"/>
    <n v="-32.454999999999998"/>
  </r>
  <r>
    <n v="200"/>
    <x v="3"/>
    <x v="77"/>
    <x v="9"/>
    <s v="Percent of GDP"/>
    <s v="Units"/>
    <x v="5"/>
    <n v="-42.484000000000002"/>
  </r>
  <r>
    <n v="200"/>
    <x v="3"/>
    <x v="77"/>
    <x v="9"/>
    <s v="Percent of GDP"/>
    <s v="Units"/>
    <x v="6"/>
    <n v="-42.972000000000001"/>
  </r>
  <r>
    <n v="505"/>
    <x v="4"/>
    <x v="77"/>
    <x v="9"/>
    <s v="Percent of GDP"/>
    <s v="Units"/>
    <x v="0"/>
    <n v="-25.247"/>
  </r>
  <r>
    <n v="505"/>
    <x v="4"/>
    <x v="77"/>
    <x v="9"/>
    <s v="Percent of GDP"/>
    <s v="Units"/>
    <x v="1"/>
    <n v="-18.899000000000001"/>
  </r>
  <r>
    <n v="505"/>
    <x v="4"/>
    <x v="77"/>
    <x v="9"/>
    <s v="Percent of GDP"/>
    <s v="Units"/>
    <x v="2"/>
    <n v="-19.48"/>
  </r>
  <r>
    <n v="505"/>
    <x v="4"/>
    <x v="77"/>
    <x v="9"/>
    <s v="Percent of GDP"/>
    <s v="Units"/>
    <x v="3"/>
    <n v="-30.347999999999999"/>
  </r>
  <r>
    <n v="505"/>
    <x v="4"/>
    <x v="77"/>
    <x v="9"/>
    <s v="Percent of GDP"/>
    <s v="Units"/>
    <x v="4"/>
    <n v="-32.454999999999998"/>
  </r>
  <r>
    <n v="505"/>
    <x v="4"/>
    <x v="77"/>
    <x v="9"/>
    <s v="Percent of GDP"/>
    <s v="Units"/>
    <x v="5"/>
    <n v="-42.484000000000002"/>
  </r>
  <r>
    <n v="505"/>
    <x v="4"/>
    <x v="77"/>
    <x v="9"/>
    <s v="Percent of GDP"/>
    <s v="Units"/>
    <x v="6"/>
    <n v="-42.972000000000001"/>
  </r>
  <r>
    <n v="400"/>
    <x v="11"/>
    <x v="189"/>
    <x v="4"/>
    <s v="Percent change"/>
    <s v="Units"/>
    <x v="0"/>
    <n v="-3.1629999999999998"/>
  </r>
  <r>
    <n v="400"/>
    <x v="11"/>
    <x v="189"/>
    <x v="4"/>
    <s v="Percent change"/>
    <s v="Units"/>
    <x v="1"/>
    <n v="-50.091999999999999"/>
  </r>
  <r>
    <n v="400"/>
    <x v="11"/>
    <x v="189"/>
    <x v="4"/>
    <s v="Percent change"/>
    <s v="Units"/>
    <x v="2"/>
    <n v="0.78400000000000003"/>
  </r>
  <r>
    <n v="400"/>
    <x v="11"/>
    <x v="189"/>
    <x v="4"/>
    <s v="Percent change"/>
    <s v="Units"/>
    <x v="3"/>
    <n v="13.641"/>
  </r>
  <r>
    <n v="200"/>
    <x v="3"/>
    <x v="72"/>
    <x v="2"/>
    <s v="Percent of GDP"/>
    <s v="Units"/>
    <x v="0"/>
    <n v="10.09"/>
  </r>
  <r>
    <n v="200"/>
    <x v="3"/>
    <x v="72"/>
    <x v="2"/>
    <s v="Percent of GDP"/>
    <s v="Units"/>
    <x v="1"/>
    <n v="4.5259999999999998"/>
  </r>
  <r>
    <n v="200"/>
    <x v="3"/>
    <x v="72"/>
    <x v="2"/>
    <s v="Percent of GDP"/>
    <s v="Units"/>
    <x v="2"/>
    <n v="7.25"/>
  </r>
  <r>
    <n v="200"/>
    <x v="3"/>
    <x v="72"/>
    <x v="2"/>
    <s v="Percent of GDP"/>
    <s v="Units"/>
    <x v="3"/>
    <n v="8.2739999999999991"/>
  </r>
  <r>
    <n v="200"/>
    <x v="3"/>
    <x v="72"/>
    <x v="2"/>
    <s v="Percent of GDP"/>
    <s v="Units"/>
    <x v="4"/>
    <n v="10.989000000000001"/>
  </r>
  <r>
    <n v="400"/>
    <x v="11"/>
    <x v="189"/>
    <x v="6"/>
    <s v="Percent change"/>
    <s v="Units"/>
    <x v="0"/>
    <n v="-4.6449999999999996"/>
  </r>
  <r>
    <n v="400"/>
    <x v="11"/>
    <x v="189"/>
    <x v="6"/>
    <s v="Percent change"/>
    <s v="Units"/>
    <x v="1"/>
    <n v="-50.683999999999997"/>
  </r>
  <r>
    <n v="400"/>
    <x v="11"/>
    <x v="189"/>
    <x v="6"/>
    <s v="Percent change"/>
    <s v="Units"/>
    <x v="2"/>
    <n v="2.4420000000000002"/>
  </r>
  <r>
    <n v="400"/>
    <x v="11"/>
    <x v="189"/>
    <x v="6"/>
    <s v="Percent change"/>
    <s v="Units"/>
    <x v="3"/>
    <n v="25.585000000000001"/>
  </r>
  <r>
    <n v="603"/>
    <x v="12"/>
    <x v="190"/>
    <x v="6"/>
    <s v="Percent change"/>
    <s v="Units"/>
    <x v="0"/>
    <n v="3.7010000000000001"/>
  </r>
  <r>
    <n v="200"/>
    <x v="3"/>
    <x v="191"/>
    <x v="2"/>
    <s v="Percent of GDP"/>
    <s v="Units"/>
    <x v="0"/>
    <n v="11.933999999999999"/>
  </r>
  <r>
    <n v="200"/>
    <x v="3"/>
    <x v="191"/>
    <x v="2"/>
    <s v="Percent of GDP"/>
    <s v="Units"/>
    <x v="1"/>
    <n v="8.7629999999999999"/>
  </r>
  <r>
    <n v="200"/>
    <x v="3"/>
    <x v="191"/>
    <x v="2"/>
    <s v="Percent of GDP"/>
    <s v="Units"/>
    <x v="2"/>
    <n v="8.3170000000000002"/>
  </r>
  <r>
    <n v="200"/>
    <x v="3"/>
    <x v="191"/>
    <x v="2"/>
    <s v="Percent of GDP"/>
    <s v="Units"/>
    <x v="3"/>
    <n v="8.3339999999999996"/>
  </r>
  <r>
    <n v="200"/>
    <x v="3"/>
    <x v="189"/>
    <x v="2"/>
    <s v="Percent of GDP"/>
    <s v="Units"/>
    <x v="0"/>
    <n v="20.792000000000002"/>
  </r>
  <r>
    <n v="200"/>
    <x v="3"/>
    <x v="189"/>
    <x v="2"/>
    <s v="Percent of GDP"/>
    <s v="Units"/>
    <x v="1"/>
    <n v="16.027999999999999"/>
  </r>
  <r>
    <n v="200"/>
    <x v="3"/>
    <x v="189"/>
    <x v="2"/>
    <s v="Percent of GDP"/>
    <s v="Units"/>
    <x v="2"/>
    <n v="9.7729999999999997"/>
  </r>
  <r>
    <n v="200"/>
    <x v="3"/>
    <x v="189"/>
    <x v="2"/>
    <s v="Percent of GDP"/>
    <s v="Units"/>
    <x v="3"/>
    <n v="6.54"/>
  </r>
  <r>
    <n v="200"/>
    <x v="3"/>
    <x v="190"/>
    <x v="2"/>
    <s v="Percent of GDP"/>
    <s v="Units"/>
    <x v="0"/>
    <n v="33.972999999999999"/>
  </r>
  <r>
    <n v="200"/>
    <x v="3"/>
    <x v="66"/>
    <x v="2"/>
    <s v="Percent of GDP"/>
    <s v="Units"/>
    <x v="0"/>
    <n v="36.302999999999997"/>
  </r>
  <r>
    <n v="200"/>
    <x v="3"/>
    <x v="66"/>
    <x v="2"/>
    <s v="Percent of GDP"/>
    <s v="Units"/>
    <x v="1"/>
    <n v="32.860999999999997"/>
  </r>
  <r>
    <n v="200"/>
    <x v="3"/>
    <x v="66"/>
    <x v="2"/>
    <s v="Percent of GDP"/>
    <s v="Units"/>
    <x v="2"/>
    <n v="35.805999999999997"/>
  </r>
  <r>
    <n v="200"/>
    <x v="3"/>
    <x v="66"/>
    <x v="2"/>
    <s v="Percent of GDP"/>
    <s v="Units"/>
    <x v="3"/>
    <n v="38.771000000000001"/>
  </r>
  <r>
    <n v="200"/>
    <x v="3"/>
    <x v="66"/>
    <x v="2"/>
    <s v="Percent of GDP"/>
    <s v="Units"/>
    <x v="4"/>
    <n v="36.247"/>
  </r>
  <r>
    <n v="200"/>
    <x v="3"/>
    <x v="192"/>
    <x v="2"/>
    <s v="Percent of GDP"/>
    <s v="Units"/>
    <x v="0"/>
    <n v="26.940999999999999"/>
  </r>
  <r>
    <n v="200"/>
    <x v="3"/>
    <x v="192"/>
    <x v="2"/>
    <s v="Percent of GDP"/>
    <s v="Units"/>
    <x v="1"/>
    <n v="25.693999999999999"/>
  </r>
  <r>
    <n v="200"/>
    <x v="3"/>
    <x v="192"/>
    <x v="2"/>
    <s v="Percent of GDP"/>
    <s v="Units"/>
    <x v="2"/>
    <n v="17.449000000000002"/>
  </r>
  <r>
    <n v="200"/>
    <x v="3"/>
    <x v="192"/>
    <x v="2"/>
    <s v="Percent of GDP"/>
    <s v="Units"/>
    <x v="3"/>
    <n v="15.118"/>
  </r>
  <r>
    <n v="200"/>
    <x v="3"/>
    <x v="193"/>
    <x v="2"/>
    <s v="Percent of GDP"/>
    <s v="Units"/>
    <x v="0"/>
    <n v="23.855"/>
  </r>
  <r>
    <n v="200"/>
    <x v="3"/>
    <x v="193"/>
    <x v="2"/>
    <s v="Percent of GDP"/>
    <s v="Units"/>
    <x v="1"/>
    <n v="25.661000000000001"/>
  </r>
  <r>
    <n v="200"/>
    <x v="3"/>
    <x v="193"/>
    <x v="2"/>
    <s v="Percent of GDP"/>
    <s v="Units"/>
    <x v="2"/>
    <n v="25.623000000000001"/>
  </r>
  <r>
    <n v="200"/>
    <x v="3"/>
    <x v="193"/>
    <x v="2"/>
    <s v="Percent of GDP"/>
    <s v="Units"/>
    <x v="3"/>
    <n v="28.132999999999999"/>
  </r>
  <r>
    <n v="200"/>
    <x v="3"/>
    <x v="193"/>
    <x v="2"/>
    <s v="Percent of GDP"/>
    <s v="Units"/>
    <x v="4"/>
    <n v="27.13"/>
  </r>
  <r>
    <n v="200"/>
    <x v="3"/>
    <x v="189"/>
    <x v="6"/>
    <s v="Percent change"/>
    <s v="Units"/>
    <x v="0"/>
    <n v="-4.6449999999999996"/>
  </r>
  <r>
    <n v="200"/>
    <x v="3"/>
    <x v="189"/>
    <x v="6"/>
    <s v="Percent change"/>
    <s v="Units"/>
    <x v="1"/>
    <n v="-50.683999999999997"/>
  </r>
  <r>
    <n v="200"/>
    <x v="3"/>
    <x v="189"/>
    <x v="6"/>
    <s v="Percent change"/>
    <s v="Units"/>
    <x v="2"/>
    <n v="2.4420000000000002"/>
  </r>
  <r>
    <n v="200"/>
    <x v="3"/>
    <x v="189"/>
    <x v="6"/>
    <s v="Percent change"/>
    <s v="Units"/>
    <x v="3"/>
    <n v="25.585000000000001"/>
  </r>
  <r>
    <n v="200"/>
    <x v="3"/>
    <x v="192"/>
    <x v="3"/>
    <s v="Percent of GDP"/>
    <s v="Units"/>
    <x v="0"/>
    <n v="27.998999999999999"/>
  </r>
  <r>
    <n v="200"/>
    <x v="3"/>
    <x v="192"/>
    <x v="3"/>
    <s v="Percent of GDP"/>
    <s v="Units"/>
    <x v="1"/>
    <n v="27.937000000000001"/>
  </r>
  <r>
    <n v="200"/>
    <x v="3"/>
    <x v="192"/>
    <x v="3"/>
    <s v="Percent of GDP"/>
    <s v="Units"/>
    <x v="2"/>
    <n v="17.934000000000001"/>
  </r>
  <r>
    <n v="200"/>
    <x v="3"/>
    <x v="192"/>
    <x v="3"/>
    <s v="Percent of GDP"/>
    <s v="Units"/>
    <x v="3"/>
    <n v="16.116"/>
  </r>
  <r>
    <n v="200"/>
    <x v="3"/>
    <x v="66"/>
    <x v="3"/>
    <s v="Percent of GDP"/>
    <s v="Units"/>
    <x v="0"/>
    <n v="39.774000000000001"/>
  </r>
  <r>
    <n v="200"/>
    <x v="3"/>
    <x v="66"/>
    <x v="3"/>
    <s v="Percent of GDP"/>
    <s v="Units"/>
    <x v="1"/>
    <n v="40.24"/>
  </r>
  <r>
    <n v="200"/>
    <x v="3"/>
    <x v="66"/>
    <x v="3"/>
    <s v="Percent of GDP"/>
    <s v="Units"/>
    <x v="2"/>
    <n v="37.39"/>
  </r>
  <r>
    <n v="200"/>
    <x v="3"/>
    <x v="66"/>
    <x v="3"/>
    <s v="Percent of GDP"/>
    <s v="Units"/>
    <x v="3"/>
    <n v="38.726999999999997"/>
  </r>
  <r>
    <n v="200"/>
    <x v="3"/>
    <x v="66"/>
    <x v="3"/>
    <s v="Percent of GDP"/>
    <s v="Units"/>
    <x v="4"/>
    <n v="39.718000000000004"/>
  </r>
  <r>
    <n v="200"/>
    <x v="3"/>
    <x v="72"/>
    <x v="3"/>
    <s v="Percent of GDP"/>
    <s v="Units"/>
    <x v="0"/>
    <n v="20.065000000000001"/>
  </r>
  <r>
    <n v="200"/>
    <x v="3"/>
    <x v="72"/>
    <x v="3"/>
    <s v="Percent of GDP"/>
    <s v="Units"/>
    <x v="1"/>
    <n v="9.5169999999999995"/>
  </r>
  <r>
    <n v="200"/>
    <x v="3"/>
    <x v="72"/>
    <x v="3"/>
    <s v="Percent of GDP"/>
    <s v="Units"/>
    <x v="2"/>
    <n v="11.88"/>
  </r>
  <r>
    <n v="200"/>
    <x v="3"/>
    <x v="72"/>
    <x v="3"/>
    <s v="Percent of GDP"/>
    <s v="Units"/>
    <x v="3"/>
    <n v="14.305"/>
  </r>
  <r>
    <n v="200"/>
    <x v="3"/>
    <x v="72"/>
    <x v="3"/>
    <s v="Percent of GDP"/>
    <s v="Units"/>
    <x v="4"/>
    <n v="14.38"/>
  </r>
  <r>
    <n v="200"/>
    <x v="3"/>
    <x v="190"/>
    <x v="6"/>
    <s v="Percent change"/>
    <s v="Units"/>
    <x v="0"/>
    <n v="3.7010000000000001"/>
  </r>
  <r>
    <n v="603"/>
    <x v="12"/>
    <x v="190"/>
    <x v="4"/>
    <s v="Percent change"/>
    <s v="Units"/>
    <x v="0"/>
    <n v="29.800999999999998"/>
  </r>
  <r>
    <n v="603"/>
    <x v="12"/>
    <x v="190"/>
    <x v="8"/>
    <s v="Percent change"/>
    <s v="Units"/>
    <x v="0"/>
    <n v="3.8359999999999999"/>
  </r>
  <r>
    <n v="603"/>
    <x v="12"/>
    <x v="190"/>
    <x v="0"/>
    <s v="U.S. dollars"/>
    <s v="Billions"/>
    <x v="0"/>
    <n v="1.982"/>
  </r>
  <r>
    <n v="200"/>
    <x v="3"/>
    <x v="191"/>
    <x v="3"/>
    <s v="Percent of GDP"/>
    <s v="Units"/>
    <x v="0"/>
    <n v="19.452999999999999"/>
  </r>
  <r>
    <n v="200"/>
    <x v="3"/>
    <x v="191"/>
    <x v="3"/>
    <s v="Percent of GDP"/>
    <s v="Units"/>
    <x v="1"/>
    <n v="20.952999999999999"/>
  </r>
  <r>
    <n v="200"/>
    <x v="3"/>
    <x v="191"/>
    <x v="3"/>
    <s v="Percent of GDP"/>
    <s v="Units"/>
    <x v="2"/>
    <n v="20.010000000000002"/>
  </r>
  <r>
    <n v="200"/>
    <x v="3"/>
    <x v="191"/>
    <x v="3"/>
    <s v="Percent of GDP"/>
    <s v="Units"/>
    <x v="3"/>
    <n v="18.521999999999998"/>
  </r>
  <r>
    <n v="400"/>
    <x v="11"/>
    <x v="192"/>
    <x v="3"/>
    <s v="Percent of GDP"/>
    <s v="Units"/>
    <x v="0"/>
    <n v="27.998999999999999"/>
  </r>
  <r>
    <n v="400"/>
    <x v="11"/>
    <x v="192"/>
    <x v="3"/>
    <s v="Percent of GDP"/>
    <s v="Units"/>
    <x v="1"/>
    <n v="27.937000000000001"/>
  </r>
  <r>
    <n v="400"/>
    <x v="11"/>
    <x v="192"/>
    <x v="3"/>
    <s v="Percent of GDP"/>
    <s v="Units"/>
    <x v="2"/>
    <n v="17.934000000000001"/>
  </r>
  <r>
    <n v="400"/>
    <x v="11"/>
    <x v="192"/>
    <x v="3"/>
    <s v="Percent of GDP"/>
    <s v="Units"/>
    <x v="3"/>
    <n v="16.116"/>
  </r>
  <r>
    <n v="200"/>
    <x v="3"/>
    <x v="189"/>
    <x v="3"/>
    <s v="Percent of GDP"/>
    <s v="Units"/>
    <x v="0"/>
    <n v="31.173999999999999"/>
  </r>
  <r>
    <n v="200"/>
    <x v="3"/>
    <x v="189"/>
    <x v="3"/>
    <s v="Percent of GDP"/>
    <s v="Units"/>
    <x v="1"/>
    <n v="19.552"/>
  </r>
  <r>
    <n v="200"/>
    <x v="3"/>
    <x v="189"/>
    <x v="3"/>
    <s v="Percent of GDP"/>
    <s v="Units"/>
    <x v="2"/>
    <n v="9.1329999999999991"/>
  </r>
  <r>
    <n v="200"/>
    <x v="3"/>
    <x v="189"/>
    <x v="3"/>
    <s v="Percent of GDP"/>
    <s v="Units"/>
    <x v="3"/>
    <n v="12.673"/>
  </r>
  <r>
    <n v="400"/>
    <x v="11"/>
    <x v="193"/>
    <x v="2"/>
    <s v="Percent of GDP"/>
    <s v="Units"/>
    <x v="0"/>
    <n v="23.855"/>
  </r>
  <r>
    <n v="400"/>
    <x v="11"/>
    <x v="193"/>
    <x v="2"/>
    <s v="Percent of GDP"/>
    <s v="Units"/>
    <x v="1"/>
    <n v="25.661000000000001"/>
  </r>
  <r>
    <n v="400"/>
    <x v="11"/>
    <x v="193"/>
    <x v="2"/>
    <s v="Percent of GDP"/>
    <s v="Units"/>
    <x v="2"/>
    <n v="25.623000000000001"/>
  </r>
  <r>
    <n v="400"/>
    <x v="11"/>
    <x v="193"/>
    <x v="2"/>
    <s v="Percent of GDP"/>
    <s v="Units"/>
    <x v="3"/>
    <n v="28.132999999999999"/>
  </r>
  <r>
    <n v="400"/>
    <x v="11"/>
    <x v="193"/>
    <x v="2"/>
    <s v="Percent of GDP"/>
    <s v="Units"/>
    <x v="4"/>
    <n v="27.13"/>
  </r>
  <r>
    <n v="200"/>
    <x v="3"/>
    <x v="190"/>
    <x v="3"/>
    <s v="Percent of GDP"/>
    <s v="Units"/>
    <x v="0"/>
    <n v="31.256"/>
  </r>
  <r>
    <n v="400"/>
    <x v="11"/>
    <x v="193"/>
    <x v="4"/>
    <s v="Percent change"/>
    <s v="Units"/>
    <x v="0"/>
    <n v="2.0089999999999999"/>
  </r>
  <r>
    <n v="400"/>
    <x v="11"/>
    <x v="193"/>
    <x v="4"/>
    <s v="Percent change"/>
    <s v="Units"/>
    <x v="1"/>
    <n v="-11.199"/>
  </r>
  <r>
    <n v="400"/>
    <x v="11"/>
    <x v="193"/>
    <x v="4"/>
    <s v="Percent change"/>
    <s v="Units"/>
    <x v="2"/>
    <n v="17.317"/>
  </r>
  <r>
    <n v="400"/>
    <x v="11"/>
    <x v="193"/>
    <x v="4"/>
    <s v="Percent change"/>
    <s v="Units"/>
    <x v="3"/>
    <n v="5.9409999999999998"/>
  </r>
  <r>
    <n v="400"/>
    <x v="11"/>
    <x v="193"/>
    <x v="4"/>
    <s v="Percent change"/>
    <s v="Units"/>
    <x v="4"/>
    <n v="-7.673"/>
  </r>
  <r>
    <n v="200"/>
    <x v="3"/>
    <x v="190"/>
    <x v="4"/>
    <s v="Percent change"/>
    <s v="Units"/>
    <x v="0"/>
    <n v="29.800999999999998"/>
  </r>
  <r>
    <n v="603"/>
    <x v="12"/>
    <x v="190"/>
    <x v="7"/>
    <s v="Percent of GDP"/>
    <s v="Units"/>
    <x v="0"/>
    <n v="5.0060000000000002"/>
  </r>
  <r>
    <n v="200"/>
    <x v="3"/>
    <x v="107"/>
    <x v="6"/>
    <s v="Percent change"/>
    <s v="Units"/>
    <x v="0"/>
    <n v="2.2509999999999999"/>
  </r>
  <r>
    <n v="200"/>
    <x v="3"/>
    <x v="107"/>
    <x v="6"/>
    <s v="Percent change"/>
    <s v="Units"/>
    <x v="1"/>
    <n v="-3.2170000000000001"/>
  </r>
  <r>
    <n v="200"/>
    <x v="3"/>
    <x v="192"/>
    <x v="4"/>
    <s v="Percent change"/>
    <s v="Units"/>
    <x v="0"/>
    <n v="-3.302"/>
  </r>
  <r>
    <n v="200"/>
    <x v="3"/>
    <x v="192"/>
    <x v="4"/>
    <s v="Percent change"/>
    <s v="Units"/>
    <x v="1"/>
    <n v="0.53400000000000003"/>
  </r>
  <r>
    <n v="200"/>
    <x v="3"/>
    <x v="193"/>
    <x v="6"/>
    <s v="Percent change"/>
    <s v="Units"/>
    <x v="0"/>
    <n v="1.4450000000000001"/>
  </r>
  <r>
    <n v="200"/>
    <x v="3"/>
    <x v="193"/>
    <x v="6"/>
    <s v="Percent change"/>
    <s v="Units"/>
    <x v="1"/>
    <n v="-14.170999999999999"/>
  </r>
  <r>
    <n v="200"/>
    <x v="3"/>
    <x v="193"/>
    <x v="6"/>
    <s v="Percent change"/>
    <s v="Units"/>
    <x v="2"/>
    <n v="14.846"/>
  </r>
  <r>
    <n v="200"/>
    <x v="3"/>
    <x v="193"/>
    <x v="6"/>
    <s v="Percent change"/>
    <s v="Units"/>
    <x v="3"/>
    <n v="19.733000000000001"/>
  </r>
  <r>
    <n v="200"/>
    <x v="3"/>
    <x v="193"/>
    <x v="6"/>
    <s v="Percent change"/>
    <s v="Units"/>
    <x v="4"/>
    <n v="4.8419999999999996"/>
  </r>
  <r>
    <n v="200"/>
    <x v="3"/>
    <x v="189"/>
    <x v="4"/>
    <s v="Percent change"/>
    <s v="Units"/>
    <x v="0"/>
    <n v="-3.1629999999999998"/>
  </r>
  <r>
    <n v="200"/>
    <x v="3"/>
    <x v="189"/>
    <x v="4"/>
    <s v="Percent change"/>
    <s v="Units"/>
    <x v="1"/>
    <n v="-50.091999999999999"/>
  </r>
  <r>
    <n v="200"/>
    <x v="3"/>
    <x v="189"/>
    <x v="4"/>
    <s v="Percent change"/>
    <s v="Units"/>
    <x v="2"/>
    <n v="0.78400000000000003"/>
  </r>
  <r>
    <n v="200"/>
    <x v="3"/>
    <x v="189"/>
    <x v="4"/>
    <s v="Percent change"/>
    <s v="Units"/>
    <x v="3"/>
    <n v="13.641"/>
  </r>
  <r>
    <n v="603"/>
    <x v="12"/>
    <x v="190"/>
    <x v="5"/>
    <s v="Percent of GDP"/>
    <s v="Units"/>
    <x v="0"/>
    <n v="17.992999999999999"/>
  </r>
  <r>
    <n v="400"/>
    <x v="11"/>
    <x v="192"/>
    <x v="2"/>
    <s v="Percent of GDP"/>
    <s v="Units"/>
    <x v="0"/>
    <n v="26.940999999999999"/>
  </r>
  <r>
    <n v="400"/>
    <x v="11"/>
    <x v="192"/>
    <x v="2"/>
    <s v="Percent of GDP"/>
    <s v="Units"/>
    <x v="1"/>
    <n v="25.693999999999999"/>
  </r>
  <r>
    <n v="400"/>
    <x v="11"/>
    <x v="192"/>
    <x v="2"/>
    <s v="Percent of GDP"/>
    <s v="Units"/>
    <x v="2"/>
    <n v="17.449000000000002"/>
  </r>
  <r>
    <n v="400"/>
    <x v="11"/>
    <x v="192"/>
    <x v="2"/>
    <s v="Percent of GDP"/>
    <s v="Units"/>
    <x v="3"/>
    <n v="15.118"/>
  </r>
  <r>
    <n v="603"/>
    <x v="12"/>
    <x v="190"/>
    <x v="10"/>
    <s v="Percent"/>
    <s v="Units"/>
    <x v="0"/>
    <n v="5.0000000000000001E-3"/>
  </r>
  <r>
    <n v="200"/>
    <x v="3"/>
    <x v="191"/>
    <x v="6"/>
    <s v="Percent change"/>
    <s v="Units"/>
    <x v="0"/>
    <n v="-7.7569999999999997"/>
  </r>
  <r>
    <n v="200"/>
    <x v="3"/>
    <x v="191"/>
    <x v="6"/>
    <s v="Percent change"/>
    <s v="Units"/>
    <x v="1"/>
    <n v="-20.422999999999998"/>
  </r>
  <r>
    <n v="200"/>
    <x v="3"/>
    <x v="191"/>
    <x v="6"/>
    <s v="Percent change"/>
    <s v="Units"/>
    <x v="2"/>
    <n v="-5.1180000000000003"/>
  </r>
  <r>
    <n v="200"/>
    <x v="3"/>
    <x v="191"/>
    <x v="6"/>
    <s v="Percent change"/>
    <s v="Units"/>
    <x v="3"/>
    <n v="-22.385000000000002"/>
  </r>
  <r>
    <n v="200"/>
    <x v="3"/>
    <x v="193"/>
    <x v="4"/>
    <s v="Percent change"/>
    <s v="Units"/>
    <x v="0"/>
    <n v="2.0089999999999999"/>
  </r>
  <r>
    <n v="200"/>
    <x v="3"/>
    <x v="193"/>
    <x v="4"/>
    <s v="Percent change"/>
    <s v="Units"/>
    <x v="1"/>
    <n v="-11.199"/>
  </r>
  <r>
    <n v="200"/>
    <x v="3"/>
    <x v="193"/>
    <x v="4"/>
    <s v="Percent change"/>
    <s v="Units"/>
    <x v="2"/>
    <n v="17.317"/>
  </r>
  <r>
    <n v="200"/>
    <x v="3"/>
    <x v="193"/>
    <x v="4"/>
    <s v="Percent change"/>
    <s v="Units"/>
    <x v="3"/>
    <n v="5.9409999999999998"/>
  </r>
  <r>
    <n v="200"/>
    <x v="3"/>
    <x v="193"/>
    <x v="4"/>
    <s v="Percent change"/>
    <s v="Units"/>
    <x v="4"/>
    <n v="-7.673"/>
  </r>
  <r>
    <n v="603"/>
    <x v="12"/>
    <x v="190"/>
    <x v="1"/>
    <s v="Percent change"/>
    <s v="Units"/>
    <x v="0"/>
    <n v="1.3"/>
  </r>
  <r>
    <n v="400"/>
    <x v="11"/>
    <x v="189"/>
    <x v="2"/>
    <s v="Percent of GDP"/>
    <s v="Units"/>
    <x v="0"/>
    <n v="20.792000000000002"/>
  </r>
  <r>
    <n v="400"/>
    <x v="11"/>
    <x v="189"/>
    <x v="2"/>
    <s v="Percent of GDP"/>
    <s v="Units"/>
    <x v="1"/>
    <n v="16.027999999999999"/>
  </r>
  <r>
    <n v="400"/>
    <x v="11"/>
    <x v="189"/>
    <x v="2"/>
    <s v="Percent of GDP"/>
    <s v="Units"/>
    <x v="2"/>
    <n v="9.7729999999999997"/>
  </r>
  <r>
    <n v="400"/>
    <x v="11"/>
    <x v="189"/>
    <x v="2"/>
    <s v="Percent of GDP"/>
    <s v="Units"/>
    <x v="3"/>
    <n v="6.54"/>
  </r>
  <r>
    <n v="400"/>
    <x v="11"/>
    <x v="193"/>
    <x v="6"/>
    <s v="Percent change"/>
    <s v="Units"/>
    <x v="0"/>
    <n v="1.4450000000000001"/>
  </r>
  <r>
    <n v="400"/>
    <x v="11"/>
    <x v="193"/>
    <x v="6"/>
    <s v="Percent change"/>
    <s v="Units"/>
    <x v="1"/>
    <n v="-14.170999999999999"/>
  </r>
  <r>
    <n v="400"/>
    <x v="11"/>
    <x v="193"/>
    <x v="6"/>
    <s v="Percent change"/>
    <s v="Units"/>
    <x v="2"/>
    <n v="14.846"/>
  </r>
  <r>
    <n v="400"/>
    <x v="11"/>
    <x v="193"/>
    <x v="6"/>
    <s v="Percent change"/>
    <s v="Units"/>
    <x v="3"/>
    <n v="19.733000000000001"/>
  </r>
  <r>
    <n v="400"/>
    <x v="11"/>
    <x v="193"/>
    <x v="6"/>
    <s v="Percent change"/>
    <s v="Units"/>
    <x v="4"/>
    <n v="4.8419999999999996"/>
  </r>
  <r>
    <n v="200"/>
    <x v="3"/>
    <x v="107"/>
    <x v="4"/>
    <s v="Percent change"/>
    <s v="Units"/>
    <x v="0"/>
    <n v="-5.6719999999999997"/>
  </r>
  <r>
    <n v="200"/>
    <x v="3"/>
    <x v="107"/>
    <x v="4"/>
    <s v="Percent change"/>
    <s v="Units"/>
    <x v="1"/>
    <n v="-4.2859999999999996"/>
  </r>
  <r>
    <n v="200"/>
    <x v="3"/>
    <x v="191"/>
    <x v="4"/>
    <s v="Percent change"/>
    <s v="Units"/>
    <x v="0"/>
    <n v="-2.2450000000000001"/>
  </r>
  <r>
    <n v="200"/>
    <x v="3"/>
    <x v="191"/>
    <x v="4"/>
    <s v="Percent change"/>
    <s v="Units"/>
    <x v="1"/>
    <n v="-29.777000000000001"/>
  </r>
  <r>
    <n v="200"/>
    <x v="3"/>
    <x v="191"/>
    <x v="4"/>
    <s v="Percent change"/>
    <s v="Units"/>
    <x v="2"/>
    <n v="2.2869999999999999"/>
  </r>
  <r>
    <n v="200"/>
    <x v="3"/>
    <x v="191"/>
    <x v="4"/>
    <s v="Percent change"/>
    <s v="Units"/>
    <x v="3"/>
    <n v="-3.0329999999999999"/>
  </r>
  <r>
    <n v="400"/>
    <x v="11"/>
    <x v="192"/>
    <x v="4"/>
    <s v="Percent change"/>
    <s v="Units"/>
    <x v="0"/>
    <n v="-3.302"/>
  </r>
  <r>
    <n v="400"/>
    <x v="11"/>
    <x v="192"/>
    <x v="4"/>
    <s v="Percent change"/>
    <s v="Units"/>
    <x v="1"/>
    <n v="0.53400000000000003"/>
  </r>
  <r>
    <n v="505"/>
    <x v="4"/>
    <x v="107"/>
    <x v="6"/>
    <s v="Percent change"/>
    <s v="Units"/>
    <x v="0"/>
    <n v="2.2509999999999999"/>
  </r>
  <r>
    <n v="505"/>
    <x v="4"/>
    <x v="107"/>
    <x v="6"/>
    <s v="Percent change"/>
    <s v="Units"/>
    <x v="1"/>
    <n v="-3.2170000000000001"/>
  </r>
  <r>
    <n v="505"/>
    <x v="4"/>
    <x v="191"/>
    <x v="6"/>
    <s v="Percent change"/>
    <s v="Units"/>
    <x v="0"/>
    <n v="-7.7569999999999997"/>
  </r>
  <r>
    <n v="505"/>
    <x v="4"/>
    <x v="191"/>
    <x v="6"/>
    <s v="Percent change"/>
    <s v="Units"/>
    <x v="1"/>
    <n v="-20.422999999999998"/>
  </r>
  <r>
    <n v="505"/>
    <x v="4"/>
    <x v="191"/>
    <x v="6"/>
    <s v="Percent change"/>
    <s v="Units"/>
    <x v="2"/>
    <n v="-5.1180000000000003"/>
  </r>
  <r>
    <n v="505"/>
    <x v="4"/>
    <x v="191"/>
    <x v="6"/>
    <s v="Percent change"/>
    <s v="Units"/>
    <x v="3"/>
    <n v="-22.385000000000002"/>
  </r>
  <r>
    <n v="505"/>
    <x v="4"/>
    <x v="191"/>
    <x v="1"/>
    <s v="Percent change"/>
    <s v="Units"/>
    <x v="0"/>
    <n v="4.3040000000000003"/>
  </r>
  <r>
    <n v="505"/>
    <x v="4"/>
    <x v="191"/>
    <x v="1"/>
    <s v="Percent change"/>
    <s v="Units"/>
    <x v="1"/>
    <n v="4.569"/>
  </r>
  <r>
    <n v="505"/>
    <x v="4"/>
    <x v="191"/>
    <x v="1"/>
    <s v="Percent change"/>
    <s v="Units"/>
    <x v="2"/>
    <n v="5.9539999999999997"/>
  </r>
  <r>
    <n v="505"/>
    <x v="4"/>
    <x v="191"/>
    <x v="1"/>
    <s v="Percent change"/>
    <s v="Units"/>
    <x v="3"/>
    <n v="45.213999999999999"/>
  </r>
  <r>
    <n v="505"/>
    <x v="4"/>
    <x v="191"/>
    <x v="5"/>
    <s v="Percent of GDP"/>
    <s v="Units"/>
    <x v="0"/>
    <n v="32.036999999999999"/>
  </r>
  <r>
    <n v="505"/>
    <x v="4"/>
    <x v="191"/>
    <x v="5"/>
    <s v="Percent of GDP"/>
    <s v="Units"/>
    <x v="1"/>
    <n v="31.577000000000002"/>
  </r>
  <r>
    <n v="505"/>
    <x v="4"/>
    <x v="191"/>
    <x v="5"/>
    <s v="Percent of GDP"/>
    <s v="Units"/>
    <x v="2"/>
    <n v="33.034999999999997"/>
  </r>
  <r>
    <n v="505"/>
    <x v="4"/>
    <x v="191"/>
    <x v="5"/>
    <s v="Percent of GDP"/>
    <s v="Units"/>
    <x v="3"/>
    <n v="33.427999999999997"/>
  </r>
  <r>
    <n v="505"/>
    <x v="4"/>
    <x v="191"/>
    <x v="9"/>
    <s v="Percent of GDP"/>
    <s v="Units"/>
    <x v="0"/>
    <n v="-7.5190000000000001"/>
  </r>
  <r>
    <n v="505"/>
    <x v="4"/>
    <x v="191"/>
    <x v="9"/>
    <s v="Percent of GDP"/>
    <s v="Units"/>
    <x v="1"/>
    <n v="-12.19"/>
  </r>
  <r>
    <n v="505"/>
    <x v="4"/>
    <x v="191"/>
    <x v="9"/>
    <s v="Percent of GDP"/>
    <s v="Units"/>
    <x v="2"/>
    <n v="-11.693"/>
  </r>
  <r>
    <n v="505"/>
    <x v="4"/>
    <x v="191"/>
    <x v="9"/>
    <s v="Percent of GDP"/>
    <s v="Units"/>
    <x v="3"/>
    <n v="-10.186999999999999"/>
  </r>
  <r>
    <n v="505"/>
    <x v="4"/>
    <x v="191"/>
    <x v="3"/>
    <s v="Percent of GDP"/>
    <s v="Units"/>
    <x v="0"/>
    <n v="19.452999999999999"/>
  </r>
  <r>
    <n v="505"/>
    <x v="4"/>
    <x v="191"/>
    <x v="3"/>
    <s v="Percent of GDP"/>
    <s v="Units"/>
    <x v="1"/>
    <n v="20.952999999999999"/>
  </r>
  <r>
    <n v="505"/>
    <x v="4"/>
    <x v="191"/>
    <x v="3"/>
    <s v="Percent of GDP"/>
    <s v="Units"/>
    <x v="2"/>
    <n v="20.010000000000002"/>
  </r>
  <r>
    <n v="505"/>
    <x v="4"/>
    <x v="191"/>
    <x v="3"/>
    <s v="Percent of GDP"/>
    <s v="Units"/>
    <x v="3"/>
    <n v="18.521999999999998"/>
  </r>
  <r>
    <n v="505"/>
    <x v="4"/>
    <x v="191"/>
    <x v="2"/>
    <s v="Percent of GDP"/>
    <s v="Units"/>
    <x v="0"/>
    <n v="11.933999999999999"/>
  </r>
  <r>
    <n v="505"/>
    <x v="4"/>
    <x v="191"/>
    <x v="2"/>
    <s v="Percent of GDP"/>
    <s v="Units"/>
    <x v="1"/>
    <n v="8.7629999999999999"/>
  </r>
  <r>
    <n v="505"/>
    <x v="4"/>
    <x v="191"/>
    <x v="2"/>
    <s v="Percent of GDP"/>
    <s v="Units"/>
    <x v="2"/>
    <n v="8.3170000000000002"/>
  </r>
  <r>
    <n v="505"/>
    <x v="4"/>
    <x v="191"/>
    <x v="2"/>
    <s v="Percent of GDP"/>
    <s v="Units"/>
    <x v="3"/>
    <n v="8.3339999999999996"/>
  </r>
  <r>
    <n v="505"/>
    <x v="4"/>
    <x v="107"/>
    <x v="4"/>
    <s v="Percent change"/>
    <s v="Units"/>
    <x v="0"/>
    <n v="-5.6719999999999997"/>
  </r>
  <r>
    <n v="505"/>
    <x v="4"/>
    <x v="107"/>
    <x v="4"/>
    <s v="Percent change"/>
    <s v="Units"/>
    <x v="1"/>
    <n v="-4.2859999999999996"/>
  </r>
  <r>
    <n v="505"/>
    <x v="4"/>
    <x v="191"/>
    <x v="4"/>
    <s v="Percent change"/>
    <s v="Units"/>
    <x v="0"/>
    <n v="-2.2450000000000001"/>
  </r>
  <r>
    <n v="505"/>
    <x v="4"/>
    <x v="191"/>
    <x v="4"/>
    <s v="Percent change"/>
    <s v="Units"/>
    <x v="1"/>
    <n v="-29.777000000000001"/>
  </r>
  <r>
    <n v="505"/>
    <x v="4"/>
    <x v="191"/>
    <x v="4"/>
    <s v="Percent change"/>
    <s v="Units"/>
    <x v="2"/>
    <n v="2.2869999999999999"/>
  </r>
  <r>
    <n v="505"/>
    <x v="4"/>
    <x v="191"/>
    <x v="4"/>
    <s v="Percent change"/>
    <s v="Units"/>
    <x v="3"/>
    <n v="-3.0329999999999999"/>
  </r>
  <r>
    <n v="200"/>
    <x v="3"/>
    <x v="191"/>
    <x v="9"/>
    <s v="Percent of GDP"/>
    <s v="Units"/>
    <x v="0"/>
    <n v="-7.5190000000000001"/>
  </r>
  <r>
    <n v="200"/>
    <x v="3"/>
    <x v="191"/>
    <x v="9"/>
    <s v="Percent of GDP"/>
    <s v="Units"/>
    <x v="1"/>
    <n v="-12.19"/>
  </r>
  <r>
    <n v="200"/>
    <x v="3"/>
    <x v="191"/>
    <x v="9"/>
    <s v="Percent of GDP"/>
    <s v="Units"/>
    <x v="2"/>
    <n v="-11.693"/>
  </r>
  <r>
    <n v="200"/>
    <x v="3"/>
    <x v="191"/>
    <x v="9"/>
    <s v="Percent of GDP"/>
    <s v="Units"/>
    <x v="3"/>
    <n v="-10.186999999999999"/>
  </r>
  <r>
    <n v="400"/>
    <x v="11"/>
    <x v="189"/>
    <x v="9"/>
    <s v="Percent of GDP"/>
    <s v="Units"/>
    <x v="0"/>
    <n v="-10.382"/>
  </r>
  <r>
    <n v="400"/>
    <x v="11"/>
    <x v="189"/>
    <x v="9"/>
    <s v="Percent of GDP"/>
    <s v="Units"/>
    <x v="1"/>
    <n v="-3.5249999999999999"/>
  </r>
  <r>
    <n v="400"/>
    <x v="11"/>
    <x v="189"/>
    <x v="9"/>
    <s v="Percent of GDP"/>
    <s v="Units"/>
    <x v="2"/>
    <n v="0.64100000000000001"/>
  </r>
  <r>
    <n v="400"/>
    <x v="11"/>
    <x v="189"/>
    <x v="9"/>
    <s v="Percent of GDP"/>
    <s v="Units"/>
    <x v="3"/>
    <n v="-6.133"/>
  </r>
  <r>
    <n v="200"/>
    <x v="3"/>
    <x v="189"/>
    <x v="9"/>
    <s v="Percent of GDP"/>
    <s v="Units"/>
    <x v="0"/>
    <n v="-10.382"/>
  </r>
  <r>
    <n v="200"/>
    <x v="3"/>
    <x v="189"/>
    <x v="9"/>
    <s v="Percent of GDP"/>
    <s v="Units"/>
    <x v="1"/>
    <n v="-3.5249999999999999"/>
  </r>
  <r>
    <n v="200"/>
    <x v="3"/>
    <x v="189"/>
    <x v="9"/>
    <s v="Percent of GDP"/>
    <s v="Units"/>
    <x v="2"/>
    <n v="0.64100000000000001"/>
  </r>
  <r>
    <n v="200"/>
    <x v="3"/>
    <x v="189"/>
    <x v="9"/>
    <s v="Percent of GDP"/>
    <s v="Units"/>
    <x v="3"/>
    <n v="-6.133"/>
  </r>
  <r>
    <n v="400"/>
    <x v="11"/>
    <x v="192"/>
    <x v="9"/>
    <s v="Percent of GDP"/>
    <s v="Units"/>
    <x v="0"/>
    <n v="-1.0580000000000001"/>
  </r>
  <r>
    <n v="400"/>
    <x v="11"/>
    <x v="192"/>
    <x v="9"/>
    <s v="Percent of GDP"/>
    <s v="Units"/>
    <x v="1"/>
    <n v="-2.2429999999999999"/>
  </r>
  <r>
    <n v="400"/>
    <x v="11"/>
    <x v="192"/>
    <x v="9"/>
    <s v="Percent of GDP"/>
    <s v="Units"/>
    <x v="2"/>
    <n v="-0.48499999999999999"/>
  </r>
  <r>
    <n v="400"/>
    <x v="11"/>
    <x v="192"/>
    <x v="9"/>
    <s v="Percent of GDP"/>
    <s v="Units"/>
    <x v="3"/>
    <n v="-0.997"/>
  </r>
  <r>
    <n v="400"/>
    <x v="11"/>
    <x v="193"/>
    <x v="3"/>
    <s v="Percent of GDP"/>
    <s v="Units"/>
    <x v="0"/>
    <n v="28.334"/>
  </r>
  <r>
    <n v="400"/>
    <x v="11"/>
    <x v="193"/>
    <x v="3"/>
    <s v="Percent of GDP"/>
    <s v="Units"/>
    <x v="1"/>
    <n v="33.033999999999999"/>
  </r>
  <r>
    <n v="400"/>
    <x v="11"/>
    <x v="193"/>
    <x v="3"/>
    <s v="Percent of GDP"/>
    <s v="Units"/>
    <x v="2"/>
    <n v="30.83"/>
  </r>
  <r>
    <n v="400"/>
    <x v="11"/>
    <x v="193"/>
    <x v="3"/>
    <s v="Percent of GDP"/>
    <s v="Units"/>
    <x v="3"/>
    <n v="29.055"/>
  </r>
  <r>
    <n v="400"/>
    <x v="11"/>
    <x v="193"/>
    <x v="3"/>
    <s v="Percent of GDP"/>
    <s v="Units"/>
    <x v="4"/>
    <n v="28.187000000000001"/>
  </r>
  <r>
    <n v="200"/>
    <x v="3"/>
    <x v="190"/>
    <x v="9"/>
    <s v="Percent of GDP"/>
    <s v="Units"/>
    <x v="0"/>
    <n v="2.7170000000000001"/>
  </r>
  <r>
    <n v="200"/>
    <x v="3"/>
    <x v="66"/>
    <x v="9"/>
    <s v="Percent of GDP"/>
    <s v="Units"/>
    <x v="0"/>
    <n v="-3.4710000000000001"/>
  </r>
  <r>
    <n v="200"/>
    <x v="3"/>
    <x v="66"/>
    <x v="9"/>
    <s v="Percent of GDP"/>
    <s v="Units"/>
    <x v="1"/>
    <n v="-7.3789999999999996"/>
  </r>
  <r>
    <n v="200"/>
    <x v="3"/>
    <x v="66"/>
    <x v="9"/>
    <s v="Percent of GDP"/>
    <s v="Units"/>
    <x v="2"/>
    <n v="-1.5840000000000001"/>
  </r>
  <r>
    <n v="200"/>
    <x v="3"/>
    <x v="66"/>
    <x v="9"/>
    <s v="Percent of GDP"/>
    <s v="Units"/>
    <x v="3"/>
    <n v="4.4999999999999998E-2"/>
  </r>
  <r>
    <n v="200"/>
    <x v="3"/>
    <x v="66"/>
    <x v="9"/>
    <s v="Percent of GDP"/>
    <s v="Units"/>
    <x v="4"/>
    <n v="-3.47"/>
  </r>
  <r>
    <n v="400"/>
    <x v="11"/>
    <x v="189"/>
    <x v="3"/>
    <s v="Percent of GDP"/>
    <s v="Units"/>
    <x v="0"/>
    <n v="31.173999999999999"/>
  </r>
  <r>
    <n v="400"/>
    <x v="11"/>
    <x v="189"/>
    <x v="3"/>
    <s v="Percent of GDP"/>
    <s v="Units"/>
    <x v="1"/>
    <n v="19.552"/>
  </r>
  <r>
    <n v="400"/>
    <x v="11"/>
    <x v="189"/>
    <x v="3"/>
    <s v="Percent of GDP"/>
    <s v="Units"/>
    <x v="2"/>
    <n v="9.1329999999999991"/>
  </r>
  <r>
    <n v="400"/>
    <x v="11"/>
    <x v="189"/>
    <x v="3"/>
    <s v="Percent of GDP"/>
    <s v="Units"/>
    <x v="3"/>
    <n v="12.673"/>
  </r>
  <r>
    <n v="200"/>
    <x v="3"/>
    <x v="192"/>
    <x v="9"/>
    <s v="Percent of GDP"/>
    <s v="Units"/>
    <x v="0"/>
    <n v="-1.0580000000000001"/>
  </r>
  <r>
    <n v="200"/>
    <x v="3"/>
    <x v="192"/>
    <x v="9"/>
    <s v="Percent of GDP"/>
    <s v="Units"/>
    <x v="1"/>
    <n v="-2.2429999999999999"/>
  </r>
  <r>
    <n v="200"/>
    <x v="3"/>
    <x v="192"/>
    <x v="9"/>
    <s v="Percent of GDP"/>
    <s v="Units"/>
    <x v="2"/>
    <n v="-0.48499999999999999"/>
  </r>
  <r>
    <n v="200"/>
    <x v="3"/>
    <x v="192"/>
    <x v="9"/>
    <s v="Percent of GDP"/>
    <s v="Units"/>
    <x v="3"/>
    <n v="-0.997"/>
  </r>
  <r>
    <n v="400"/>
    <x v="11"/>
    <x v="193"/>
    <x v="9"/>
    <s v="Percent of GDP"/>
    <s v="Units"/>
    <x v="0"/>
    <n v="-4.4790000000000001"/>
  </r>
  <r>
    <n v="400"/>
    <x v="11"/>
    <x v="193"/>
    <x v="9"/>
    <s v="Percent of GDP"/>
    <s v="Units"/>
    <x v="1"/>
    <n v="-7.3730000000000002"/>
  </r>
  <r>
    <n v="400"/>
    <x v="11"/>
    <x v="193"/>
    <x v="9"/>
    <s v="Percent of GDP"/>
    <s v="Units"/>
    <x v="2"/>
    <n v="-5.2069999999999999"/>
  </r>
  <r>
    <n v="400"/>
    <x v="11"/>
    <x v="193"/>
    <x v="9"/>
    <s v="Percent of GDP"/>
    <s v="Units"/>
    <x v="3"/>
    <n v="-0.92200000000000004"/>
  </r>
  <r>
    <n v="400"/>
    <x v="11"/>
    <x v="193"/>
    <x v="9"/>
    <s v="Percent of GDP"/>
    <s v="Units"/>
    <x v="4"/>
    <n v="-1.0569999999999999"/>
  </r>
  <r>
    <n v="505"/>
    <x v="4"/>
    <x v="191"/>
    <x v="7"/>
    <s v="Percent of GDP"/>
    <s v="Units"/>
    <x v="0"/>
    <n v="34.109000000000002"/>
  </r>
  <r>
    <n v="505"/>
    <x v="4"/>
    <x v="191"/>
    <x v="7"/>
    <s v="Percent of GDP"/>
    <s v="Units"/>
    <x v="1"/>
    <n v="32.978999999999999"/>
  </r>
  <r>
    <n v="505"/>
    <x v="4"/>
    <x v="191"/>
    <x v="7"/>
    <s v="Percent of GDP"/>
    <s v="Units"/>
    <x v="2"/>
    <n v="36.744"/>
  </r>
  <r>
    <n v="505"/>
    <x v="4"/>
    <x v="191"/>
    <x v="7"/>
    <s v="Percent of GDP"/>
    <s v="Units"/>
    <x v="3"/>
    <n v="34.390999999999998"/>
  </r>
  <r>
    <n v="505"/>
    <x v="4"/>
    <x v="191"/>
    <x v="10"/>
    <s v="Percent"/>
    <s v="Units"/>
    <x v="0"/>
    <n v="0.22800000000000001"/>
  </r>
  <r>
    <n v="505"/>
    <x v="4"/>
    <x v="191"/>
    <x v="10"/>
    <s v="Percent"/>
    <s v="Units"/>
    <x v="1"/>
    <n v="0.224"/>
  </r>
  <r>
    <n v="505"/>
    <x v="4"/>
    <x v="191"/>
    <x v="10"/>
    <s v="Percent"/>
    <s v="Units"/>
    <x v="2"/>
    <n v="0.218"/>
  </r>
  <r>
    <n v="505"/>
    <x v="4"/>
    <x v="191"/>
    <x v="10"/>
    <s v="Percent"/>
    <s v="Units"/>
    <x v="3"/>
    <n v="0.19400000000000001"/>
  </r>
  <r>
    <n v="200"/>
    <x v="3"/>
    <x v="193"/>
    <x v="3"/>
    <s v="Percent of GDP"/>
    <s v="Units"/>
    <x v="0"/>
    <n v="28.334"/>
  </r>
  <r>
    <n v="200"/>
    <x v="3"/>
    <x v="193"/>
    <x v="3"/>
    <s v="Percent of GDP"/>
    <s v="Units"/>
    <x v="1"/>
    <n v="33.033999999999999"/>
  </r>
  <r>
    <n v="200"/>
    <x v="3"/>
    <x v="193"/>
    <x v="3"/>
    <s v="Percent of GDP"/>
    <s v="Units"/>
    <x v="2"/>
    <n v="30.83"/>
  </r>
  <r>
    <n v="200"/>
    <x v="3"/>
    <x v="193"/>
    <x v="3"/>
    <s v="Percent of GDP"/>
    <s v="Units"/>
    <x v="3"/>
    <n v="29.055"/>
  </r>
  <r>
    <n v="200"/>
    <x v="3"/>
    <x v="193"/>
    <x v="3"/>
    <s v="Percent of GDP"/>
    <s v="Units"/>
    <x v="4"/>
    <n v="28.187000000000001"/>
  </r>
  <r>
    <n v="505"/>
    <x v="4"/>
    <x v="191"/>
    <x v="0"/>
    <s v="U.S. dollars"/>
    <s v="Billions"/>
    <x v="0"/>
    <n v="89.015000000000001"/>
  </r>
  <r>
    <n v="505"/>
    <x v="4"/>
    <x v="191"/>
    <x v="0"/>
    <s v="U.S. dollars"/>
    <s v="Billions"/>
    <x v="1"/>
    <n v="84.441000000000003"/>
  </r>
  <r>
    <n v="505"/>
    <x v="4"/>
    <x v="191"/>
    <x v="0"/>
    <s v="U.S. dollars"/>
    <s v="Billions"/>
    <x v="2"/>
    <n v="88.548000000000002"/>
  </r>
  <r>
    <n v="505"/>
    <x v="4"/>
    <x v="191"/>
    <x v="0"/>
    <s v="U.S. dollars"/>
    <s v="Billions"/>
    <x v="3"/>
    <n v="74.846000000000004"/>
  </r>
  <r>
    <n v="200"/>
    <x v="3"/>
    <x v="193"/>
    <x v="9"/>
    <s v="Percent of GDP"/>
    <s v="Units"/>
    <x v="0"/>
    <n v="-4.4790000000000001"/>
  </r>
  <r>
    <n v="200"/>
    <x v="3"/>
    <x v="193"/>
    <x v="9"/>
    <s v="Percent of GDP"/>
    <s v="Units"/>
    <x v="1"/>
    <n v="-7.3730000000000002"/>
  </r>
  <r>
    <n v="200"/>
    <x v="3"/>
    <x v="193"/>
    <x v="9"/>
    <s v="Percent of GDP"/>
    <s v="Units"/>
    <x v="2"/>
    <n v="-5.2069999999999999"/>
  </r>
  <r>
    <n v="200"/>
    <x v="3"/>
    <x v="193"/>
    <x v="9"/>
    <s v="Percent of GDP"/>
    <s v="Units"/>
    <x v="3"/>
    <n v="-0.92200000000000004"/>
  </r>
  <r>
    <n v="200"/>
    <x v="3"/>
    <x v="193"/>
    <x v="9"/>
    <s v="Percent of GDP"/>
    <s v="Units"/>
    <x v="4"/>
    <n v="-1.0569999999999999"/>
  </r>
  <r>
    <n v="200"/>
    <x v="3"/>
    <x v="72"/>
    <x v="9"/>
    <s v="Percent of GDP"/>
    <s v="Units"/>
    <x v="0"/>
    <n v="-9.9749999999999996"/>
  </r>
  <r>
    <n v="200"/>
    <x v="3"/>
    <x v="72"/>
    <x v="9"/>
    <s v="Percent of GDP"/>
    <s v="Units"/>
    <x v="1"/>
    <n v="-4.9909999999999997"/>
  </r>
  <r>
    <n v="200"/>
    <x v="3"/>
    <x v="72"/>
    <x v="9"/>
    <s v="Percent of GDP"/>
    <s v="Units"/>
    <x v="2"/>
    <n v="-4.63"/>
  </r>
  <r>
    <n v="200"/>
    <x v="3"/>
    <x v="72"/>
    <x v="9"/>
    <s v="Percent of GDP"/>
    <s v="Units"/>
    <x v="3"/>
    <n v="-6.0309999999999997"/>
  </r>
  <r>
    <n v="200"/>
    <x v="3"/>
    <x v="72"/>
    <x v="9"/>
    <s v="Percent of GDP"/>
    <s v="Units"/>
    <x v="4"/>
    <n v="-3.39"/>
  </r>
  <r>
    <n v="505"/>
    <x v="4"/>
    <x v="191"/>
    <x v="8"/>
    <s v="Percent change"/>
    <s v="Units"/>
    <x v="0"/>
    <n v="-0.22"/>
  </r>
  <r>
    <n v="505"/>
    <x v="4"/>
    <x v="191"/>
    <x v="8"/>
    <s v="Percent change"/>
    <s v="Units"/>
    <x v="1"/>
    <n v="-4.625"/>
  </r>
  <r>
    <n v="505"/>
    <x v="4"/>
    <x v="191"/>
    <x v="8"/>
    <s v="Percent change"/>
    <s v="Units"/>
    <x v="2"/>
    <n v="3.512"/>
  </r>
  <r>
    <n v="505"/>
    <x v="4"/>
    <x v="191"/>
    <x v="8"/>
    <s v="Percent change"/>
    <s v="Units"/>
    <x v="3"/>
    <n v="-7.8239999999999998"/>
  </r>
  <r>
    <n v="400"/>
    <x v="11"/>
    <x v="192"/>
    <x v="6"/>
    <s v="Percent change"/>
    <s v="Units"/>
    <x v="0"/>
    <n v="-7.077"/>
  </r>
  <r>
    <n v="400"/>
    <x v="11"/>
    <x v="192"/>
    <x v="6"/>
    <s v="Percent change"/>
    <s v="Units"/>
    <x v="1"/>
    <n v="-3.5640000000000001"/>
  </r>
  <r>
    <n v="400"/>
    <x v="11"/>
    <x v="193"/>
    <x v="1"/>
    <s v="Percent change"/>
    <s v="Units"/>
    <x v="0"/>
    <n v="1.5569999999999999"/>
  </r>
  <r>
    <n v="400"/>
    <x v="11"/>
    <x v="193"/>
    <x v="1"/>
    <s v="Percent change"/>
    <s v="Units"/>
    <x v="1"/>
    <n v="-0.71099999999999997"/>
  </r>
  <r>
    <n v="400"/>
    <x v="11"/>
    <x v="193"/>
    <x v="1"/>
    <s v="Percent change"/>
    <s v="Units"/>
    <x v="2"/>
    <n v="1.238"/>
  </r>
  <r>
    <n v="400"/>
    <x v="11"/>
    <x v="193"/>
    <x v="1"/>
    <s v="Percent change"/>
    <s v="Units"/>
    <x v="3"/>
    <n v="3.74"/>
  </r>
  <r>
    <n v="400"/>
    <x v="11"/>
    <x v="193"/>
    <x v="1"/>
    <s v="Percent change"/>
    <s v="Units"/>
    <x v="4"/>
    <n v="5.8719999999999999"/>
  </r>
  <r>
    <n v="200"/>
    <x v="3"/>
    <x v="190"/>
    <x v="10"/>
    <s v="Percent"/>
    <s v="Units"/>
    <x v="0"/>
    <n v="5.0000000000000001E-3"/>
  </r>
  <r>
    <n v="1"/>
    <x v="2"/>
    <x v="190"/>
    <x v="5"/>
    <s v="Percent of GDP"/>
    <s v="Units"/>
    <x v="0"/>
    <n v="17.992999999999999"/>
  </r>
  <r>
    <n v="400"/>
    <x v="11"/>
    <x v="192"/>
    <x v="8"/>
    <s v="Percent change"/>
    <s v="Units"/>
    <x v="0"/>
    <n v="3.9119999999999999"/>
  </r>
  <r>
    <n v="400"/>
    <x v="11"/>
    <x v="192"/>
    <x v="8"/>
    <s v="Percent change"/>
    <s v="Units"/>
    <x v="1"/>
    <n v="-2.351"/>
  </r>
  <r>
    <n v="400"/>
    <x v="11"/>
    <x v="192"/>
    <x v="8"/>
    <s v="Percent change"/>
    <s v="Units"/>
    <x v="2"/>
    <n v="-14.542"/>
  </r>
  <r>
    <n v="400"/>
    <x v="11"/>
    <x v="192"/>
    <x v="8"/>
    <s v="Percent change"/>
    <s v="Units"/>
    <x v="3"/>
    <n v="-6.24"/>
  </r>
  <r>
    <n v="400"/>
    <x v="11"/>
    <x v="189"/>
    <x v="8"/>
    <s v="Percent change"/>
    <s v="Units"/>
    <x v="0"/>
    <n v="-6.915"/>
  </r>
  <r>
    <n v="400"/>
    <x v="11"/>
    <x v="189"/>
    <x v="8"/>
    <s v="Percent change"/>
    <s v="Units"/>
    <x v="1"/>
    <n v="-25.907"/>
  </r>
  <r>
    <n v="400"/>
    <x v="11"/>
    <x v="189"/>
    <x v="8"/>
    <s v="Percent change"/>
    <s v="Units"/>
    <x v="2"/>
    <n v="-10"/>
  </r>
  <r>
    <n v="200"/>
    <x v="3"/>
    <x v="193"/>
    <x v="0"/>
    <s v="U.S. dollars"/>
    <s v="Billions"/>
    <x v="0"/>
    <n v="17.134"/>
  </r>
  <r>
    <n v="200"/>
    <x v="3"/>
    <x v="193"/>
    <x v="0"/>
    <s v="U.S. dollars"/>
    <s v="Billions"/>
    <x v="1"/>
    <n v="15.532"/>
  </r>
  <r>
    <n v="200"/>
    <x v="3"/>
    <x v="193"/>
    <x v="0"/>
    <s v="U.S. dollars"/>
    <s v="Billions"/>
    <x v="2"/>
    <n v="18.109000000000002"/>
  </r>
  <r>
    <n v="200"/>
    <x v="3"/>
    <x v="193"/>
    <x v="0"/>
    <s v="U.S. dollars"/>
    <s v="Billions"/>
    <x v="3"/>
    <n v="19.166"/>
  </r>
  <r>
    <n v="200"/>
    <x v="3"/>
    <x v="193"/>
    <x v="0"/>
    <s v="U.S. dollars"/>
    <s v="Billions"/>
    <x v="4"/>
    <n v="18.602"/>
  </r>
  <r>
    <n v="1"/>
    <x v="2"/>
    <x v="192"/>
    <x v="1"/>
    <s v="Percent change"/>
    <s v="Units"/>
    <x v="0"/>
    <n v="2.302"/>
  </r>
  <r>
    <n v="1"/>
    <x v="2"/>
    <x v="192"/>
    <x v="1"/>
    <s v="Percent change"/>
    <s v="Units"/>
    <x v="1"/>
    <n v="5.6070000000000002"/>
  </r>
  <r>
    <n v="1"/>
    <x v="2"/>
    <x v="192"/>
    <x v="1"/>
    <s v="Percent change"/>
    <s v="Units"/>
    <x v="2"/>
    <n v="7.7619999999999996"/>
  </r>
  <r>
    <n v="1"/>
    <x v="2"/>
    <x v="192"/>
    <x v="1"/>
    <s v="Percent change"/>
    <s v="Units"/>
    <x v="3"/>
    <n v="10.6"/>
  </r>
  <r>
    <n v="1"/>
    <x v="2"/>
    <x v="191"/>
    <x v="1"/>
    <s v="Percent change"/>
    <s v="Units"/>
    <x v="0"/>
    <n v="4.3040000000000003"/>
  </r>
  <r>
    <n v="1"/>
    <x v="2"/>
    <x v="191"/>
    <x v="1"/>
    <s v="Percent change"/>
    <s v="Units"/>
    <x v="1"/>
    <n v="4.569"/>
  </r>
  <r>
    <n v="1"/>
    <x v="2"/>
    <x v="191"/>
    <x v="1"/>
    <s v="Percent change"/>
    <s v="Units"/>
    <x v="2"/>
    <n v="5.9539999999999997"/>
  </r>
  <r>
    <n v="1"/>
    <x v="2"/>
    <x v="191"/>
    <x v="1"/>
    <s v="Percent change"/>
    <s v="Units"/>
    <x v="3"/>
    <n v="45.213999999999999"/>
  </r>
  <r>
    <n v="1"/>
    <x v="2"/>
    <x v="193"/>
    <x v="1"/>
    <s v="Percent change"/>
    <s v="Units"/>
    <x v="0"/>
    <n v="1.5569999999999999"/>
  </r>
  <r>
    <n v="1"/>
    <x v="2"/>
    <x v="193"/>
    <x v="1"/>
    <s v="Percent change"/>
    <s v="Units"/>
    <x v="1"/>
    <n v="-0.71099999999999997"/>
  </r>
  <r>
    <n v="1"/>
    <x v="2"/>
    <x v="193"/>
    <x v="1"/>
    <s v="Percent change"/>
    <s v="Units"/>
    <x v="2"/>
    <n v="1.238"/>
  </r>
  <r>
    <n v="1"/>
    <x v="2"/>
    <x v="193"/>
    <x v="1"/>
    <s v="Percent change"/>
    <s v="Units"/>
    <x v="3"/>
    <n v="3.74"/>
  </r>
  <r>
    <n v="1"/>
    <x v="2"/>
    <x v="193"/>
    <x v="1"/>
    <s v="Percent change"/>
    <s v="Units"/>
    <x v="4"/>
    <n v="5.8719999999999999"/>
  </r>
  <r>
    <n v="200"/>
    <x v="3"/>
    <x v="191"/>
    <x v="0"/>
    <s v="U.S. dollars"/>
    <s v="Billions"/>
    <x v="0"/>
    <n v="89.015000000000001"/>
  </r>
  <r>
    <n v="200"/>
    <x v="3"/>
    <x v="191"/>
    <x v="0"/>
    <s v="U.S. dollars"/>
    <s v="Billions"/>
    <x v="1"/>
    <n v="84.441000000000003"/>
  </r>
  <r>
    <n v="200"/>
    <x v="3"/>
    <x v="191"/>
    <x v="0"/>
    <s v="U.S. dollars"/>
    <s v="Billions"/>
    <x v="2"/>
    <n v="88.548000000000002"/>
  </r>
  <r>
    <n v="200"/>
    <x v="3"/>
    <x v="191"/>
    <x v="0"/>
    <s v="U.S. dollars"/>
    <s v="Billions"/>
    <x v="3"/>
    <n v="74.846000000000004"/>
  </r>
  <r>
    <n v="1"/>
    <x v="2"/>
    <x v="189"/>
    <x v="1"/>
    <s v="Percent change"/>
    <s v="Units"/>
    <x v="0"/>
    <n v="2.891"/>
  </r>
  <r>
    <n v="1"/>
    <x v="2"/>
    <x v="189"/>
    <x v="1"/>
    <s v="Percent change"/>
    <s v="Units"/>
    <x v="1"/>
    <n v="84.88"/>
  </r>
  <r>
    <n v="1"/>
    <x v="2"/>
    <x v="189"/>
    <x v="1"/>
    <s v="Percent change"/>
    <s v="Units"/>
    <x v="2"/>
    <n v="154.75899999999999"/>
  </r>
  <r>
    <n v="1"/>
    <x v="2"/>
    <x v="189"/>
    <x v="1"/>
    <s v="Percent change"/>
    <s v="Units"/>
    <x v="3"/>
    <n v="171.19499999999999"/>
  </r>
  <r>
    <n v="1"/>
    <x v="2"/>
    <x v="190"/>
    <x v="1"/>
    <s v="Percent change"/>
    <s v="Units"/>
    <x v="0"/>
    <n v="1.3"/>
  </r>
  <r>
    <n v="200"/>
    <x v="3"/>
    <x v="192"/>
    <x v="10"/>
    <s v="Percent"/>
    <s v="Units"/>
    <x v="0"/>
    <n v="0.06"/>
  </r>
  <r>
    <n v="200"/>
    <x v="3"/>
    <x v="192"/>
    <x v="10"/>
    <s v="Percent"/>
    <s v="Units"/>
    <x v="1"/>
    <n v="0.06"/>
  </r>
  <r>
    <n v="200"/>
    <x v="3"/>
    <x v="192"/>
    <x v="10"/>
    <s v="Percent"/>
    <s v="Units"/>
    <x v="2"/>
    <n v="4.9000000000000002E-2"/>
  </r>
  <r>
    <n v="200"/>
    <x v="3"/>
    <x v="192"/>
    <x v="10"/>
    <s v="Percent"/>
    <s v="Units"/>
    <x v="3"/>
    <n v="4.3999999999999997E-2"/>
  </r>
  <r>
    <n v="1"/>
    <x v="2"/>
    <x v="189"/>
    <x v="5"/>
    <s v="Percent of GDP"/>
    <s v="Units"/>
    <x v="0"/>
    <n v="-15.930999999999999"/>
  </r>
  <r>
    <n v="1"/>
    <x v="2"/>
    <x v="189"/>
    <x v="5"/>
    <s v="Percent of GDP"/>
    <s v="Units"/>
    <x v="1"/>
    <n v="-6.5519999999999996"/>
  </r>
  <r>
    <n v="1"/>
    <x v="2"/>
    <x v="189"/>
    <x v="5"/>
    <s v="Percent of GDP"/>
    <s v="Units"/>
    <x v="2"/>
    <n v="-3.927"/>
  </r>
  <r>
    <n v="1"/>
    <x v="2"/>
    <x v="189"/>
    <x v="5"/>
    <s v="Percent of GDP"/>
    <s v="Units"/>
    <x v="3"/>
    <n v="-21.507000000000001"/>
  </r>
  <r>
    <n v="400"/>
    <x v="11"/>
    <x v="189"/>
    <x v="0"/>
    <s v="U.S. dollars"/>
    <s v="Billions"/>
    <x v="0"/>
    <n v="50.88"/>
  </r>
  <r>
    <n v="400"/>
    <x v="11"/>
    <x v="189"/>
    <x v="0"/>
    <s v="U.S. dollars"/>
    <s v="Billions"/>
    <x v="1"/>
    <n v="24.494"/>
  </r>
  <r>
    <n v="400"/>
    <x v="11"/>
    <x v="189"/>
    <x v="0"/>
    <s v="U.S. dollars"/>
    <s v="Billions"/>
    <x v="2"/>
    <n v="20.475999999999999"/>
  </r>
  <r>
    <n v="400"/>
    <x v="11"/>
    <x v="189"/>
    <x v="0"/>
    <s v="U.S. dollars"/>
    <s v="Billions"/>
    <x v="3"/>
    <n v="21.78"/>
  </r>
  <r>
    <n v="1"/>
    <x v="2"/>
    <x v="192"/>
    <x v="5"/>
    <s v="Percent of GDP"/>
    <s v="Units"/>
    <x v="0"/>
    <n v="29.896999999999998"/>
  </r>
  <r>
    <n v="1"/>
    <x v="2"/>
    <x v="192"/>
    <x v="5"/>
    <s v="Percent of GDP"/>
    <s v="Units"/>
    <x v="1"/>
    <n v="30.984999999999999"/>
  </r>
  <r>
    <n v="1"/>
    <x v="2"/>
    <x v="192"/>
    <x v="5"/>
    <s v="Percent of GDP"/>
    <s v="Units"/>
    <x v="2"/>
    <n v="10.577999999999999"/>
  </r>
  <r>
    <n v="1"/>
    <x v="2"/>
    <x v="192"/>
    <x v="5"/>
    <s v="Percent of GDP"/>
    <s v="Units"/>
    <x v="3"/>
    <n v="-13.612"/>
  </r>
  <r>
    <n v="400"/>
    <x v="11"/>
    <x v="192"/>
    <x v="0"/>
    <s v="U.S. dollars"/>
    <s v="Billions"/>
    <x v="0"/>
    <n v="18.876000000000001"/>
  </r>
  <r>
    <n v="400"/>
    <x v="11"/>
    <x v="192"/>
    <x v="0"/>
    <s v="U.S. dollars"/>
    <s v="Billions"/>
    <x v="1"/>
    <n v="20.135999999999999"/>
  </r>
  <r>
    <n v="400"/>
    <x v="11"/>
    <x v="192"/>
    <x v="0"/>
    <s v="U.S. dollars"/>
    <s v="Billions"/>
    <x v="2"/>
    <n v="14.288"/>
  </r>
  <r>
    <n v="400"/>
    <x v="11"/>
    <x v="192"/>
    <x v="0"/>
    <s v="U.S. dollars"/>
    <s v="Billions"/>
    <x v="3"/>
    <n v="14.467000000000001"/>
  </r>
  <r>
    <n v="400"/>
    <x v="11"/>
    <x v="193"/>
    <x v="8"/>
    <s v="Percent change"/>
    <s v="Units"/>
    <x v="0"/>
    <n v="1.363"/>
  </r>
  <r>
    <n v="400"/>
    <x v="11"/>
    <x v="193"/>
    <x v="8"/>
    <s v="Percent change"/>
    <s v="Units"/>
    <x v="1"/>
    <n v="-11.318"/>
  </r>
  <r>
    <n v="400"/>
    <x v="11"/>
    <x v="193"/>
    <x v="8"/>
    <s v="Percent change"/>
    <s v="Units"/>
    <x v="2"/>
    <n v="7.0119999999999996"/>
  </r>
  <r>
    <n v="400"/>
    <x v="11"/>
    <x v="193"/>
    <x v="8"/>
    <s v="Percent change"/>
    <s v="Units"/>
    <x v="3"/>
    <n v="4.0830000000000002"/>
  </r>
  <r>
    <n v="400"/>
    <x v="11"/>
    <x v="193"/>
    <x v="8"/>
    <s v="Percent change"/>
    <s v="Units"/>
    <x v="4"/>
    <n v="-6.1340000000000003"/>
  </r>
  <r>
    <n v="1"/>
    <x v="2"/>
    <x v="191"/>
    <x v="5"/>
    <s v="Percent of GDP"/>
    <s v="Units"/>
    <x v="0"/>
    <n v="32.036999999999999"/>
  </r>
  <r>
    <n v="1"/>
    <x v="2"/>
    <x v="191"/>
    <x v="5"/>
    <s v="Percent of GDP"/>
    <s v="Units"/>
    <x v="1"/>
    <n v="31.577000000000002"/>
  </r>
  <r>
    <n v="1"/>
    <x v="2"/>
    <x v="191"/>
    <x v="5"/>
    <s v="Percent of GDP"/>
    <s v="Units"/>
    <x v="2"/>
    <n v="33.034999999999997"/>
  </r>
  <r>
    <n v="1"/>
    <x v="2"/>
    <x v="191"/>
    <x v="5"/>
    <s v="Percent of GDP"/>
    <s v="Units"/>
    <x v="3"/>
    <n v="33.427999999999997"/>
  </r>
  <r>
    <n v="200"/>
    <x v="3"/>
    <x v="189"/>
    <x v="10"/>
    <s v="Percent"/>
    <s v="Units"/>
    <x v="0"/>
    <n v="7.5999999999999998E-2"/>
  </r>
  <r>
    <n v="200"/>
    <x v="3"/>
    <x v="189"/>
    <x v="10"/>
    <s v="Percent"/>
    <s v="Units"/>
    <x v="1"/>
    <n v="5.8000000000000003E-2"/>
  </r>
  <r>
    <n v="200"/>
    <x v="3"/>
    <x v="189"/>
    <x v="10"/>
    <s v="Percent"/>
    <s v="Units"/>
    <x v="2"/>
    <n v="4.9000000000000002E-2"/>
  </r>
  <r>
    <n v="200"/>
    <x v="3"/>
    <x v="189"/>
    <x v="10"/>
    <s v="Percent"/>
    <s v="Units"/>
    <x v="3"/>
    <n v="4.8000000000000001E-2"/>
  </r>
  <r>
    <n v="200"/>
    <x v="3"/>
    <x v="174"/>
    <x v="0"/>
    <s v="U.S. dollars"/>
    <s v="Billions"/>
    <x v="0"/>
    <n v="321.07100000000003"/>
  </r>
  <r>
    <n v="200"/>
    <x v="3"/>
    <x v="174"/>
    <x v="0"/>
    <s v="U.S. dollars"/>
    <s v="Billions"/>
    <x v="1"/>
    <n v="300.41000000000003"/>
  </r>
  <r>
    <n v="200"/>
    <x v="3"/>
    <x v="174"/>
    <x v="0"/>
    <s v="U.S. dollars"/>
    <s v="Billions"/>
    <x v="2"/>
    <n v="348.48099999999999"/>
  </r>
  <r>
    <n v="200"/>
    <x v="3"/>
    <x v="174"/>
    <x v="0"/>
    <s v="U.S. dollars"/>
    <s v="Billions"/>
    <x v="3"/>
    <n v="374.74799999999999"/>
  </r>
  <r>
    <n v="200"/>
    <x v="3"/>
    <x v="174"/>
    <x v="0"/>
    <s v="U.S. dollars"/>
    <s v="Billions"/>
    <x v="4"/>
    <n v="338.23700000000002"/>
  </r>
  <r>
    <n v="200"/>
    <x v="3"/>
    <x v="189"/>
    <x v="0"/>
    <s v="U.S. dollars"/>
    <s v="Billions"/>
    <x v="0"/>
    <n v="50.88"/>
  </r>
  <r>
    <n v="200"/>
    <x v="3"/>
    <x v="189"/>
    <x v="0"/>
    <s v="U.S. dollars"/>
    <s v="Billions"/>
    <x v="1"/>
    <n v="24.494"/>
  </r>
  <r>
    <n v="200"/>
    <x v="3"/>
    <x v="189"/>
    <x v="0"/>
    <s v="U.S. dollars"/>
    <s v="Billions"/>
    <x v="2"/>
    <n v="20.475999999999999"/>
  </r>
  <r>
    <n v="200"/>
    <x v="3"/>
    <x v="189"/>
    <x v="0"/>
    <s v="U.S. dollars"/>
    <s v="Billions"/>
    <x v="3"/>
    <n v="21.78"/>
  </r>
  <r>
    <n v="1"/>
    <x v="2"/>
    <x v="190"/>
    <x v="4"/>
    <s v="Percent change"/>
    <s v="Units"/>
    <x v="0"/>
    <n v="29.800999999999998"/>
  </r>
  <r>
    <n v="1"/>
    <x v="2"/>
    <x v="189"/>
    <x v="4"/>
    <s v="Percent change"/>
    <s v="Units"/>
    <x v="0"/>
    <n v="-3.1629999999999998"/>
  </r>
  <r>
    <n v="1"/>
    <x v="2"/>
    <x v="189"/>
    <x v="4"/>
    <s v="Percent change"/>
    <s v="Units"/>
    <x v="1"/>
    <n v="-50.091999999999999"/>
  </r>
  <r>
    <n v="1"/>
    <x v="2"/>
    <x v="189"/>
    <x v="4"/>
    <s v="Percent change"/>
    <s v="Units"/>
    <x v="2"/>
    <n v="0.78400000000000003"/>
  </r>
  <r>
    <n v="1"/>
    <x v="2"/>
    <x v="189"/>
    <x v="4"/>
    <s v="Percent change"/>
    <s v="Units"/>
    <x v="3"/>
    <n v="13.641"/>
  </r>
  <r>
    <n v="1"/>
    <x v="2"/>
    <x v="190"/>
    <x v="6"/>
    <s v="Percent change"/>
    <s v="Units"/>
    <x v="0"/>
    <n v="3.7010000000000001"/>
  </r>
  <r>
    <n v="1"/>
    <x v="2"/>
    <x v="107"/>
    <x v="4"/>
    <s v="Percent change"/>
    <s v="Units"/>
    <x v="0"/>
    <n v="-5.6719999999999997"/>
  </r>
  <r>
    <n v="1"/>
    <x v="2"/>
    <x v="107"/>
    <x v="4"/>
    <s v="Percent change"/>
    <s v="Units"/>
    <x v="1"/>
    <n v="-4.2859999999999996"/>
  </r>
  <r>
    <n v="1"/>
    <x v="2"/>
    <x v="193"/>
    <x v="4"/>
    <s v="Percent change"/>
    <s v="Units"/>
    <x v="0"/>
    <n v="2.0089999999999999"/>
  </r>
  <r>
    <n v="1"/>
    <x v="2"/>
    <x v="193"/>
    <x v="4"/>
    <s v="Percent change"/>
    <s v="Units"/>
    <x v="1"/>
    <n v="-11.199"/>
  </r>
  <r>
    <n v="1"/>
    <x v="2"/>
    <x v="193"/>
    <x v="4"/>
    <s v="Percent change"/>
    <s v="Units"/>
    <x v="2"/>
    <n v="17.317"/>
  </r>
  <r>
    <n v="1"/>
    <x v="2"/>
    <x v="193"/>
    <x v="4"/>
    <s v="Percent change"/>
    <s v="Units"/>
    <x v="3"/>
    <n v="5.9409999999999998"/>
  </r>
  <r>
    <n v="1"/>
    <x v="2"/>
    <x v="193"/>
    <x v="4"/>
    <s v="Percent change"/>
    <s v="Units"/>
    <x v="4"/>
    <n v="-7.673"/>
  </r>
  <r>
    <n v="205"/>
    <x v="7"/>
    <x v="72"/>
    <x v="2"/>
    <s v="Percent of GDP"/>
    <s v="Units"/>
    <x v="0"/>
    <n v="10.09"/>
  </r>
  <r>
    <n v="205"/>
    <x v="7"/>
    <x v="72"/>
    <x v="2"/>
    <s v="Percent of GDP"/>
    <s v="Units"/>
    <x v="1"/>
    <n v="4.5259999999999998"/>
  </r>
  <r>
    <n v="205"/>
    <x v="7"/>
    <x v="72"/>
    <x v="2"/>
    <s v="Percent of GDP"/>
    <s v="Units"/>
    <x v="2"/>
    <n v="7.25"/>
  </r>
  <r>
    <n v="205"/>
    <x v="7"/>
    <x v="72"/>
    <x v="2"/>
    <s v="Percent of GDP"/>
    <s v="Units"/>
    <x v="3"/>
    <n v="8.2739999999999991"/>
  </r>
  <r>
    <n v="205"/>
    <x v="7"/>
    <x v="72"/>
    <x v="2"/>
    <s v="Percent of GDP"/>
    <s v="Units"/>
    <x v="4"/>
    <n v="10.989000000000001"/>
  </r>
  <r>
    <n v="205"/>
    <x v="7"/>
    <x v="66"/>
    <x v="9"/>
    <s v="Percent of GDP"/>
    <s v="Units"/>
    <x v="0"/>
    <n v="-3.4710000000000001"/>
  </r>
  <r>
    <n v="205"/>
    <x v="7"/>
    <x v="66"/>
    <x v="9"/>
    <s v="Percent of GDP"/>
    <s v="Units"/>
    <x v="1"/>
    <n v="-7.3789999999999996"/>
  </r>
  <r>
    <n v="205"/>
    <x v="7"/>
    <x v="66"/>
    <x v="9"/>
    <s v="Percent of GDP"/>
    <s v="Units"/>
    <x v="2"/>
    <n v="-1.5840000000000001"/>
  </r>
  <r>
    <n v="205"/>
    <x v="7"/>
    <x v="66"/>
    <x v="9"/>
    <s v="Percent of GDP"/>
    <s v="Units"/>
    <x v="3"/>
    <n v="4.4999999999999998E-2"/>
  </r>
  <r>
    <n v="205"/>
    <x v="7"/>
    <x v="66"/>
    <x v="9"/>
    <s v="Percent of GDP"/>
    <s v="Units"/>
    <x v="4"/>
    <n v="-3.47"/>
  </r>
  <r>
    <n v="205"/>
    <x v="7"/>
    <x v="66"/>
    <x v="2"/>
    <s v="Percent of GDP"/>
    <s v="Units"/>
    <x v="0"/>
    <n v="36.302999999999997"/>
  </r>
  <r>
    <n v="205"/>
    <x v="7"/>
    <x v="66"/>
    <x v="2"/>
    <s v="Percent of GDP"/>
    <s v="Units"/>
    <x v="1"/>
    <n v="32.860999999999997"/>
  </r>
  <r>
    <n v="205"/>
    <x v="7"/>
    <x v="66"/>
    <x v="2"/>
    <s v="Percent of GDP"/>
    <s v="Units"/>
    <x v="2"/>
    <n v="35.805999999999997"/>
  </r>
  <r>
    <n v="205"/>
    <x v="7"/>
    <x v="66"/>
    <x v="2"/>
    <s v="Percent of GDP"/>
    <s v="Units"/>
    <x v="3"/>
    <n v="38.771000000000001"/>
  </r>
  <r>
    <n v="205"/>
    <x v="7"/>
    <x v="66"/>
    <x v="2"/>
    <s v="Percent of GDP"/>
    <s v="Units"/>
    <x v="4"/>
    <n v="36.247"/>
  </r>
  <r>
    <n v="1"/>
    <x v="2"/>
    <x v="191"/>
    <x v="4"/>
    <s v="Percent change"/>
    <s v="Units"/>
    <x v="0"/>
    <n v="-2.2450000000000001"/>
  </r>
  <r>
    <n v="1"/>
    <x v="2"/>
    <x v="191"/>
    <x v="4"/>
    <s v="Percent change"/>
    <s v="Units"/>
    <x v="1"/>
    <n v="-29.777000000000001"/>
  </r>
  <r>
    <n v="1"/>
    <x v="2"/>
    <x v="191"/>
    <x v="4"/>
    <s v="Percent change"/>
    <s v="Units"/>
    <x v="2"/>
    <n v="2.2869999999999999"/>
  </r>
  <r>
    <n v="1"/>
    <x v="2"/>
    <x v="191"/>
    <x v="4"/>
    <s v="Percent change"/>
    <s v="Units"/>
    <x v="3"/>
    <n v="-3.0329999999999999"/>
  </r>
  <r>
    <n v="1"/>
    <x v="2"/>
    <x v="192"/>
    <x v="4"/>
    <s v="Percent change"/>
    <s v="Units"/>
    <x v="0"/>
    <n v="-3.302"/>
  </r>
  <r>
    <n v="1"/>
    <x v="2"/>
    <x v="192"/>
    <x v="4"/>
    <s v="Percent change"/>
    <s v="Units"/>
    <x v="1"/>
    <n v="0.53400000000000003"/>
  </r>
  <r>
    <n v="205"/>
    <x v="7"/>
    <x v="66"/>
    <x v="3"/>
    <s v="Percent of GDP"/>
    <s v="Units"/>
    <x v="0"/>
    <n v="39.774000000000001"/>
  </r>
  <r>
    <n v="205"/>
    <x v="7"/>
    <x v="66"/>
    <x v="3"/>
    <s v="Percent of GDP"/>
    <s v="Units"/>
    <x v="1"/>
    <n v="40.24"/>
  </r>
  <r>
    <n v="205"/>
    <x v="7"/>
    <x v="66"/>
    <x v="3"/>
    <s v="Percent of GDP"/>
    <s v="Units"/>
    <x v="2"/>
    <n v="37.39"/>
  </r>
  <r>
    <n v="205"/>
    <x v="7"/>
    <x v="66"/>
    <x v="3"/>
    <s v="Percent of GDP"/>
    <s v="Units"/>
    <x v="3"/>
    <n v="38.726999999999997"/>
  </r>
  <r>
    <n v="205"/>
    <x v="7"/>
    <x v="66"/>
    <x v="3"/>
    <s v="Percent of GDP"/>
    <s v="Units"/>
    <x v="4"/>
    <n v="39.718000000000004"/>
  </r>
  <r>
    <n v="205"/>
    <x v="7"/>
    <x v="72"/>
    <x v="3"/>
    <s v="Percent of GDP"/>
    <s v="Units"/>
    <x v="0"/>
    <n v="20.065000000000001"/>
  </r>
  <r>
    <n v="205"/>
    <x v="7"/>
    <x v="72"/>
    <x v="3"/>
    <s v="Percent of GDP"/>
    <s v="Units"/>
    <x v="1"/>
    <n v="9.5169999999999995"/>
  </r>
  <r>
    <n v="205"/>
    <x v="7"/>
    <x v="72"/>
    <x v="3"/>
    <s v="Percent of GDP"/>
    <s v="Units"/>
    <x v="2"/>
    <n v="11.88"/>
  </r>
  <r>
    <n v="205"/>
    <x v="7"/>
    <x v="72"/>
    <x v="3"/>
    <s v="Percent of GDP"/>
    <s v="Units"/>
    <x v="3"/>
    <n v="14.305"/>
  </r>
  <r>
    <n v="205"/>
    <x v="7"/>
    <x v="72"/>
    <x v="3"/>
    <s v="Percent of GDP"/>
    <s v="Units"/>
    <x v="4"/>
    <n v="14.38"/>
  </r>
  <r>
    <n v="205"/>
    <x v="7"/>
    <x v="72"/>
    <x v="9"/>
    <s v="Percent of GDP"/>
    <s v="Units"/>
    <x v="0"/>
    <n v="-9.9749999999999996"/>
  </r>
  <r>
    <n v="205"/>
    <x v="7"/>
    <x v="72"/>
    <x v="9"/>
    <s v="Percent of GDP"/>
    <s v="Units"/>
    <x v="1"/>
    <n v="-4.9909999999999997"/>
  </r>
  <r>
    <n v="205"/>
    <x v="7"/>
    <x v="72"/>
    <x v="9"/>
    <s v="Percent of GDP"/>
    <s v="Units"/>
    <x v="2"/>
    <n v="-4.63"/>
  </r>
  <r>
    <n v="205"/>
    <x v="7"/>
    <x v="72"/>
    <x v="9"/>
    <s v="Percent of GDP"/>
    <s v="Units"/>
    <x v="3"/>
    <n v="-6.0309999999999997"/>
  </r>
  <r>
    <n v="205"/>
    <x v="7"/>
    <x v="72"/>
    <x v="9"/>
    <s v="Percent of GDP"/>
    <s v="Units"/>
    <x v="4"/>
    <n v="-3.39"/>
  </r>
  <r>
    <n v="200"/>
    <x v="3"/>
    <x v="190"/>
    <x v="0"/>
    <s v="U.S. dollars"/>
    <s v="Billions"/>
    <x v="0"/>
    <n v="1.982"/>
  </r>
  <r>
    <n v="200"/>
    <x v="3"/>
    <x v="192"/>
    <x v="0"/>
    <s v="U.S. dollars"/>
    <s v="Billions"/>
    <x v="0"/>
    <n v="18.876000000000001"/>
  </r>
  <r>
    <n v="200"/>
    <x v="3"/>
    <x v="192"/>
    <x v="0"/>
    <s v="U.S. dollars"/>
    <s v="Billions"/>
    <x v="1"/>
    <n v="20.135999999999999"/>
  </r>
  <r>
    <n v="200"/>
    <x v="3"/>
    <x v="192"/>
    <x v="0"/>
    <s v="U.S. dollars"/>
    <s v="Billions"/>
    <x v="2"/>
    <n v="14.288"/>
  </r>
  <r>
    <n v="200"/>
    <x v="3"/>
    <x v="192"/>
    <x v="0"/>
    <s v="U.S. dollars"/>
    <s v="Billions"/>
    <x v="3"/>
    <n v="14.467000000000001"/>
  </r>
  <r>
    <n v="1"/>
    <x v="2"/>
    <x v="192"/>
    <x v="6"/>
    <s v="Percent change"/>
    <s v="Units"/>
    <x v="0"/>
    <n v="-7.077"/>
  </r>
  <r>
    <n v="1"/>
    <x v="2"/>
    <x v="192"/>
    <x v="6"/>
    <s v="Percent change"/>
    <s v="Units"/>
    <x v="1"/>
    <n v="-3.5640000000000001"/>
  </r>
  <r>
    <n v="1"/>
    <x v="2"/>
    <x v="191"/>
    <x v="6"/>
    <s v="Percent change"/>
    <s v="Units"/>
    <x v="0"/>
    <n v="-7.7569999999999997"/>
  </r>
  <r>
    <n v="1"/>
    <x v="2"/>
    <x v="191"/>
    <x v="6"/>
    <s v="Percent change"/>
    <s v="Units"/>
    <x v="1"/>
    <n v="-20.422999999999998"/>
  </r>
  <r>
    <n v="1"/>
    <x v="2"/>
    <x v="191"/>
    <x v="6"/>
    <s v="Percent change"/>
    <s v="Units"/>
    <x v="2"/>
    <n v="-5.1180000000000003"/>
  </r>
  <r>
    <n v="1"/>
    <x v="2"/>
    <x v="191"/>
    <x v="6"/>
    <s v="Percent change"/>
    <s v="Units"/>
    <x v="3"/>
    <n v="-22.385000000000002"/>
  </r>
  <r>
    <n v="200"/>
    <x v="3"/>
    <x v="193"/>
    <x v="8"/>
    <s v="Percent change"/>
    <s v="Units"/>
    <x v="0"/>
    <n v="1.363"/>
  </r>
  <r>
    <n v="200"/>
    <x v="3"/>
    <x v="193"/>
    <x v="8"/>
    <s v="Percent change"/>
    <s v="Units"/>
    <x v="1"/>
    <n v="-11.318"/>
  </r>
  <r>
    <n v="200"/>
    <x v="3"/>
    <x v="193"/>
    <x v="8"/>
    <s v="Percent change"/>
    <s v="Units"/>
    <x v="2"/>
    <n v="7.0119999999999996"/>
  </r>
  <r>
    <n v="200"/>
    <x v="3"/>
    <x v="193"/>
    <x v="8"/>
    <s v="Percent change"/>
    <s v="Units"/>
    <x v="3"/>
    <n v="4.0830000000000002"/>
  </r>
  <r>
    <n v="200"/>
    <x v="3"/>
    <x v="193"/>
    <x v="8"/>
    <s v="Percent change"/>
    <s v="Units"/>
    <x v="4"/>
    <n v="-6.1340000000000003"/>
  </r>
  <r>
    <n v="200"/>
    <x v="3"/>
    <x v="191"/>
    <x v="8"/>
    <s v="Percent change"/>
    <s v="Units"/>
    <x v="0"/>
    <n v="-0.22"/>
  </r>
  <r>
    <n v="200"/>
    <x v="3"/>
    <x v="191"/>
    <x v="8"/>
    <s v="Percent change"/>
    <s v="Units"/>
    <x v="1"/>
    <n v="-4.625"/>
  </r>
  <r>
    <n v="200"/>
    <x v="3"/>
    <x v="191"/>
    <x v="8"/>
    <s v="Percent change"/>
    <s v="Units"/>
    <x v="2"/>
    <n v="3.512"/>
  </r>
  <r>
    <n v="200"/>
    <x v="3"/>
    <x v="191"/>
    <x v="8"/>
    <s v="Percent change"/>
    <s v="Units"/>
    <x v="3"/>
    <n v="-7.8239999999999998"/>
  </r>
  <r>
    <n v="200"/>
    <x v="3"/>
    <x v="189"/>
    <x v="8"/>
    <s v="Percent change"/>
    <s v="Units"/>
    <x v="0"/>
    <n v="-6.915"/>
  </r>
  <r>
    <n v="200"/>
    <x v="3"/>
    <x v="189"/>
    <x v="8"/>
    <s v="Percent change"/>
    <s v="Units"/>
    <x v="1"/>
    <n v="-25.907"/>
  </r>
  <r>
    <n v="200"/>
    <x v="3"/>
    <x v="189"/>
    <x v="8"/>
    <s v="Percent change"/>
    <s v="Units"/>
    <x v="2"/>
    <n v="-10"/>
  </r>
  <r>
    <n v="1"/>
    <x v="2"/>
    <x v="193"/>
    <x v="6"/>
    <s v="Percent change"/>
    <s v="Units"/>
    <x v="0"/>
    <n v="1.4450000000000001"/>
  </r>
  <r>
    <n v="1"/>
    <x v="2"/>
    <x v="193"/>
    <x v="6"/>
    <s v="Percent change"/>
    <s v="Units"/>
    <x v="1"/>
    <n v="-14.170999999999999"/>
  </r>
  <r>
    <n v="1"/>
    <x v="2"/>
    <x v="193"/>
    <x v="6"/>
    <s v="Percent change"/>
    <s v="Units"/>
    <x v="2"/>
    <n v="14.846"/>
  </r>
  <r>
    <n v="1"/>
    <x v="2"/>
    <x v="193"/>
    <x v="6"/>
    <s v="Percent change"/>
    <s v="Units"/>
    <x v="3"/>
    <n v="19.733000000000001"/>
  </r>
  <r>
    <n v="1"/>
    <x v="2"/>
    <x v="193"/>
    <x v="6"/>
    <s v="Percent change"/>
    <s v="Units"/>
    <x v="4"/>
    <n v="4.8419999999999996"/>
  </r>
  <r>
    <n v="1"/>
    <x v="2"/>
    <x v="107"/>
    <x v="6"/>
    <s v="Percent change"/>
    <s v="Units"/>
    <x v="0"/>
    <n v="2.2509999999999999"/>
  </r>
  <r>
    <n v="1"/>
    <x v="2"/>
    <x v="107"/>
    <x v="6"/>
    <s v="Percent change"/>
    <s v="Units"/>
    <x v="1"/>
    <n v="-3.2170000000000001"/>
  </r>
  <r>
    <n v="200"/>
    <x v="3"/>
    <x v="190"/>
    <x v="8"/>
    <s v="Percent change"/>
    <s v="Units"/>
    <x v="0"/>
    <n v="3.8359999999999999"/>
  </r>
  <r>
    <n v="200"/>
    <x v="3"/>
    <x v="192"/>
    <x v="8"/>
    <s v="Percent change"/>
    <s v="Units"/>
    <x v="0"/>
    <n v="3.9119999999999999"/>
  </r>
  <r>
    <n v="200"/>
    <x v="3"/>
    <x v="192"/>
    <x v="8"/>
    <s v="Percent change"/>
    <s v="Units"/>
    <x v="1"/>
    <n v="-2.351"/>
  </r>
  <r>
    <n v="200"/>
    <x v="3"/>
    <x v="192"/>
    <x v="8"/>
    <s v="Percent change"/>
    <s v="Units"/>
    <x v="2"/>
    <n v="-14.542"/>
  </r>
  <r>
    <n v="200"/>
    <x v="3"/>
    <x v="192"/>
    <x v="8"/>
    <s v="Percent change"/>
    <s v="Units"/>
    <x v="3"/>
    <n v="-6.24"/>
  </r>
  <r>
    <n v="1"/>
    <x v="2"/>
    <x v="189"/>
    <x v="6"/>
    <s v="Percent change"/>
    <s v="Units"/>
    <x v="0"/>
    <n v="-4.6449999999999996"/>
  </r>
  <r>
    <n v="1"/>
    <x v="2"/>
    <x v="189"/>
    <x v="6"/>
    <s v="Percent change"/>
    <s v="Units"/>
    <x v="1"/>
    <n v="-50.683999999999997"/>
  </r>
  <r>
    <n v="1"/>
    <x v="2"/>
    <x v="189"/>
    <x v="6"/>
    <s v="Percent change"/>
    <s v="Units"/>
    <x v="2"/>
    <n v="2.4420000000000002"/>
  </r>
  <r>
    <n v="1"/>
    <x v="2"/>
    <x v="189"/>
    <x v="6"/>
    <s v="Percent change"/>
    <s v="Units"/>
    <x v="3"/>
    <n v="25.585000000000001"/>
  </r>
  <r>
    <n v="1"/>
    <x v="2"/>
    <x v="190"/>
    <x v="7"/>
    <s v="Percent of GDP"/>
    <s v="Units"/>
    <x v="0"/>
    <n v="5.0060000000000002"/>
  </r>
  <r>
    <n v="603"/>
    <x v="12"/>
    <x v="190"/>
    <x v="2"/>
    <s v="Percent of GDP"/>
    <s v="Units"/>
    <x v="0"/>
    <n v="33.972999999999999"/>
  </r>
  <r>
    <n v="400"/>
    <x v="11"/>
    <x v="189"/>
    <x v="5"/>
    <s v="Percent of GDP"/>
    <s v="Units"/>
    <x v="0"/>
    <n v="-15.930999999999999"/>
  </r>
  <r>
    <n v="400"/>
    <x v="11"/>
    <x v="189"/>
    <x v="5"/>
    <s v="Percent of GDP"/>
    <s v="Units"/>
    <x v="1"/>
    <n v="-6.5519999999999996"/>
  </r>
  <r>
    <n v="400"/>
    <x v="11"/>
    <x v="189"/>
    <x v="5"/>
    <s v="Percent of GDP"/>
    <s v="Units"/>
    <x v="2"/>
    <n v="-3.927"/>
  </r>
  <r>
    <n v="400"/>
    <x v="11"/>
    <x v="189"/>
    <x v="5"/>
    <s v="Percent of GDP"/>
    <s v="Units"/>
    <x v="3"/>
    <n v="-21.507000000000001"/>
  </r>
  <r>
    <n v="200"/>
    <x v="3"/>
    <x v="189"/>
    <x v="5"/>
    <s v="Percent of GDP"/>
    <s v="Units"/>
    <x v="0"/>
    <n v="-15.930999999999999"/>
  </r>
  <r>
    <n v="200"/>
    <x v="3"/>
    <x v="189"/>
    <x v="5"/>
    <s v="Percent of GDP"/>
    <s v="Units"/>
    <x v="1"/>
    <n v="-6.5519999999999996"/>
  </r>
  <r>
    <n v="200"/>
    <x v="3"/>
    <x v="189"/>
    <x v="5"/>
    <s v="Percent of GDP"/>
    <s v="Units"/>
    <x v="2"/>
    <n v="-3.927"/>
  </r>
  <r>
    <n v="200"/>
    <x v="3"/>
    <x v="189"/>
    <x v="5"/>
    <s v="Percent of GDP"/>
    <s v="Units"/>
    <x v="3"/>
    <n v="-21.507000000000001"/>
  </r>
  <r>
    <n v="1"/>
    <x v="2"/>
    <x v="192"/>
    <x v="8"/>
    <s v="Percent change"/>
    <s v="Units"/>
    <x v="0"/>
    <n v="3.9119999999999999"/>
  </r>
  <r>
    <n v="1"/>
    <x v="2"/>
    <x v="192"/>
    <x v="8"/>
    <s v="Percent change"/>
    <s v="Units"/>
    <x v="1"/>
    <n v="-2.351"/>
  </r>
  <r>
    <n v="1"/>
    <x v="2"/>
    <x v="192"/>
    <x v="8"/>
    <s v="Percent change"/>
    <s v="Units"/>
    <x v="2"/>
    <n v="-14.542"/>
  </r>
  <r>
    <n v="1"/>
    <x v="2"/>
    <x v="192"/>
    <x v="8"/>
    <s v="Percent change"/>
    <s v="Units"/>
    <x v="3"/>
    <n v="-6.24"/>
  </r>
  <r>
    <n v="1"/>
    <x v="2"/>
    <x v="191"/>
    <x v="8"/>
    <s v="Percent change"/>
    <s v="Units"/>
    <x v="0"/>
    <n v="-0.22"/>
  </r>
  <r>
    <n v="1"/>
    <x v="2"/>
    <x v="191"/>
    <x v="8"/>
    <s v="Percent change"/>
    <s v="Units"/>
    <x v="1"/>
    <n v="-4.625"/>
  </r>
  <r>
    <n v="1"/>
    <x v="2"/>
    <x v="191"/>
    <x v="8"/>
    <s v="Percent change"/>
    <s v="Units"/>
    <x v="2"/>
    <n v="3.512"/>
  </r>
  <r>
    <n v="1"/>
    <x v="2"/>
    <x v="191"/>
    <x v="8"/>
    <s v="Percent change"/>
    <s v="Units"/>
    <x v="3"/>
    <n v="-7.8239999999999998"/>
  </r>
  <r>
    <n v="200"/>
    <x v="3"/>
    <x v="190"/>
    <x v="5"/>
    <s v="Percent of GDP"/>
    <s v="Units"/>
    <x v="0"/>
    <n v="17.992999999999999"/>
  </r>
  <r>
    <n v="1"/>
    <x v="2"/>
    <x v="193"/>
    <x v="8"/>
    <s v="Percent change"/>
    <s v="Units"/>
    <x v="0"/>
    <n v="1.363"/>
  </r>
  <r>
    <n v="1"/>
    <x v="2"/>
    <x v="193"/>
    <x v="8"/>
    <s v="Percent change"/>
    <s v="Units"/>
    <x v="1"/>
    <n v="-11.318"/>
  </r>
  <r>
    <n v="1"/>
    <x v="2"/>
    <x v="193"/>
    <x v="8"/>
    <s v="Percent change"/>
    <s v="Units"/>
    <x v="2"/>
    <n v="7.0119999999999996"/>
  </r>
  <r>
    <n v="1"/>
    <x v="2"/>
    <x v="193"/>
    <x v="8"/>
    <s v="Percent change"/>
    <s v="Units"/>
    <x v="3"/>
    <n v="4.0830000000000002"/>
  </r>
  <r>
    <n v="1"/>
    <x v="2"/>
    <x v="193"/>
    <x v="8"/>
    <s v="Percent change"/>
    <s v="Units"/>
    <x v="4"/>
    <n v="-6.1340000000000003"/>
  </r>
  <r>
    <n v="400"/>
    <x v="11"/>
    <x v="192"/>
    <x v="5"/>
    <s v="Percent of GDP"/>
    <s v="Units"/>
    <x v="0"/>
    <n v="29.896999999999998"/>
  </r>
  <r>
    <n v="400"/>
    <x v="11"/>
    <x v="192"/>
    <x v="5"/>
    <s v="Percent of GDP"/>
    <s v="Units"/>
    <x v="1"/>
    <n v="30.984999999999999"/>
  </r>
  <r>
    <n v="400"/>
    <x v="11"/>
    <x v="192"/>
    <x v="5"/>
    <s v="Percent of GDP"/>
    <s v="Units"/>
    <x v="2"/>
    <n v="10.577999999999999"/>
  </r>
  <r>
    <n v="400"/>
    <x v="11"/>
    <x v="192"/>
    <x v="5"/>
    <s v="Percent of GDP"/>
    <s v="Units"/>
    <x v="3"/>
    <n v="-13.612"/>
  </r>
  <r>
    <n v="400"/>
    <x v="11"/>
    <x v="193"/>
    <x v="7"/>
    <s v="Percent of GDP"/>
    <s v="Units"/>
    <x v="0"/>
    <n v="26.800999999999998"/>
  </r>
  <r>
    <n v="400"/>
    <x v="11"/>
    <x v="193"/>
    <x v="7"/>
    <s v="Percent of GDP"/>
    <s v="Units"/>
    <x v="1"/>
    <n v="24.303999999999998"/>
  </r>
  <r>
    <n v="400"/>
    <x v="11"/>
    <x v="193"/>
    <x v="7"/>
    <s v="Percent of GDP"/>
    <s v="Units"/>
    <x v="2"/>
    <n v="25.451000000000001"/>
  </r>
  <r>
    <n v="400"/>
    <x v="11"/>
    <x v="193"/>
    <x v="7"/>
    <s v="Percent of GDP"/>
    <s v="Units"/>
    <x v="3"/>
    <n v="26.523"/>
  </r>
  <r>
    <n v="400"/>
    <x v="11"/>
    <x v="193"/>
    <x v="7"/>
    <s v="Percent of GDP"/>
    <s v="Units"/>
    <x v="4"/>
    <n v="17.641999999999999"/>
  </r>
  <r>
    <n v="200"/>
    <x v="3"/>
    <x v="192"/>
    <x v="5"/>
    <s v="Percent of GDP"/>
    <s v="Units"/>
    <x v="0"/>
    <n v="29.896999999999998"/>
  </r>
  <r>
    <n v="200"/>
    <x v="3"/>
    <x v="192"/>
    <x v="5"/>
    <s v="Percent of GDP"/>
    <s v="Units"/>
    <x v="1"/>
    <n v="30.984999999999999"/>
  </r>
  <r>
    <n v="200"/>
    <x v="3"/>
    <x v="192"/>
    <x v="5"/>
    <s v="Percent of GDP"/>
    <s v="Units"/>
    <x v="2"/>
    <n v="10.577999999999999"/>
  </r>
  <r>
    <n v="200"/>
    <x v="3"/>
    <x v="192"/>
    <x v="5"/>
    <s v="Percent of GDP"/>
    <s v="Units"/>
    <x v="3"/>
    <n v="-13.612"/>
  </r>
  <r>
    <n v="1"/>
    <x v="2"/>
    <x v="189"/>
    <x v="8"/>
    <s v="Percent change"/>
    <s v="Units"/>
    <x v="0"/>
    <n v="-6.915"/>
  </r>
  <r>
    <n v="1"/>
    <x v="2"/>
    <x v="189"/>
    <x v="8"/>
    <s v="Percent change"/>
    <s v="Units"/>
    <x v="1"/>
    <n v="-25.907"/>
  </r>
  <r>
    <n v="1"/>
    <x v="2"/>
    <x v="189"/>
    <x v="8"/>
    <s v="Percent change"/>
    <s v="Units"/>
    <x v="2"/>
    <n v="-10"/>
  </r>
  <r>
    <n v="1"/>
    <x v="2"/>
    <x v="190"/>
    <x v="8"/>
    <s v="Percent change"/>
    <s v="Units"/>
    <x v="0"/>
    <n v="3.8359999999999999"/>
  </r>
  <r>
    <n v="200"/>
    <x v="3"/>
    <x v="191"/>
    <x v="5"/>
    <s v="Percent of GDP"/>
    <s v="Units"/>
    <x v="0"/>
    <n v="32.036999999999999"/>
  </r>
  <r>
    <n v="200"/>
    <x v="3"/>
    <x v="191"/>
    <x v="5"/>
    <s v="Percent of GDP"/>
    <s v="Units"/>
    <x v="1"/>
    <n v="31.577000000000002"/>
  </r>
  <r>
    <n v="200"/>
    <x v="3"/>
    <x v="191"/>
    <x v="5"/>
    <s v="Percent of GDP"/>
    <s v="Units"/>
    <x v="2"/>
    <n v="33.034999999999997"/>
  </r>
  <r>
    <n v="200"/>
    <x v="3"/>
    <x v="191"/>
    <x v="5"/>
    <s v="Percent of GDP"/>
    <s v="Units"/>
    <x v="3"/>
    <n v="33.427999999999997"/>
  </r>
  <r>
    <n v="603"/>
    <x v="12"/>
    <x v="190"/>
    <x v="3"/>
    <s v="Percent of GDP"/>
    <s v="Units"/>
    <x v="0"/>
    <n v="31.256"/>
  </r>
  <r>
    <n v="200"/>
    <x v="3"/>
    <x v="192"/>
    <x v="6"/>
    <s v="Percent change"/>
    <s v="Units"/>
    <x v="0"/>
    <n v="-7.077"/>
  </r>
  <r>
    <n v="200"/>
    <x v="3"/>
    <x v="192"/>
    <x v="6"/>
    <s v="Percent change"/>
    <s v="Units"/>
    <x v="1"/>
    <n v="-3.5640000000000001"/>
  </r>
  <r>
    <n v="200"/>
    <x v="3"/>
    <x v="193"/>
    <x v="1"/>
    <s v="Percent change"/>
    <s v="Units"/>
    <x v="0"/>
    <n v="1.5569999999999999"/>
  </r>
  <r>
    <n v="200"/>
    <x v="3"/>
    <x v="193"/>
    <x v="1"/>
    <s v="Percent change"/>
    <s v="Units"/>
    <x v="1"/>
    <n v="-0.71099999999999997"/>
  </r>
  <r>
    <n v="200"/>
    <x v="3"/>
    <x v="193"/>
    <x v="1"/>
    <s v="Percent change"/>
    <s v="Units"/>
    <x v="2"/>
    <n v="1.238"/>
  </r>
  <r>
    <n v="200"/>
    <x v="3"/>
    <x v="193"/>
    <x v="1"/>
    <s v="Percent change"/>
    <s v="Units"/>
    <x v="3"/>
    <n v="3.74"/>
  </r>
  <r>
    <n v="200"/>
    <x v="3"/>
    <x v="193"/>
    <x v="1"/>
    <s v="Percent change"/>
    <s v="Units"/>
    <x v="4"/>
    <n v="5.8719999999999999"/>
  </r>
  <r>
    <n v="200"/>
    <x v="3"/>
    <x v="191"/>
    <x v="1"/>
    <s v="Percent change"/>
    <s v="Units"/>
    <x v="0"/>
    <n v="4.3040000000000003"/>
  </r>
  <r>
    <n v="200"/>
    <x v="3"/>
    <x v="191"/>
    <x v="1"/>
    <s v="Percent change"/>
    <s v="Units"/>
    <x v="1"/>
    <n v="4.569"/>
  </r>
  <r>
    <n v="200"/>
    <x v="3"/>
    <x v="191"/>
    <x v="1"/>
    <s v="Percent change"/>
    <s v="Units"/>
    <x v="2"/>
    <n v="5.9539999999999997"/>
  </r>
  <r>
    <n v="200"/>
    <x v="3"/>
    <x v="191"/>
    <x v="1"/>
    <s v="Percent change"/>
    <s v="Units"/>
    <x v="3"/>
    <n v="45.213999999999999"/>
  </r>
  <r>
    <n v="200"/>
    <x v="3"/>
    <x v="189"/>
    <x v="1"/>
    <s v="Percent change"/>
    <s v="Units"/>
    <x v="0"/>
    <n v="2.891"/>
  </r>
  <r>
    <n v="200"/>
    <x v="3"/>
    <x v="189"/>
    <x v="1"/>
    <s v="Percent change"/>
    <s v="Units"/>
    <x v="1"/>
    <n v="84.88"/>
  </r>
  <r>
    <n v="200"/>
    <x v="3"/>
    <x v="189"/>
    <x v="1"/>
    <s v="Percent change"/>
    <s v="Units"/>
    <x v="2"/>
    <n v="154.75899999999999"/>
  </r>
  <r>
    <n v="200"/>
    <x v="3"/>
    <x v="189"/>
    <x v="1"/>
    <s v="Percent change"/>
    <s v="Units"/>
    <x v="3"/>
    <n v="171.19499999999999"/>
  </r>
  <r>
    <n v="603"/>
    <x v="12"/>
    <x v="190"/>
    <x v="9"/>
    <s v="Percent of GDP"/>
    <s v="Units"/>
    <x v="0"/>
    <n v="2.7170000000000001"/>
  </r>
  <r>
    <n v="400"/>
    <x v="11"/>
    <x v="189"/>
    <x v="1"/>
    <s v="Percent change"/>
    <s v="Units"/>
    <x v="0"/>
    <n v="2.891"/>
  </r>
  <r>
    <n v="400"/>
    <x v="11"/>
    <x v="189"/>
    <x v="1"/>
    <s v="Percent change"/>
    <s v="Units"/>
    <x v="1"/>
    <n v="84.88"/>
  </r>
  <r>
    <n v="400"/>
    <x v="11"/>
    <x v="189"/>
    <x v="1"/>
    <s v="Percent change"/>
    <s v="Units"/>
    <x v="2"/>
    <n v="154.75899999999999"/>
  </r>
  <r>
    <n v="400"/>
    <x v="11"/>
    <x v="189"/>
    <x v="1"/>
    <s v="Percent change"/>
    <s v="Units"/>
    <x v="3"/>
    <n v="171.19499999999999"/>
  </r>
  <r>
    <n v="200"/>
    <x v="3"/>
    <x v="192"/>
    <x v="1"/>
    <s v="Percent change"/>
    <s v="Units"/>
    <x v="0"/>
    <n v="2.302"/>
  </r>
  <r>
    <n v="200"/>
    <x v="3"/>
    <x v="192"/>
    <x v="1"/>
    <s v="Percent change"/>
    <s v="Units"/>
    <x v="1"/>
    <n v="5.6070000000000002"/>
  </r>
  <r>
    <n v="200"/>
    <x v="3"/>
    <x v="192"/>
    <x v="1"/>
    <s v="Percent change"/>
    <s v="Units"/>
    <x v="2"/>
    <n v="7.7619999999999996"/>
  </r>
  <r>
    <n v="200"/>
    <x v="3"/>
    <x v="192"/>
    <x v="1"/>
    <s v="Percent change"/>
    <s v="Units"/>
    <x v="3"/>
    <n v="10.6"/>
  </r>
  <r>
    <n v="400"/>
    <x v="11"/>
    <x v="192"/>
    <x v="1"/>
    <s v="Percent change"/>
    <s v="Units"/>
    <x v="0"/>
    <n v="2.302"/>
  </r>
  <r>
    <n v="400"/>
    <x v="11"/>
    <x v="192"/>
    <x v="1"/>
    <s v="Percent change"/>
    <s v="Units"/>
    <x v="1"/>
    <n v="5.6070000000000002"/>
  </r>
  <r>
    <n v="400"/>
    <x v="11"/>
    <x v="192"/>
    <x v="1"/>
    <s v="Percent change"/>
    <s v="Units"/>
    <x v="2"/>
    <n v="7.7619999999999996"/>
  </r>
  <r>
    <n v="400"/>
    <x v="11"/>
    <x v="192"/>
    <x v="1"/>
    <s v="Percent change"/>
    <s v="Units"/>
    <x v="3"/>
    <n v="10.6"/>
  </r>
  <r>
    <n v="200"/>
    <x v="3"/>
    <x v="190"/>
    <x v="1"/>
    <s v="Percent change"/>
    <s v="Units"/>
    <x v="0"/>
    <n v="1.3"/>
  </r>
  <r>
    <n v="200"/>
    <x v="3"/>
    <x v="193"/>
    <x v="7"/>
    <s v="Percent of GDP"/>
    <s v="Units"/>
    <x v="0"/>
    <n v="26.800999999999998"/>
  </r>
  <r>
    <n v="200"/>
    <x v="3"/>
    <x v="193"/>
    <x v="7"/>
    <s v="Percent of GDP"/>
    <s v="Units"/>
    <x v="1"/>
    <n v="24.303999999999998"/>
  </r>
  <r>
    <n v="200"/>
    <x v="3"/>
    <x v="193"/>
    <x v="7"/>
    <s v="Percent of GDP"/>
    <s v="Units"/>
    <x v="2"/>
    <n v="25.451000000000001"/>
  </r>
  <r>
    <n v="200"/>
    <x v="3"/>
    <x v="193"/>
    <x v="7"/>
    <s v="Percent of GDP"/>
    <s v="Units"/>
    <x v="3"/>
    <n v="26.523"/>
  </r>
  <r>
    <n v="200"/>
    <x v="3"/>
    <x v="193"/>
    <x v="7"/>
    <s v="Percent of GDP"/>
    <s v="Units"/>
    <x v="4"/>
    <n v="17.641999999999999"/>
  </r>
  <r>
    <n v="400"/>
    <x v="11"/>
    <x v="189"/>
    <x v="10"/>
    <s v="Percent"/>
    <s v="Units"/>
    <x v="0"/>
    <n v="7.5999999999999998E-2"/>
  </r>
  <r>
    <n v="400"/>
    <x v="11"/>
    <x v="189"/>
    <x v="10"/>
    <s v="Percent"/>
    <s v="Units"/>
    <x v="1"/>
    <n v="5.8000000000000003E-2"/>
  </r>
  <r>
    <n v="400"/>
    <x v="11"/>
    <x v="189"/>
    <x v="10"/>
    <s v="Percent"/>
    <s v="Units"/>
    <x v="2"/>
    <n v="4.9000000000000002E-2"/>
  </r>
  <r>
    <n v="400"/>
    <x v="11"/>
    <x v="189"/>
    <x v="10"/>
    <s v="Percent"/>
    <s v="Units"/>
    <x v="3"/>
    <n v="4.8000000000000001E-2"/>
  </r>
  <r>
    <n v="200"/>
    <x v="3"/>
    <x v="190"/>
    <x v="7"/>
    <s v="Percent of GDP"/>
    <s v="Units"/>
    <x v="0"/>
    <n v="5.0060000000000002"/>
  </r>
  <r>
    <n v="1"/>
    <x v="2"/>
    <x v="191"/>
    <x v="7"/>
    <s v="Percent of GDP"/>
    <s v="Units"/>
    <x v="0"/>
    <n v="34.109000000000002"/>
  </r>
  <r>
    <n v="1"/>
    <x v="2"/>
    <x v="191"/>
    <x v="7"/>
    <s v="Percent of GDP"/>
    <s v="Units"/>
    <x v="1"/>
    <n v="32.978999999999999"/>
  </r>
  <r>
    <n v="1"/>
    <x v="2"/>
    <x v="191"/>
    <x v="7"/>
    <s v="Percent of GDP"/>
    <s v="Units"/>
    <x v="2"/>
    <n v="36.744"/>
  </r>
  <r>
    <n v="1"/>
    <x v="2"/>
    <x v="191"/>
    <x v="7"/>
    <s v="Percent of GDP"/>
    <s v="Units"/>
    <x v="3"/>
    <n v="34.390999999999998"/>
  </r>
  <r>
    <n v="200"/>
    <x v="3"/>
    <x v="192"/>
    <x v="7"/>
    <s v="Percent of GDP"/>
    <s v="Units"/>
    <x v="0"/>
    <n v="18.192"/>
  </r>
  <r>
    <n v="200"/>
    <x v="3"/>
    <x v="192"/>
    <x v="7"/>
    <s v="Percent of GDP"/>
    <s v="Units"/>
    <x v="1"/>
    <n v="17.010999999999999"/>
  </r>
  <r>
    <n v="200"/>
    <x v="3"/>
    <x v="192"/>
    <x v="7"/>
    <s v="Percent of GDP"/>
    <s v="Units"/>
    <x v="2"/>
    <n v="10.936999999999999"/>
  </r>
  <r>
    <n v="200"/>
    <x v="3"/>
    <x v="192"/>
    <x v="7"/>
    <s v="Percent of GDP"/>
    <s v="Units"/>
    <x v="3"/>
    <n v="7.9509999999999996"/>
  </r>
  <r>
    <n v="200"/>
    <x v="3"/>
    <x v="193"/>
    <x v="10"/>
    <s v="Percent"/>
    <s v="Units"/>
    <x v="0"/>
    <n v="2.1999999999999999E-2"/>
  </r>
  <r>
    <n v="200"/>
    <x v="3"/>
    <x v="193"/>
    <x v="10"/>
    <s v="Percent"/>
    <s v="Units"/>
    <x v="1"/>
    <n v="0.02"/>
  </r>
  <r>
    <n v="200"/>
    <x v="3"/>
    <x v="193"/>
    <x v="10"/>
    <s v="Percent"/>
    <s v="Units"/>
    <x v="2"/>
    <n v="2.1000000000000001E-2"/>
  </r>
  <r>
    <n v="200"/>
    <x v="3"/>
    <x v="193"/>
    <x v="10"/>
    <s v="Percent"/>
    <s v="Units"/>
    <x v="3"/>
    <n v="2.1000000000000001E-2"/>
  </r>
  <r>
    <n v="200"/>
    <x v="3"/>
    <x v="193"/>
    <x v="10"/>
    <s v="Percent"/>
    <s v="Units"/>
    <x v="4"/>
    <n v="1.9E-2"/>
  </r>
  <r>
    <n v="200"/>
    <x v="3"/>
    <x v="191"/>
    <x v="10"/>
    <s v="Percent"/>
    <s v="Units"/>
    <x v="0"/>
    <n v="0.22800000000000001"/>
  </r>
  <r>
    <n v="200"/>
    <x v="3"/>
    <x v="191"/>
    <x v="10"/>
    <s v="Percent"/>
    <s v="Units"/>
    <x v="1"/>
    <n v="0.224"/>
  </r>
  <r>
    <n v="200"/>
    <x v="3"/>
    <x v="191"/>
    <x v="10"/>
    <s v="Percent"/>
    <s v="Units"/>
    <x v="2"/>
    <n v="0.218"/>
  </r>
  <r>
    <n v="200"/>
    <x v="3"/>
    <x v="191"/>
    <x v="10"/>
    <s v="Percent"/>
    <s v="Units"/>
    <x v="3"/>
    <n v="0.19400000000000001"/>
  </r>
  <r>
    <n v="400"/>
    <x v="11"/>
    <x v="193"/>
    <x v="0"/>
    <s v="U.S. dollars"/>
    <s v="Billions"/>
    <x v="0"/>
    <n v="17.134"/>
  </r>
  <r>
    <n v="400"/>
    <x v="11"/>
    <x v="193"/>
    <x v="0"/>
    <s v="U.S. dollars"/>
    <s v="Billions"/>
    <x v="1"/>
    <n v="15.532"/>
  </r>
  <r>
    <n v="400"/>
    <x v="11"/>
    <x v="193"/>
    <x v="0"/>
    <s v="U.S. dollars"/>
    <s v="Billions"/>
    <x v="2"/>
    <n v="18.109000000000002"/>
  </r>
  <r>
    <n v="400"/>
    <x v="11"/>
    <x v="193"/>
    <x v="0"/>
    <s v="U.S. dollars"/>
    <s v="Billions"/>
    <x v="3"/>
    <n v="19.166"/>
  </r>
  <r>
    <n v="400"/>
    <x v="11"/>
    <x v="193"/>
    <x v="0"/>
    <s v="U.S. dollars"/>
    <s v="Billions"/>
    <x v="4"/>
    <n v="18.602"/>
  </r>
  <r>
    <n v="1"/>
    <x v="2"/>
    <x v="193"/>
    <x v="7"/>
    <s v="Percent of GDP"/>
    <s v="Units"/>
    <x v="0"/>
    <n v="26.800999999999998"/>
  </r>
  <r>
    <n v="1"/>
    <x v="2"/>
    <x v="193"/>
    <x v="7"/>
    <s v="Percent of GDP"/>
    <s v="Units"/>
    <x v="1"/>
    <n v="24.303999999999998"/>
  </r>
  <r>
    <n v="1"/>
    <x v="2"/>
    <x v="193"/>
    <x v="7"/>
    <s v="Percent of GDP"/>
    <s v="Units"/>
    <x v="2"/>
    <n v="25.451000000000001"/>
  </r>
  <r>
    <n v="1"/>
    <x v="2"/>
    <x v="193"/>
    <x v="7"/>
    <s v="Percent of GDP"/>
    <s v="Units"/>
    <x v="3"/>
    <n v="26.523"/>
  </r>
  <r>
    <n v="1"/>
    <x v="2"/>
    <x v="193"/>
    <x v="7"/>
    <s v="Percent of GDP"/>
    <s v="Units"/>
    <x v="4"/>
    <n v="17.641999999999999"/>
  </r>
  <r>
    <n v="400"/>
    <x v="11"/>
    <x v="174"/>
    <x v="0"/>
    <s v="U.S. dollars"/>
    <s v="Billions"/>
    <x v="0"/>
    <n v="321.07100000000003"/>
  </r>
  <r>
    <n v="400"/>
    <x v="11"/>
    <x v="174"/>
    <x v="0"/>
    <s v="U.S. dollars"/>
    <s v="Billions"/>
    <x v="1"/>
    <n v="300.41000000000003"/>
  </r>
  <r>
    <n v="400"/>
    <x v="11"/>
    <x v="174"/>
    <x v="0"/>
    <s v="U.S. dollars"/>
    <s v="Billions"/>
    <x v="2"/>
    <n v="348.48099999999999"/>
  </r>
  <r>
    <n v="400"/>
    <x v="11"/>
    <x v="174"/>
    <x v="0"/>
    <s v="U.S. dollars"/>
    <s v="Billions"/>
    <x v="3"/>
    <n v="374.74799999999999"/>
  </r>
  <r>
    <n v="400"/>
    <x v="11"/>
    <x v="174"/>
    <x v="0"/>
    <s v="U.S. dollars"/>
    <s v="Billions"/>
    <x v="4"/>
    <n v="338.23700000000002"/>
  </r>
  <r>
    <n v="400"/>
    <x v="11"/>
    <x v="192"/>
    <x v="10"/>
    <s v="Percent"/>
    <s v="Units"/>
    <x v="0"/>
    <n v="0.06"/>
  </r>
  <r>
    <n v="400"/>
    <x v="11"/>
    <x v="192"/>
    <x v="10"/>
    <s v="Percent"/>
    <s v="Units"/>
    <x v="1"/>
    <n v="0.06"/>
  </r>
  <r>
    <n v="400"/>
    <x v="11"/>
    <x v="192"/>
    <x v="10"/>
    <s v="Percent"/>
    <s v="Units"/>
    <x v="2"/>
    <n v="4.9000000000000002E-2"/>
  </r>
  <r>
    <n v="400"/>
    <x v="11"/>
    <x v="192"/>
    <x v="10"/>
    <s v="Percent"/>
    <s v="Units"/>
    <x v="3"/>
    <n v="4.3999999999999997E-2"/>
  </r>
  <r>
    <n v="1"/>
    <x v="2"/>
    <x v="174"/>
    <x v="0"/>
    <s v="U.S. dollars"/>
    <s v="Billions"/>
    <x v="0"/>
    <n v="321.07100000000003"/>
  </r>
  <r>
    <n v="1"/>
    <x v="2"/>
    <x v="174"/>
    <x v="0"/>
    <s v="U.S. dollars"/>
    <s v="Billions"/>
    <x v="1"/>
    <n v="300.41000000000003"/>
  </r>
  <r>
    <n v="1"/>
    <x v="2"/>
    <x v="174"/>
    <x v="0"/>
    <s v="U.S. dollars"/>
    <s v="Billions"/>
    <x v="2"/>
    <n v="348.48099999999999"/>
  </r>
  <r>
    <n v="1"/>
    <x v="2"/>
    <x v="174"/>
    <x v="0"/>
    <s v="U.S. dollars"/>
    <s v="Billions"/>
    <x v="3"/>
    <n v="374.74799999999999"/>
  </r>
  <r>
    <n v="1"/>
    <x v="2"/>
    <x v="174"/>
    <x v="0"/>
    <s v="U.S. dollars"/>
    <s v="Billions"/>
    <x v="4"/>
    <n v="338.23700000000002"/>
  </r>
  <r>
    <n v="1"/>
    <x v="2"/>
    <x v="192"/>
    <x v="0"/>
    <s v="U.S. dollars"/>
    <s v="Billions"/>
    <x v="0"/>
    <n v="18.876000000000001"/>
  </r>
  <r>
    <n v="1"/>
    <x v="2"/>
    <x v="192"/>
    <x v="0"/>
    <s v="U.S. dollars"/>
    <s v="Billions"/>
    <x v="1"/>
    <n v="20.135999999999999"/>
  </r>
  <r>
    <n v="1"/>
    <x v="2"/>
    <x v="192"/>
    <x v="0"/>
    <s v="U.S. dollars"/>
    <s v="Billions"/>
    <x v="2"/>
    <n v="14.288"/>
  </r>
  <r>
    <n v="1"/>
    <x v="2"/>
    <x v="192"/>
    <x v="0"/>
    <s v="U.S. dollars"/>
    <s v="Billions"/>
    <x v="3"/>
    <n v="14.467000000000001"/>
  </r>
  <r>
    <n v="1"/>
    <x v="2"/>
    <x v="191"/>
    <x v="0"/>
    <s v="U.S. dollars"/>
    <s v="Billions"/>
    <x v="0"/>
    <n v="89.015000000000001"/>
  </r>
  <r>
    <n v="1"/>
    <x v="2"/>
    <x v="191"/>
    <x v="0"/>
    <s v="U.S. dollars"/>
    <s v="Billions"/>
    <x v="1"/>
    <n v="84.441000000000003"/>
  </r>
  <r>
    <n v="1"/>
    <x v="2"/>
    <x v="191"/>
    <x v="0"/>
    <s v="U.S. dollars"/>
    <s v="Billions"/>
    <x v="2"/>
    <n v="88.548000000000002"/>
  </r>
  <r>
    <n v="1"/>
    <x v="2"/>
    <x v="191"/>
    <x v="0"/>
    <s v="U.S. dollars"/>
    <s v="Billions"/>
    <x v="3"/>
    <n v="74.846000000000004"/>
  </r>
  <r>
    <n v="1"/>
    <x v="2"/>
    <x v="193"/>
    <x v="0"/>
    <s v="U.S. dollars"/>
    <s v="Billions"/>
    <x v="0"/>
    <n v="17.134"/>
  </r>
  <r>
    <n v="1"/>
    <x v="2"/>
    <x v="193"/>
    <x v="0"/>
    <s v="U.S. dollars"/>
    <s v="Billions"/>
    <x v="1"/>
    <n v="15.532"/>
  </r>
  <r>
    <n v="1"/>
    <x v="2"/>
    <x v="193"/>
    <x v="0"/>
    <s v="U.S. dollars"/>
    <s v="Billions"/>
    <x v="2"/>
    <n v="18.109000000000002"/>
  </r>
  <r>
    <n v="1"/>
    <x v="2"/>
    <x v="193"/>
    <x v="0"/>
    <s v="U.S. dollars"/>
    <s v="Billions"/>
    <x v="3"/>
    <n v="19.166"/>
  </r>
  <r>
    <n v="1"/>
    <x v="2"/>
    <x v="193"/>
    <x v="0"/>
    <s v="U.S. dollars"/>
    <s v="Billions"/>
    <x v="4"/>
    <n v="18.602"/>
  </r>
  <r>
    <n v="1"/>
    <x v="2"/>
    <x v="189"/>
    <x v="0"/>
    <s v="U.S. dollars"/>
    <s v="Billions"/>
    <x v="0"/>
    <n v="50.88"/>
  </r>
  <r>
    <n v="1"/>
    <x v="2"/>
    <x v="189"/>
    <x v="0"/>
    <s v="U.S. dollars"/>
    <s v="Billions"/>
    <x v="1"/>
    <n v="24.494"/>
  </r>
  <r>
    <n v="1"/>
    <x v="2"/>
    <x v="189"/>
    <x v="0"/>
    <s v="U.S. dollars"/>
    <s v="Billions"/>
    <x v="2"/>
    <n v="20.475999999999999"/>
  </r>
  <r>
    <n v="1"/>
    <x v="2"/>
    <x v="189"/>
    <x v="0"/>
    <s v="U.S. dollars"/>
    <s v="Billions"/>
    <x v="3"/>
    <n v="21.78"/>
  </r>
  <r>
    <n v="1"/>
    <x v="2"/>
    <x v="190"/>
    <x v="0"/>
    <s v="U.S. dollars"/>
    <s v="Billions"/>
    <x v="0"/>
    <n v="1.982"/>
  </r>
  <r>
    <n v="400"/>
    <x v="11"/>
    <x v="192"/>
    <x v="7"/>
    <s v="Percent of GDP"/>
    <s v="Units"/>
    <x v="0"/>
    <n v="18.192"/>
  </r>
  <r>
    <n v="400"/>
    <x v="11"/>
    <x v="192"/>
    <x v="7"/>
    <s v="Percent of GDP"/>
    <s v="Units"/>
    <x v="1"/>
    <n v="17.010999999999999"/>
  </r>
  <r>
    <n v="400"/>
    <x v="11"/>
    <x v="192"/>
    <x v="7"/>
    <s v="Percent of GDP"/>
    <s v="Units"/>
    <x v="2"/>
    <n v="10.936999999999999"/>
  </r>
  <r>
    <n v="400"/>
    <x v="11"/>
    <x v="192"/>
    <x v="7"/>
    <s v="Percent of GDP"/>
    <s v="Units"/>
    <x v="3"/>
    <n v="7.9509999999999996"/>
  </r>
  <r>
    <n v="200"/>
    <x v="3"/>
    <x v="191"/>
    <x v="7"/>
    <s v="Percent of GDP"/>
    <s v="Units"/>
    <x v="0"/>
    <n v="34.109000000000002"/>
  </r>
  <r>
    <n v="200"/>
    <x v="3"/>
    <x v="191"/>
    <x v="7"/>
    <s v="Percent of GDP"/>
    <s v="Units"/>
    <x v="1"/>
    <n v="32.978999999999999"/>
  </r>
  <r>
    <n v="200"/>
    <x v="3"/>
    <x v="191"/>
    <x v="7"/>
    <s v="Percent of GDP"/>
    <s v="Units"/>
    <x v="2"/>
    <n v="36.744"/>
  </r>
  <r>
    <n v="200"/>
    <x v="3"/>
    <x v="191"/>
    <x v="7"/>
    <s v="Percent of GDP"/>
    <s v="Units"/>
    <x v="3"/>
    <n v="34.390999999999998"/>
  </r>
  <r>
    <n v="400"/>
    <x v="11"/>
    <x v="193"/>
    <x v="10"/>
    <s v="Percent"/>
    <s v="Units"/>
    <x v="0"/>
    <n v="2.1999999999999999E-2"/>
  </r>
  <r>
    <n v="400"/>
    <x v="11"/>
    <x v="193"/>
    <x v="10"/>
    <s v="Percent"/>
    <s v="Units"/>
    <x v="1"/>
    <n v="0.02"/>
  </r>
  <r>
    <n v="400"/>
    <x v="11"/>
    <x v="193"/>
    <x v="10"/>
    <s v="Percent"/>
    <s v="Units"/>
    <x v="2"/>
    <n v="2.1000000000000001E-2"/>
  </r>
  <r>
    <n v="400"/>
    <x v="11"/>
    <x v="193"/>
    <x v="10"/>
    <s v="Percent"/>
    <s v="Units"/>
    <x v="3"/>
    <n v="2.1000000000000001E-2"/>
  </r>
  <r>
    <n v="400"/>
    <x v="11"/>
    <x v="193"/>
    <x v="10"/>
    <s v="Percent"/>
    <s v="Units"/>
    <x v="4"/>
    <n v="1.9E-2"/>
  </r>
  <r>
    <n v="1"/>
    <x v="2"/>
    <x v="192"/>
    <x v="7"/>
    <s v="Percent of GDP"/>
    <s v="Units"/>
    <x v="0"/>
    <n v="18.192"/>
  </r>
  <r>
    <n v="1"/>
    <x v="2"/>
    <x v="192"/>
    <x v="7"/>
    <s v="Percent of GDP"/>
    <s v="Units"/>
    <x v="1"/>
    <n v="17.010999999999999"/>
  </r>
  <r>
    <n v="1"/>
    <x v="2"/>
    <x v="192"/>
    <x v="7"/>
    <s v="Percent of GDP"/>
    <s v="Units"/>
    <x v="2"/>
    <n v="10.936999999999999"/>
  </r>
  <r>
    <n v="1"/>
    <x v="2"/>
    <x v="192"/>
    <x v="7"/>
    <s v="Percent of GDP"/>
    <s v="Units"/>
    <x v="3"/>
    <n v="7.950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82560-7BD8-4971-A825-F5871BE7620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254:B265" firstHeaderRow="1" firstDataRow="2" firstDataCol="1" rowPageCount="1" colPageCount="1"/>
  <pivotFields count="8">
    <pivotField showAll="0"/>
    <pivotField showAll="0"/>
    <pivotField axis="axisRow" showAll="0" measureFilter="1">
      <items count="195">
        <item x="192"/>
        <item x="154"/>
        <item x="49"/>
        <item x="127"/>
        <item x="75"/>
        <item x="132"/>
        <item x="23"/>
        <item x="157"/>
        <item x="169"/>
        <item x="12"/>
        <item x="27"/>
        <item x="86"/>
        <item x="108"/>
        <item x="35"/>
        <item x="159"/>
        <item x="91"/>
        <item x="21"/>
        <item x="177"/>
        <item x="144"/>
        <item x="130"/>
        <item x="106"/>
        <item x="121"/>
        <item x="146"/>
        <item x="7"/>
        <item x="149"/>
        <item x="70"/>
        <item x="164"/>
        <item x="129"/>
        <item x="152"/>
        <item x="112"/>
        <item x="102"/>
        <item x="9"/>
        <item x="186"/>
        <item x="185"/>
        <item x="43"/>
        <item x="1"/>
        <item x="39"/>
        <item x="182"/>
        <item x="74"/>
        <item x="80"/>
        <item x="78"/>
        <item x="118"/>
        <item x="44"/>
        <item x="89"/>
        <item x="37"/>
        <item x="183"/>
        <item x="114"/>
        <item x="63"/>
        <item x="66"/>
        <item x="42"/>
        <item x="140"/>
        <item x="171"/>
        <item x="190"/>
        <item x="115"/>
        <item x="161"/>
        <item x="56"/>
        <item x="147"/>
        <item x="45"/>
        <item x="6"/>
        <item x="138"/>
        <item x="145"/>
        <item x="2"/>
        <item x="87"/>
        <item x="53"/>
        <item x="111"/>
        <item x="68"/>
        <item x="173"/>
        <item x="184"/>
        <item x="120"/>
        <item x="176"/>
        <item x="131"/>
        <item x="38"/>
        <item x="55"/>
        <item x="113"/>
        <item x="4"/>
        <item x="15"/>
        <item x="50"/>
        <item x="24"/>
        <item x="34"/>
        <item x="28"/>
        <item x="8"/>
        <item x="151"/>
        <item x="3"/>
        <item x="101"/>
        <item x="47"/>
        <item x="71"/>
        <item x="64"/>
        <item x="13"/>
        <item x="150"/>
        <item x="58"/>
        <item x="119"/>
        <item x="181"/>
        <item x="110"/>
        <item x="189"/>
        <item x="103"/>
        <item x="172"/>
        <item x="95"/>
        <item x="84"/>
        <item x="76"/>
        <item x="100"/>
        <item x="179"/>
        <item x="162"/>
        <item x="36"/>
        <item x="123"/>
        <item x="170"/>
        <item x="128"/>
        <item x="92"/>
        <item x="134"/>
        <item x="166"/>
        <item x="11"/>
        <item x="96"/>
        <item x="133"/>
        <item x="143"/>
        <item x="116"/>
        <item x="59"/>
        <item x="104"/>
        <item x="93"/>
        <item x="136"/>
        <item x="62"/>
        <item x="117"/>
        <item x="51"/>
        <item x="167"/>
        <item x="94"/>
        <item x="52"/>
        <item x="135"/>
        <item x="30"/>
        <item x="69"/>
        <item x="174"/>
        <item x="88"/>
        <item x="79"/>
        <item x="148"/>
        <item x="109"/>
        <item x="48"/>
        <item x="32"/>
        <item x="19"/>
        <item x="46"/>
        <item x="67"/>
        <item x="54"/>
        <item x="153"/>
        <item x="41"/>
        <item x="10"/>
        <item x="158"/>
        <item x="142"/>
        <item x="180"/>
        <item x="165"/>
        <item x="17"/>
        <item x="125"/>
        <item x="83"/>
        <item x="141"/>
        <item x="126"/>
        <item x="31"/>
        <item x="61"/>
        <item x="90"/>
        <item x="156"/>
        <item x="188"/>
        <item x="40"/>
        <item x="98"/>
        <item x="14"/>
        <item x="191"/>
        <item x="124"/>
        <item x="178"/>
        <item x="137"/>
        <item x="60"/>
        <item x="105"/>
        <item x="22"/>
        <item x="18"/>
        <item x="20"/>
        <item x="155"/>
        <item x="85"/>
        <item x="26"/>
        <item x="175"/>
        <item x="168"/>
        <item x="77"/>
        <item x="163"/>
        <item x="107"/>
        <item x="160"/>
        <item x="99"/>
        <item x="16"/>
        <item x="82"/>
        <item x="65"/>
        <item x="97"/>
        <item x="57"/>
        <item x="29"/>
        <item x="5"/>
        <item x="0"/>
        <item x="81"/>
        <item x="73"/>
        <item x="122"/>
        <item x="72"/>
        <item x="33"/>
        <item x="193"/>
        <item x="187"/>
        <item x="139"/>
        <item x="25"/>
        <item t="default"/>
      </items>
    </pivotField>
    <pivotField axis="axisCol" showAll="0">
      <items count="15">
        <item h="1" x="9"/>
        <item h="1" x="2"/>
        <item h="1" x="12"/>
        <item h="1" x="3"/>
        <item h="1" x="10"/>
        <item x="8"/>
        <item h="1" x="0"/>
        <item h="1" x="5"/>
        <item h="1" x="1"/>
        <item h="1" x="7"/>
        <item h="1" x="13"/>
        <item h="1" x="11"/>
        <item h="1" x="4"/>
        <item h="1" x="6"/>
        <item t="default"/>
      </items>
    </pivotField>
    <pivotField showAll="0"/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10">
    <i>
      <x v="13"/>
    </i>
    <i>
      <x v="18"/>
    </i>
    <i>
      <x v="55"/>
    </i>
    <i>
      <x v="68"/>
    </i>
    <i>
      <x v="77"/>
    </i>
    <i>
      <x v="99"/>
    </i>
    <i>
      <x v="103"/>
    </i>
    <i>
      <x v="105"/>
    </i>
    <i>
      <x v="141"/>
    </i>
    <i>
      <x v="167"/>
    </i>
  </rowItems>
  <colFields count="1">
    <field x="3"/>
  </colFields>
  <colItems count="1">
    <i>
      <x v="5"/>
    </i>
  </colItems>
  <pageFields count="1">
    <pageField fld="6" hier="-1"/>
  </pageFields>
  <dataFields count="1">
    <dataField name="Sum of Val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8ACB9-E3D7-4CF6-B208-B1AAF5992C34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268:B279" firstHeaderRow="1" firstDataRow="2" firstDataCol="1" rowPageCount="1" colPageCount="1"/>
  <pivotFields count="8">
    <pivotField showAll="0"/>
    <pivotField showAll="0"/>
    <pivotField axis="axisRow" showAll="0" measureFilter="1">
      <items count="195">
        <item x="192"/>
        <item x="154"/>
        <item x="49"/>
        <item x="127"/>
        <item x="75"/>
        <item x="132"/>
        <item x="23"/>
        <item x="157"/>
        <item x="169"/>
        <item x="12"/>
        <item x="27"/>
        <item x="86"/>
        <item x="108"/>
        <item x="35"/>
        <item x="159"/>
        <item x="91"/>
        <item x="21"/>
        <item x="177"/>
        <item x="144"/>
        <item x="130"/>
        <item x="106"/>
        <item x="121"/>
        <item x="146"/>
        <item x="7"/>
        <item x="149"/>
        <item x="70"/>
        <item x="164"/>
        <item x="129"/>
        <item x="152"/>
        <item x="112"/>
        <item x="102"/>
        <item x="9"/>
        <item x="186"/>
        <item x="185"/>
        <item x="43"/>
        <item x="1"/>
        <item x="39"/>
        <item x="182"/>
        <item x="74"/>
        <item x="80"/>
        <item x="78"/>
        <item x="118"/>
        <item x="44"/>
        <item x="89"/>
        <item x="37"/>
        <item x="183"/>
        <item x="114"/>
        <item x="63"/>
        <item x="66"/>
        <item x="42"/>
        <item x="140"/>
        <item x="171"/>
        <item x="190"/>
        <item x="115"/>
        <item x="161"/>
        <item x="56"/>
        <item x="147"/>
        <item x="45"/>
        <item x="6"/>
        <item x="138"/>
        <item x="145"/>
        <item x="2"/>
        <item x="87"/>
        <item x="53"/>
        <item x="111"/>
        <item x="68"/>
        <item x="173"/>
        <item x="184"/>
        <item x="120"/>
        <item x="176"/>
        <item x="131"/>
        <item x="38"/>
        <item x="55"/>
        <item x="113"/>
        <item x="4"/>
        <item x="15"/>
        <item x="50"/>
        <item x="24"/>
        <item x="34"/>
        <item x="28"/>
        <item x="8"/>
        <item x="151"/>
        <item x="3"/>
        <item x="101"/>
        <item x="47"/>
        <item x="71"/>
        <item x="64"/>
        <item x="13"/>
        <item x="150"/>
        <item x="58"/>
        <item x="119"/>
        <item x="181"/>
        <item x="110"/>
        <item x="189"/>
        <item x="103"/>
        <item x="172"/>
        <item x="95"/>
        <item x="84"/>
        <item x="76"/>
        <item x="100"/>
        <item x="179"/>
        <item x="162"/>
        <item x="36"/>
        <item x="123"/>
        <item x="170"/>
        <item x="128"/>
        <item x="92"/>
        <item x="134"/>
        <item x="166"/>
        <item x="11"/>
        <item x="96"/>
        <item x="133"/>
        <item x="143"/>
        <item x="116"/>
        <item x="59"/>
        <item x="104"/>
        <item x="93"/>
        <item x="136"/>
        <item x="62"/>
        <item x="117"/>
        <item x="51"/>
        <item x="167"/>
        <item x="94"/>
        <item x="52"/>
        <item x="135"/>
        <item x="30"/>
        <item x="69"/>
        <item x="174"/>
        <item x="88"/>
        <item x="79"/>
        <item x="148"/>
        <item x="109"/>
        <item x="48"/>
        <item x="32"/>
        <item x="19"/>
        <item x="46"/>
        <item x="67"/>
        <item x="54"/>
        <item x="153"/>
        <item x="41"/>
        <item x="10"/>
        <item x="158"/>
        <item x="142"/>
        <item x="180"/>
        <item x="165"/>
        <item x="17"/>
        <item x="125"/>
        <item x="83"/>
        <item x="141"/>
        <item x="126"/>
        <item x="31"/>
        <item x="61"/>
        <item x="90"/>
        <item x="156"/>
        <item x="188"/>
        <item x="40"/>
        <item x="98"/>
        <item x="14"/>
        <item x="191"/>
        <item x="124"/>
        <item x="178"/>
        <item x="137"/>
        <item x="60"/>
        <item x="105"/>
        <item x="22"/>
        <item x="18"/>
        <item x="20"/>
        <item x="155"/>
        <item x="85"/>
        <item x="26"/>
        <item x="175"/>
        <item x="168"/>
        <item x="77"/>
        <item x="163"/>
        <item x="107"/>
        <item x="160"/>
        <item x="99"/>
        <item x="16"/>
        <item x="82"/>
        <item x="65"/>
        <item x="97"/>
        <item x="57"/>
        <item x="29"/>
        <item x="5"/>
        <item x="0"/>
        <item x="81"/>
        <item x="73"/>
        <item x="122"/>
        <item x="72"/>
        <item x="33"/>
        <item x="193"/>
        <item x="187"/>
        <item x="139"/>
        <item x="25"/>
        <item t="default"/>
      </items>
    </pivotField>
    <pivotField axis="axisCol" showAll="0">
      <items count="15">
        <item x="9"/>
        <item h="1" x="2"/>
        <item h="1" x="12"/>
        <item h="1" x="3"/>
        <item h="1" x="10"/>
        <item h="1" x="8"/>
        <item h="1" x="0"/>
        <item h="1" x="5"/>
        <item h="1" x="1"/>
        <item h="1" x="7"/>
        <item h="1" x="13"/>
        <item h="1" x="11"/>
        <item h="1" x="4"/>
        <item h="1" x="6"/>
        <item t="default"/>
      </items>
    </pivotField>
    <pivotField showAll="0"/>
    <pivotField showAll="0"/>
    <pivotField axis="axisPage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10">
    <i>
      <x v="12"/>
    </i>
    <i>
      <x v="24"/>
    </i>
    <i>
      <x v="58"/>
    </i>
    <i>
      <x v="62"/>
    </i>
    <i>
      <x v="74"/>
    </i>
    <i>
      <x v="80"/>
    </i>
    <i>
      <x v="103"/>
    </i>
    <i>
      <x v="139"/>
    </i>
    <i>
      <x v="172"/>
    </i>
    <i>
      <x v="181"/>
    </i>
  </rowItems>
  <colFields count="1">
    <field x="3"/>
  </colFields>
  <colItems count="1">
    <i>
      <x/>
    </i>
  </colItems>
  <pageFields count="1">
    <pageField fld="6" hier="-1"/>
  </pageFields>
  <dataFields count="1">
    <dataField name="Sum of Val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E2A04-874E-4795-9BED-5B4749B6430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1:B19" firstHeaderRow="1" firstDataRow="2" firstDataCol="1" rowPageCount="1" colPageCount="1"/>
  <pivotFields count="8">
    <pivotField showAll="0"/>
    <pivotField axis="axisPage" showAll="0">
      <items count="14">
        <item x="0"/>
        <item x="10"/>
        <item x="4"/>
        <item x="8"/>
        <item x="3"/>
        <item x="5"/>
        <item x="6"/>
        <item x="7"/>
        <item x="1"/>
        <item x="11"/>
        <item x="9"/>
        <item x="12"/>
        <item x="2"/>
        <item t="default"/>
      </items>
    </pivotField>
    <pivotField showAll="0"/>
    <pivotField axis="axisCol" showAll="0">
      <items count="15">
        <item h="1" x="9"/>
        <item h="1" x="2"/>
        <item h="1" x="12"/>
        <item h="1" x="3"/>
        <item h="1" x="10"/>
        <item h="1" x="8"/>
        <item h="1" x="0"/>
        <item h="1" x="5"/>
        <item h="1" x="1"/>
        <item x="7"/>
        <item h="1" x="13"/>
        <item h="1" x="11"/>
        <item h="1" x="4"/>
        <item h="1" x="6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3"/>
  </colFields>
  <colItems count="1">
    <i>
      <x v="9"/>
    </i>
  </colItems>
  <pageFields count="1">
    <pageField fld="1" hier="-1"/>
  </pageFields>
  <dataFields count="1">
    <dataField name="Average of Value" fld="7" subtotal="average" baseField="6" baseItem="0"/>
  </dataFields>
  <chartFormats count="1">
    <chartFormat chart="1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FDE8C-B77B-4AB5-9223-3CAA025AC106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237:B248" firstHeaderRow="1" firstDataRow="2" firstDataCol="1" rowPageCount="1" colPageCount="1"/>
  <pivotFields count="8">
    <pivotField showAll="0" defaultSubtotal="0"/>
    <pivotField showAll="0" defaultSubtotal="0"/>
    <pivotField axis="axisRow" showAll="0" measureFilter="1" defaultSubtotal="0">
      <items count="194">
        <item x="192"/>
        <item x="154"/>
        <item x="49"/>
        <item x="127"/>
        <item x="75"/>
        <item x="132"/>
        <item x="23"/>
        <item x="157"/>
        <item x="169"/>
        <item x="12"/>
        <item x="27"/>
        <item x="86"/>
        <item x="108"/>
        <item x="35"/>
        <item x="159"/>
        <item x="91"/>
        <item x="21"/>
        <item x="177"/>
        <item x="144"/>
        <item x="130"/>
        <item x="106"/>
        <item x="121"/>
        <item x="146"/>
        <item x="7"/>
        <item x="149"/>
        <item x="70"/>
        <item x="164"/>
        <item x="129"/>
        <item x="152"/>
        <item x="112"/>
        <item x="102"/>
        <item x="9"/>
        <item x="186"/>
        <item x="185"/>
        <item x="43"/>
        <item x="1"/>
        <item x="39"/>
        <item x="182"/>
        <item x="74"/>
        <item x="80"/>
        <item x="78"/>
        <item x="118"/>
        <item x="44"/>
        <item x="89"/>
        <item x="37"/>
        <item x="183"/>
        <item x="114"/>
        <item x="63"/>
        <item x="66"/>
        <item x="42"/>
        <item x="140"/>
        <item x="171"/>
        <item x="190"/>
        <item x="115"/>
        <item x="161"/>
        <item x="56"/>
        <item x="147"/>
        <item x="45"/>
        <item x="6"/>
        <item x="138"/>
        <item x="145"/>
        <item x="2"/>
        <item x="87"/>
        <item x="53"/>
        <item x="111"/>
        <item x="68"/>
        <item x="173"/>
        <item x="184"/>
        <item x="120"/>
        <item x="176"/>
        <item x="131"/>
        <item x="38"/>
        <item x="55"/>
        <item x="113"/>
        <item x="4"/>
        <item x="15"/>
        <item x="50"/>
        <item x="24"/>
        <item x="34"/>
        <item x="28"/>
        <item x="8"/>
        <item x="151"/>
        <item x="3"/>
        <item x="101"/>
        <item x="47"/>
        <item x="71"/>
        <item x="64"/>
        <item x="13"/>
        <item x="150"/>
        <item x="58"/>
        <item x="119"/>
        <item x="181"/>
        <item x="110"/>
        <item x="189"/>
        <item x="103"/>
        <item x="172"/>
        <item x="95"/>
        <item x="84"/>
        <item x="76"/>
        <item x="100"/>
        <item x="179"/>
        <item x="162"/>
        <item x="36"/>
        <item x="123"/>
        <item x="170"/>
        <item x="128"/>
        <item x="92"/>
        <item x="134"/>
        <item x="166"/>
        <item x="11"/>
        <item x="96"/>
        <item x="133"/>
        <item x="143"/>
        <item x="116"/>
        <item x="59"/>
        <item x="104"/>
        <item x="93"/>
        <item x="136"/>
        <item x="62"/>
        <item x="117"/>
        <item x="51"/>
        <item x="167"/>
        <item x="94"/>
        <item x="52"/>
        <item x="135"/>
        <item x="30"/>
        <item x="69"/>
        <item x="174"/>
        <item x="88"/>
        <item x="79"/>
        <item x="148"/>
        <item x="109"/>
        <item x="48"/>
        <item x="32"/>
        <item x="19"/>
        <item x="46"/>
        <item x="67"/>
        <item x="54"/>
        <item x="153"/>
        <item x="41"/>
        <item x="10"/>
        <item x="158"/>
        <item x="142"/>
        <item x="180"/>
        <item x="165"/>
        <item x="17"/>
        <item x="125"/>
        <item x="83"/>
        <item x="141"/>
        <item x="126"/>
        <item x="31"/>
        <item x="61"/>
        <item x="90"/>
        <item x="156"/>
        <item x="188"/>
        <item x="40"/>
        <item x="98"/>
        <item x="14"/>
        <item x="191"/>
        <item x="124"/>
        <item x="178"/>
        <item x="137"/>
        <item x="60"/>
        <item x="105"/>
        <item x="22"/>
        <item x="18"/>
        <item x="20"/>
        <item x="155"/>
        <item x="85"/>
        <item x="26"/>
        <item x="175"/>
        <item x="168"/>
        <item x="77"/>
        <item x="163"/>
        <item x="107"/>
        <item x="160"/>
        <item x="99"/>
        <item x="16"/>
        <item x="82"/>
        <item x="65"/>
        <item x="97"/>
        <item x="57"/>
        <item x="29"/>
        <item x="5"/>
        <item x="0"/>
        <item x="81"/>
        <item x="73"/>
        <item x="122"/>
        <item x="72"/>
        <item x="33"/>
        <item x="193"/>
        <item x="187"/>
        <item x="139"/>
        <item x="25"/>
      </items>
    </pivotField>
    <pivotField axis="axisCol" showAll="0" defaultSubtotal="0">
      <items count="14">
        <item h="1" x="9"/>
        <item h="1" x="2"/>
        <item h="1" x="12"/>
        <item h="1" x="3"/>
        <item x="10"/>
        <item h="1" x="8"/>
        <item h="1" x="0"/>
        <item h="1" x="5"/>
        <item h="1" x="1"/>
        <item h="1" x="7"/>
        <item h="1" x="13"/>
        <item h="1" x="11"/>
        <item h="1" x="4"/>
        <item h="1" x="6"/>
      </items>
    </pivotField>
    <pivotField showAll="0" defaultSubtotal="0"/>
    <pivotField showAll="0" defaultSubtotal="0"/>
    <pivotField axis="axisPage" multipleItemSelectionAllowed="1" showAll="0" defaultSubtotal="0">
      <items count="7">
        <item x="0"/>
        <item x="1"/>
        <item x="2"/>
        <item x="3"/>
        <item x="4"/>
        <item x="5"/>
        <item x="6"/>
      </items>
    </pivotField>
    <pivotField dataField="1" showAll="0" defaultSubtotal="0"/>
  </pivotFields>
  <rowFields count="1">
    <field x="2"/>
  </rowFields>
  <rowItems count="10">
    <i>
      <x v="23"/>
    </i>
    <i>
      <x v="35"/>
    </i>
    <i>
      <x v="58"/>
    </i>
    <i>
      <x v="61"/>
    </i>
    <i>
      <x v="74"/>
    </i>
    <i>
      <x v="75"/>
    </i>
    <i>
      <x v="80"/>
    </i>
    <i>
      <x v="82"/>
    </i>
    <i>
      <x v="140"/>
    </i>
    <i>
      <x v="184"/>
    </i>
  </rowItems>
  <colFields count="1">
    <field x="3"/>
  </colFields>
  <colItems count="1">
    <i>
      <x v="4"/>
    </i>
  </colItems>
  <pageFields count="1">
    <pageField fld="6" hier="-1"/>
  </pageFields>
  <dataFields count="1">
    <dataField name="Sum of Value" fld="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9"/>
  <sheetViews>
    <sheetView tabSelected="1" topLeftCell="A208" workbookViewId="0">
      <selection activeCell="E237" sqref="E237"/>
    </sheetView>
  </sheetViews>
  <sheetFormatPr defaultRowHeight="14.5" x14ac:dyDescent="0.35"/>
  <cols>
    <col min="1" max="1" width="16.6328125" bestFit="1" customWidth="1"/>
    <col min="2" max="2" width="37.90625" bestFit="1" customWidth="1"/>
    <col min="3" max="3" width="10.7265625" bestFit="1" customWidth="1"/>
    <col min="4" max="4" width="34.08984375" bestFit="1" customWidth="1"/>
    <col min="5" max="5" width="33.6328125" bestFit="1" customWidth="1"/>
    <col min="6" max="6" width="73.26953125" bestFit="1" customWidth="1"/>
    <col min="7" max="7" width="35" bestFit="1" customWidth="1"/>
    <col min="8" max="8" width="33.81640625" bestFit="1" customWidth="1"/>
    <col min="9" max="9" width="19.54296875" bestFit="1" customWidth="1"/>
    <col min="10" max="10" width="30" bestFit="1" customWidth="1"/>
    <col min="11" max="12" width="10.36328125" bestFit="1" customWidth="1"/>
    <col min="13" max="13" width="17.90625" bestFit="1" customWidth="1"/>
    <col min="14" max="14" width="35.08984375" bestFit="1" customWidth="1"/>
    <col min="15" max="15" width="35.26953125" bestFit="1" customWidth="1"/>
    <col min="16" max="16" width="11.81640625" bestFit="1" customWidth="1"/>
  </cols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t="s">
        <v>1</v>
      </c>
      <c r="C2">
        <f>AVERAGEIFS([1]!Weo_Data[Value],[1]!Weo_Data[Country Group Name],"*World*",[1]!Weo_Data[Subject Descriptor],"*inflation*,*average consumer prices*",[1]!Weo_Data[Years],2025)</f>
        <v>9.1514656084656139</v>
      </c>
    </row>
    <row r="3" spans="1:6" x14ac:dyDescent="0.35">
      <c r="A3" t="s">
        <v>2</v>
      </c>
      <c r="C3">
        <f>AVERAGEIFS([1]!Weo_Data[Value],[1]!Weo_Data[Country Group Name],"*World*",[1]!Weo_Data[Subject Descriptor],"Investment",[1]!Weo_Data[Years],2025)</f>
        <v>23.565797619047608</v>
      </c>
    </row>
    <row r="4" spans="1:6" x14ac:dyDescent="0.35">
      <c r="A4" t="s">
        <v>3</v>
      </c>
      <c r="C4">
        <f>AVERAGEIFS([1]!Weo_Data[Value],[1]!Weo_Data[Country Group Name],"*World*",[1]!Weo_Data[Subject Descriptor],"*gross national savings*",[1]!Weo_Data[Years],2025)</f>
        <v>21.767890909090909</v>
      </c>
    </row>
    <row r="5" spans="1:6" x14ac:dyDescent="0.35">
      <c r="A5" t="s">
        <v>4</v>
      </c>
      <c r="C5">
        <f>COUNTA(_xlfn.UNIQUE([1]!Weo_Data[Country Name]))</f>
        <v>194</v>
      </c>
    </row>
    <row r="8" spans="1:6" x14ac:dyDescent="0.35">
      <c r="A8" s="1" t="s">
        <v>5</v>
      </c>
      <c r="B8" s="2"/>
      <c r="C8" s="2"/>
      <c r="D8" s="2"/>
      <c r="E8" s="2"/>
      <c r="F8" s="2"/>
    </row>
    <row r="9" spans="1:6" x14ac:dyDescent="0.35">
      <c r="A9" s="6" t="s">
        <v>6</v>
      </c>
      <c r="B9" t="s">
        <v>7</v>
      </c>
    </row>
    <row r="11" spans="1:6" x14ac:dyDescent="0.35">
      <c r="A11" s="6" t="s">
        <v>8</v>
      </c>
      <c r="B11" s="6" t="s">
        <v>9</v>
      </c>
    </row>
    <row r="12" spans="1:6" x14ac:dyDescent="0.35">
      <c r="A12" s="6" t="s">
        <v>10</v>
      </c>
      <c r="B12" t="s">
        <v>11</v>
      </c>
    </row>
    <row r="13" spans="1:6" x14ac:dyDescent="0.35">
      <c r="A13" s="3" t="s">
        <v>12</v>
      </c>
      <c r="B13">
        <v>24.019670909090902</v>
      </c>
    </row>
    <row r="14" spans="1:6" x14ac:dyDescent="0.35">
      <c r="A14" s="3" t="s">
        <v>13</v>
      </c>
      <c r="B14">
        <v>23.503383912248651</v>
      </c>
    </row>
    <row r="15" spans="1:6" x14ac:dyDescent="0.35">
      <c r="A15" s="3" t="s">
        <v>14</v>
      </c>
      <c r="B15">
        <v>24.553976234003677</v>
      </c>
    </row>
    <row r="16" spans="1:6" x14ac:dyDescent="0.35">
      <c r="A16" s="3" t="s">
        <v>15</v>
      </c>
      <c r="B16">
        <v>24.736967093235847</v>
      </c>
    </row>
    <row r="17" spans="1:6" x14ac:dyDescent="0.35">
      <c r="A17" s="3" t="s">
        <v>16</v>
      </c>
      <c r="B17">
        <v>23.531467652495397</v>
      </c>
    </row>
    <row r="18" spans="1:6" x14ac:dyDescent="0.35">
      <c r="A18" s="3" t="s">
        <v>17</v>
      </c>
      <c r="B18">
        <v>23.429500000000015</v>
      </c>
    </row>
    <row r="19" spans="1:6" x14ac:dyDescent="0.35">
      <c r="A19" s="3" t="s">
        <v>18</v>
      </c>
      <c r="B19">
        <v>23.535938661710063</v>
      </c>
    </row>
    <row r="21" spans="1:6" x14ac:dyDescent="0.35">
      <c r="A21" s="1" t="s">
        <v>19</v>
      </c>
      <c r="B21" s="2"/>
      <c r="C21" s="2"/>
      <c r="D21" s="2"/>
      <c r="E21" s="2"/>
      <c r="F21" s="2"/>
    </row>
    <row r="24" spans="1:6" s="4" customFormat="1" x14ac:dyDescent="0.35">
      <c r="A24" s="4" t="s">
        <v>20</v>
      </c>
      <c r="B24" s="4" t="s">
        <v>21</v>
      </c>
      <c r="C24" s="4" t="s">
        <v>22</v>
      </c>
      <c r="D24" s="4" t="s">
        <v>23</v>
      </c>
    </row>
    <row r="25" spans="1:6" x14ac:dyDescent="0.35">
      <c r="A25" t="str" cm="1">
        <f t="array" ref="A25:A31">_xlfn.UNIQUE([1]!Weo_Data[Years])</f>
        <v>2019</v>
      </c>
      <c r="B25">
        <f>AVERAGEIFS([1]!Weo_Data[Value],[1]!Weo_Data[Subject Descriptor],"Unemployment Rate",[1]!Weo_Data[Years],A25)</f>
        <v>5.4951325301204843</v>
      </c>
      <c r="C25">
        <f>AVERAGEIFS([1]!Weo_Data[Value],[1]!Weo_Data[Subject Descriptor],"Inflation,*average consumer prices*",[1]!Weo_Data[Years],A25)</f>
        <v>101.96773863636349</v>
      </c>
      <c r="D25">
        <f>B25+C25</f>
        <v>107.46287116648398</v>
      </c>
    </row>
    <row r="26" spans="1:6" x14ac:dyDescent="0.35">
      <c r="A26" t="str">
        <v>2020</v>
      </c>
      <c r="B26">
        <f>AVERAGEIFS([1]!Weo_Data[Value],[1]!Weo_Data[Subject Descriptor],"Unemployment Rate",[1]!Weo_Data[Years],A26)</f>
        <v>6.4385060240963821</v>
      </c>
      <c r="C26">
        <f>AVERAGEIFS([1]!Weo_Data[Value],[1]!Weo_Data[Subject Descriptor],"Inflation,*average consumer prices*",[1]!Weo_Data[Years],A26)</f>
        <v>18.869471451876063</v>
      </c>
      <c r="D26">
        <f t="shared" ref="D26:D31" si="0">B26+C26</f>
        <v>25.307977475972443</v>
      </c>
    </row>
    <row r="27" spans="1:6" x14ac:dyDescent="0.35">
      <c r="A27" t="str">
        <v>2021</v>
      </c>
      <c r="B27">
        <f>AVERAGEIFS([1]!Weo_Data[Value],[1]!Weo_Data[Subject Descriptor],"Unemployment Rate",[1]!Weo_Data[Years],A27)</f>
        <v>6.0313373493975915</v>
      </c>
      <c r="C27">
        <f>AVERAGEIFS([1]!Weo_Data[Value],[1]!Weo_Data[Subject Descriptor],"Inflation,*average consumer prices*",[1]!Weo_Data[Years],A27)</f>
        <v>15.88443882544861</v>
      </c>
      <c r="D27">
        <f t="shared" si="0"/>
        <v>21.915776174846201</v>
      </c>
    </row>
    <row r="28" spans="1:6" x14ac:dyDescent="0.35">
      <c r="A28" t="str">
        <v>2022</v>
      </c>
      <c r="B28">
        <f>AVERAGEIFS([1]!Weo_Data[Value],[1]!Weo_Data[Subject Descriptor],"Unemployment Rate",[1]!Weo_Data[Years],A28)</f>
        <v>5.0375421686746993</v>
      </c>
      <c r="C28">
        <f>AVERAGEIFS([1]!Weo_Data[Value],[1]!Weo_Data[Subject Descriptor],"Inflation,*average consumer prices*",[1]!Weo_Data[Years],A28)</f>
        <v>13.401991843393164</v>
      </c>
      <c r="D28">
        <f t="shared" si="0"/>
        <v>18.439534012067863</v>
      </c>
    </row>
    <row r="29" spans="1:6" x14ac:dyDescent="0.35">
      <c r="A29" t="str">
        <v>2023</v>
      </c>
      <c r="B29">
        <f>AVERAGEIFS([1]!Weo_Data[Value],[1]!Weo_Data[Subject Descriptor],"Unemployment Rate",[1]!Weo_Data[Years],A29)</f>
        <v>4.9345903614457827</v>
      </c>
      <c r="C29">
        <f>AVERAGEIFS([1]!Weo_Data[Value],[1]!Weo_Data[Subject Descriptor],"Inflation,*average consumer prices*",[1]!Weo_Data[Years],A29)</f>
        <v>14.545793046357597</v>
      </c>
      <c r="D29">
        <f t="shared" si="0"/>
        <v>19.48038340780338</v>
      </c>
    </row>
    <row r="30" spans="1:6" x14ac:dyDescent="0.35">
      <c r="A30" t="str">
        <v>2024</v>
      </c>
      <c r="B30">
        <f>AVERAGEIFS([1]!Weo_Data[Value],[1]!Weo_Data[Subject Descriptor],"Unemployment Rate",[1]!Weo_Data[Years],A30)</f>
        <v>5.0544698795180727</v>
      </c>
      <c r="C30">
        <f>AVERAGEIFS([1]!Weo_Data[Value],[1]!Weo_Data[Subject Descriptor],"Inflation,*average consumer prices*",[1]!Weo_Data[Years],A30)</f>
        <v>11.191695507487522</v>
      </c>
      <c r="D30">
        <f t="shared" si="0"/>
        <v>16.246165387005593</v>
      </c>
    </row>
    <row r="31" spans="1:6" x14ac:dyDescent="0.35">
      <c r="A31" t="str">
        <v>2025</v>
      </c>
      <c r="B31">
        <f>AVERAGEIFS([1]!Weo_Data[Value],[1]!Weo_Data[Subject Descriptor],"Unemployment Rate",[1]!Weo_Data[Years],A31)</f>
        <v>5.0045180722891578</v>
      </c>
      <c r="C31">
        <f>AVERAGEIFS([1]!Weo_Data[Value],[1]!Weo_Data[Subject Descriptor],"Inflation,*average consumer prices*",[1]!Weo_Data[Years],A31)</f>
        <v>8.7729034941763757</v>
      </c>
      <c r="D31">
        <f t="shared" si="0"/>
        <v>13.777421566465534</v>
      </c>
    </row>
    <row r="34" spans="1:6" x14ac:dyDescent="0.35">
      <c r="A34" s="1" t="s">
        <v>19</v>
      </c>
      <c r="B34" s="2"/>
      <c r="C34" s="2"/>
      <c r="D34" s="2"/>
      <c r="E34" s="2"/>
      <c r="F34" s="2"/>
    </row>
    <row r="36" spans="1:6" x14ac:dyDescent="0.35">
      <c r="A36" t="s">
        <v>24</v>
      </c>
      <c r="B36" t="s">
        <v>25</v>
      </c>
      <c r="C36" t="s">
        <v>22</v>
      </c>
      <c r="D36" t="s">
        <v>26</v>
      </c>
      <c r="E36" s="5" t="s">
        <v>27</v>
      </c>
      <c r="F36" s="5" t="s">
        <v>28</v>
      </c>
    </row>
    <row r="37" spans="1:6" x14ac:dyDescent="0.35">
      <c r="A37" t="str" cm="1">
        <f t="array" ref="A37:A230">_xlfn.UNIQUE([1]!Weo_Data[Country Name])</f>
        <v>United States</v>
      </c>
      <c r="B37">
        <f>IFERROR(AVERAGEIFS([1]!Weo_Data[Value],[1]!Weo_Data[Subject Descriptor],"Gross domestic product, constant prices",[1]!Weo_Data[Country Name],A37,[1]!Weo_Data[Years],2025),0)</f>
        <v>1.881</v>
      </c>
      <c r="C37">
        <f>IFERROR(AVERAGEIFS([1]!Weo_Data[Value],[1]!Weo_Data[Subject Descriptor],"Inflation, average consumer prices",[1]!Weo_Data[Country Name],A37,[1]!Weo_Data[Years],2025),0)</f>
        <v>2</v>
      </c>
      <c r="D37">
        <f>B37-C37</f>
        <v>-0.11899999999999999</v>
      </c>
      <c r="E37" s="5" t="str" cm="1">
        <f t="array" ref="E37:E52">INDEX(_xlfn._xlws.FILTER(A37:D230,D37:D230&gt;=3),,1)</f>
        <v>Saudi Arabia</v>
      </c>
      <c r="F37" s="5" cm="1">
        <f t="array" ref="F37:F52">INDEX(_xlfn._xlws.FILTER(A37:D230,D37:D230&gt;=3),,4)</f>
        <v>3.9350000000000001</v>
      </c>
    </row>
    <row r="38" spans="1:6" x14ac:dyDescent="0.35">
      <c r="A38" t="str">
        <v>China</v>
      </c>
      <c r="B38">
        <f>IFERROR(AVERAGEIFS([1]!Weo_Data[Value],[1]!Weo_Data[Subject Descriptor],"Gross domestic product, constant prices",[1]!Weo_Data[Country Name],A38,[1]!Weo_Data[Years],2025),0)</f>
        <v>4.0860000000000003</v>
      </c>
      <c r="C38">
        <f>IFERROR(AVERAGEIFS([1]!Weo_Data[Value],[1]!Weo_Data[Subject Descriptor],"Inflation, average consumer prices",[1]!Weo_Data[Country Name],A38,[1]!Weo_Data[Years],2025),0)</f>
        <v>1.9930000000000001</v>
      </c>
      <c r="D38">
        <f t="shared" ref="D38:D101" si="1">B38-C38</f>
        <v>2.093</v>
      </c>
      <c r="E38" s="5" t="str">
        <v>Philippines</v>
      </c>
      <c r="F38" s="5">
        <v>3.2229999999999994</v>
      </c>
    </row>
    <row r="39" spans="1:6" x14ac:dyDescent="0.35">
      <c r="A39" t="str">
        <v>Germany</v>
      </c>
      <c r="B39">
        <f>IFERROR(AVERAGEIFS([1]!Weo_Data[Value],[1]!Weo_Data[Subject Descriptor],"Gross domestic product, constant prices",[1]!Weo_Data[Country Name],A39,[1]!Weo_Data[Years],2025),0)</f>
        <v>1.3260000000000001</v>
      </c>
      <c r="C39">
        <f>IFERROR(AVERAGEIFS([1]!Weo_Data[Value],[1]!Weo_Data[Subject Descriptor],"Inflation, average consumer prices",[1]!Weo_Data[Country Name],A39,[1]!Weo_Data[Years],2025),0)</f>
        <v>2.0190000000000001</v>
      </c>
      <c r="D39">
        <f t="shared" si="1"/>
        <v>-0.69300000000000006</v>
      </c>
      <c r="E39" s="5" t="str">
        <v>Vietnam</v>
      </c>
      <c r="F39" s="5">
        <v>3.0670000000000002</v>
      </c>
    </row>
    <row r="40" spans="1:6" x14ac:dyDescent="0.35">
      <c r="A40" t="str">
        <v>Japan</v>
      </c>
      <c r="B40">
        <f>IFERROR(AVERAGEIFS([1]!Weo_Data[Value],[1]!Weo_Data[Subject Descriptor],"Gross domestic product, constant prices",[1]!Weo_Data[Country Name],A40,[1]!Weo_Data[Years],2025),0)</f>
        <v>1.0069999999999999</v>
      </c>
      <c r="C40">
        <f>IFERROR(AVERAGEIFS([1]!Weo_Data[Value],[1]!Weo_Data[Subject Descriptor],"Inflation, average consumer prices",[1]!Weo_Data[Country Name],A40,[1]!Weo_Data[Years],2025),0)</f>
        <v>2.097</v>
      </c>
      <c r="D40">
        <f t="shared" si="1"/>
        <v>-1.0900000000000001</v>
      </c>
      <c r="E40" s="5" t="str">
        <v>Côte d'Ivoire</v>
      </c>
      <c r="F40" s="5">
        <v>3.4000000000000012</v>
      </c>
    </row>
    <row r="41" spans="1:6" x14ac:dyDescent="0.35">
      <c r="A41" t="str">
        <v>India</v>
      </c>
      <c r="B41">
        <f>IFERROR(AVERAGEIFS([1]!Weo_Data[Value],[1]!Weo_Data[Subject Descriptor],"Gross domestic product, constant prices",[1]!Weo_Data[Country Name],A41,[1]!Weo_Data[Years],2025),0)</f>
        <v>6.4580000000000011</v>
      </c>
      <c r="C41">
        <f>IFERROR(AVERAGEIFS([1]!Weo_Data[Value],[1]!Weo_Data[Subject Descriptor],"Inflation, average consumer prices",[1]!Weo_Data[Country Name],A41,[1]!Weo_Data[Years],2025),0)</f>
        <v>4.1669999999999998</v>
      </c>
      <c r="D41">
        <f t="shared" si="1"/>
        <v>2.2910000000000013</v>
      </c>
      <c r="E41" s="5" t="str">
        <v>Palau</v>
      </c>
      <c r="F41" s="5">
        <v>9.6900000000000013</v>
      </c>
    </row>
    <row r="42" spans="1:6" x14ac:dyDescent="0.35">
      <c r="A42" t="str">
        <v>United Kingdom</v>
      </c>
      <c r="B42">
        <f>IFERROR(AVERAGEIFS([1]!Weo_Data[Value],[1]!Weo_Data[Subject Descriptor],"Gross domestic product, constant prices",[1]!Weo_Data[Country Name],A42,[1]!Weo_Data[Years],2025),0)</f>
        <v>1.54</v>
      </c>
      <c r="C42">
        <f>IFERROR(AVERAGEIFS([1]!Weo_Data[Value],[1]!Weo_Data[Subject Descriptor],"Inflation, average consumer prices",[1]!Weo_Data[Country Name],A42,[1]!Weo_Data[Years],2025),0)</f>
        <v>2.0099999999999998</v>
      </c>
      <c r="D42">
        <f t="shared" si="1"/>
        <v>-0.46999999999999975</v>
      </c>
      <c r="E42" s="5" t="str">
        <v>Libya</v>
      </c>
      <c r="F42" s="5">
        <v>4.0830000000000002</v>
      </c>
    </row>
    <row r="43" spans="1:6" x14ac:dyDescent="0.35">
      <c r="A43" t="str">
        <v>France</v>
      </c>
      <c r="B43">
        <f>IFERROR(AVERAGEIFS([1]!Weo_Data[Value],[1]!Weo_Data[Subject Descriptor],"Gross domestic product, constant prices",[1]!Weo_Data[Country Name],A43,[1]!Weo_Data[Years],2025),0)</f>
        <v>1.4419999999999999</v>
      </c>
      <c r="C43">
        <f>IFERROR(AVERAGEIFS([1]!Weo_Data[Value],[1]!Weo_Data[Subject Descriptor],"Inflation, average consumer prices",[1]!Weo_Data[Country Name],A43,[1]!Weo_Data[Years],2025),0)</f>
        <v>1.7920000000000003</v>
      </c>
      <c r="D43">
        <f t="shared" si="1"/>
        <v>-0.35000000000000031</v>
      </c>
      <c r="E43" s="5" t="str">
        <v>Macao SAR</v>
      </c>
      <c r="F43" s="5">
        <v>7.3919999999999995</v>
      </c>
    </row>
    <row r="44" spans="1:6" x14ac:dyDescent="0.35">
      <c r="A44" t="str">
        <v>Brazil</v>
      </c>
      <c r="B44">
        <f>IFERROR(AVERAGEIFS([1]!Weo_Data[Value],[1]!Weo_Data[Subject Descriptor],"Gross domestic product, constant prices",[1]!Weo_Data[Country Name],A44,[1]!Weo_Data[Years],2025),0)</f>
        <v>2.1230000000000002</v>
      </c>
      <c r="C44">
        <f>IFERROR(AVERAGEIFS([1]!Weo_Data[Value],[1]!Weo_Data[Subject Descriptor],"Inflation, average consumer prices",[1]!Weo_Data[Country Name],A44,[1]!Weo_Data[Years],2025),0)</f>
        <v>3.0390000000000001</v>
      </c>
      <c r="D44">
        <f t="shared" si="1"/>
        <v>-0.91599999999999993</v>
      </c>
      <c r="E44" s="5" t="str">
        <v>Cambodia</v>
      </c>
      <c r="F44" s="5">
        <v>3.0789999999999993</v>
      </c>
    </row>
    <row r="45" spans="1:6" x14ac:dyDescent="0.35">
      <c r="A45" t="str">
        <v>Italy</v>
      </c>
      <c r="B45">
        <f>IFERROR(AVERAGEIFS([1]!Weo_Data[Value],[1]!Weo_Data[Subject Descriptor],"Gross domestic product, constant prices",[1]!Weo_Data[Country Name],A45,[1]!Weo_Data[Years],2025),0)</f>
        <v>0.71399999999999997</v>
      </c>
      <c r="C45">
        <f>IFERROR(AVERAGEIFS([1]!Weo_Data[Value],[1]!Weo_Data[Subject Descriptor],"Inflation, average consumer prices",[1]!Weo_Data[Country Name],A45,[1]!Weo_Data[Years],2025),0)</f>
        <v>2</v>
      </c>
      <c r="D45">
        <f t="shared" si="1"/>
        <v>-1.286</v>
      </c>
      <c r="E45" s="5" t="str">
        <v>Guyana</v>
      </c>
      <c r="F45" s="5">
        <v>14.153000000000002</v>
      </c>
    </row>
    <row r="46" spans="1:6" x14ac:dyDescent="0.35">
      <c r="A46" t="str">
        <v>Canada</v>
      </c>
      <c r="B46">
        <f>IFERROR(AVERAGEIFS([1]!Weo_Data[Value],[1]!Weo_Data[Subject Descriptor],"Gross domestic product, constant prices",[1]!Weo_Data[Country Name],A46,[1]!Weo_Data[Years],2025),0)</f>
        <v>2.3079999999999998</v>
      </c>
      <c r="C46">
        <f>IFERROR(AVERAGEIFS([1]!Weo_Data[Value],[1]!Weo_Data[Subject Descriptor],"Inflation, average consumer prices",[1]!Weo_Data[Country Name],A46,[1]!Weo_Data[Years],2025),0)</f>
        <v>1.8540000000000001</v>
      </c>
      <c r="D46">
        <f t="shared" si="1"/>
        <v>0.45399999999999974</v>
      </c>
      <c r="E46" s="5" t="str">
        <v>Maldives</v>
      </c>
      <c r="F46" s="5">
        <v>3.5040000000000004</v>
      </c>
    </row>
    <row r="47" spans="1:6" x14ac:dyDescent="0.35">
      <c r="A47" t="str">
        <v>Russia</v>
      </c>
      <c r="B47">
        <f>IFERROR(AVERAGEIFS([1]!Weo_Data[Value],[1]!Weo_Data[Subject Descriptor],"Gross domestic product, constant prices",[1]!Weo_Data[Country Name],A47,[1]!Weo_Data[Years],2025),0)</f>
        <v>1.8109999999999999</v>
      </c>
      <c r="C47">
        <f>IFERROR(AVERAGEIFS([1]!Weo_Data[Value],[1]!Weo_Data[Subject Descriptor],"Inflation, average consumer prices",[1]!Weo_Data[Country Name],A47,[1]!Weo_Data[Years],2025),0)</f>
        <v>4.548</v>
      </c>
      <c r="D47">
        <f t="shared" si="1"/>
        <v>-2.7370000000000001</v>
      </c>
      <c r="E47" s="5" t="str">
        <v>Senegal</v>
      </c>
      <c r="F47" s="5">
        <v>8.1890000000000001</v>
      </c>
    </row>
    <row r="48" spans="1:6" x14ac:dyDescent="0.35">
      <c r="A48" t="str">
        <v>Mexico</v>
      </c>
      <c r="B48">
        <f>IFERROR(AVERAGEIFS([1]!Weo_Data[Value],[1]!Weo_Data[Subject Descriptor],"Gross domestic product, constant prices",[1]!Weo_Data[Country Name],A48,[1]!Weo_Data[Years],2025),0)</f>
        <v>1.4379999999999999</v>
      </c>
      <c r="C48">
        <f>IFERROR(AVERAGEIFS([1]!Weo_Data[Value],[1]!Weo_Data[Subject Descriptor],"Inflation, average consumer prices",[1]!Weo_Data[Country Name],A48,[1]!Weo_Data[Years],2025),0)</f>
        <v>3.2890000000000001</v>
      </c>
      <c r="D48">
        <f t="shared" si="1"/>
        <v>-1.8510000000000002</v>
      </c>
      <c r="E48" s="5" t="str">
        <v>Benin</v>
      </c>
      <c r="F48" s="5">
        <v>4.0199999999999996</v>
      </c>
    </row>
    <row r="49" spans="1:6" x14ac:dyDescent="0.35">
      <c r="A49" t="str">
        <v>Australia</v>
      </c>
      <c r="B49">
        <f>IFERROR(AVERAGEIFS([1]!Weo_Data[Value],[1]!Weo_Data[Subject Descriptor],"Gross domestic product, constant prices",[1]!Weo_Data[Country Name],A49,[1]!Weo_Data[Years],2025),0)</f>
        <v>2.0449999999999999</v>
      </c>
      <c r="C49">
        <f>IFERROR(AVERAGEIFS([1]!Weo_Data[Value],[1]!Weo_Data[Subject Descriptor],"Inflation, average consumer prices",[1]!Weo_Data[Country Name],A49,[1]!Weo_Data[Years],2025),0)</f>
        <v>2.9820000000000007</v>
      </c>
      <c r="D49">
        <f t="shared" si="1"/>
        <v>-0.93700000000000072</v>
      </c>
      <c r="E49" s="5" t="str">
        <v>Togo</v>
      </c>
      <c r="F49" s="5">
        <v>3.258</v>
      </c>
    </row>
    <row r="50" spans="1:6" x14ac:dyDescent="0.35">
      <c r="A50" t="str">
        <v>Korea</v>
      </c>
      <c r="B50">
        <f>IFERROR(AVERAGEIFS([1]!Weo_Data[Value],[1]!Weo_Data[Subject Descriptor],"Gross domestic product, constant prices",[1]!Weo_Data[Country Name],A50,[1]!Weo_Data[Years],2025),0)</f>
        <v>2.3370000000000002</v>
      </c>
      <c r="C50">
        <f>IFERROR(AVERAGEIFS([1]!Weo_Data[Value],[1]!Weo_Data[Subject Descriptor],"Inflation, average consumer prices",[1]!Weo_Data[Country Name],A50,[1]!Weo_Data[Years],2025),0)</f>
        <v>2</v>
      </c>
      <c r="D50">
        <f t="shared" si="1"/>
        <v>0.33700000000000019</v>
      </c>
      <c r="E50" s="5" t="str">
        <v>Burkina Faso</v>
      </c>
      <c r="F50" s="5">
        <v>3.7930000000000001</v>
      </c>
    </row>
    <row r="51" spans="1:6" x14ac:dyDescent="0.35">
      <c r="A51" t="str">
        <v>Spain</v>
      </c>
      <c r="B51">
        <f>IFERROR(AVERAGEIFS([1]!Weo_Data[Value],[1]!Weo_Data[Subject Descriptor],"Gross domestic product, constant prices",[1]!Weo_Data[Country Name],A51,[1]!Weo_Data[Years],2025),0)</f>
        <v>2.0819999999999999</v>
      </c>
      <c r="C51">
        <f>IFERROR(AVERAGEIFS([1]!Weo_Data[Value],[1]!Weo_Data[Subject Descriptor],"Inflation, average consumer prices",[1]!Weo_Data[Country Name],A51,[1]!Weo_Data[Years],2025),0)</f>
        <v>2.3610000000000002</v>
      </c>
      <c r="D51">
        <f t="shared" si="1"/>
        <v>-0.27900000000000036</v>
      </c>
      <c r="E51" s="5" t="str">
        <v>Djibouti</v>
      </c>
      <c r="F51" s="5">
        <v>4.1050000000000004</v>
      </c>
    </row>
    <row r="52" spans="1:6" x14ac:dyDescent="0.35">
      <c r="A52" t="str">
        <v>Indonesia</v>
      </c>
      <c r="B52">
        <f>IFERROR(AVERAGEIFS([1]!Weo_Data[Value],[1]!Weo_Data[Subject Descriptor],"Gross domestic product, constant prices",[1]!Weo_Data[Country Name],A52,[1]!Weo_Data[Years],2025),0)</f>
        <v>5.0549999999999997</v>
      </c>
      <c r="C52">
        <f>IFERROR(AVERAGEIFS([1]!Weo_Data[Value],[1]!Weo_Data[Subject Descriptor],"Inflation, average consumer prices",[1]!Weo_Data[Country Name],A52,[1]!Weo_Data[Years],2025),0)</f>
        <v>2.5870000000000002</v>
      </c>
      <c r="D52">
        <f t="shared" si="1"/>
        <v>2.4679999999999995</v>
      </c>
      <c r="E52" s="5" t="str">
        <v>Guinea-Bissau</v>
      </c>
      <c r="F52" s="5">
        <v>3</v>
      </c>
    </row>
    <row r="53" spans="1:6" x14ac:dyDescent="0.35">
      <c r="A53" t="str">
        <v>Türkiye</v>
      </c>
      <c r="B53">
        <f>IFERROR(AVERAGEIFS([1]!Weo_Data[Value],[1]!Weo_Data[Subject Descriptor],"Gross domestic product, constant prices",[1]!Weo_Data[Country Name],A53,[1]!Weo_Data[Years],2025),0)</f>
        <v>3.1869999999999998</v>
      </c>
      <c r="C53">
        <f>IFERROR(AVERAGEIFS([1]!Weo_Data[Value],[1]!Weo_Data[Subject Descriptor],"Inflation, average consumer prices",[1]!Weo_Data[Country Name],A53,[1]!Weo_Data[Years],2025),0)</f>
        <v>38.414000000000001</v>
      </c>
      <c r="D53">
        <f t="shared" si="1"/>
        <v>-35.227000000000004</v>
      </c>
    </row>
    <row r="54" spans="1:6" x14ac:dyDescent="0.35">
      <c r="A54" t="str">
        <v>Saudi Arabia</v>
      </c>
      <c r="B54">
        <f>IFERROR(AVERAGEIFS([1]!Weo_Data[Value],[1]!Weo_Data[Subject Descriptor],"Gross domestic product, constant prices",[1]!Weo_Data[Country Name],A54,[1]!Weo_Data[Years],2025),0)</f>
        <v>5.968</v>
      </c>
      <c r="C54">
        <f>IFERROR(AVERAGEIFS([1]!Weo_Data[Value],[1]!Weo_Data[Subject Descriptor],"Inflation, average consumer prices",[1]!Weo_Data[Country Name],A54,[1]!Weo_Data[Years],2025),0)</f>
        <v>2.0329999999999999</v>
      </c>
      <c r="D54">
        <f t="shared" si="1"/>
        <v>3.9350000000000001</v>
      </c>
    </row>
    <row r="55" spans="1:6" x14ac:dyDescent="0.35">
      <c r="A55" t="str">
        <v>Switzerland</v>
      </c>
      <c r="B55">
        <f>IFERROR(AVERAGEIFS([1]!Weo_Data[Value],[1]!Weo_Data[Subject Descriptor],"Gross domestic product, constant prices",[1]!Weo_Data[Country Name],A55,[1]!Weo_Data[Years],2025),0)</f>
        <v>1.391</v>
      </c>
      <c r="C55">
        <f>IFERROR(AVERAGEIFS([1]!Weo_Data[Value],[1]!Weo_Data[Subject Descriptor],"Inflation, average consumer prices",[1]!Weo_Data[Country Name],A55,[1]!Weo_Data[Years],2025),0)</f>
        <v>1.2</v>
      </c>
      <c r="D55">
        <f t="shared" si="1"/>
        <v>0.19100000000000006</v>
      </c>
    </row>
    <row r="56" spans="1:6" x14ac:dyDescent="0.35">
      <c r="A56" t="str">
        <v>Poland</v>
      </c>
      <c r="B56">
        <f>IFERROR(AVERAGEIFS([1]!Weo_Data[Value],[1]!Weo_Data[Subject Descriptor],"Gross domestic product, constant prices",[1]!Weo_Data[Country Name],A56,[1]!Weo_Data[Years],2025),0)</f>
        <v>3.476</v>
      </c>
      <c r="C56">
        <f>IFERROR(AVERAGEIFS([1]!Weo_Data[Value],[1]!Weo_Data[Subject Descriptor],"Inflation, average consumer prices",[1]!Weo_Data[Country Name],A56,[1]!Weo_Data[Years],2025),0)</f>
        <v>4.9660000000000002</v>
      </c>
      <c r="D56">
        <f t="shared" si="1"/>
        <v>-1.4900000000000002</v>
      </c>
    </row>
    <row r="57" spans="1:6" x14ac:dyDescent="0.35">
      <c r="A57" t="str">
        <v>Taiwan Province of China</v>
      </c>
      <c r="B57">
        <f>IFERROR(AVERAGEIFS([1]!Weo_Data[Value],[1]!Weo_Data[Subject Descriptor],"Gross domestic product, constant prices",[1]!Weo_Data[Country Name],A57,[1]!Weo_Data[Years],2025),0)</f>
        <v>2.73</v>
      </c>
      <c r="C57">
        <f>IFERROR(AVERAGEIFS([1]!Weo_Data[Value],[1]!Weo_Data[Subject Descriptor],"Inflation, average consumer prices",[1]!Weo_Data[Country Name],A57,[1]!Weo_Data[Years],2025),0)</f>
        <v>1.5549999999999999</v>
      </c>
      <c r="D57">
        <f t="shared" si="1"/>
        <v>1.175</v>
      </c>
    </row>
    <row r="58" spans="1:6" x14ac:dyDescent="0.35">
      <c r="A58" t="str">
        <v>Belgium</v>
      </c>
      <c r="B58">
        <f>IFERROR(AVERAGEIFS([1]!Weo_Data[Value],[1]!Weo_Data[Subject Descriptor],"Gross domestic product, constant prices",[1]!Weo_Data[Country Name],A58,[1]!Weo_Data[Years],2025),0)</f>
        <v>1.194</v>
      </c>
      <c r="C58">
        <f>IFERROR(AVERAGEIFS([1]!Weo_Data[Value],[1]!Weo_Data[Subject Descriptor],"Inflation, average consumer prices",[1]!Weo_Data[Country Name],A58,[1]!Weo_Data[Years],2025),0)</f>
        <v>1.9930000000000001</v>
      </c>
      <c r="D58">
        <f t="shared" si="1"/>
        <v>-0.79900000000000015</v>
      </c>
    </row>
    <row r="59" spans="1:6" x14ac:dyDescent="0.35">
      <c r="A59" t="str">
        <v>Sweden</v>
      </c>
      <c r="B59">
        <f>IFERROR(AVERAGEIFS([1]!Weo_Data[Value],[1]!Weo_Data[Subject Descriptor],"Gross domestic product, constant prices",[1]!Weo_Data[Country Name],A59,[1]!Weo_Data[Years],2025),0)</f>
        <v>2.2229999999999999</v>
      </c>
      <c r="C59">
        <f>IFERROR(AVERAGEIFS([1]!Weo_Data[Value],[1]!Weo_Data[Subject Descriptor],"Inflation, average consumer prices",[1]!Weo_Data[Country Name],A59,[1]!Weo_Data[Years],2025),0)</f>
        <v>1.9870000000000001</v>
      </c>
      <c r="D59">
        <f t="shared" si="1"/>
        <v>0.23599999999999977</v>
      </c>
    </row>
    <row r="60" spans="1:6" x14ac:dyDescent="0.35">
      <c r="A60" t="str">
        <v>Argentina</v>
      </c>
      <c r="B60">
        <f>IFERROR(AVERAGEIFS([1]!Weo_Data[Value],[1]!Weo_Data[Subject Descriptor],"Gross domestic product, constant prices",[1]!Weo_Data[Country Name],A60,[1]!Weo_Data[Years],2025),0)</f>
        <v>5.0030000000000001</v>
      </c>
      <c r="C60">
        <f>IFERROR(AVERAGEIFS([1]!Weo_Data[Value],[1]!Weo_Data[Subject Descriptor],"Inflation, average consumer prices",[1]!Weo_Data[Country Name],A60,[1]!Weo_Data[Years],2025),0)</f>
        <v>59.597000000000001</v>
      </c>
      <c r="D60">
        <f t="shared" si="1"/>
        <v>-54.594000000000001</v>
      </c>
    </row>
    <row r="61" spans="1:6" x14ac:dyDescent="0.35">
      <c r="A61" t="str">
        <v>Ireland</v>
      </c>
      <c r="B61">
        <f>IFERROR(AVERAGEIFS([1]!Weo_Data[Value],[1]!Weo_Data[Subject Descriptor],"Gross domestic product, constant prices",[1]!Weo_Data[Country Name],A61,[1]!Weo_Data[Years],2025),0)</f>
        <v>2.4529999999999998</v>
      </c>
      <c r="C61">
        <f>IFERROR(AVERAGEIFS([1]!Weo_Data[Value],[1]!Weo_Data[Subject Descriptor],"Inflation, average consumer prices",[1]!Weo_Data[Country Name],A61,[1]!Weo_Data[Years],2025),0)</f>
        <v>2</v>
      </c>
      <c r="D61">
        <f t="shared" si="1"/>
        <v>0.45299999999999985</v>
      </c>
    </row>
    <row r="62" spans="1:6" x14ac:dyDescent="0.35">
      <c r="A62" t="str">
        <v>Zimbabwe</v>
      </c>
      <c r="B62">
        <f>IFERROR(AVERAGEIFS([1]!Weo_Data[Value],[1]!Weo_Data[Subject Descriptor],"Gross domestic product, constant prices",[1]!Weo_Data[Country Name],A62,[1]!Weo_Data[Years],2025),0)</f>
        <v>3.2189999999999999</v>
      </c>
      <c r="C62">
        <f>IFERROR(AVERAGEIFS([1]!Weo_Data[Value],[1]!Weo_Data[Subject Descriptor],"Inflation, average consumer prices",[1]!Weo_Data[Country Name],A62,[1]!Weo_Data[Years],2025),0)</f>
        <v>554.65300000000002</v>
      </c>
      <c r="D62">
        <f t="shared" si="1"/>
        <v>-551.43399999999997</v>
      </c>
    </row>
    <row r="63" spans="1:6" x14ac:dyDescent="0.35">
      <c r="A63" t="str">
        <v>Thailand</v>
      </c>
      <c r="B63">
        <f>IFERROR(AVERAGEIFS([1]!Weo_Data[Value],[1]!Weo_Data[Subject Descriptor],"Gross domestic product, constant prices",[1]!Weo_Data[Country Name],A63,[1]!Weo_Data[Years],2025),0)</f>
        <v>2.9</v>
      </c>
      <c r="C63">
        <f>IFERROR(AVERAGEIFS([1]!Weo_Data[Value],[1]!Weo_Data[Subject Descriptor],"Inflation, average consumer prices",[1]!Weo_Data[Country Name],A63,[1]!Weo_Data[Years],2025),0)</f>
        <v>1.2090000000000001</v>
      </c>
      <c r="D63">
        <f t="shared" si="1"/>
        <v>1.6909999999999998</v>
      </c>
    </row>
    <row r="64" spans="1:6" x14ac:dyDescent="0.35">
      <c r="A64" t="str">
        <v>Austria</v>
      </c>
      <c r="B64">
        <f>IFERROR(AVERAGEIFS([1]!Weo_Data[Value],[1]!Weo_Data[Subject Descriptor],"Gross domestic product, constant prices",[1]!Weo_Data[Country Name],A64,[1]!Weo_Data[Years],2025),0)</f>
        <v>1.5840000000000001</v>
      </c>
      <c r="C64">
        <f>IFERROR(AVERAGEIFS([1]!Weo_Data[Value],[1]!Weo_Data[Subject Descriptor],"Inflation, average consumer prices",[1]!Weo_Data[Country Name],A64,[1]!Weo_Data[Years],2025),0)</f>
        <v>2.7829999999999999</v>
      </c>
      <c r="D64">
        <f t="shared" si="1"/>
        <v>-1.1989999999999998</v>
      </c>
    </row>
    <row r="65" spans="1:4" x14ac:dyDescent="0.35">
      <c r="A65" t="str">
        <v>Israel</v>
      </c>
      <c r="B65">
        <f>IFERROR(AVERAGEIFS([1]!Weo_Data[Value],[1]!Weo_Data[Subject Descriptor],"Gross domestic product, constant prices",[1]!Weo_Data[Country Name],A65,[1]!Weo_Data[Years],2025),0)</f>
        <v>5.4349999999999996</v>
      </c>
      <c r="C65">
        <f>IFERROR(AVERAGEIFS([1]!Weo_Data[Value],[1]!Weo_Data[Subject Descriptor],"Inflation, average consumer prices",[1]!Weo_Data[Country Name],A65,[1]!Weo_Data[Years],2025),0)</f>
        <v>2.5470000000000002</v>
      </c>
      <c r="D65">
        <f t="shared" si="1"/>
        <v>2.8879999999999995</v>
      </c>
    </row>
    <row r="66" spans="1:4" x14ac:dyDescent="0.35">
      <c r="A66" t="str">
        <v>United Arab Emirates</v>
      </c>
      <c r="B66">
        <f>IFERROR(AVERAGEIFS([1]!Weo_Data[Value],[1]!Weo_Data[Subject Descriptor],"Gross domestic product, constant prices",[1]!Weo_Data[Country Name],A66,[1]!Weo_Data[Years],2025),0)</f>
        <v>4.1710000000000003</v>
      </c>
      <c r="C66">
        <f>IFERROR(AVERAGEIFS([1]!Weo_Data[Value],[1]!Weo_Data[Subject Descriptor],"Inflation, average consumer prices",[1]!Weo_Data[Country Name],A66,[1]!Weo_Data[Years],2025),0)</f>
        <v>2</v>
      </c>
      <c r="D66">
        <f t="shared" si="1"/>
        <v>2.1710000000000003</v>
      </c>
    </row>
    <row r="67" spans="1:4" x14ac:dyDescent="0.35">
      <c r="A67" t="str">
        <v>Norway</v>
      </c>
      <c r="B67">
        <f>IFERROR(AVERAGEIFS([1]!Weo_Data[Value],[1]!Weo_Data[Subject Descriptor],"Gross domestic product, constant prices",[1]!Weo_Data[Country Name],A67,[1]!Weo_Data[Years],2025),0)</f>
        <v>1.9179999999999999</v>
      </c>
      <c r="C67">
        <f>IFERROR(AVERAGEIFS([1]!Weo_Data[Value],[1]!Weo_Data[Subject Descriptor],"Inflation, average consumer prices",[1]!Weo_Data[Country Name],A67,[1]!Weo_Data[Years],2025),0)</f>
        <v>2.6</v>
      </c>
      <c r="D67">
        <f t="shared" si="1"/>
        <v>-0.68200000000000016</v>
      </c>
    </row>
    <row r="68" spans="1:4" x14ac:dyDescent="0.35">
      <c r="A68" t="str">
        <v>Singapore</v>
      </c>
      <c r="B68">
        <f>IFERROR(AVERAGEIFS([1]!Weo_Data[Value],[1]!Weo_Data[Subject Descriptor],"Gross domestic product, constant prices",[1]!Weo_Data[Country Name],A68,[1]!Weo_Data[Years],2025),0)</f>
        <v>2.2999999999999998</v>
      </c>
      <c r="C68">
        <f>IFERROR(AVERAGEIFS([1]!Weo_Data[Value],[1]!Weo_Data[Subject Descriptor],"Inflation, average consumer prices",[1]!Weo_Data[Country Name],A68,[1]!Weo_Data[Years],2025),0)</f>
        <v>2.5</v>
      </c>
      <c r="D68">
        <f t="shared" si="1"/>
        <v>-0.20000000000000018</v>
      </c>
    </row>
    <row r="69" spans="1:4" x14ac:dyDescent="0.35">
      <c r="A69" t="str">
        <v>Philippines</v>
      </c>
      <c r="B69">
        <f>IFERROR(AVERAGEIFS([1]!Weo_Data[Value],[1]!Weo_Data[Subject Descriptor],"Gross domestic product, constant prices",[1]!Weo_Data[Country Name],A69,[1]!Weo_Data[Years],2025),0)</f>
        <v>6.1769999999999996</v>
      </c>
      <c r="C69">
        <f>IFERROR(AVERAGEIFS([1]!Weo_Data[Value],[1]!Weo_Data[Subject Descriptor],"Inflation, average consumer prices",[1]!Weo_Data[Country Name],A69,[1]!Weo_Data[Years],2025),0)</f>
        <v>2.9540000000000002</v>
      </c>
      <c r="D69">
        <f t="shared" si="1"/>
        <v>3.2229999999999994</v>
      </c>
    </row>
    <row r="70" spans="1:4" x14ac:dyDescent="0.35">
      <c r="A70" t="str">
        <v>Vietnam</v>
      </c>
      <c r="B70">
        <f>IFERROR(AVERAGEIFS([1]!Weo_Data[Value],[1]!Weo_Data[Subject Descriptor],"Gross domestic product, constant prices",[1]!Weo_Data[Country Name],A70,[1]!Weo_Data[Years],2025),0)</f>
        <v>6.5</v>
      </c>
      <c r="C70">
        <f>IFERROR(AVERAGEIFS([1]!Weo_Data[Value],[1]!Weo_Data[Subject Descriptor],"Inflation, average consumer prices",[1]!Weo_Data[Country Name],A70,[1]!Weo_Data[Years],2025),0)</f>
        <v>3.4329999999999998</v>
      </c>
      <c r="D70">
        <f t="shared" si="1"/>
        <v>3.0670000000000002</v>
      </c>
    </row>
    <row r="71" spans="1:4" x14ac:dyDescent="0.35">
      <c r="A71" t="str">
        <v>Islamic Republic of Iran</v>
      </c>
      <c r="B71">
        <f>IFERROR(AVERAGEIFS([1]!Weo_Data[Value],[1]!Weo_Data[Subject Descriptor],"Gross domestic product, constant prices",[1]!Weo_Data[Country Name],A71,[1]!Weo_Data[Years],2025),0)</f>
        <v>3.0499999999999994</v>
      </c>
      <c r="C71">
        <f>IFERROR(AVERAGEIFS([1]!Weo_Data[Value],[1]!Weo_Data[Subject Descriptor],"Inflation, average consumer prices",[1]!Weo_Data[Country Name],A71,[1]!Weo_Data[Years],2025),0)</f>
        <v>32.5</v>
      </c>
      <c r="D71">
        <f t="shared" si="1"/>
        <v>-29.45</v>
      </c>
    </row>
    <row r="72" spans="1:4" x14ac:dyDescent="0.35">
      <c r="A72" t="str">
        <v>Bangladesh</v>
      </c>
      <c r="B72">
        <f>IFERROR(AVERAGEIFS([1]!Weo_Data[Value],[1]!Weo_Data[Subject Descriptor],"Gross domestic product, constant prices",[1]!Weo_Data[Country Name],A72,[1]!Weo_Data[Years],2025),0)</f>
        <v>6.5999999999999988</v>
      </c>
      <c r="C72">
        <f>IFERROR(AVERAGEIFS([1]!Weo_Data[Value],[1]!Weo_Data[Subject Descriptor],"Inflation, average consumer prices",[1]!Weo_Data[Country Name],A72,[1]!Weo_Data[Years],2025),0)</f>
        <v>6.0999999999999988</v>
      </c>
      <c r="D72">
        <f t="shared" si="1"/>
        <v>0.5</v>
      </c>
    </row>
    <row r="73" spans="1:4" x14ac:dyDescent="0.35">
      <c r="A73" t="str">
        <v>Malaysia</v>
      </c>
      <c r="B73">
        <f>IFERROR(AVERAGEIFS([1]!Weo_Data[Value],[1]!Weo_Data[Subject Descriptor],"Gross domestic product, constant prices",[1]!Weo_Data[Country Name],A73,[1]!Weo_Data[Years],2025),0)</f>
        <v>4.3949999999999996</v>
      </c>
      <c r="C73">
        <f>IFERROR(AVERAGEIFS([1]!Weo_Data[Value],[1]!Weo_Data[Subject Descriptor],"Inflation, average consumer prices",[1]!Weo_Data[Country Name],A73,[1]!Weo_Data[Years],2025),0)</f>
        <v>2.5139999999999998</v>
      </c>
      <c r="D73">
        <f t="shared" si="1"/>
        <v>1.8809999999999998</v>
      </c>
    </row>
    <row r="74" spans="1:4" x14ac:dyDescent="0.35">
      <c r="A74" t="str">
        <v>Denmark</v>
      </c>
      <c r="B74">
        <f>IFERROR(AVERAGEIFS([1]!Weo_Data[Value],[1]!Weo_Data[Subject Descriptor],"Gross domestic product, constant prices",[1]!Weo_Data[Country Name],A74,[1]!Weo_Data[Years],2025),0)</f>
        <v>1.484</v>
      </c>
      <c r="C74">
        <f>IFERROR(AVERAGEIFS([1]!Weo_Data[Value],[1]!Weo_Data[Subject Descriptor],"Inflation, average consumer prices",[1]!Weo_Data[Country Name],A74,[1]!Weo_Data[Years],2025),0)</f>
        <v>1.9870000000000001</v>
      </c>
      <c r="D74">
        <f t="shared" si="1"/>
        <v>-0.50300000000000011</v>
      </c>
    </row>
    <row r="75" spans="1:4" x14ac:dyDescent="0.35">
      <c r="A75" t="str">
        <v>Hong Kong SAR</v>
      </c>
      <c r="B75">
        <f>IFERROR(AVERAGEIFS([1]!Weo_Data[Value],[1]!Weo_Data[Subject Descriptor],"Gross domestic product, constant prices",[1]!Weo_Data[Country Name],A75,[1]!Weo_Data[Years],2025),0)</f>
        <v>2.7260000000000004</v>
      </c>
      <c r="C75">
        <f>IFERROR(AVERAGEIFS([1]!Weo_Data[Value],[1]!Weo_Data[Subject Descriptor],"Inflation, average consumer prices",[1]!Weo_Data[Country Name],A75,[1]!Weo_Data[Years],2025),0)</f>
        <v>2.25</v>
      </c>
      <c r="D75">
        <f t="shared" si="1"/>
        <v>0.47600000000000042</v>
      </c>
    </row>
    <row r="76" spans="1:4" x14ac:dyDescent="0.35">
      <c r="A76" t="str">
        <v>Colombia</v>
      </c>
      <c r="B76">
        <f>IFERROR(AVERAGEIFS([1]!Weo_Data[Value],[1]!Weo_Data[Subject Descriptor],"Gross domestic product, constant prices",[1]!Weo_Data[Country Name],A76,[1]!Weo_Data[Years],2025),0)</f>
        <v>2.4700000000000002</v>
      </c>
      <c r="C76">
        <f>IFERROR(AVERAGEIFS([1]!Weo_Data[Value],[1]!Weo_Data[Subject Descriptor],"Inflation, average consumer prices",[1]!Weo_Data[Country Name],A76,[1]!Weo_Data[Years],2025),0)</f>
        <v>3.597</v>
      </c>
      <c r="D76">
        <f t="shared" si="1"/>
        <v>-1.1269999999999998</v>
      </c>
    </row>
    <row r="77" spans="1:4" x14ac:dyDescent="0.35">
      <c r="A77" t="str">
        <v>South Africa</v>
      </c>
      <c r="B77">
        <f>IFERROR(AVERAGEIFS([1]!Weo_Data[Value],[1]!Weo_Data[Subject Descriptor],"Gross domestic product, constant prices",[1]!Weo_Data[Country Name],A77,[1]!Weo_Data[Years],2025),0)</f>
        <v>1.2130000000000001</v>
      </c>
      <c r="C77">
        <f>IFERROR(AVERAGEIFS([1]!Weo_Data[Value],[1]!Weo_Data[Subject Descriptor],"Inflation, average consumer prices",[1]!Weo_Data[Country Name],A77,[1]!Weo_Data[Years],2025),0)</f>
        <v>4.5</v>
      </c>
      <c r="D77">
        <f t="shared" si="1"/>
        <v>-3.2869999999999999</v>
      </c>
    </row>
    <row r="78" spans="1:4" x14ac:dyDescent="0.35">
      <c r="A78" t="str">
        <v>Romania</v>
      </c>
      <c r="B78">
        <f>IFERROR(AVERAGEIFS([1]!Weo_Data[Value],[1]!Weo_Data[Subject Descriptor],"Gross domestic product, constant prices",[1]!Weo_Data[Country Name],A78,[1]!Weo_Data[Years],2025),0)</f>
        <v>3.601</v>
      </c>
      <c r="C78">
        <f>IFERROR(AVERAGEIFS([1]!Weo_Data[Value],[1]!Weo_Data[Subject Descriptor],"Inflation, average consumer prices",[1]!Weo_Data[Country Name],A78,[1]!Weo_Data[Years],2025),0)</f>
        <v>4.048</v>
      </c>
      <c r="D78">
        <f t="shared" si="1"/>
        <v>-0.44700000000000006</v>
      </c>
    </row>
    <row r="79" spans="1:4" x14ac:dyDescent="0.35">
      <c r="A79" t="str">
        <v>Egypt</v>
      </c>
      <c r="B79">
        <f>IFERROR(AVERAGEIFS([1]!Weo_Data[Value],[1]!Weo_Data[Subject Descriptor],"Gross domestic product, constant prices",[1]!Weo_Data[Country Name],A79,[1]!Weo_Data[Years],2025),0)</f>
        <v>4.4409999999999998</v>
      </c>
      <c r="C79">
        <f>IFERROR(AVERAGEIFS([1]!Weo_Data[Value],[1]!Weo_Data[Subject Descriptor],"Inflation, average consumer prices",[1]!Weo_Data[Country Name],A79,[1]!Weo_Data[Years],2025),0)</f>
        <v>25.704999999999998</v>
      </c>
      <c r="D79">
        <f t="shared" si="1"/>
        <v>-21.263999999999999</v>
      </c>
    </row>
    <row r="80" spans="1:4" x14ac:dyDescent="0.35">
      <c r="A80" t="str">
        <v>Chile</v>
      </c>
      <c r="B80">
        <f>IFERROR(AVERAGEIFS([1]!Weo_Data[Value],[1]!Weo_Data[Subject Descriptor],"Gross domestic product, constant prices",[1]!Weo_Data[Country Name],A80,[1]!Weo_Data[Years],2025),0)</f>
        <v>2.5339999999999998</v>
      </c>
      <c r="C80">
        <f>IFERROR(AVERAGEIFS([1]!Weo_Data[Value],[1]!Weo_Data[Subject Descriptor],"Inflation, average consumer prices",[1]!Weo_Data[Country Name],A80,[1]!Weo_Data[Years],2025),0)</f>
        <v>3</v>
      </c>
      <c r="D80">
        <f t="shared" si="1"/>
        <v>-0.46600000000000019</v>
      </c>
    </row>
    <row r="81" spans="1:4" x14ac:dyDescent="0.35">
      <c r="A81" t="str">
        <v>Czech Republic</v>
      </c>
      <c r="B81">
        <f>IFERROR(AVERAGEIFS([1]!Weo_Data[Value],[1]!Weo_Data[Subject Descriptor],"Gross domestic product, constant prices",[1]!Weo_Data[Country Name],A81,[1]!Weo_Data[Years],2025),0)</f>
        <v>2.0139999999999998</v>
      </c>
      <c r="C81">
        <f>IFERROR(AVERAGEIFS([1]!Weo_Data[Value],[1]!Weo_Data[Subject Descriptor],"Inflation, average consumer prices",[1]!Weo_Data[Country Name],A81,[1]!Weo_Data[Years],2025),0)</f>
        <v>2.0249999999999999</v>
      </c>
      <c r="D81">
        <f t="shared" si="1"/>
        <v>-1.1000000000000121E-2</v>
      </c>
    </row>
    <row r="82" spans="1:4" x14ac:dyDescent="0.35">
      <c r="A82" t="str">
        <v>Finland</v>
      </c>
      <c r="B82">
        <f>IFERROR(AVERAGEIFS([1]!Weo_Data[Value],[1]!Weo_Data[Subject Descriptor],"Gross domestic product, constant prices",[1]!Weo_Data[Country Name],A82,[1]!Weo_Data[Years],2025),0)</f>
        <v>1.8540000000000001</v>
      </c>
      <c r="C82">
        <f>IFERROR(AVERAGEIFS([1]!Weo_Data[Value],[1]!Weo_Data[Subject Descriptor],"Inflation, average consumer prices",[1]!Weo_Data[Country Name],A82,[1]!Weo_Data[Years],2025),0)</f>
        <v>1.9339999999999999</v>
      </c>
      <c r="D82">
        <f t="shared" si="1"/>
        <v>-7.9999999999999849E-2</v>
      </c>
    </row>
    <row r="83" spans="1:4" x14ac:dyDescent="0.35">
      <c r="A83" t="str">
        <v>Portugal</v>
      </c>
      <c r="B83">
        <f>IFERROR(AVERAGEIFS([1]!Weo_Data[Value],[1]!Weo_Data[Subject Descriptor],"Gross domestic product, constant prices",[1]!Weo_Data[Country Name],A83,[1]!Weo_Data[Years],2025),0)</f>
        <v>2.0659999999999998</v>
      </c>
      <c r="C83">
        <f>IFERROR(AVERAGEIFS([1]!Weo_Data[Value],[1]!Weo_Data[Subject Descriptor],"Inflation, average consumer prices",[1]!Weo_Data[Country Name],A83,[1]!Weo_Data[Years],2025),0)</f>
        <v>2.0049999999999999</v>
      </c>
      <c r="D83">
        <f t="shared" si="1"/>
        <v>6.0999999999999943E-2</v>
      </c>
    </row>
    <row r="84" spans="1:4" x14ac:dyDescent="0.35">
      <c r="A84" t="str">
        <v>Kazakhstan</v>
      </c>
      <c r="B84">
        <f>IFERROR(AVERAGEIFS([1]!Weo_Data[Value],[1]!Weo_Data[Subject Descriptor],"Gross domestic product, constant prices",[1]!Weo_Data[Country Name],A84,[1]!Weo_Data[Years],2025),0)</f>
        <v>5.6479999999999997</v>
      </c>
      <c r="C84">
        <f>IFERROR(AVERAGEIFS([1]!Weo_Data[Value],[1]!Weo_Data[Subject Descriptor],"Inflation, average consumer prices",[1]!Weo_Data[Country Name],A84,[1]!Weo_Data[Years],2025),0)</f>
        <v>6.9749999999999988</v>
      </c>
      <c r="D84">
        <f t="shared" si="1"/>
        <v>-1.3269999999999991</v>
      </c>
    </row>
    <row r="85" spans="1:4" x14ac:dyDescent="0.35">
      <c r="A85" t="str">
        <v>Peru</v>
      </c>
      <c r="B85">
        <f>IFERROR(AVERAGEIFS([1]!Weo_Data[Value],[1]!Weo_Data[Subject Descriptor],"Gross domestic product, constant prices",[1]!Weo_Data[Country Name],A85,[1]!Weo_Data[Years],2025),0)</f>
        <v>2.68</v>
      </c>
      <c r="C85">
        <f>IFERROR(AVERAGEIFS([1]!Weo_Data[Value],[1]!Weo_Data[Subject Descriptor],"Inflation, average consumer prices",[1]!Weo_Data[Country Name],A85,[1]!Weo_Data[Years],2025),0)</f>
        <v>2.0089999999999999</v>
      </c>
      <c r="D85">
        <f t="shared" si="1"/>
        <v>0.67100000000000026</v>
      </c>
    </row>
    <row r="86" spans="1:4" x14ac:dyDescent="0.35">
      <c r="A86" t="str">
        <v>Algeria</v>
      </c>
      <c r="B86">
        <f>IFERROR(AVERAGEIFS([1]!Weo_Data[Value],[1]!Weo_Data[Subject Descriptor],"Gross domestic product, constant prices",[1]!Weo_Data[Country Name],A86,[1]!Weo_Data[Years],2025),0)</f>
        <v>3.1040000000000005</v>
      </c>
      <c r="C86">
        <f>IFERROR(AVERAGEIFS([1]!Weo_Data[Value],[1]!Weo_Data[Subject Descriptor],"Inflation, average consumer prices",[1]!Weo_Data[Country Name],A86,[1]!Weo_Data[Years],2025),0)</f>
        <v>6.3520000000000003</v>
      </c>
      <c r="D86">
        <f t="shared" si="1"/>
        <v>-3.2479999999999998</v>
      </c>
    </row>
    <row r="87" spans="1:4" x14ac:dyDescent="0.35">
      <c r="A87" t="str">
        <v>Iraq</v>
      </c>
      <c r="B87">
        <f>IFERROR(AVERAGEIFS([1]!Weo_Data[Value],[1]!Weo_Data[Subject Descriptor],"Gross domestic product, constant prices",[1]!Weo_Data[Country Name],A87,[1]!Weo_Data[Years],2025),0)</f>
        <v>5.3120000000000003</v>
      </c>
      <c r="C87">
        <f>IFERROR(AVERAGEIFS([1]!Weo_Data[Value],[1]!Weo_Data[Subject Descriptor],"Inflation, average consumer prices",[1]!Weo_Data[Country Name],A87,[1]!Weo_Data[Years],2025),0)</f>
        <v>4</v>
      </c>
      <c r="D87">
        <f t="shared" si="1"/>
        <v>1.3120000000000003</v>
      </c>
    </row>
    <row r="88" spans="1:4" x14ac:dyDescent="0.35">
      <c r="A88" t="str">
        <v>New Zealand</v>
      </c>
      <c r="B88">
        <f>IFERROR(AVERAGEIFS([1]!Weo_Data[Value],[1]!Weo_Data[Subject Descriptor],"Gross domestic product, constant prices",[1]!Weo_Data[Country Name],A88,[1]!Weo_Data[Years],2025),0)</f>
        <v>1.966</v>
      </c>
      <c r="C88">
        <f>IFERROR(AVERAGEIFS([1]!Weo_Data[Value],[1]!Weo_Data[Subject Descriptor],"Inflation, average consumer prices",[1]!Weo_Data[Country Name],A88,[1]!Weo_Data[Years],2025),0)</f>
        <v>2.5230000000000001</v>
      </c>
      <c r="D88">
        <f t="shared" si="1"/>
        <v>-0.55700000000000016</v>
      </c>
    </row>
    <row r="89" spans="1:4" x14ac:dyDescent="0.35">
      <c r="A89" t="str">
        <v>Nigeria</v>
      </c>
      <c r="B89">
        <f>IFERROR(AVERAGEIFS([1]!Weo_Data[Value],[1]!Weo_Data[Subject Descriptor],"Gross domestic product, constant prices",[1]!Weo_Data[Country Name],A89,[1]!Weo_Data[Years],2025),0)</f>
        <v>2.964</v>
      </c>
      <c r="C89">
        <f>IFERROR(AVERAGEIFS([1]!Weo_Data[Value],[1]!Weo_Data[Subject Descriptor],"Inflation, average consumer prices",[1]!Weo_Data[Country Name],A89,[1]!Weo_Data[Years],2025),0)</f>
        <v>22.971999999999998</v>
      </c>
      <c r="D89">
        <f t="shared" si="1"/>
        <v>-20.007999999999999</v>
      </c>
    </row>
    <row r="90" spans="1:4" x14ac:dyDescent="0.35">
      <c r="A90" t="str">
        <v>Greece</v>
      </c>
      <c r="B90">
        <f>IFERROR(AVERAGEIFS([1]!Weo_Data[Value],[1]!Weo_Data[Subject Descriptor],"Gross domestic product, constant prices",[1]!Weo_Data[Country Name],A90,[1]!Weo_Data[Years],2025),0)</f>
        <v>1.9319999999999999</v>
      </c>
      <c r="C90">
        <f>IFERROR(AVERAGEIFS([1]!Weo_Data[Value],[1]!Weo_Data[Subject Descriptor],"Inflation, average consumer prices",[1]!Weo_Data[Country Name],A90,[1]!Weo_Data[Years],2025),0)</f>
        <v>2.0960000000000001</v>
      </c>
      <c r="D90">
        <f t="shared" si="1"/>
        <v>-0.16400000000000015</v>
      </c>
    </row>
    <row r="91" spans="1:4" x14ac:dyDescent="0.35">
      <c r="A91" t="str">
        <v>Qatar</v>
      </c>
      <c r="B91">
        <f>IFERROR(AVERAGEIFS([1]!Weo_Data[Value],[1]!Weo_Data[Subject Descriptor],"Gross domestic product, constant prices",[1]!Weo_Data[Country Name],A91,[1]!Weo_Data[Years],2025),0)</f>
        <v>1.9910000000000003</v>
      </c>
      <c r="C91">
        <f>IFERROR(AVERAGEIFS([1]!Weo_Data[Value],[1]!Weo_Data[Subject Descriptor],"Inflation, average consumer prices",[1]!Weo_Data[Country Name],A91,[1]!Weo_Data[Years],2025),0)</f>
        <v>2.3820000000000001</v>
      </c>
      <c r="D91">
        <f t="shared" si="1"/>
        <v>-0.39099999999999979</v>
      </c>
    </row>
    <row r="92" spans="1:4" x14ac:dyDescent="0.35">
      <c r="A92" t="str">
        <v>Hungary</v>
      </c>
      <c r="B92">
        <f>IFERROR(AVERAGEIFS([1]!Weo_Data[Value],[1]!Weo_Data[Subject Descriptor],"Gross domestic product, constant prices",[1]!Weo_Data[Country Name],A92,[1]!Weo_Data[Years],2025),0)</f>
        <v>3.3450000000000002</v>
      </c>
      <c r="C92">
        <f>IFERROR(AVERAGEIFS([1]!Weo_Data[Value],[1]!Weo_Data[Subject Descriptor],"Inflation, average consumer prices",[1]!Weo_Data[Country Name],A92,[1]!Weo_Data[Years],2025),0)</f>
        <v>3.5489999999999999</v>
      </c>
      <c r="D92">
        <f t="shared" si="1"/>
        <v>-0.20399999999999974</v>
      </c>
    </row>
    <row r="93" spans="1:4" x14ac:dyDescent="0.35">
      <c r="A93" t="str">
        <v>Ethiopia</v>
      </c>
      <c r="B93">
        <f>IFERROR(AVERAGEIFS([1]!Weo_Data[Value],[1]!Weo_Data[Subject Descriptor],"Gross domestic product, constant prices",[1]!Weo_Data[Country Name],A93,[1]!Weo_Data[Years],2025),0)</f>
        <v>6.4909999999999997</v>
      </c>
      <c r="C93">
        <f>IFERROR(AVERAGEIFS([1]!Weo_Data[Value],[1]!Weo_Data[Subject Descriptor],"Inflation, average consumer prices",[1]!Weo_Data[Country Name],A93,[1]!Weo_Data[Years],2025),0)</f>
        <v>18.187000000000001</v>
      </c>
      <c r="D93">
        <f t="shared" si="1"/>
        <v>-11.696000000000002</v>
      </c>
    </row>
    <row r="94" spans="1:4" x14ac:dyDescent="0.35">
      <c r="A94" t="str">
        <v>Ukraine</v>
      </c>
      <c r="B94">
        <f>IFERROR(AVERAGEIFS([1]!Weo_Data[Value],[1]!Weo_Data[Subject Descriptor],"Gross domestic product, constant prices",[1]!Weo_Data[Country Name],A94,[1]!Weo_Data[Years],2025),0)</f>
        <v>6.4649999999999999</v>
      </c>
      <c r="C94">
        <f>IFERROR(AVERAGEIFS([1]!Weo_Data[Value],[1]!Weo_Data[Subject Descriptor],"Inflation, average consumer prices",[1]!Weo_Data[Country Name],A94,[1]!Weo_Data[Years],2025),0)</f>
        <v>7.5780000000000003</v>
      </c>
      <c r="D94">
        <f t="shared" si="1"/>
        <v>-1.1130000000000004</v>
      </c>
    </row>
    <row r="95" spans="1:4" x14ac:dyDescent="0.35">
      <c r="A95" t="str">
        <v>Kuwait</v>
      </c>
      <c r="B95">
        <f>IFERROR(AVERAGEIFS([1]!Weo_Data[Value],[1]!Weo_Data[Subject Descriptor],"Gross domestic product, constant prices",[1]!Weo_Data[Country Name],A95,[1]!Weo_Data[Years],2025),0)</f>
        <v>3.8029999999999995</v>
      </c>
      <c r="C95">
        <f>IFERROR(AVERAGEIFS([1]!Weo_Data[Value],[1]!Weo_Data[Subject Descriptor],"Inflation, average consumer prices",[1]!Weo_Data[Country Name],A95,[1]!Weo_Data[Years],2025),0)</f>
        <v>2.7280000000000002</v>
      </c>
      <c r="D95">
        <f t="shared" si="1"/>
        <v>1.0749999999999993</v>
      </c>
    </row>
    <row r="96" spans="1:4" x14ac:dyDescent="0.35">
      <c r="A96" t="str">
        <v>Morocco</v>
      </c>
      <c r="B96">
        <f>IFERROR(AVERAGEIFS([1]!Weo_Data[Value],[1]!Weo_Data[Subject Descriptor],"Gross domestic product, constant prices",[1]!Weo_Data[Country Name],A96,[1]!Weo_Data[Years],2025),0)</f>
        <v>3.302</v>
      </c>
      <c r="C96">
        <f>IFERROR(AVERAGEIFS([1]!Weo_Data[Value],[1]!Weo_Data[Subject Descriptor],"Inflation, average consumer prices",[1]!Weo_Data[Country Name],A96,[1]!Weo_Data[Years],2025),0)</f>
        <v>2.5299999999999998</v>
      </c>
      <c r="D96">
        <f t="shared" si="1"/>
        <v>0.77200000000000024</v>
      </c>
    </row>
    <row r="97" spans="1:4" x14ac:dyDescent="0.35">
      <c r="A97" t="str">
        <v>Sudan</v>
      </c>
      <c r="B97">
        <f>IFERROR(AVERAGEIFS([1]!Weo_Data[Value],[1]!Weo_Data[Subject Descriptor],"Gross domestic product, constant prices",[1]!Weo_Data[Country Name],A97,[1]!Weo_Data[Years],2025),0)</f>
        <v>5.4000000000000012</v>
      </c>
      <c r="C97">
        <f>IFERROR(AVERAGEIFS([1]!Weo_Data[Value],[1]!Weo_Data[Subject Descriptor],"Inflation, average consumer prices",[1]!Weo_Data[Country Name],A97,[1]!Weo_Data[Years],2025),0)</f>
        <v>62.725999999999999</v>
      </c>
      <c r="D97">
        <f t="shared" si="1"/>
        <v>-57.326000000000001</v>
      </c>
    </row>
    <row r="98" spans="1:4" x14ac:dyDescent="0.35">
      <c r="A98" t="str">
        <v>Slovak Republic</v>
      </c>
      <c r="B98">
        <f>IFERROR(AVERAGEIFS([1]!Weo_Data[Value],[1]!Weo_Data[Subject Descriptor],"Gross domestic product, constant prices",[1]!Weo_Data[Country Name],A98,[1]!Weo_Data[Years],2025),0)</f>
        <v>2.6</v>
      </c>
      <c r="C98">
        <f>IFERROR(AVERAGEIFS([1]!Weo_Data[Value],[1]!Weo_Data[Subject Descriptor],"Inflation, average consumer prices",[1]!Weo_Data[Country Name],A98,[1]!Weo_Data[Years],2025),0)</f>
        <v>3.9009999999999998</v>
      </c>
      <c r="D98">
        <f t="shared" si="1"/>
        <v>-1.3009999999999997</v>
      </c>
    </row>
    <row r="99" spans="1:4" x14ac:dyDescent="0.35">
      <c r="A99" t="str">
        <v>Nauru</v>
      </c>
      <c r="B99">
        <f>IFERROR(AVERAGEIFS([1]!Weo_Data[Value],[1]!Weo_Data[Subject Descriptor],"Gross domestic product, constant prices",[1]!Weo_Data[Country Name],A99,[1]!Weo_Data[Years],2025),0)</f>
        <v>1.3220000000000001</v>
      </c>
      <c r="C99">
        <f>IFERROR(AVERAGEIFS([1]!Weo_Data[Value],[1]!Weo_Data[Subject Descriptor],"Inflation, average consumer prices",[1]!Weo_Data[Country Name],A99,[1]!Weo_Data[Years],2025),0)</f>
        <v>2.9929999999999999</v>
      </c>
      <c r="D99">
        <f t="shared" si="1"/>
        <v>-1.6709999999999998</v>
      </c>
    </row>
    <row r="100" spans="1:4" x14ac:dyDescent="0.35">
      <c r="A100" t="str">
        <v>Dominican Republic</v>
      </c>
      <c r="B100">
        <f>IFERROR(AVERAGEIFS([1]!Weo_Data[Value],[1]!Weo_Data[Subject Descriptor],"Gross domestic product, constant prices",[1]!Weo_Data[Country Name],A100,[1]!Weo_Data[Years],2025),0)</f>
        <v>4.952</v>
      </c>
      <c r="C100">
        <f>IFERROR(AVERAGEIFS([1]!Weo_Data[Value],[1]!Weo_Data[Subject Descriptor],"Inflation, average consumer prices",[1]!Weo_Data[Country Name],A100,[1]!Weo_Data[Years],2025),0)</f>
        <v>3.9730000000000003</v>
      </c>
      <c r="D100">
        <f t="shared" si="1"/>
        <v>0.97899999999999965</v>
      </c>
    </row>
    <row r="101" spans="1:4" x14ac:dyDescent="0.35">
      <c r="A101" t="str">
        <v>Kiribati</v>
      </c>
      <c r="B101">
        <f>IFERROR(AVERAGEIFS([1]!Weo_Data[Value],[1]!Weo_Data[Subject Descriptor],"Gross domestic product, constant prices",[1]!Weo_Data[Country Name],A101,[1]!Weo_Data[Years],2025),0)</f>
        <v>4.1399999999999997</v>
      </c>
      <c r="C101">
        <f>IFERROR(AVERAGEIFS([1]!Weo_Data[Value],[1]!Weo_Data[Subject Descriptor],"Inflation, average consumer prices",[1]!Weo_Data[Country Name],A101,[1]!Weo_Data[Years],2025),0)</f>
        <v>3</v>
      </c>
      <c r="D101">
        <f t="shared" si="1"/>
        <v>1.1399999999999997</v>
      </c>
    </row>
    <row r="102" spans="1:4" x14ac:dyDescent="0.35">
      <c r="A102" t="str">
        <v>Tuvalu</v>
      </c>
      <c r="B102">
        <f>IFERROR(AVERAGEIFS([1]!Weo_Data[Value],[1]!Weo_Data[Subject Descriptor],"Gross domestic product, constant prices",[1]!Weo_Data[Country Name],A102,[1]!Weo_Data[Years],2025),0)</f>
        <v>2.4860000000000002</v>
      </c>
      <c r="C102">
        <f>IFERROR(AVERAGEIFS([1]!Weo_Data[Value],[1]!Weo_Data[Subject Descriptor],"Inflation, average consumer prices",[1]!Weo_Data[Country Name],A102,[1]!Weo_Data[Years],2025),0)</f>
        <v>3.5589999999999997</v>
      </c>
      <c r="D102">
        <f t="shared" ref="D102:D165" si="2">B102-C102</f>
        <v>-1.0729999999999995</v>
      </c>
    </row>
    <row r="103" spans="1:4" x14ac:dyDescent="0.35">
      <c r="A103" t="str">
        <v>Ecuador</v>
      </c>
      <c r="B103">
        <f>IFERROR(AVERAGEIFS([1]!Weo_Data[Value],[1]!Weo_Data[Subject Descriptor],"Gross domestic product, constant prices",[1]!Weo_Data[Country Name],A103,[1]!Weo_Data[Years],2025),0)</f>
        <v>0.84699999999999998</v>
      </c>
      <c r="C103">
        <f>IFERROR(AVERAGEIFS([1]!Weo_Data[Value],[1]!Weo_Data[Subject Descriptor],"Inflation, average consumer prices",[1]!Weo_Data[Country Name],A103,[1]!Weo_Data[Years],2025),0)</f>
        <v>1.548</v>
      </c>
      <c r="D103">
        <f t="shared" si="2"/>
        <v>-0.70100000000000007</v>
      </c>
    </row>
    <row r="104" spans="1:4" x14ac:dyDescent="0.35">
      <c r="A104" t="str">
        <v>Puerto Rico</v>
      </c>
      <c r="B104">
        <f>IFERROR(AVERAGEIFS([1]!Weo_Data[Value],[1]!Weo_Data[Subject Descriptor],"Gross domestic product, constant prices",[1]!Weo_Data[Country Name],A104,[1]!Weo_Data[Years],2025),0)</f>
        <v>0</v>
      </c>
      <c r="C104">
        <f>IFERROR(AVERAGEIFS([1]!Weo_Data[Value],[1]!Weo_Data[Subject Descriptor],"Inflation, average consumer prices",[1]!Weo_Data[Country Name],A104,[1]!Weo_Data[Years],2025),0)</f>
        <v>2.2610000000000001</v>
      </c>
      <c r="D104">
        <f t="shared" si="2"/>
        <v>-2.2610000000000001</v>
      </c>
    </row>
    <row r="105" spans="1:4" x14ac:dyDescent="0.35">
      <c r="A105" t="str">
        <v>Guatemala</v>
      </c>
      <c r="B105">
        <f>IFERROR(AVERAGEIFS([1]!Weo_Data[Value],[1]!Weo_Data[Subject Descriptor],"Gross domestic product, constant prices",[1]!Weo_Data[Country Name],A105,[1]!Weo_Data[Years],2025),0)</f>
        <v>3.7000000000000006</v>
      </c>
      <c r="C105">
        <f>IFERROR(AVERAGEIFS([1]!Weo_Data[Value],[1]!Weo_Data[Subject Descriptor],"Inflation, average consumer prices",[1]!Weo_Data[Country Name],A105,[1]!Weo_Data[Years],2025),0)</f>
        <v>3.9620000000000002</v>
      </c>
      <c r="D105">
        <f t="shared" si="2"/>
        <v>-0.26199999999999957</v>
      </c>
    </row>
    <row r="106" spans="1:4" x14ac:dyDescent="0.35">
      <c r="A106" t="str">
        <v>Oman</v>
      </c>
      <c r="B106">
        <f>IFERROR(AVERAGEIFS([1]!Weo_Data[Value],[1]!Weo_Data[Subject Descriptor],"Gross domestic product, constant prices",[1]!Weo_Data[Country Name],A106,[1]!Weo_Data[Years],2025),0)</f>
        <v>3.0879999999999996</v>
      </c>
      <c r="C106">
        <f>IFERROR(AVERAGEIFS([1]!Weo_Data[Value],[1]!Weo_Data[Subject Descriptor],"Inflation, average consumer prices",[1]!Weo_Data[Country Name],A106,[1]!Weo_Data[Years],2025),0)</f>
        <v>1.5</v>
      </c>
      <c r="D106">
        <f t="shared" si="2"/>
        <v>1.5879999999999996</v>
      </c>
    </row>
    <row r="107" spans="1:4" x14ac:dyDescent="0.35">
      <c r="A107" t="str">
        <v>Bulgaria</v>
      </c>
      <c r="B107">
        <f>IFERROR(AVERAGEIFS([1]!Weo_Data[Value],[1]!Weo_Data[Subject Descriptor],"Gross domestic product, constant prices",[1]!Weo_Data[Country Name],A107,[1]!Weo_Data[Years],2025),0)</f>
        <v>2.9249999999999998</v>
      </c>
      <c r="C107">
        <f>IFERROR(AVERAGEIFS([1]!Weo_Data[Value],[1]!Weo_Data[Subject Descriptor],"Inflation, average consumer prices",[1]!Weo_Data[Country Name],A107,[1]!Weo_Data[Years],2025),0)</f>
        <v>2.742</v>
      </c>
      <c r="D107">
        <f t="shared" si="2"/>
        <v>0.18299999999999983</v>
      </c>
    </row>
    <row r="108" spans="1:4" x14ac:dyDescent="0.35">
      <c r="A108" t="str">
        <v>Kenya</v>
      </c>
      <c r="B108">
        <f>IFERROR(AVERAGEIFS([1]!Weo_Data[Value],[1]!Weo_Data[Subject Descriptor],"Gross domestic product, constant prices",[1]!Weo_Data[Country Name],A108,[1]!Weo_Data[Years],2025),0)</f>
        <v>5.3230000000000004</v>
      </c>
      <c r="C108">
        <f>IFERROR(AVERAGEIFS([1]!Weo_Data[Value],[1]!Weo_Data[Subject Descriptor],"Inflation, average consumer prices",[1]!Weo_Data[Country Name],A108,[1]!Weo_Data[Years],2025),0)</f>
        <v>5.4880000000000004</v>
      </c>
      <c r="D108">
        <f t="shared" si="2"/>
        <v>-0.16500000000000004</v>
      </c>
    </row>
    <row r="109" spans="1:4" x14ac:dyDescent="0.35">
      <c r="A109" t="str">
        <v>Venezuela</v>
      </c>
      <c r="B109">
        <f>IFERROR(AVERAGEIFS([1]!Weo_Data[Value],[1]!Weo_Data[Subject Descriptor],"Gross domestic product, constant prices",[1]!Weo_Data[Country Name],A109,[1]!Weo_Data[Years],2025),0)</f>
        <v>3</v>
      </c>
      <c r="C109">
        <f>IFERROR(AVERAGEIFS([1]!Weo_Data[Value],[1]!Weo_Data[Subject Descriptor],"Inflation, average consumer prices",[1]!Weo_Data[Country Name],A109,[1]!Weo_Data[Years],2025),0)</f>
        <v>150</v>
      </c>
      <c r="D109">
        <f t="shared" si="2"/>
        <v>-147</v>
      </c>
    </row>
    <row r="110" spans="1:4" x14ac:dyDescent="0.35">
      <c r="A110" t="str">
        <v>Uzbekistan</v>
      </c>
      <c r="B110">
        <f>IFERROR(AVERAGEIFS([1]!Weo_Data[Value],[1]!Weo_Data[Subject Descriptor],"Gross domestic product, constant prices",[1]!Weo_Data[Country Name],A110,[1]!Weo_Data[Years],2025),0)</f>
        <v>5.3979999999999997</v>
      </c>
      <c r="C110">
        <f>IFERROR(AVERAGEIFS([1]!Weo_Data[Value],[1]!Weo_Data[Subject Descriptor],"Inflation, average consumer prices",[1]!Weo_Data[Country Name],A110,[1]!Weo_Data[Years],2025),0)</f>
        <v>9.6910000000000007</v>
      </c>
      <c r="D110">
        <f t="shared" si="2"/>
        <v>-4.293000000000001</v>
      </c>
    </row>
    <row r="111" spans="1:4" x14ac:dyDescent="0.35">
      <c r="A111" t="str">
        <v>Costa Rica</v>
      </c>
      <c r="B111">
        <f>IFERROR(AVERAGEIFS([1]!Weo_Data[Value],[1]!Weo_Data[Subject Descriptor],"Gross domestic product, constant prices",[1]!Weo_Data[Country Name],A111,[1]!Weo_Data[Years],2025),0)</f>
        <v>3.504</v>
      </c>
      <c r="C111">
        <f>IFERROR(AVERAGEIFS([1]!Weo_Data[Value],[1]!Weo_Data[Subject Descriptor],"Inflation, average consumer prices",[1]!Weo_Data[Country Name],A111,[1]!Weo_Data[Years],2025),0)</f>
        <v>2.9169999999999998</v>
      </c>
      <c r="D111">
        <f t="shared" si="2"/>
        <v>0.58700000000000019</v>
      </c>
    </row>
    <row r="112" spans="1:4" x14ac:dyDescent="0.35">
      <c r="A112" t="str">
        <v>Angola</v>
      </c>
      <c r="B112">
        <f>IFERROR(AVERAGEIFS([1]!Weo_Data[Value],[1]!Weo_Data[Subject Descriptor],"Gross domestic product, constant prices",[1]!Weo_Data[Country Name],A112,[1]!Weo_Data[Years],2025),0)</f>
        <v>3.1280000000000001</v>
      </c>
      <c r="C112">
        <f>IFERROR(AVERAGEIFS([1]!Weo_Data[Value],[1]!Weo_Data[Subject Descriptor],"Inflation, average consumer prices",[1]!Weo_Data[Country Name],A112,[1]!Weo_Data[Years],2025),0)</f>
        <v>12.818</v>
      </c>
      <c r="D112">
        <f t="shared" si="2"/>
        <v>-9.69</v>
      </c>
    </row>
    <row r="113" spans="1:4" x14ac:dyDescent="0.35">
      <c r="A113" t="str">
        <v>Luxembourg</v>
      </c>
      <c r="B113">
        <f>IFERROR(AVERAGEIFS([1]!Weo_Data[Value],[1]!Weo_Data[Subject Descriptor],"Gross domestic product, constant prices",[1]!Weo_Data[Country Name],A113,[1]!Weo_Data[Years],2025),0)</f>
        <v>2.9049999999999998</v>
      </c>
      <c r="C113">
        <f>IFERROR(AVERAGEIFS([1]!Weo_Data[Value],[1]!Weo_Data[Subject Descriptor],"Inflation, average consumer prices",[1]!Weo_Data[Country Name],A113,[1]!Weo_Data[Years],2025),0)</f>
        <v>3.0950000000000002</v>
      </c>
      <c r="D113">
        <f t="shared" si="2"/>
        <v>-0.19000000000000039</v>
      </c>
    </row>
    <row r="114" spans="1:4" x14ac:dyDescent="0.35">
      <c r="A114" t="str">
        <v>Timor-Leste</v>
      </c>
      <c r="B114">
        <f>IFERROR(AVERAGEIFS([1]!Weo_Data[Value],[1]!Weo_Data[Subject Descriptor],"Gross domestic product, constant prices",[1]!Weo_Data[Country Name],A114,[1]!Weo_Data[Years],2025),0)</f>
        <v>3.2000000000000006</v>
      </c>
      <c r="C114">
        <f>IFERROR(AVERAGEIFS([1]!Weo_Data[Value],[1]!Weo_Data[Subject Descriptor],"Inflation, average consumer prices",[1]!Weo_Data[Country Name],A114,[1]!Weo_Data[Years],2025),0)</f>
        <v>2.2000000000000002</v>
      </c>
      <c r="D114">
        <f t="shared" si="2"/>
        <v>1.0000000000000004</v>
      </c>
    </row>
    <row r="115" spans="1:4" x14ac:dyDescent="0.35">
      <c r="A115" t="str">
        <v>Croatia</v>
      </c>
      <c r="B115">
        <f>IFERROR(AVERAGEIFS([1]!Weo_Data[Value],[1]!Weo_Data[Subject Descriptor],"Gross domestic product, constant prices",[1]!Weo_Data[Country Name],A115,[1]!Weo_Data[Years],2025),0)</f>
        <v>2.7370000000000001</v>
      </c>
      <c r="C115">
        <f>IFERROR(AVERAGEIFS([1]!Weo_Data[Value],[1]!Weo_Data[Subject Descriptor],"Inflation, average consumer prices",[1]!Weo_Data[Country Name],A115,[1]!Weo_Data[Years],2025),0)</f>
        <v>2.2290000000000001</v>
      </c>
      <c r="D115">
        <f t="shared" si="2"/>
        <v>0.50800000000000001</v>
      </c>
    </row>
    <row r="116" spans="1:4" x14ac:dyDescent="0.35">
      <c r="A116" t="str">
        <v>Panama</v>
      </c>
      <c r="B116">
        <f>IFERROR(AVERAGEIFS([1]!Weo_Data[Value],[1]!Weo_Data[Subject Descriptor],"Gross domestic product, constant prices",[1]!Weo_Data[Country Name],A116,[1]!Weo_Data[Years],2025),0)</f>
        <v>3</v>
      </c>
      <c r="C116">
        <f>IFERROR(AVERAGEIFS([1]!Weo_Data[Value],[1]!Weo_Data[Subject Descriptor],"Inflation, average consumer prices",[1]!Weo_Data[Country Name],A116,[1]!Weo_Data[Years],2025),0)</f>
        <v>1.96</v>
      </c>
      <c r="D116">
        <f t="shared" si="2"/>
        <v>1.04</v>
      </c>
    </row>
    <row r="117" spans="1:4" x14ac:dyDescent="0.35">
      <c r="A117" t="str">
        <v>Côte d'Ivoire</v>
      </c>
      <c r="B117">
        <f>IFERROR(AVERAGEIFS([1]!Weo_Data[Value],[1]!Weo_Data[Subject Descriptor],"Gross domestic product, constant prices",[1]!Weo_Data[Country Name],A117,[1]!Weo_Data[Years],2025),0)</f>
        <v>6.4000000000000012</v>
      </c>
      <c r="C117">
        <f>IFERROR(AVERAGEIFS([1]!Weo_Data[Value],[1]!Weo_Data[Subject Descriptor],"Inflation, average consumer prices",[1]!Weo_Data[Country Name],A117,[1]!Weo_Data[Years],2025),0)</f>
        <v>3</v>
      </c>
      <c r="D117">
        <f t="shared" si="2"/>
        <v>3.4000000000000012</v>
      </c>
    </row>
    <row r="118" spans="1:4" x14ac:dyDescent="0.35">
      <c r="A118" t="str">
        <v>Uruguay</v>
      </c>
      <c r="B118">
        <f>IFERROR(AVERAGEIFS([1]!Weo_Data[Value],[1]!Weo_Data[Subject Descriptor],"Gross domestic product, constant prices",[1]!Weo_Data[Country Name],A118,[1]!Weo_Data[Years],2025),0)</f>
        <v>2.8989999999999996</v>
      </c>
      <c r="C118">
        <f>IFERROR(AVERAGEIFS([1]!Weo_Data[Value],[1]!Weo_Data[Subject Descriptor],"Inflation, average consumer prices",[1]!Weo_Data[Country Name],A118,[1]!Weo_Data[Years],2025),0)</f>
        <v>5.5090000000000003</v>
      </c>
      <c r="D118">
        <f t="shared" si="2"/>
        <v>-2.6100000000000008</v>
      </c>
    </row>
    <row r="119" spans="1:4" x14ac:dyDescent="0.35">
      <c r="A119" t="str">
        <v>Turkmenistan</v>
      </c>
      <c r="B119">
        <f>IFERROR(AVERAGEIFS([1]!Weo_Data[Value],[1]!Weo_Data[Subject Descriptor],"Gross domestic product, constant prices",[1]!Weo_Data[Country Name],A119,[1]!Weo_Data[Years],2025),0)</f>
        <v>2.262</v>
      </c>
      <c r="C119">
        <f>IFERROR(AVERAGEIFS([1]!Weo_Data[Value],[1]!Weo_Data[Subject Descriptor],"Inflation, average consumer prices",[1]!Weo_Data[Country Name],A119,[1]!Weo_Data[Years],2025),0)</f>
        <v>7.9000000000000012</v>
      </c>
      <c r="D119">
        <f t="shared" si="2"/>
        <v>-5.6380000000000017</v>
      </c>
    </row>
    <row r="120" spans="1:4" x14ac:dyDescent="0.35">
      <c r="A120" t="str">
        <v>Serbia</v>
      </c>
      <c r="B120">
        <f>IFERROR(AVERAGEIFS([1]!Weo_Data[Value],[1]!Weo_Data[Subject Descriptor],"Gross domestic product, constant prices",[1]!Weo_Data[Country Name],A120,[1]!Weo_Data[Years],2025),0)</f>
        <v>4.4539999999999997</v>
      </c>
      <c r="C120">
        <f>IFERROR(AVERAGEIFS([1]!Weo_Data[Value],[1]!Weo_Data[Subject Descriptor],"Inflation, average consumer prices",[1]!Weo_Data[Country Name],A120,[1]!Weo_Data[Years],2025),0)</f>
        <v>3.0980000000000003</v>
      </c>
      <c r="D120">
        <f t="shared" si="2"/>
        <v>1.3559999999999994</v>
      </c>
    </row>
    <row r="121" spans="1:4" x14ac:dyDescent="0.35">
      <c r="A121" t="str">
        <v>Lithuania</v>
      </c>
      <c r="B121">
        <f>IFERROR(AVERAGEIFS([1]!Weo_Data[Value],[1]!Weo_Data[Subject Descriptor],"Gross domestic product, constant prices",[1]!Weo_Data[Country Name],A121,[1]!Weo_Data[Years],2025),0)</f>
        <v>2.4590000000000001</v>
      </c>
      <c r="C121">
        <f>IFERROR(AVERAGEIFS([1]!Weo_Data[Value],[1]!Weo_Data[Subject Descriptor],"Inflation, average consumer prices",[1]!Weo_Data[Country Name],A121,[1]!Weo_Data[Years],2025),0)</f>
        <v>2.33</v>
      </c>
      <c r="D121">
        <f t="shared" si="2"/>
        <v>0.129</v>
      </c>
    </row>
    <row r="122" spans="1:4" x14ac:dyDescent="0.35">
      <c r="A122" t="str">
        <v>Tanzania</v>
      </c>
      <c r="B122">
        <f>IFERROR(AVERAGEIFS([1]!Weo_Data[Value],[1]!Weo_Data[Subject Descriptor],"Gross domestic product, constant prices",[1]!Weo_Data[Country Name],A122,[1]!Weo_Data[Years],2025),0)</f>
        <v>5.9989999999999997</v>
      </c>
      <c r="C122">
        <f>IFERROR(AVERAGEIFS([1]!Weo_Data[Value],[1]!Weo_Data[Subject Descriptor],"Inflation, average consumer prices",[1]!Weo_Data[Country Name],A122,[1]!Weo_Data[Years],2025),0)</f>
        <v>4.0259999999999998</v>
      </c>
      <c r="D122">
        <f t="shared" si="2"/>
        <v>1.9729999999999999</v>
      </c>
    </row>
    <row r="123" spans="1:4" x14ac:dyDescent="0.35">
      <c r="A123" t="str">
        <v>Azerbaijan</v>
      </c>
      <c r="B123">
        <f>IFERROR(AVERAGEIFS([1]!Weo_Data[Value],[1]!Weo_Data[Subject Descriptor],"Gross domestic product, constant prices",[1]!Weo_Data[Country Name],A123,[1]!Weo_Data[Years],2025),0)</f>
        <v>2.3159999999999998</v>
      </c>
      <c r="C123">
        <f>IFERROR(AVERAGEIFS([1]!Weo_Data[Value],[1]!Weo_Data[Subject Descriptor],"Inflation, average consumer prices",[1]!Weo_Data[Country Name],A123,[1]!Weo_Data[Years],2025),0)</f>
        <v>5</v>
      </c>
      <c r="D123">
        <f t="shared" si="2"/>
        <v>-2.6840000000000002</v>
      </c>
    </row>
    <row r="124" spans="1:4" x14ac:dyDescent="0.35">
      <c r="A124" t="str">
        <v>Ghana</v>
      </c>
      <c r="B124">
        <f>IFERROR(AVERAGEIFS([1]!Weo_Data[Value],[1]!Weo_Data[Subject Descriptor],"Gross domestic product, constant prices",[1]!Weo_Data[Country Name],A124,[1]!Weo_Data[Years],2025),0)</f>
        <v>4.3819999999999997</v>
      </c>
      <c r="C124">
        <f>IFERROR(AVERAGEIFS([1]!Weo_Data[Value],[1]!Weo_Data[Subject Descriptor],"Inflation, average consumer prices",[1]!Weo_Data[Country Name],A124,[1]!Weo_Data[Years],2025),0)</f>
        <v>11.506</v>
      </c>
      <c r="D124">
        <f t="shared" si="2"/>
        <v>-7.1240000000000006</v>
      </c>
    </row>
    <row r="125" spans="1:4" x14ac:dyDescent="0.35">
      <c r="A125" t="str">
        <v>Palau</v>
      </c>
      <c r="B125">
        <f>IFERROR(AVERAGEIFS([1]!Weo_Data[Value],[1]!Weo_Data[Subject Descriptor],"Gross domestic product, constant prices",[1]!Weo_Data[Country Name],A125,[1]!Weo_Data[Years],2025),0)</f>
        <v>11.9</v>
      </c>
      <c r="C125">
        <f>IFERROR(AVERAGEIFS([1]!Weo_Data[Value],[1]!Weo_Data[Subject Descriptor],"Inflation, average consumer prices",[1]!Weo_Data[Country Name],A125,[1]!Weo_Data[Years],2025),0)</f>
        <v>2.21</v>
      </c>
      <c r="D125">
        <f t="shared" si="2"/>
        <v>9.6900000000000013</v>
      </c>
    </row>
    <row r="126" spans="1:4" x14ac:dyDescent="0.35">
      <c r="A126" t="str">
        <v>Democratic Republic of the Congo</v>
      </c>
      <c r="B126">
        <f>IFERROR(AVERAGEIFS([1]!Weo_Data[Value],[1]!Weo_Data[Subject Descriptor],"Gross domestic product, constant prices",[1]!Weo_Data[Country Name],A126,[1]!Weo_Data[Years],2025),0)</f>
        <v>5.6580000000000004</v>
      </c>
      <c r="C126">
        <f>IFERROR(AVERAGEIFS([1]!Weo_Data[Value],[1]!Weo_Data[Subject Descriptor],"Inflation, average consumer prices",[1]!Weo_Data[Country Name],A126,[1]!Weo_Data[Years],2025),0)</f>
        <v>8.4719999999999995</v>
      </c>
      <c r="D126">
        <f t="shared" si="2"/>
        <v>-2.8139999999999992</v>
      </c>
    </row>
    <row r="127" spans="1:4" x14ac:dyDescent="0.35">
      <c r="A127" t="str">
        <v>Slovenia</v>
      </c>
      <c r="B127">
        <f>IFERROR(AVERAGEIFS([1]!Weo_Data[Value],[1]!Weo_Data[Subject Descriptor],"Gross domestic product, constant prices",[1]!Weo_Data[Country Name],A127,[1]!Weo_Data[Years],2025),0)</f>
        <v>2.5</v>
      </c>
      <c r="C127">
        <f>IFERROR(AVERAGEIFS([1]!Weo_Data[Value],[1]!Weo_Data[Subject Descriptor],"Inflation, average consumer prices",[1]!Weo_Data[Country Name],A127,[1]!Weo_Data[Years],2025),0)</f>
        <v>1.968</v>
      </c>
      <c r="D127">
        <f t="shared" si="2"/>
        <v>0.53200000000000003</v>
      </c>
    </row>
    <row r="128" spans="1:4" x14ac:dyDescent="0.35">
      <c r="A128" t="str">
        <v>Belarus</v>
      </c>
      <c r="B128">
        <f>IFERROR(AVERAGEIFS([1]!Weo_Data[Value],[1]!Weo_Data[Subject Descriptor],"Gross domestic product, constant prices",[1]!Weo_Data[Country Name],A128,[1]!Weo_Data[Years],2025),0)</f>
        <v>1.149</v>
      </c>
      <c r="C128">
        <f>IFERROR(AVERAGEIFS([1]!Weo_Data[Value],[1]!Weo_Data[Subject Descriptor],"Inflation, average consumer prices",[1]!Weo_Data[Country Name],A128,[1]!Weo_Data[Years],2025),0)</f>
        <v>6.5359999999999987</v>
      </c>
      <c r="D128">
        <f t="shared" si="2"/>
        <v>-5.3869999999999987</v>
      </c>
    </row>
    <row r="129" spans="1:4" x14ac:dyDescent="0.35">
      <c r="A129" t="str">
        <v>Marshall Islands</v>
      </c>
      <c r="B129">
        <f>IFERROR(AVERAGEIFS([1]!Weo_Data[Value],[1]!Weo_Data[Subject Descriptor],"Gross domestic product, constant prices",[1]!Weo_Data[Country Name],A129,[1]!Weo_Data[Years],2025),0)</f>
        <v>2</v>
      </c>
      <c r="C129">
        <f>IFERROR(AVERAGEIFS([1]!Weo_Data[Value],[1]!Weo_Data[Subject Descriptor],"Inflation, average consumer prices",[1]!Weo_Data[Country Name],A129,[1]!Weo_Data[Years],2025),0)</f>
        <v>2.2959999999999998</v>
      </c>
      <c r="D129">
        <f t="shared" si="2"/>
        <v>-0.29599999999999982</v>
      </c>
    </row>
    <row r="130" spans="1:4" x14ac:dyDescent="0.35">
      <c r="A130" t="str">
        <v>Myanmar</v>
      </c>
      <c r="B130">
        <f>IFERROR(AVERAGEIFS([1]!Weo_Data[Value],[1]!Weo_Data[Subject Descriptor],"Gross domestic product, constant prices",[1]!Weo_Data[Country Name],A130,[1]!Weo_Data[Years],2025),0)</f>
        <v>2.0150000000000001</v>
      </c>
      <c r="C130">
        <f>IFERROR(AVERAGEIFS([1]!Weo_Data[Value],[1]!Weo_Data[Subject Descriptor],"Inflation, average consumer prices",[1]!Weo_Data[Country Name],A130,[1]!Weo_Data[Years],2025),0)</f>
        <v>7.8</v>
      </c>
      <c r="D130">
        <f t="shared" si="2"/>
        <v>-5.7850000000000001</v>
      </c>
    </row>
    <row r="131" spans="1:4" x14ac:dyDescent="0.35">
      <c r="A131" t="str">
        <v>Niger</v>
      </c>
      <c r="B131">
        <f>IFERROR(AVERAGEIFS([1]!Weo_Data[Value],[1]!Weo_Data[Subject Descriptor],"Gross domestic product, constant prices",[1]!Weo_Data[Country Name],A131,[1]!Weo_Data[Years],2025),0)</f>
        <v>6.0860000000000012</v>
      </c>
      <c r="C131">
        <f>IFERROR(AVERAGEIFS([1]!Weo_Data[Value],[1]!Weo_Data[Subject Descriptor],"Inflation, average consumer prices",[1]!Weo_Data[Country Name],A131,[1]!Weo_Data[Years],2025),0)</f>
        <v>4.58</v>
      </c>
      <c r="D131">
        <f t="shared" si="2"/>
        <v>1.5060000000000011</v>
      </c>
    </row>
    <row r="132" spans="1:4" x14ac:dyDescent="0.35">
      <c r="A132" t="str">
        <v>Libya</v>
      </c>
      <c r="B132">
        <f>IFERROR(AVERAGEIFS([1]!Weo_Data[Value],[1]!Weo_Data[Subject Descriptor],"Gross domestic product, constant prices",[1]!Weo_Data[Country Name],A132,[1]!Weo_Data[Years],2025),0)</f>
        <v>6.9460000000000006</v>
      </c>
      <c r="C132">
        <f>IFERROR(AVERAGEIFS([1]!Weo_Data[Value],[1]!Weo_Data[Subject Descriptor],"Inflation, average consumer prices",[1]!Weo_Data[Country Name],A132,[1]!Weo_Data[Years],2025),0)</f>
        <v>2.863</v>
      </c>
      <c r="D132">
        <f t="shared" si="2"/>
        <v>4.0830000000000002</v>
      </c>
    </row>
    <row r="133" spans="1:4" x14ac:dyDescent="0.35">
      <c r="A133" t="str">
        <v>Micronesia</v>
      </c>
      <c r="B133">
        <f>IFERROR(AVERAGEIFS([1]!Weo_Data[Value],[1]!Weo_Data[Subject Descriptor],"Gross domestic product, constant prices",[1]!Weo_Data[Country Name],A133,[1]!Weo_Data[Years],2025),0)</f>
        <v>1.7250000000000003</v>
      </c>
      <c r="C133">
        <f>IFERROR(AVERAGEIFS([1]!Weo_Data[Value],[1]!Weo_Data[Subject Descriptor],"Inflation, average consumer prices",[1]!Weo_Data[Country Name],A133,[1]!Weo_Data[Years],2025),0)</f>
        <v>2.988</v>
      </c>
      <c r="D133">
        <f t="shared" si="2"/>
        <v>-1.2629999999999997</v>
      </c>
    </row>
    <row r="134" spans="1:4" x14ac:dyDescent="0.35">
      <c r="A134" t="str">
        <v>Uganda</v>
      </c>
      <c r="B134">
        <f>IFERROR(AVERAGEIFS([1]!Weo_Data[Value],[1]!Weo_Data[Subject Descriptor],"Gross domestic product, constant prices",[1]!Weo_Data[Country Name],A134,[1]!Weo_Data[Years],2025),0)</f>
        <v>6.5419999999999989</v>
      </c>
      <c r="C134">
        <f>IFERROR(AVERAGEIFS([1]!Weo_Data[Value],[1]!Weo_Data[Subject Descriptor],"Inflation, average consumer prices",[1]!Weo_Data[Country Name],A134,[1]!Weo_Data[Years],2025),0)</f>
        <v>4.8730000000000002</v>
      </c>
      <c r="D134">
        <f t="shared" si="2"/>
        <v>1.6689999999999987</v>
      </c>
    </row>
    <row r="135" spans="1:4" x14ac:dyDescent="0.35">
      <c r="A135" t="str">
        <v>South Sudan</v>
      </c>
      <c r="B135">
        <f>IFERROR(AVERAGEIFS([1]!Weo_Data[Value],[1]!Weo_Data[Subject Descriptor],"Gross domestic product, constant prices",[1]!Weo_Data[Country Name],A135,[1]!Weo_Data[Years],2025),0)</f>
        <v>6.7960000000000003</v>
      </c>
      <c r="C135">
        <f>IFERROR(AVERAGEIFS([1]!Weo_Data[Value],[1]!Weo_Data[Subject Descriptor],"Inflation, average consumer prices",[1]!Weo_Data[Country Name],A135,[1]!Weo_Data[Years],2025),0)</f>
        <v>21.739000000000001</v>
      </c>
      <c r="D135">
        <f t="shared" si="2"/>
        <v>-14.943000000000001</v>
      </c>
    </row>
    <row r="136" spans="1:4" x14ac:dyDescent="0.35">
      <c r="A136" t="str">
        <v>Tunisia</v>
      </c>
      <c r="B136">
        <f>IFERROR(AVERAGEIFS([1]!Weo_Data[Value],[1]!Weo_Data[Subject Descriptor],"Gross domestic product, constant prices",[1]!Weo_Data[Country Name],A136,[1]!Weo_Data[Years],2025),0)</f>
        <v>1.8120000000000001</v>
      </c>
      <c r="C136">
        <f>IFERROR(AVERAGEIFS([1]!Weo_Data[Value],[1]!Weo_Data[Subject Descriptor],"Inflation, average consumer prices",[1]!Weo_Data[Country Name],A136,[1]!Weo_Data[Years],2025),0)</f>
        <v>6.9430000000000005</v>
      </c>
      <c r="D136">
        <f t="shared" si="2"/>
        <v>-5.1310000000000002</v>
      </c>
    </row>
    <row r="137" spans="1:4" x14ac:dyDescent="0.35">
      <c r="A137" t="str">
        <v>Macao SAR</v>
      </c>
      <c r="B137">
        <f>IFERROR(AVERAGEIFS([1]!Weo_Data[Value],[1]!Weo_Data[Subject Descriptor],"Gross domestic product, constant prices",[1]!Weo_Data[Country Name],A137,[1]!Weo_Data[Years],2025),0)</f>
        <v>9.6419999999999995</v>
      </c>
      <c r="C137">
        <f>IFERROR(AVERAGEIFS([1]!Weo_Data[Value],[1]!Weo_Data[Subject Descriptor],"Inflation, average consumer prices",[1]!Weo_Data[Country Name],A137,[1]!Weo_Data[Years],2025),0)</f>
        <v>2.25</v>
      </c>
      <c r="D137">
        <f t="shared" si="2"/>
        <v>7.3919999999999995</v>
      </c>
    </row>
    <row r="138" spans="1:4" x14ac:dyDescent="0.35">
      <c r="A138" t="str">
        <v>Jordan</v>
      </c>
      <c r="B138">
        <f>IFERROR(AVERAGEIFS([1]!Weo_Data[Value],[1]!Weo_Data[Subject Descriptor],"Gross domestic product, constant prices",[1]!Weo_Data[Country Name],A138,[1]!Weo_Data[Years],2025),0)</f>
        <v>3</v>
      </c>
      <c r="C138">
        <f>IFERROR(AVERAGEIFS([1]!Weo_Data[Value],[1]!Weo_Data[Subject Descriptor],"Inflation, average consumer prices",[1]!Weo_Data[Country Name],A138,[1]!Weo_Data[Years],2025),0)</f>
        <v>2.4369999999999998</v>
      </c>
      <c r="D138">
        <f t="shared" si="2"/>
        <v>0.56300000000000017</v>
      </c>
    </row>
    <row r="139" spans="1:4" x14ac:dyDescent="0.35">
      <c r="A139" t="str">
        <v>Cameroon</v>
      </c>
      <c r="B139">
        <f>IFERROR(AVERAGEIFS([1]!Weo_Data[Value],[1]!Weo_Data[Subject Descriptor],"Gross domestic product, constant prices",[1]!Weo_Data[Country Name],A139,[1]!Weo_Data[Years],2025),0)</f>
        <v>4.468</v>
      </c>
      <c r="C139">
        <f>IFERROR(AVERAGEIFS([1]!Weo_Data[Value],[1]!Weo_Data[Subject Descriptor],"Inflation, average consumer prices",[1]!Weo_Data[Country Name],A139,[1]!Weo_Data[Years],2025),0)</f>
        <v>5.5</v>
      </c>
      <c r="D139">
        <f t="shared" si="2"/>
        <v>-1.032</v>
      </c>
    </row>
    <row r="140" spans="1:4" x14ac:dyDescent="0.35">
      <c r="A140" t="str">
        <v>Lesotho</v>
      </c>
      <c r="B140">
        <f>IFERROR(AVERAGEIFS([1]!Weo_Data[Value],[1]!Weo_Data[Subject Descriptor],"Gross domestic product, constant prices",[1]!Weo_Data[Country Name],A140,[1]!Weo_Data[Years],2025),0)</f>
        <v>2.52</v>
      </c>
      <c r="C140">
        <f>IFERROR(AVERAGEIFS([1]!Weo_Data[Value],[1]!Weo_Data[Subject Descriptor],"Inflation, average consumer prices",[1]!Weo_Data[Country Name],A140,[1]!Weo_Data[Years],2025),0)</f>
        <v>5.3520000000000003</v>
      </c>
      <c r="D140">
        <f t="shared" si="2"/>
        <v>-2.8320000000000003</v>
      </c>
    </row>
    <row r="141" spans="1:4" x14ac:dyDescent="0.35">
      <c r="A141" t="str">
        <v>Mozambique</v>
      </c>
      <c r="B141">
        <f>IFERROR(AVERAGEIFS([1]!Weo_Data[Value],[1]!Weo_Data[Subject Descriptor],"Gross domestic product, constant prices",[1]!Weo_Data[Country Name],A141,[1]!Weo_Data[Years],2025),0)</f>
        <v>4.9710000000000001</v>
      </c>
      <c r="C141">
        <f>IFERROR(AVERAGEIFS([1]!Weo_Data[Value],[1]!Weo_Data[Subject Descriptor],"Inflation, average consumer prices",[1]!Weo_Data[Country Name],A141,[1]!Weo_Data[Years],2025),0)</f>
        <v>5.5380000000000003</v>
      </c>
      <c r="D141">
        <f t="shared" si="2"/>
        <v>-0.56700000000000017</v>
      </c>
    </row>
    <row r="142" spans="1:4" x14ac:dyDescent="0.35">
      <c r="A142" t="str">
        <v>Suriname</v>
      </c>
      <c r="B142">
        <f>IFERROR(AVERAGEIFS([1]!Weo_Data[Value],[1]!Weo_Data[Subject Descriptor],"Gross domestic product, constant prices",[1]!Weo_Data[Country Name],A142,[1]!Weo_Data[Years],2025),0)</f>
        <v>2.984</v>
      </c>
      <c r="C142">
        <f>IFERROR(AVERAGEIFS([1]!Weo_Data[Value],[1]!Weo_Data[Subject Descriptor],"Inflation, average consumer prices",[1]!Weo_Data[Country Name],A142,[1]!Weo_Data[Years],2025),0)</f>
        <v>14.814</v>
      </c>
      <c r="D142">
        <f t="shared" si="2"/>
        <v>-11.83</v>
      </c>
    </row>
    <row r="143" spans="1:4" x14ac:dyDescent="0.35">
      <c r="A143" t="str">
        <v>Bolivia</v>
      </c>
      <c r="B143">
        <f>IFERROR(AVERAGEIFS([1]!Weo_Data[Value],[1]!Weo_Data[Subject Descriptor],"Gross domestic product, constant prices",[1]!Weo_Data[Country Name],A143,[1]!Weo_Data[Years],2025),0)</f>
        <v>2.2000000000000002</v>
      </c>
      <c r="C143">
        <f>IFERROR(AVERAGEIFS([1]!Weo_Data[Value],[1]!Weo_Data[Subject Descriptor],"Inflation, average consumer prices",[1]!Weo_Data[Country Name],A143,[1]!Weo_Data[Years],2025),0)</f>
        <v>4.1660000000000004</v>
      </c>
      <c r="D143">
        <f t="shared" si="2"/>
        <v>-1.9660000000000002</v>
      </c>
    </row>
    <row r="144" spans="1:4" x14ac:dyDescent="0.35">
      <c r="A144" t="str">
        <v>Tonga</v>
      </c>
      <c r="B144">
        <f>IFERROR(AVERAGEIFS([1]!Weo_Data[Value],[1]!Weo_Data[Subject Descriptor],"Gross domestic product, constant prices",[1]!Weo_Data[Country Name],A144,[1]!Weo_Data[Years],2025),0)</f>
        <v>2.3839999999999999</v>
      </c>
      <c r="C144">
        <f>IFERROR(AVERAGEIFS([1]!Weo_Data[Value],[1]!Weo_Data[Subject Descriptor],"Inflation, average consumer prices",[1]!Weo_Data[Country Name],A144,[1]!Weo_Data[Years],2025),0)</f>
        <v>4.1500000000000004</v>
      </c>
      <c r="D144">
        <f t="shared" si="2"/>
        <v>-1.7660000000000005</v>
      </c>
    </row>
    <row r="145" spans="1:4" x14ac:dyDescent="0.35">
      <c r="A145" t="str">
        <v>Bahrain</v>
      </c>
      <c r="B145">
        <f>IFERROR(AVERAGEIFS([1]!Weo_Data[Value],[1]!Weo_Data[Subject Descriptor],"Gross domestic product, constant prices",[1]!Weo_Data[Country Name],A145,[1]!Weo_Data[Years],2025),0)</f>
        <v>3.1620000000000004</v>
      </c>
      <c r="C145">
        <f>IFERROR(AVERAGEIFS([1]!Weo_Data[Value],[1]!Weo_Data[Subject Descriptor],"Inflation, average consumer prices",[1]!Weo_Data[Country Name],A145,[1]!Weo_Data[Years],2025),0)</f>
        <v>1.8</v>
      </c>
      <c r="D145">
        <f t="shared" si="2"/>
        <v>1.3620000000000003</v>
      </c>
    </row>
    <row r="146" spans="1:4" x14ac:dyDescent="0.35">
      <c r="A146" t="str">
        <v>Paraguay</v>
      </c>
      <c r="B146">
        <f>IFERROR(AVERAGEIFS([1]!Weo_Data[Value],[1]!Weo_Data[Subject Descriptor],"Gross domestic product, constant prices",[1]!Weo_Data[Country Name],A146,[1]!Weo_Data[Years],2025),0)</f>
        <v>3.7999999999999994</v>
      </c>
      <c r="C146">
        <f>IFERROR(AVERAGEIFS([1]!Weo_Data[Value],[1]!Weo_Data[Subject Descriptor],"Inflation, average consumer prices",[1]!Weo_Data[Country Name],A146,[1]!Weo_Data[Years],2025),0)</f>
        <v>4</v>
      </c>
      <c r="D146">
        <f t="shared" si="2"/>
        <v>-0.20000000000000062</v>
      </c>
    </row>
    <row r="147" spans="1:4" x14ac:dyDescent="0.35">
      <c r="A147" t="str">
        <v>Latvia</v>
      </c>
      <c r="B147">
        <f>IFERROR(AVERAGEIFS([1]!Weo_Data[Value],[1]!Weo_Data[Subject Descriptor],"Gross domestic product, constant prices",[1]!Weo_Data[Country Name],A147,[1]!Weo_Data[Years],2025),0)</f>
        <v>2.4340000000000002</v>
      </c>
      <c r="C147">
        <f>IFERROR(AVERAGEIFS([1]!Weo_Data[Value],[1]!Weo_Data[Subject Descriptor],"Inflation, average consumer prices",[1]!Weo_Data[Country Name],A147,[1]!Weo_Data[Years],2025),0)</f>
        <v>3.6110000000000002</v>
      </c>
      <c r="D147">
        <f t="shared" si="2"/>
        <v>-1.177</v>
      </c>
    </row>
    <row r="148" spans="1:4" x14ac:dyDescent="0.35">
      <c r="A148" t="str">
        <v>Grenada</v>
      </c>
      <c r="B148">
        <f>IFERROR(AVERAGEIFS([1]!Weo_Data[Value],[1]!Weo_Data[Subject Descriptor],"Gross domestic product, constant prices",[1]!Weo_Data[Country Name],A148,[1]!Weo_Data[Years],2025),0)</f>
        <v>3.6720000000000002</v>
      </c>
      <c r="C148">
        <f>IFERROR(AVERAGEIFS([1]!Weo_Data[Value],[1]!Weo_Data[Subject Descriptor],"Inflation, average consumer prices",[1]!Weo_Data[Country Name],A148,[1]!Weo_Data[Years],2025),0)</f>
        <v>2.0179999999999998</v>
      </c>
      <c r="D148">
        <f t="shared" si="2"/>
        <v>1.6540000000000004</v>
      </c>
    </row>
    <row r="149" spans="1:4" x14ac:dyDescent="0.35">
      <c r="A149" t="str">
        <v>Cambodia</v>
      </c>
      <c r="B149">
        <f>IFERROR(AVERAGEIFS([1]!Weo_Data[Value],[1]!Weo_Data[Subject Descriptor],"Gross domestic product, constant prices",[1]!Weo_Data[Country Name],A149,[1]!Weo_Data[Years],2025),0)</f>
        <v>6.1189999999999998</v>
      </c>
      <c r="C149">
        <f>IFERROR(AVERAGEIFS([1]!Weo_Data[Value],[1]!Weo_Data[Subject Descriptor],"Inflation, average consumer prices",[1]!Weo_Data[Country Name],A149,[1]!Weo_Data[Years],2025),0)</f>
        <v>3.0400000000000005</v>
      </c>
      <c r="D149">
        <f t="shared" si="2"/>
        <v>3.0789999999999993</v>
      </c>
    </row>
    <row r="150" spans="1:4" x14ac:dyDescent="0.35">
      <c r="A150" t="str">
        <v>Iceland</v>
      </c>
      <c r="B150">
        <f>IFERROR(AVERAGEIFS([1]!Weo_Data[Value],[1]!Weo_Data[Subject Descriptor],"Gross domestic product, constant prices",[1]!Weo_Data[Country Name],A150,[1]!Weo_Data[Years],2025),0)</f>
        <v>1.9959999999999998</v>
      </c>
      <c r="C150">
        <f>IFERROR(AVERAGEIFS([1]!Weo_Data[Value],[1]!Weo_Data[Subject Descriptor],"Inflation, average consumer prices",[1]!Weo_Data[Country Name],A150,[1]!Weo_Data[Years],2025),0)</f>
        <v>3.43</v>
      </c>
      <c r="D150">
        <f t="shared" si="2"/>
        <v>-1.4340000000000004</v>
      </c>
    </row>
    <row r="151" spans="1:4" x14ac:dyDescent="0.35">
      <c r="A151" t="str">
        <v>Dominica</v>
      </c>
      <c r="B151">
        <f>IFERROR(AVERAGEIFS([1]!Weo_Data[Value],[1]!Weo_Data[Subject Descriptor],"Gross domestic product, constant prices",[1]!Weo_Data[Country Name],A151,[1]!Weo_Data[Years],2025),0)</f>
        <v>4.2560000000000002</v>
      </c>
      <c r="C151">
        <f>IFERROR(AVERAGEIFS([1]!Weo_Data[Value],[1]!Weo_Data[Subject Descriptor],"Inflation, average consumer prices",[1]!Weo_Data[Country Name],A151,[1]!Weo_Data[Years],2025),0)</f>
        <v>2.0830000000000002</v>
      </c>
      <c r="D151">
        <f t="shared" si="2"/>
        <v>2.173</v>
      </c>
    </row>
    <row r="152" spans="1:4" x14ac:dyDescent="0.35">
      <c r="A152" t="str">
        <v>Estonia</v>
      </c>
      <c r="B152">
        <f>IFERROR(AVERAGEIFS([1]!Weo_Data[Value],[1]!Weo_Data[Subject Descriptor],"Gross domestic product, constant prices",[1]!Weo_Data[Country Name],A152,[1]!Weo_Data[Years],2025),0)</f>
        <v>2.1789999999999998</v>
      </c>
      <c r="C152">
        <f>IFERROR(AVERAGEIFS([1]!Weo_Data[Value],[1]!Weo_Data[Subject Descriptor],"Inflation, average consumer prices",[1]!Weo_Data[Country Name],A152,[1]!Weo_Data[Years],2025),0)</f>
        <v>2.4860000000000002</v>
      </c>
      <c r="D152">
        <f t="shared" si="2"/>
        <v>-0.30700000000000038</v>
      </c>
    </row>
    <row r="153" spans="1:4" x14ac:dyDescent="0.35">
      <c r="A153" t="str">
        <v>Montenegro</v>
      </c>
      <c r="B153">
        <f>IFERROR(AVERAGEIFS([1]!Weo_Data[Value],[1]!Weo_Data[Subject Descriptor],"Gross domestic product, constant prices",[1]!Weo_Data[Country Name],A153,[1]!Weo_Data[Years],2025),0)</f>
        <v>3</v>
      </c>
      <c r="C153">
        <f>IFERROR(AVERAGEIFS([1]!Weo_Data[Value],[1]!Weo_Data[Subject Descriptor],"Inflation, average consumer prices",[1]!Weo_Data[Country Name],A153,[1]!Weo_Data[Years],2025),0)</f>
        <v>2.7210000000000001</v>
      </c>
      <c r="D153">
        <f t="shared" si="2"/>
        <v>0.27899999999999991</v>
      </c>
    </row>
    <row r="154" spans="1:4" x14ac:dyDescent="0.35">
      <c r="A154" t="str">
        <v>Nepal</v>
      </c>
      <c r="B154">
        <f>IFERROR(AVERAGEIFS([1]!Weo_Data[Value],[1]!Weo_Data[Subject Descriptor],"Gross domestic product, constant prices",[1]!Weo_Data[Country Name],A154,[1]!Weo_Data[Years],2025),0)</f>
        <v>5.1909999999999998</v>
      </c>
      <c r="C154">
        <f>IFERROR(AVERAGEIFS([1]!Weo_Data[Value],[1]!Weo_Data[Subject Descriptor],"Inflation, average consumer prices",[1]!Weo_Data[Country Name],A154,[1]!Weo_Data[Years],2025),0)</f>
        <v>5.6130000000000004</v>
      </c>
      <c r="D154">
        <f t="shared" si="2"/>
        <v>-0.4220000000000006</v>
      </c>
    </row>
    <row r="155" spans="1:4" x14ac:dyDescent="0.35">
      <c r="A155" t="str">
        <v>Cyprus</v>
      </c>
      <c r="B155">
        <f>IFERROR(AVERAGEIFS([1]!Weo_Data[Value],[1]!Weo_Data[Subject Descriptor],"Gross domestic product, constant prices",[1]!Weo_Data[Country Name],A155,[1]!Weo_Data[Years],2025),0)</f>
        <v>2.8759999999999999</v>
      </c>
      <c r="C155">
        <f>IFERROR(AVERAGEIFS([1]!Weo_Data[Value],[1]!Weo_Data[Subject Descriptor],"Inflation, average consumer prices",[1]!Weo_Data[Country Name],A155,[1]!Weo_Data[Years],2025),0)</f>
        <v>2.0369999999999999</v>
      </c>
      <c r="D155">
        <f t="shared" si="2"/>
        <v>0.83899999999999997</v>
      </c>
    </row>
    <row r="156" spans="1:4" x14ac:dyDescent="0.35">
      <c r="A156" t="str">
        <v>Kyrgyz Republic</v>
      </c>
      <c r="B156">
        <f>IFERROR(AVERAGEIFS([1]!Weo_Data[Value],[1]!Weo_Data[Subject Descriptor],"Gross domestic product, constant prices",[1]!Weo_Data[Country Name],A156,[1]!Weo_Data[Years],2025),0)</f>
        <v>4.1790000000000003</v>
      </c>
      <c r="C156">
        <f>IFERROR(AVERAGEIFS([1]!Weo_Data[Value],[1]!Weo_Data[Subject Descriptor],"Inflation, average consumer prices",[1]!Weo_Data[Country Name],A156,[1]!Weo_Data[Years],2025),0)</f>
        <v>6.625</v>
      </c>
      <c r="D156">
        <f t="shared" si="2"/>
        <v>-2.4459999999999997</v>
      </c>
    </row>
    <row r="157" spans="1:4" x14ac:dyDescent="0.35">
      <c r="A157" t="str">
        <v>Guyana</v>
      </c>
      <c r="B157">
        <f>IFERROR(AVERAGEIFS([1]!Weo_Data[Value],[1]!Weo_Data[Subject Descriptor],"Gross domestic product, constant prices",[1]!Weo_Data[Country Name],A157,[1]!Weo_Data[Years],2025),0)</f>
        <v>18.716000000000001</v>
      </c>
      <c r="C157">
        <f>IFERROR(AVERAGEIFS([1]!Weo_Data[Value],[1]!Weo_Data[Subject Descriptor],"Inflation, average consumer prices",[1]!Weo_Data[Country Name],A157,[1]!Weo_Data[Years],2025),0)</f>
        <v>4.5629999999999997</v>
      </c>
      <c r="D157">
        <f t="shared" si="2"/>
        <v>14.153000000000002</v>
      </c>
    </row>
    <row r="158" spans="1:4" x14ac:dyDescent="0.35">
      <c r="A158" t="str">
        <v>Bosnia and Herzegovina</v>
      </c>
      <c r="B158">
        <f>IFERROR(AVERAGEIFS([1]!Weo_Data[Value],[1]!Weo_Data[Subject Descriptor],"Gross domestic product, constant prices",[1]!Weo_Data[Country Name],A158,[1]!Weo_Data[Years],2025),0)</f>
        <v>3</v>
      </c>
      <c r="C158">
        <f>IFERROR(AVERAGEIFS([1]!Weo_Data[Value],[1]!Weo_Data[Subject Descriptor],"Inflation, average consumer prices",[1]!Weo_Data[Country Name],A158,[1]!Weo_Data[Years],2025),0)</f>
        <v>2.6720000000000002</v>
      </c>
      <c r="D158">
        <f t="shared" si="2"/>
        <v>0.32799999999999985</v>
      </c>
    </row>
    <row r="159" spans="1:4" x14ac:dyDescent="0.35">
      <c r="A159" t="str">
        <v>Vanuatu</v>
      </c>
      <c r="B159">
        <f>IFERROR(AVERAGEIFS([1]!Weo_Data[Value],[1]!Weo_Data[Subject Descriptor],"Gross domestic product, constant prices",[1]!Weo_Data[Country Name],A159,[1]!Weo_Data[Years],2025),0)</f>
        <v>3.516</v>
      </c>
      <c r="C159">
        <f>IFERROR(AVERAGEIFS([1]!Weo_Data[Value],[1]!Weo_Data[Subject Descriptor],"Inflation, average consumer prices",[1]!Weo_Data[Country Name],A159,[1]!Weo_Data[Years],2025),0)</f>
        <v>6.0040000000000004</v>
      </c>
      <c r="D159">
        <f t="shared" si="2"/>
        <v>-2.4880000000000004</v>
      </c>
    </row>
    <row r="160" spans="1:4" x14ac:dyDescent="0.35">
      <c r="A160" t="str">
        <v>Maldives</v>
      </c>
      <c r="B160">
        <f>IFERROR(AVERAGEIFS([1]!Weo_Data[Value],[1]!Weo_Data[Subject Descriptor],"Gross domestic product, constant prices",[1]!Weo_Data[Country Name],A160,[1]!Weo_Data[Years],2025),0)</f>
        <v>6.5040000000000004</v>
      </c>
      <c r="C160">
        <f>IFERROR(AVERAGEIFS([1]!Weo_Data[Value],[1]!Weo_Data[Subject Descriptor],"Inflation, average consumer prices",[1]!Weo_Data[Country Name],A160,[1]!Weo_Data[Years],2025),0)</f>
        <v>3</v>
      </c>
      <c r="D160">
        <f t="shared" si="2"/>
        <v>3.5040000000000004</v>
      </c>
    </row>
    <row r="161" spans="1:4" x14ac:dyDescent="0.35">
      <c r="A161" t="str">
        <v>St. Kitts and Nevis</v>
      </c>
      <c r="B161">
        <f>IFERROR(AVERAGEIFS([1]!Weo_Data[Value],[1]!Weo_Data[Subject Descriptor],"Gross domestic product, constant prices",[1]!Weo_Data[Country Name],A161,[1]!Weo_Data[Years],2025),0)</f>
        <v>4.2549999999999999</v>
      </c>
      <c r="C161">
        <f>IFERROR(AVERAGEIFS([1]!Weo_Data[Value],[1]!Weo_Data[Subject Descriptor],"Inflation, average consumer prices",[1]!Weo_Data[Country Name],A161,[1]!Weo_Data[Years],2025),0)</f>
        <v>2.2229999999999999</v>
      </c>
      <c r="D161">
        <f t="shared" si="2"/>
        <v>2.032</v>
      </c>
    </row>
    <row r="162" spans="1:4" x14ac:dyDescent="0.35">
      <c r="A162" t="str">
        <v>Senegal</v>
      </c>
      <c r="B162">
        <f>IFERROR(AVERAGEIFS([1]!Weo_Data[Value],[1]!Weo_Data[Subject Descriptor],"Gross domestic product, constant prices",[1]!Weo_Data[Country Name],A162,[1]!Weo_Data[Years],2025),0)</f>
        <v>10.189</v>
      </c>
      <c r="C162">
        <f>IFERROR(AVERAGEIFS([1]!Weo_Data[Value],[1]!Weo_Data[Subject Descriptor],"Inflation, average consumer prices",[1]!Weo_Data[Country Name],A162,[1]!Weo_Data[Years],2025),0)</f>
        <v>2</v>
      </c>
      <c r="D162">
        <f t="shared" si="2"/>
        <v>8.1890000000000001</v>
      </c>
    </row>
    <row r="163" spans="1:4" x14ac:dyDescent="0.35">
      <c r="A163" t="str">
        <v>Sierra Leone</v>
      </c>
      <c r="B163">
        <f>IFERROR(AVERAGEIFS([1]!Weo_Data[Value],[1]!Weo_Data[Subject Descriptor],"Gross domestic product, constant prices",[1]!Weo_Data[Country Name],A163,[1]!Weo_Data[Years],2025),0)</f>
        <v>4.5199999999999996</v>
      </c>
      <c r="C163">
        <f>IFERROR(AVERAGEIFS([1]!Weo_Data[Value],[1]!Weo_Data[Subject Descriptor],"Inflation, average consumer prices",[1]!Weo_Data[Country Name],A163,[1]!Weo_Data[Years],2025),0)</f>
        <v>21.74</v>
      </c>
      <c r="D163">
        <f t="shared" si="2"/>
        <v>-17.22</v>
      </c>
    </row>
    <row r="164" spans="1:4" x14ac:dyDescent="0.35">
      <c r="A164" t="str">
        <v>Andorra</v>
      </c>
      <c r="B164">
        <f>IFERROR(AVERAGEIFS([1]!Weo_Data[Value],[1]!Weo_Data[Subject Descriptor],"Gross domestic product, constant prices",[1]!Weo_Data[Country Name],A164,[1]!Weo_Data[Years],2025),0)</f>
        <v>1.5</v>
      </c>
      <c r="C164">
        <f>IFERROR(AVERAGEIFS([1]!Weo_Data[Value],[1]!Weo_Data[Subject Descriptor],"Inflation, average consumer prices",[1]!Weo_Data[Country Name],A164,[1]!Weo_Data[Years],2025),0)</f>
        <v>2.44</v>
      </c>
      <c r="D164">
        <f t="shared" si="2"/>
        <v>-0.94</v>
      </c>
    </row>
    <row r="165" spans="1:4" x14ac:dyDescent="0.35">
      <c r="A165" t="str">
        <v>Malta</v>
      </c>
      <c r="B165">
        <f>IFERROR(AVERAGEIFS([1]!Weo_Data[Value],[1]!Weo_Data[Subject Descriptor],"Gross domestic product, constant prices",[1]!Weo_Data[Country Name],A165,[1]!Weo_Data[Years],2025),0)</f>
        <v>4.0049999999999999</v>
      </c>
      <c r="C165">
        <f>IFERROR(AVERAGEIFS([1]!Weo_Data[Value],[1]!Weo_Data[Subject Descriptor],"Inflation, average consumer prices",[1]!Weo_Data[Country Name],A165,[1]!Weo_Data[Years],2025),0)</f>
        <v>2.1150000000000002</v>
      </c>
      <c r="D165">
        <f t="shared" si="2"/>
        <v>1.8899999999999997</v>
      </c>
    </row>
    <row r="166" spans="1:4" x14ac:dyDescent="0.35">
      <c r="A166" t="str">
        <v>Burundi</v>
      </c>
      <c r="B166">
        <f>IFERROR(AVERAGEIFS([1]!Weo_Data[Value],[1]!Weo_Data[Subject Descriptor],"Gross domestic product, constant prices",[1]!Weo_Data[Country Name],A166,[1]!Weo_Data[Years],2025),0)</f>
        <v>5.3499999999999988</v>
      </c>
      <c r="C166">
        <f>IFERROR(AVERAGEIFS([1]!Weo_Data[Value],[1]!Weo_Data[Subject Descriptor],"Inflation, average consumer prices",[1]!Weo_Data[Country Name],A166,[1]!Weo_Data[Years],2025),0)</f>
        <v>19.965</v>
      </c>
      <c r="D166">
        <f t="shared" ref="D166:D229" si="3">B166-C166</f>
        <v>-14.615000000000002</v>
      </c>
    </row>
    <row r="167" spans="1:4" x14ac:dyDescent="0.35">
      <c r="A167" t="str">
        <v>Bhutan</v>
      </c>
      <c r="B167">
        <f>IFERROR(AVERAGEIFS([1]!Weo_Data[Value],[1]!Weo_Data[Subject Descriptor],"Gross domestic product, constant prices",[1]!Weo_Data[Country Name],A167,[1]!Weo_Data[Years],2025),0)</f>
        <v>4.9690000000000003</v>
      </c>
      <c r="C167">
        <f>IFERROR(AVERAGEIFS([1]!Weo_Data[Value],[1]!Weo_Data[Subject Descriptor],"Inflation, average consumer prices",[1]!Weo_Data[Country Name],A167,[1]!Weo_Data[Years],2025),0)</f>
        <v>4.5860000000000003</v>
      </c>
      <c r="D167">
        <f t="shared" si="3"/>
        <v>0.38300000000000001</v>
      </c>
    </row>
    <row r="168" spans="1:4" x14ac:dyDescent="0.35">
      <c r="A168" t="str">
        <v>Honduras</v>
      </c>
      <c r="B168">
        <f>IFERROR(AVERAGEIFS([1]!Weo_Data[Value],[1]!Weo_Data[Subject Descriptor],"Gross domestic product, constant prices",[1]!Weo_Data[Country Name],A168,[1]!Weo_Data[Years],2025),0)</f>
        <v>3.74</v>
      </c>
      <c r="C168">
        <f>IFERROR(AVERAGEIFS([1]!Weo_Data[Value],[1]!Weo_Data[Subject Descriptor],"Inflation, average consumer prices",[1]!Weo_Data[Country Name],A168,[1]!Weo_Data[Years],2025),0)</f>
        <v>4.1470000000000002</v>
      </c>
      <c r="D168">
        <f t="shared" si="3"/>
        <v>-0.40700000000000003</v>
      </c>
    </row>
    <row r="169" spans="1:4" x14ac:dyDescent="0.35">
      <c r="A169" t="str">
        <v>Antigua and Barbuda</v>
      </c>
      <c r="B169">
        <f>IFERROR(AVERAGEIFS([1]!Weo_Data[Value],[1]!Weo_Data[Subject Descriptor],"Gross domestic product, constant prices",[1]!Weo_Data[Country Name],A169,[1]!Weo_Data[Years],2025),0)</f>
        <v>4.0350000000000001</v>
      </c>
      <c r="C169">
        <f>IFERROR(AVERAGEIFS([1]!Weo_Data[Value],[1]!Weo_Data[Subject Descriptor],"Inflation, average consumer prices",[1]!Weo_Data[Country Name],A169,[1]!Weo_Data[Years],2025),0)</f>
        <v>2.0459999999999998</v>
      </c>
      <c r="D169">
        <f t="shared" si="3"/>
        <v>1.9890000000000003</v>
      </c>
    </row>
    <row r="170" spans="1:4" x14ac:dyDescent="0.35">
      <c r="A170" t="str">
        <v>Moldova</v>
      </c>
      <c r="B170">
        <f>IFERROR(AVERAGEIFS([1]!Weo_Data[Value],[1]!Weo_Data[Subject Descriptor],"Gross domestic product, constant prices",[1]!Weo_Data[Country Name],A170,[1]!Weo_Data[Years],2025),0)</f>
        <v>4.83</v>
      </c>
      <c r="C170">
        <f>IFERROR(AVERAGEIFS([1]!Weo_Data[Value],[1]!Weo_Data[Subject Descriptor],"Inflation, average consumer prices",[1]!Weo_Data[Country Name],A170,[1]!Weo_Data[Years],2025),0)</f>
        <v>5</v>
      </c>
      <c r="D170">
        <f t="shared" si="3"/>
        <v>-0.16999999999999993</v>
      </c>
    </row>
    <row r="171" spans="1:4" x14ac:dyDescent="0.35">
      <c r="A171" t="str">
        <v>Mauritania</v>
      </c>
      <c r="B171">
        <f>IFERROR(AVERAGEIFS([1]!Weo_Data[Value],[1]!Weo_Data[Subject Descriptor],"Gross domestic product, constant prices",[1]!Weo_Data[Country Name],A171,[1]!Weo_Data[Years],2025),0)</f>
        <v>5.5479999999999992</v>
      </c>
      <c r="C171">
        <f>IFERROR(AVERAGEIFS([1]!Weo_Data[Value],[1]!Weo_Data[Subject Descriptor],"Inflation, average consumer prices",[1]!Weo_Data[Country Name],A171,[1]!Weo_Data[Years],2025),0)</f>
        <v>4</v>
      </c>
      <c r="D171">
        <f t="shared" si="3"/>
        <v>1.5479999999999992</v>
      </c>
    </row>
    <row r="172" spans="1:4" x14ac:dyDescent="0.35">
      <c r="A172" t="str">
        <v>North Macedonia</v>
      </c>
      <c r="B172">
        <f>IFERROR(AVERAGEIFS([1]!Weo_Data[Value],[1]!Weo_Data[Subject Descriptor],"Gross domestic product, constant prices",[1]!Weo_Data[Country Name],A172,[1]!Weo_Data[Years],2025),0)</f>
        <v>3.7000000000000006</v>
      </c>
      <c r="C172">
        <f>IFERROR(AVERAGEIFS([1]!Weo_Data[Value],[1]!Weo_Data[Subject Descriptor],"Inflation, average consumer prices",[1]!Weo_Data[Country Name],A172,[1]!Weo_Data[Years],2025),0)</f>
        <v>2.5</v>
      </c>
      <c r="D172">
        <f t="shared" si="3"/>
        <v>1.2000000000000006</v>
      </c>
    </row>
    <row r="173" spans="1:4" x14ac:dyDescent="0.35">
      <c r="A173" t="str">
        <v>Namibia</v>
      </c>
      <c r="B173">
        <f>IFERROR(AVERAGEIFS([1]!Weo_Data[Value],[1]!Weo_Data[Subject Descriptor],"Gross domestic product, constant prices",[1]!Weo_Data[Country Name],A173,[1]!Weo_Data[Years],2025),0)</f>
        <v>2.6429999999999998</v>
      </c>
      <c r="C173">
        <f>IFERROR(AVERAGEIFS([1]!Weo_Data[Value],[1]!Weo_Data[Subject Descriptor],"Inflation, average consumer prices",[1]!Weo_Data[Country Name],A173,[1]!Weo_Data[Years],2025),0)</f>
        <v>4.8109999999999999</v>
      </c>
      <c r="D173">
        <f t="shared" si="3"/>
        <v>-2.1680000000000001</v>
      </c>
    </row>
    <row r="174" spans="1:4" x14ac:dyDescent="0.35">
      <c r="A174" t="str">
        <v>St. Vincent and the Grenadines</v>
      </c>
      <c r="B174">
        <f>IFERROR(AVERAGEIFS([1]!Weo_Data[Value],[1]!Weo_Data[Subject Descriptor],"Gross domestic product, constant prices",[1]!Weo_Data[Country Name],A174,[1]!Weo_Data[Years],2025),0)</f>
        <v>3.9</v>
      </c>
      <c r="C174">
        <f>IFERROR(AVERAGEIFS([1]!Weo_Data[Value],[1]!Weo_Data[Subject Descriptor],"Inflation, average consumer prices",[1]!Weo_Data[Country Name],A174,[1]!Weo_Data[Years],2025),0)</f>
        <v>1.998</v>
      </c>
      <c r="D174">
        <f t="shared" si="3"/>
        <v>1.9019999999999999</v>
      </c>
    </row>
    <row r="175" spans="1:4" x14ac:dyDescent="0.35">
      <c r="A175" t="str">
        <v>Gabon</v>
      </c>
      <c r="B175">
        <f>IFERROR(AVERAGEIFS([1]!Weo_Data[Value],[1]!Weo_Data[Subject Descriptor],"Gross domestic product, constant prices",[1]!Weo_Data[Country Name],A175,[1]!Weo_Data[Years],2025),0)</f>
        <v>2.6709999999999998</v>
      </c>
      <c r="C175">
        <f>IFERROR(AVERAGEIFS([1]!Weo_Data[Value],[1]!Weo_Data[Subject Descriptor],"Inflation, average consumer prices",[1]!Weo_Data[Country Name],A175,[1]!Weo_Data[Years],2025),0)</f>
        <v>2.1640000000000001</v>
      </c>
      <c r="D175">
        <f t="shared" si="3"/>
        <v>0.50699999999999967</v>
      </c>
    </row>
    <row r="176" spans="1:4" x14ac:dyDescent="0.35">
      <c r="A176" t="str">
        <v>Zambia</v>
      </c>
      <c r="B176">
        <f>IFERROR(AVERAGEIFS([1]!Weo_Data[Value],[1]!Weo_Data[Subject Descriptor],"Gross domestic product, constant prices",[1]!Weo_Data[Country Name],A176,[1]!Weo_Data[Years],2025),0)</f>
        <v>4.8470000000000004</v>
      </c>
      <c r="C176">
        <f>IFERROR(AVERAGEIFS([1]!Weo_Data[Value],[1]!Weo_Data[Subject Descriptor],"Inflation, average consumer prices",[1]!Weo_Data[Country Name],A176,[1]!Weo_Data[Years],2025),0)</f>
        <v>7.8150000000000004</v>
      </c>
      <c r="D176">
        <f t="shared" si="3"/>
        <v>-2.968</v>
      </c>
    </row>
    <row r="177" spans="1:4" x14ac:dyDescent="0.35">
      <c r="A177" t="str">
        <v>El Salvador</v>
      </c>
      <c r="B177">
        <f>IFERROR(AVERAGEIFS([1]!Weo_Data[Value],[1]!Weo_Data[Subject Descriptor],"Gross domestic product, constant prices",[1]!Weo_Data[Country Name],A177,[1]!Weo_Data[Years],2025),0)</f>
        <v>2.2999999999999998</v>
      </c>
      <c r="C177">
        <f>IFERROR(AVERAGEIFS([1]!Weo_Data[Value],[1]!Weo_Data[Subject Descriptor],"Inflation, average consumer prices",[1]!Weo_Data[Country Name],A177,[1]!Weo_Data[Years],2025),0)</f>
        <v>1.7</v>
      </c>
      <c r="D177">
        <f t="shared" si="3"/>
        <v>0.59999999999999987</v>
      </c>
    </row>
    <row r="178" spans="1:4" x14ac:dyDescent="0.35">
      <c r="A178" t="str">
        <v>Seychelles</v>
      </c>
      <c r="B178">
        <f>IFERROR(AVERAGEIFS([1]!Weo_Data[Value],[1]!Weo_Data[Subject Descriptor],"Gross domestic product, constant prices",[1]!Weo_Data[Country Name],A178,[1]!Weo_Data[Years],2025),0)</f>
        <v>3.7870000000000004</v>
      </c>
      <c r="C178">
        <f>IFERROR(AVERAGEIFS([1]!Weo_Data[Value],[1]!Weo_Data[Subject Descriptor],"Inflation, average consumer prices",[1]!Weo_Data[Country Name],A178,[1]!Weo_Data[Years],2025),0)</f>
        <v>2.6110000000000002</v>
      </c>
      <c r="D178">
        <f t="shared" si="3"/>
        <v>1.1760000000000002</v>
      </c>
    </row>
    <row r="179" spans="1:4" x14ac:dyDescent="0.35">
      <c r="A179" t="str">
        <v>Samoa</v>
      </c>
      <c r="B179">
        <f>IFERROR(AVERAGEIFS([1]!Weo_Data[Value],[1]!Weo_Data[Subject Descriptor],"Gross domestic product, constant prices",[1]!Weo_Data[Country Name],A179,[1]!Weo_Data[Years],2025),0)</f>
        <v>3.4410000000000003</v>
      </c>
      <c r="C179">
        <f>IFERROR(AVERAGEIFS([1]!Weo_Data[Value],[1]!Weo_Data[Subject Descriptor],"Inflation, average consumer prices",[1]!Weo_Data[Country Name],A179,[1]!Weo_Data[Years],2025),0)</f>
        <v>3.3349999999999995</v>
      </c>
      <c r="D179">
        <f t="shared" si="3"/>
        <v>0.10600000000000076</v>
      </c>
    </row>
    <row r="180" spans="1:4" x14ac:dyDescent="0.35">
      <c r="A180" t="str">
        <v>Mongolia</v>
      </c>
      <c r="B180">
        <f>IFERROR(AVERAGEIFS([1]!Weo_Data[Value],[1]!Weo_Data[Subject Descriptor],"Gross domestic product, constant prices",[1]!Weo_Data[Country Name],A180,[1]!Weo_Data[Years],2025),0)</f>
        <v>5.96</v>
      </c>
      <c r="C180">
        <f>IFERROR(AVERAGEIFS([1]!Weo_Data[Value],[1]!Weo_Data[Subject Descriptor],"Inflation, average consumer prices",[1]!Weo_Data[Country Name],A180,[1]!Weo_Data[Years],2025),0)</f>
        <v>9.9499999999999993</v>
      </c>
      <c r="D180">
        <f t="shared" si="3"/>
        <v>-3.9899999999999993</v>
      </c>
    </row>
    <row r="181" spans="1:4" x14ac:dyDescent="0.35">
      <c r="A181" t="str">
        <v>Benin</v>
      </c>
      <c r="B181">
        <f>IFERROR(AVERAGEIFS([1]!Weo_Data[Value],[1]!Weo_Data[Subject Descriptor],"Gross domestic product, constant prices",[1]!Weo_Data[Country Name],A181,[1]!Weo_Data[Years],2025),0)</f>
        <v>6.02</v>
      </c>
      <c r="C181">
        <f>IFERROR(AVERAGEIFS([1]!Weo_Data[Value],[1]!Weo_Data[Subject Descriptor],"Inflation, average consumer prices",[1]!Weo_Data[Country Name],A181,[1]!Weo_Data[Years],2025),0)</f>
        <v>2</v>
      </c>
      <c r="D181">
        <f t="shared" si="3"/>
        <v>4.0199999999999996</v>
      </c>
    </row>
    <row r="182" spans="1:4" x14ac:dyDescent="0.35">
      <c r="A182" t="str">
        <v>Georgia</v>
      </c>
      <c r="B182">
        <f>IFERROR(AVERAGEIFS([1]!Weo_Data[Value],[1]!Weo_Data[Subject Descriptor],"Gross domestic product, constant prices",[1]!Weo_Data[Country Name],A182,[1]!Weo_Data[Years],2025),0)</f>
        <v>5.2320000000000002</v>
      </c>
      <c r="C182">
        <f>IFERROR(AVERAGEIFS([1]!Weo_Data[Value],[1]!Weo_Data[Subject Descriptor],"Inflation, average consumer prices",[1]!Weo_Data[Country Name],A182,[1]!Weo_Data[Years],2025),0)</f>
        <v>4.2069999999999999</v>
      </c>
      <c r="D182">
        <f t="shared" si="3"/>
        <v>1.0250000000000004</v>
      </c>
    </row>
    <row r="183" spans="1:4" x14ac:dyDescent="0.35">
      <c r="A183" t="str">
        <v>Botswana</v>
      </c>
      <c r="B183">
        <f>IFERROR(AVERAGEIFS([1]!Weo_Data[Value],[1]!Weo_Data[Subject Descriptor],"Gross domestic product, constant prices",[1]!Weo_Data[Country Name],A183,[1]!Weo_Data[Years],2025),0)</f>
        <v>4.593</v>
      </c>
      <c r="C183">
        <f>IFERROR(AVERAGEIFS([1]!Weo_Data[Value],[1]!Weo_Data[Subject Descriptor],"Inflation, average consumer prices",[1]!Weo_Data[Country Name],A183,[1]!Weo_Data[Years],2025),0)</f>
        <v>4.5</v>
      </c>
      <c r="D183">
        <f t="shared" si="3"/>
        <v>9.2999999999999972E-2</v>
      </c>
    </row>
    <row r="184" spans="1:4" x14ac:dyDescent="0.35">
      <c r="A184" t="str">
        <v>Fiji</v>
      </c>
      <c r="B184">
        <f>IFERROR(AVERAGEIFS([1]!Weo_Data[Value],[1]!Weo_Data[Subject Descriptor],"Gross domestic product, constant prices",[1]!Weo_Data[Country Name],A184,[1]!Weo_Data[Years],2025),0)</f>
        <v>3.3780000000000001</v>
      </c>
      <c r="C184">
        <f>IFERROR(AVERAGEIFS([1]!Weo_Data[Value],[1]!Weo_Data[Subject Descriptor],"Inflation, average consumer prices",[1]!Weo_Data[Country Name],A184,[1]!Weo_Data[Years],2025),0)</f>
        <v>3.2000000000000006</v>
      </c>
      <c r="D184">
        <f t="shared" si="3"/>
        <v>0.17799999999999949</v>
      </c>
    </row>
    <row r="185" spans="1:4" x14ac:dyDescent="0.35">
      <c r="A185" t="str">
        <v>Papua New Guinea</v>
      </c>
      <c r="B185">
        <f>IFERROR(AVERAGEIFS([1]!Weo_Data[Value],[1]!Weo_Data[Subject Descriptor],"Gross domestic product, constant prices",[1]!Weo_Data[Country Name],A185,[1]!Weo_Data[Years],2025),0)</f>
        <v>3.698</v>
      </c>
      <c r="C185">
        <f>IFERROR(AVERAGEIFS([1]!Weo_Data[Value],[1]!Weo_Data[Subject Descriptor],"Inflation, average consumer prices",[1]!Weo_Data[Country Name],A185,[1]!Weo_Data[Years],2025),0)</f>
        <v>4.8</v>
      </c>
      <c r="D185">
        <f t="shared" si="3"/>
        <v>-1.1019999999999999</v>
      </c>
    </row>
    <row r="186" spans="1:4" x14ac:dyDescent="0.35">
      <c r="A186" t="str">
        <v>Brunei Darussalam</v>
      </c>
      <c r="B186">
        <f>IFERROR(AVERAGEIFS([1]!Weo_Data[Value],[1]!Weo_Data[Subject Descriptor],"Gross domestic product, constant prices",[1]!Weo_Data[Country Name],A186,[1]!Weo_Data[Years],2025),0)</f>
        <v>2.5190000000000001</v>
      </c>
      <c r="C186">
        <f>IFERROR(AVERAGEIFS([1]!Weo_Data[Value],[1]!Weo_Data[Subject Descriptor],"Inflation, average consumer prices",[1]!Weo_Data[Country Name],A186,[1]!Weo_Data[Years],2025),0)</f>
        <v>1</v>
      </c>
      <c r="D186">
        <f t="shared" si="3"/>
        <v>1.5190000000000001</v>
      </c>
    </row>
    <row r="187" spans="1:4" x14ac:dyDescent="0.35">
      <c r="A187" t="str">
        <v>Kosovo</v>
      </c>
      <c r="B187">
        <f>IFERROR(AVERAGEIFS([1]!Weo_Data[Value],[1]!Weo_Data[Subject Descriptor],"Gross domestic product, constant prices",[1]!Weo_Data[Country Name],A187,[1]!Weo_Data[Years],2025),0)</f>
        <v>4</v>
      </c>
      <c r="C187">
        <f>IFERROR(AVERAGEIFS([1]!Weo_Data[Value],[1]!Weo_Data[Subject Descriptor],"Inflation, average consumer prices",[1]!Weo_Data[Country Name],A187,[1]!Weo_Data[Years],2025),0)</f>
        <v>2.2589999999999999</v>
      </c>
      <c r="D187">
        <f t="shared" si="3"/>
        <v>1.7410000000000001</v>
      </c>
    </row>
    <row r="188" spans="1:4" x14ac:dyDescent="0.35">
      <c r="A188" t="str">
        <v>Jamaica</v>
      </c>
      <c r="B188">
        <f>IFERROR(AVERAGEIFS([1]!Weo_Data[Value],[1]!Weo_Data[Subject Descriptor],"Gross domestic product, constant prices",[1]!Weo_Data[Country Name],A188,[1]!Weo_Data[Years],2025),0)</f>
        <v>1.7</v>
      </c>
      <c r="C188">
        <f>IFERROR(AVERAGEIFS([1]!Weo_Data[Value],[1]!Weo_Data[Subject Descriptor],"Inflation, average consumer prices",[1]!Weo_Data[Country Name],A188,[1]!Weo_Data[Years],2025),0)</f>
        <v>5</v>
      </c>
      <c r="D188">
        <f t="shared" si="3"/>
        <v>-3.3</v>
      </c>
    </row>
    <row r="189" spans="1:4" x14ac:dyDescent="0.35">
      <c r="A189" t="str">
        <v>Cabo Verde</v>
      </c>
      <c r="B189">
        <f>IFERROR(AVERAGEIFS([1]!Weo_Data[Value],[1]!Weo_Data[Subject Descriptor],"Gross domestic product, constant prices",[1]!Weo_Data[Country Name],A189,[1]!Weo_Data[Years],2025),0)</f>
        <v>4.7320000000000002</v>
      </c>
      <c r="C189">
        <f>IFERROR(AVERAGEIFS([1]!Weo_Data[Value],[1]!Weo_Data[Subject Descriptor],"Inflation, average consumer prices",[1]!Weo_Data[Country Name],A189,[1]!Weo_Data[Years],2025),0)</f>
        <v>2</v>
      </c>
      <c r="D189">
        <f t="shared" si="3"/>
        <v>2.7320000000000002</v>
      </c>
    </row>
    <row r="190" spans="1:4" x14ac:dyDescent="0.35">
      <c r="A190" t="str">
        <v>Republic of Congo</v>
      </c>
      <c r="B190">
        <f>IFERROR(AVERAGEIFS([1]!Weo_Data[Value],[1]!Weo_Data[Subject Descriptor],"Gross domestic product, constant prices",[1]!Weo_Data[Country Name],A190,[1]!Weo_Data[Years],2025),0)</f>
        <v>3.234</v>
      </c>
      <c r="C190">
        <f>IFERROR(AVERAGEIFS([1]!Weo_Data[Value],[1]!Weo_Data[Subject Descriptor],"Inflation, average consumer prices",[1]!Weo_Data[Country Name],A190,[1]!Weo_Data[Years],2025),0)</f>
        <v>3</v>
      </c>
      <c r="D190">
        <f t="shared" si="3"/>
        <v>0.23399999999999999</v>
      </c>
    </row>
    <row r="191" spans="1:4" x14ac:dyDescent="0.35">
      <c r="A191" t="str">
        <v>Albania</v>
      </c>
      <c r="B191">
        <f>IFERROR(AVERAGEIFS([1]!Weo_Data[Value],[1]!Weo_Data[Subject Descriptor],"Gross domestic product, constant prices",[1]!Weo_Data[Country Name],A191,[1]!Weo_Data[Years],2025),0)</f>
        <v>3.3929999999999993</v>
      </c>
      <c r="C191">
        <f>IFERROR(AVERAGEIFS([1]!Weo_Data[Value],[1]!Weo_Data[Subject Descriptor],"Inflation, average consumer prices",[1]!Weo_Data[Country Name],A191,[1]!Weo_Data[Years],2025),0)</f>
        <v>2.9990000000000001</v>
      </c>
      <c r="D191">
        <f t="shared" si="3"/>
        <v>0.39399999999999924</v>
      </c>
    </row>
    <row r="192" spans="1:4" x14ac:dyDescent="0.35">
      <c r="A192" t="str">
        <v>Tajikistan</v>
      </c>
      <c r="B192">
        <f>IFERROR(AVERAGEIFS([1]!Weo_Data[Value],[1]!Weo_Data[Subject Descriptor],"Gross domestic product, constant prices",[1]!Weo_Data[Country Name],A192,[1]!Weo_Data[Years],2025),0)</f>
        <v>4.5</v>
      </c>
      <c r="C192">
        <f>IFERROR(AVERAGEIFS([1]!Weo_Data[Value],[1]!Weo_Data[Subject Descriptor],"Inflation, average consumer prices",[1]!Weo_Data[Country Name],A192,[1]!Weo_Data[Years],2025),0)</f>
        <v>6.25</v>
      </c>
      <c r="D192">
        <f t="shared" si="3"/>
        <v>-1.75</v>
      </c>
    </row>
    <row r="193" spans="1:4" x14ac:dyDescent="0.35">
      <c r="A193" t="str">
        <v>Solomon Islands</v>
      </c>
      <c r="B193">
        <f>IFERROR(AVERAGEIFS([1]!Weo_Data[Value],[1]!Weo_Data[Subject Descriptor],"Gross domestic product, constant prices",[1]!Weo_Data[Country Name],A193,[1]!Weo_Data[Years],2025),0)</f>
        <v>2.5299999999999998</v>
      </c>
      <c r="C193">
        <f>IFERROR(AVERAGEIFS([1]!Weo_Data[Value],[1]!Weo_Data[Subject Descriptor],"Inflation, average consumer prices",[1]!Weo_Data[Country Name],A193,[1]!Weo_Data[Years],2025),0)</f>
        <v>3.2029999999999998</v>
      </c>
      <c r="D193">
        <f t="shared" si="3"/>
        <v>-0.67300000000000004</v>
      </c>
    </row>
    <row r="194" spans="1:4" x14ac:dyDescent="0.35">
      <c r="A194" t="str">
        <v>Armenia</v>
      </c>
      <c r="B194">
        <f>IFERROR(AVERAGEIFS([1]!Weo_Data[Value],[1]!Weo_Data[Subject Descriptor],"Gross domestic product, constant prices",[1]!Weo_Data[Country Name],A194,[1]!Weo_Data[Years],2025),0)</f>
        <v>5.25</v>
      </c>
      <c r="C194">
        <f>IFERROR(AVERAGEIFS([1]!Weo_Data[Value],[1]!Weo_Data[Subject Descriptor],"Inflation, average consumer prices",[1]!Weo_Data[Country Name],A194,[1]!Weo_Data[Years],2025),0)</f>
        <v>3.67</v>
      </c>
      <c r="D194">
        <f t="shared" si="3"/>
        <v>1.58</v>
      </c>
    </row>
    <row r="195" spans="1:4" x14ac:dyDescent="0.35">
      <c r="A195" t="str">
        <v>Rwanda</v>
      </c>
      <c r="B195">
        <f>IFERROR(AVERAGEIFS([1]!Weo_Data[Value],[1]!Weo_Data[Subject Descriptor],"Gross domestic product, constant prices",[1]!Weo_Data[Country Name],A195,[1]!Weo_Data[Years],2025),0)</f>
        <v>6.9929999999999994</v>
      </c>
      <c r="C195">
        <f>IFERROR(AVERAGEIFS([1]!Weo_Data[Value],[1]!Weo_Data[Subject Descriptor],"Inflation, average consumer prices",[1]!Weo_Data[Country Name],A195,[1]!Weo_Data[Years],2025),0)</f>
        <v>5</v>
      </c>
      <c r="D195">
        <f t="shared" si="3"/>
        <v>1.9929999999999994</v>
      </c>
    </row>
    <row r="196" spans="1:4" x14ac:dyDescent="0.35">
      <c r="A196" t="str">
        <v>Barbados</v>
      </c>
      <c r="B196">
        <f>IFERROR(AVERAGEIFS([1]!Weo_Data[Value],[1]!Weo_Data[Subject Descriptor],"Gross domestic product, constant prices",[1]!Weo_Data[Country Name],A196,[1]!Weo_Data[Years],2025),0)</f>
        <v>2.7999999999999994</v>
      </c>
      <c r="C196">
        <f>IFERROR(AVERAGEIFS([1]!Weo_Data[Value],[1]!Weo_Data[Subject Descriptor],"Inflation, average consumer prices",[1]!Weo_Data[Country Name],A196,[1]!Weo_Data[Years],2025),0)</f>
        <v>2.8319999999999994</v>
      </c>
      <c r="D196">
        <f t="shared" si="3"/>
        <v>-3.2000000000000028E-2</v>
      </c>
    </row>
    <row r="197" spans="1:4" x14ac:dyDescent="0.35">
      <c r="A197" t="str">
        <v>Trinidad and Tobago</v>
      </c>
      <c r="B197">
        <f>IFERROR(AVERAGEIFS([1]!Weo_Data[Value],[1]!Weo_Data[Subject Descriptor],"Gross domestic product, constant prices",[1]!Weo_Data[Country Name],A197,[1]!Weo_Data[Years],2025),0)</f>
        <v>2.3069999999999999</v>
      </c>
      <c r="C197">
        <f>IFERROR(AVERAGEIFS([1]!Weo_Data[Value],[1]!Weo_Data[Subject Descriptor],"Inflation, average consumer prices",[1]!Weo_Data[Country Name],A197,[1]!Weo_Data[Years],2025),0)</f>
        <v>2.173</v>
      </c>
      <c r="D197">
        <f t="shared" si="3"/>
        <v>0.1339999999999999</v>
      </c>
    </row>
    <row r="198" spans="1:4" x14ac:dyDescent="0.35">
      <c r="A198" t="str">
        <v>Eswatini</v>
      </c>
      <c r="B198">
        <f>IFERROR(AVERAGEIFS([1]!Weo_Data[Value],[1]!Weo_Data[Subject Descriptor],"Gross domestic product, constant prices",[1]!Weo_Data[Country Name],A198,[1]!Weo_Data[Years],2025),0)</f>
        <v>3.2669999999999999</v>
      </c>
      <c r="C198">
        <f>IFERROR(AVERAGEIFS([1]!Weo_Data[Value],[1]!Weo_Data[Subject Descriptor],"Inflation, average consumer prices",[1]!Weo_Data[Country Name],A198,[1]!Weo_Data[Years],2025),0)</f>
        <v>3.0539999999999998</v>
      </c>
      <c r="D198">
        <f t="shared" si="3"/>
        <v>0.21300000000000008</v>
      </c>
    </row>
    <row r="199" spans="1:4" x14ac:dyDescent="0.35">
      <c r="A199" t="str">
        <v>Malawi</v>
      </c>
      <c r="B199">
        <f>IFERROR(AVERAGEIFS([1]!Weo_Data[Value],[1]!Weo_Data[Subject Descriptor],"Gross domestic product, constant prices",[1]!Weo_Data[Country Name],A199,[1]!Weo_Data[Years],2025),0)</f>
        <v>3.7999999999999994</v>
      </c>
      <c r="C199">
        <f>IFERROR(AVERAGEIFS([1]!Weo_Data[Value],[1]!Weo_Data[Subject Descriptor],"Inflation, average consumer prices",[1]!Weo_Data[Country Name],A199,[1]!Weo_Data[Years],2025),0)</f>
        <v>14.725</v>
      </c>
      <c r="D199">
        <f t="shared" si="3"/>
        <v>-10.925000000000001</v>
      </c>
    </row>
    <row r="200" spans="1:4" x14ac:dyDescent="0.35">
      <c r="A200" t="str">
        <v>Togo</v>
      </c>
      <c r="B200">
        <f>IFERROR(AVERAGEIFS([1]!Weo_Data[Value],[1]!Weo_Data[Subject Descriptor],"Gross domestic product, constant prices",[1]!Weo_Data[Country Name],A200,[1]!Weo_Data[Years],2025),0)</f>
        <v>5.3</v>
      </c>
      <c r="C200">
        <f>IFERROR(AVERAGEIFS([1]!Weo_Data[Value],[1]!Weo_Data[Subject Descriptor],"Inflation, average consumer prices",[1]!Weo_Data[Country Name],A200,[1]!Weo_Data[Years],2025),0)</f>
        <v>2.0419999999999998</v>
      </c>
      <c r="D200">
        <f t="shared" si="3"/>
        <v>3.258</v>
      </c>
    </row>
    <row r="201" spans="1:4" x14ac:dyDescent="0.35">
      <c r="A201" t="str">
        <v>Burkina Faso</v>
      </c>
      <c r="B201">
        <f>IFERROR(AVERAGEIFS([1]!Weo_Data[Value],[1]!Weo_Data[Subject Descriptor],"Gross domestic product, constant prices",[1]!Weo_Data[Country Name],A201,[1]!Weo_Data[Years],2025),0)</f>
        <v>5.7930000000000001</v>
      </c>
      <c r="C201">
        <f>IFERROR(AVERAGEIFS([1]!Weo_Data[Value],[1]!Weo_Data[Subject Descriptor],"Inflation, average consumer prices",[1]!Weo_Data[Country Name],A201,[1]!Weo_Data[Years],2025),0)</f>
        <v>2</v>
      </c>
      <c r="D201">
        <f t="shared" si="3"/>
        <v>3.7930000000000001</v>
      </c>
    </row>
    <row r="202" spans="1:4" x14ac:dyDescent="0.35">
      <c r="A202" t="str">
        <v>São Tomé and Príncipe</v>
      </c>
      <c r="B202">
        <f>IFERROR(AVERAGEIFS([1]!Weo_Data[Value],[1]!Weo_Data[Subject Descriptor],"Gross domestic product, constant prices",[1]!Weo_Data[Country Name],A202,[1]!Weo_Data[Years],2025),0)</f>
        <v>4.0999999999999996</v>
      </c>
      <c r="C202">
        <f>IFERROR(AVERAGEIFS([1]!Weo_Data[Value],[1]!Weo_Data[Subject Descriptor],"Inflation, average consumer prices",[1]!Weo_Data[Country Name],A202,[1]!Weo_Data[Years],2025),0)</f>
        <v>7.8490000000000002</v>
      </c>
      <c r="D202">
        <f t="shared" si="3"/>
        <v>-3.7490000000000006</v>
      </c>
    </row>
    <row r="203" spans="1:4" x14ac:dyDescent="0.35">
      <c r="A203" t="str">
        <v>Mauritius</v>
      </c>
      <c r="B203">
        <f>IFERROR(AVERAGEIFS([1]!Weo_Data[Value],[1]!Weo_Data[Subject Descriptor],"Gross domestic product, constant prices",[1]!Weo_Data[Country Name],A203,[1]!Weo_Data[Years],2025),0)</f>
        <v>3.6760000000000002</v>
      </c>
      <c r="C203">
        <f>IFERROR(AVERAGEIFS([1]!Weo_Data[Value],[1]!Weo_Data[Subject Descriptor],"Inflation, average consumer prices",[1]!Weo_Data[Country Name],A203,[1]!Weo_Data[Years],2025),0)</f>
        <v>3.5739999999999998</v>
      </c>
      <c r="D203">
        <f t="shared" si="3"/>
        <v>0.10200000000000031</v>
      </c>
    </row>
    <row r="204" spans="1:4" x14ac:dyDescent="0.35">
      <c r="A204" t="str">
        <v>Nicaragua</v>
      </c>
      <c r="B204">
        <f>IFERROR(AVERAGEIFS([1]!Weo_Data[Value],[1]!Weo_Data[Subject Descriptor],"Gross domestic product, constant prices",[1]!Weo_Data[Country Name],A204,[1]!Weo_Data[Years],2025),0)</f>
        <v>3.5</v>
      </c>
      <c r="C204">
        <f>IFERROR(AVERAGEIFS([1]!Weo_Data[Value],[1]!Weo_Data[Subject Descriptor],"Inflation, average consumer prices",[1]!Weo_Data[Country Name],A204,[1]!Weo_Data[Years],2025),0)</f>
        <v>4</v>
      </c>
      <c r="D204">
        <f t="shared" si="3"/>
        <v>-0.5</v>
      </c>
    </row>
    <row r="205" spans="1:4" x14ac:dyDescent="0.35">
      <c r="A205" t="str">
        <v>The Gambia</v>
      </c>
      <c r="B205">
        <f>IFERROR(AVERAGEIFS([1]!Weo_Data[Value],[1]!Weo_Data[Subject Descriptor],"Gross domestic product, constant prices",[1]!Weo_Data[Country Name],A205,[1]!Weo_Data[Years],2025),0)</f>
        <v>5.7880000000000003</v>
      </c>
      <c r="C205">
        <f>IFERROR(AVERAGEIFS([1]!Weo_Data[Value],[1]!Weo_Data[Subject Descriptor],"Inflation, average consumer prices",[1]!Weo_Data[Country Name],A205,[1]!Weo_Data[Years],2025),0)</f>
        <v>10.523</v>
      </c>
      <c r="D205">
        <f t="shared" si="3"/>
        <v>-4.7349999999999994</v>
      </c>
    </row>
    <row r="206" spans="1:4" x14ac:dyDescent="0.35">
      <c r="A206" t="str">
        <v>Aruba</v>
      </c>
      <c r="B206">
        <f>IFERROR(AVERAGEIFS([1]!Weo_Data[Value],[1]!Weo_Data[Subject Descriptor],"Gross domestic product, constant prices",[1]!Weo_Data[Country Name],A206,[1]!Weo_Data[Years],2025),0)</f>
        <v>1</v>
      </c>
      <c r="C206">
        <f>IFERROR(AVERAGEIFS([1]!Weo_Data[Value],[1]!Weo_Data[Subject Descriptor],"Inflation, average consumer prices",[1]!Weo_Data[Country Name],A206,[1]!Weo_Data[Years],2025),0)</f>
        <v>1.8150000000000002</v>
      </c>
      <c r="D206">
        <f t="shared" si="3"/>
        <v>-0.81500000000000017</v>
      </c>
    </row>
    <row r="207" spans="1:4" x14ac:dyDescent="0.35">
      <c r="A207" t="str">
        <v>Mali</v>
      </c>
      <c r="B207">
        <f>IFERROR(AVERAGEIFS([1]!Weo_Data[Value],[1]!Weo_Data[Subject Descriptor],"Gross domestic product, constant prices",[1]!Weo_Data[Country Name],A207,[1]!Weo_Data[Years],2025),0)</f>
        <v>4.5</v>
      </c>
      <c r="C207">
        <f>IFERROR(AVERAGEIFS([1]!Weo_Data[Value],[1]!Weo_Data[Subject Descriptor],"Inflation, average consumer prices",[1]!Weo_Data[Country Name],A207,[1]!Weo_Data[Years],2025),0)</f>
        <v>2</v>
      </c>
      <c r="D207">
        <f t="shared" si="3"/>
        <v>2.5</v>
      </c>
    </row>
    <row r="208" spans="1:4" x14ac:dyDescent="0.35">
      <c r="A208" t="str">
        <v>Equatorial Guinea</v>
      </c>
      <c r="B208">
        <f>IFERROR(AVERAGEIFS([1]!Weo_Data[Value],[1]!Weo_Data[Subject Descriptor],"Gross domestic product, constant prices",[1]!Weo_Data[Country Name],A208,[1]!Weo_Data[Years],2025),0)</f>
        <v>-4.5830000000000002</v>
      </c>
      <c r="C208">
        <f>IFERROR(AVERAGEIFS([1]!Weo_Data[Value],[1]!Weo_Data[Subject Descriptor],"Inflation, average consumer prices",[1]!Weo_Data[Country Name],A208,[1]!Weo_Data[Years],2025),0)</f>
        <v>1.7629999999999999</v>
      </c>
      <c r="D208">
        <f t="shared" si="3"/>
        <v>-6.3460000000000001</v>
      </c>
    </row>
    <row r="209" spans="1:4" x14ac:dyDescent="0.35">
      <c r="A209" t="str">
        <v>Liberia</v>
      </c>
      <c r="B209">
        <f>IFERROR(AVERAGEIFS([1]!Weo_Data[Value],[1]!Weo_Data[Subject Descriptor],"Gross domestic product, constant prices",[1]!Weo_Data[Country Name],A209,[1]!Weo_Data[Years],2025),0)</f>
        <v>6.2480000000000002</v>
      </c>
      <c r="C209">
        <f>IFERROR(AVERAGEIFS([1]!Weo_Data[Value],[1]!Weo_Data[Subject Descriptor],"Inflation, average consumer prices",[1]!Weo_Data[Country Name],A209,[1]!Weo_Data[Years],2025),0)</f>
        <v>5.1109999999999998</v>
      </c>
      <c r="D209">
        <f t="shared" si="3"/>
        <v>1.1370000000000005</v>
      </c>
    </row>
    <row r="210" spans="1:4" x14ac:dyDescent="0.35">
      <c r="A210" t="str">
        <v>Guinea</v>
      </c>
      <c r="B210">
        <f>IFERROR(AVERAGEIFS([1]!Weo_Data[Value],[1]!Weo_Data[Subject Descriptor],"Gross domestic product, constant prices",[1]!Weo_Data[Country Name],A210,[1]!Weo_Data[Years],2025),0)</f>
        <v>5.5999999999999988</v>
      </c>
      <c r="C210">
        <f>IFERROR(AVERAGEIFS([1]!Weo_Data[Value],[1]!Weo_Data[Subject Descriptor],"Inflation, average consumer prices",[1]!Weo_Data[Country Name],A210,[1]!Weo_Data[Years],2025),0)</f>
        <v>10.18</v>
      </c>
      <c r="D210">
        <f t="shared" si="3"/>
        <v>-4.580000000000001</v>
      </c>
    </row>
    <row r="211" spans="1:4" x14ac:dyDescent="0.35">
      <c r="A211" t="str">
        <v>Pakistan</v>
      </c>
      <c r="B211">
        <f>IFERROR(AVERAGEIFS([1]!Weo_Data[Value],[1]!Weo_Data[Subject Descriptor],"Gross domestic product, constant prices",[1]!Weo_Data[Country Name],A211,[1]!Weo_Data[Years],2025),0)</f>
        <v>3.5</v>
      </c>
      <c r="C211">
        <f>IFERROR(AVERAGEIFS([1]!Weo_Data[Value],[1]!Weo_Data[Subject Descriptor],"Inflation, average consumer prices",[1]!Weo_Data[Country Name],A211,[1]!Weo_Data[Years],2025),0)</f>
        <v>12.654000000000002</v>
      </c>
      <c r="D211">
        <f t="shared" si="3"/>
        <v>-9.1540000000000017</v>
      </c>
    </row>
    <row r="212" spans="1:4" x14ac:dyDescent="0.35">
      <c r="A212" t="str">
        <v>The Bahamas</v>
      </c>
      <c r="B212">
        <f>IFERROR(AVERAGEIFS([1]!Weo_Data[Value],[1]!Weo_Data[Subject Descriptor],"Gross domestic product, constant prices",[1]!Weo_Data[Country Name],A212,[1]!Weo_Data[Years],2025),0)</f>
        <v>1.8</v>
      </c>
      <c r="C212">
        <f>IFERROR(AVERAGEIFS([1]!Weo_Data[Value],[1]!Weo_Data[Subject Descriptor],"Inflation, average consumer prices",[1]!Weo_Data[Country Name],A212,[1]!Weo_Data[Years],2025),0)</f>
        <v>2.2440000000000002</v>
      </c>
      <c r="D212">
        <f t="shared" si="3"/>
        <v>-0.44400000000000017</v>
      </c>
    </row>
    <row r="213" spans="1:4" x14ac:dyDescent="0.35">
      <c r="A213" t="str">
        <v>Haiti</v>
      </c>
      <c r="B213">
        <f>IFERROR(AVERAGEIFS([1]!Weo_Data[Value],[1]!Weo_Data[Subject Descriptor],"Gross domestic product, constant prices",[1]!Weo_Data[Country Name],A213,[1]!Weo_Data[Years],2025),0)</f>
        <v>1.5</v>
      </c>
      <c r="C213">
        <f>IFERROR(AVERAGEIFS([1]!Weo_Data[Value],[1]!Weo_Data[Subject Descriptor],"Inflation, average consumer prices",[1]!Weo_Data[Country Name],A213,[1]!Weo_Data[Years],2025),0)</f>
        <v>14.276000000000002</v>
      </c>
      <c r="D213">
        <f t="shared" si="3"/>
        <v>-12.776000000000002</v>
      </c>
    </row>
    <row r="214" spans="1:4" x14ac:dyDescent="0.35">
      <c r="A214" t="str">
        <v>Belize</v>
      </c>
      <c r="B214">
        <f>IFERROR(AVERAGEIFS([1]!Weo_Data[Value],[1]!Weo_Data[Subject Descriptor],"Gross domestic product, constant prices",[1]!Weo_Data[Country Name],A214,[1]!Weo_Data[Years],2025),0)</f>
        <v>2.544</v>
      </c>
      <c r="C214">
        <f>IFERROR(AVERAGEIFS([1]!Weo_Data[Value],[1]!Weo_Data[Subject Descriptor],"Inflation, average consumer prices",[1]!Weo_Data[Country Name],A214,[1]!Weo_Data[Years],2025),0)</f>
        <v>2.254</v>
      </c>
      <c r="D214">
        <f t="shared" si="3"/>
        <v>0.29000000000000004</v>
      </c>
    </row>
    <row r="215" spans="1:4" x14ac:dyDescent="0.35">
      <c r="A215" t="str">
        <v>St. Lucia</v>
      </c>
      <c r="B215">
        <f>IFERROR(AVERAGEIFS([1]!Weo_Data[Value],[1]!Weo_Data[Subject Descriptor],"Gross domestic product, constant prices",[1]!Weo_Data[Country Name],A215,[1]!Weo_Data[Years],2025),0)</f>
        <v>2.1120000000000001</v>
      </c>
      <c r="C215">
        <f>IFERROR(AVERAGEIFS([1]!Weo_Data[Value],[1]!Weo_Data[Subject Descriptor],"Inflation, average consumer prices",[1]!Weo_Data[Country Name],A215,[1]!Weo_Data[Years],2025),0)</f>
        <v>1.9560000000000002</v>
      </c>
      <c r="D215">
        <f t="shared" si="3"/>
        <v>0.15599999999999992</v>
      </c>
    </row>
    <row r="216" spans="1:4" x14ac:dyDescent="0.35">
      <c r="A216" t="str">
        <v>Madagascar</v>
      </c>
      <c r="B216">
        <f>IFERROR(AVERAGEIFS([1]!Weo_Data[Value],[1]!Weo_Data[Subject Descriptor],"Gross domestic product, constant prices",[1]!Weo_Data[Country Name],A216,[1]!Weo_Data[Years],2025),0)</f>
        <v>4.5999999999999996</v>
      </c>
      <c r="C216">
        <f>IFERROR(AVERAGEIFS([1]!Weo_Data[Value],[1]!Weo_Data[Subject Descriptor],"Inflation, average consumer prices",[1]!Weo_Data[Country Name],A216,[1]!Weo_Data[Years],2025),0)</f>
        <v>7.3419999999999996</v>
      </c>
      <c r="D216">
        <f t="shared" si="3"/>
        <v>-2.742</v>
      </c>
    </row>
    <row r="217" spans="1:4" x14ac:dyDescent="0.35">
      <c r="A217" t="str">
        <v>San Marino</v>
      </c>
      <c r="B217">
        <f>IFERROR(AVERAGEIFS([1]!Weo_Data[Value],[1]!Weo_Data[Subject Descriptor],"Gross domestic product, constant prices",[1]!Weo_Data[Country Name],A217,[1]!Weo_Data[Years],2025),0)</f>
        <v>1.3</v>
      </c>
      <c r="C217">
        <f>IFERROR(AVERAGEIFS([1]!Weo_Data[Value],[1]!Weo_Data[Subject Descriptor],"Inflation, average consumer prices",[1]!Weo_Data[Country Name],A217,[1]!Weo_Data[Years],2025),0)</f>
        <v>2</v>
      </c>
      <c r="D217">
        <f t="shared" si="3"/>
        <v>-0.7</v>
      </c>
    </row>
    <row r="218" spans="1:4" x14ac:dyDescent="0.35">
      <c r="A218" t="str">
        <v>Lao P.D.R.</v>
      </c>
      <c r="B218">
        <f>IFERROR(AVERAGEIFS([1]!Weo_Data[Value],[1]!Weo_Data[Subject Descriptor],"Gross domestic product, constant prices",[1]!Weo_Data[Country Name],A218,[1]!Weo_Data[Years],2025),0)</f>
        <v>3.9730000000000003</v>
      </c>
      <c r="C218">
        <f>IFERROR(AVERAGEIFS([1]!Weo_Data[Value],[1]!Weo_Data[Subject Descriptor],"Inflation, average consumer prices",[1]!Weo_Data[Country Name],A218,[1]!Weo_Data[Years],2025),0)</f>
        <v>14.75</v>
      </c>
      <c r="D218">
        <f t="shared" si="3"/>
        <v>-10.776999999999999</v>
      </c>
    </row>
    <row r="219" spans="1:4" x14ac:dyDescent="0.35">
      <c r="A219" t="str">
        <v>Comoros</v>
      </c>
      <c r="B219">
        <f>IFERROR(AVERAGEIFS([1]!Weo_Data[Value],[1]!Weo_Data[Subject Descriptor],"Gross domestic product, constant prices",[1]!Weo_Data[Country Name],A219,[1]!Weo_Data[Years],2025),0)</f>
        <v>4.0270000000000001</v>
      </c>
      <c r="C219">
        <f>IFERROR(AVERAGEIFS([1]!Weo_Data[Value],[1]!Weo_Data[Subject Descriptor],"Inflation, average consumer prices",[1]!Weo_Data[Country Name],A219,[1]!Weo_Data[Years],2025),0)</f>
        <v>2.2320000000000002</v>
      </c>
      <c r="D219">
        <f t="shared" si="3"/>
        <v>1.7949999999999999</v>
      </c>
    </row>
    <row r="220" spans="1:4" x14ac:dyDescent="0.35">
      <c r="A220" t="str">
        <v>Djibouti</v>
      </c>
      <c r="B220">
        <f>IFERROR(AVERAGEIFS([1]!Weo_Data[Value],[1]!Weo_Data[Subject Descriptor],"Gross domestic product, constant prices",[1]!Weo_Data[Country Name],A220,[1]!Weo_Data[Years],2025),0)</f>
        <v>6.008</v>
      </c>
      <c r="C220">
        <f>IFERROR(AVERAGEIFS([1]!Weo_Data[Value],[1]!Weo_Data[Subject Descriptor],"Inflation, average consumer prices",[1]!Weo_Data[Country Name],A220,[1]!Weo_Data[Years],2025),0)</f>
        <v>1.9029999999999998</v>
      </c>
      <c r="D220">
        <f t="shared" si="3"/>
        <v>4.1050000000000004</v>
      </c>
    </row>
    <row r="221" spans="1:4" x14ac:dyDescent="0.35">
      <c r="A221" t="str">
        <v>Guinea-Bissau</v>
      </c>
      <c r="B221">
        <f>IFERROR(AVERAGEIFS([1]!Weo_Data[Value],[1]!Weo_Data[Subject Descriptor],"Gross domestic product, constant prices",[1]!Weo_Data[Country Name],A221,[1]!Weo_Data[Years],2025),0)</f>
        <v>5</v>
      </c>
      <c r="C221">
        <f>IFERROR(AVERAGEIFS([1]!Weo_Data[Value],[1]!Weo_Data[Subject Descriptor],"Inflation, average consumer prices",[1]!Weo_Data[Country Name],A221,[1]!Weo_Data[Years],2025),0)</f>
        <v>2</v>
      </c>
      <c r="D221">
        <f t="shared" si="3"/>
        <v>3</v>
      </c>
    </row>
    <row r="222" spans="1:4" x14ac:dyDescent="0.35">
      <c r="A222" t="str">
        <v>Chad</v>
      </c>
      <c r="B222">
        <f>IFERROR(AVERAGEIFS([1]!Weo_Data[Value],[1]!Weo_Data[Subject Descriptor],"Gross domestic product, constant prices",[1]!Weo_Data[Country Name],A222,[1]!Weo_Data[Years],2025),0)</f>
        <v>3.6650000000000005</v>
      </c>
      <c r="C222">
        <f>IFERROR(AVERAGEIFS([1]!Weo_Data[Value],[1]!Weo_Data[Subject Descriptor],"Inflation, average consumer prices",[1]!Weo_Data[Country Name],A222,[1]!Weo_Data[Years],2025),0)</f>
        <v>3.0870000000000002</v>
      </c>
      <c r="D222">
        <f t="shared" si="3"/>
        <v>0.57800000000000029</v>
      </c>
    </row>
    <row r="223" spans="1:4" x14ac:dyDescent="0.35">
      <c r="A223" t="str">
        <v>Central African Republic</v>
      </c>
      <c r="B223">
        <f>IFERROR(AVERAGEIFS([1]!Weo_Data[Value],[1]!Weo_Data[Subject Descriptor],"Gross domestic product, constant prices",[1]!Weo_Data[Country Name],A223,[1]!Weo_Data[Years],2025),0)</f>
        <v>1.72</v>
      </c>
      <c r="C223">
        <f>IFERROR(AVERAGEIFS([1]!Weo_Data[Value],[1]!Weo_Data[Subject Descriptor],"Inflation, average consumer prices",[1]!Weo_Data[Country Name],A223,[1]!Weo_Data[Years],2025),0)</f>
        <v>4.5629999999999997</v>
      </c>
      <c r="D223">
        <f t="shared" si="3"/>
        <v>-2.843</v>
      </c>
    </row>
    <row r="224" spans="1:4" x14ac:dyDescent="0.35">
      <c r="A224" t="str">
        <v>Yemen</v>
      </c>
      <c r="B224">
        <f>IFERROR(AVERAGEIFS([1]!Weo_Data[Value],[1]!Weo_Data[Subject Descriptor],"Gross domestic product, constant prices",[1]!Weo_Data[Country Name],A224,[1]!Weo_Data[Years],2025),0)</f>
        <v>1.5</v>
      </c>
      <c r="C224">
        <f>IFERROR(AVERAGEIFS([1]!Weo_Data[Value],[1]!Weo_Data[Subject Descriptor],"Inflation, average consumer prices",[1]!Weo_Data[Country Name],A224,[1]!Weo_Data[Years],2025),0)</f>
        <v>17.273</v>
      </c>
      <c r="D224">
        <f t="shared" si="3"/>
        <v>-15.773</v>
      </c>
    </row>
    <row r="225" spans="1:7" x14ac:dyDescent="0.35">
      <c r="A225" t="str">
        <v>Somalia</v>
      </c>
      <c r="B225">
        <f>IFERROR(AVERAGEIFS([1]!Weo_Data[Value],[1]!Weo_Data[Subject Descriptor],"Gross domestic product, constant prices",[1]!Weo_Data[Country Name],A225,[1]!Weo_Data[Years],2025),0)</f>
        <v>3.9</v>
      </c>
      <c r="C225">
        <f>IFERROR(AVERAGEIFS([1]!Weo_Data[Value],[1]!Weo_Data[Subject Descriptor],"Inflation, average consumer prices",[1]!Weo_Data[Country Name],A225,[1]!Weo_Data[Years],2025),0)</f>
        <v>3.9</v>
      </c>
      <c r="D225">
        <f t="shared" si="3"/>
        <v>0</v>
      </c>
    </row>
    <row r="226" spans="1:7" x14ac:dyDescent="0.35">
      <c r="A226" t="str">
        <v>Lebanon</v>
      </c>
      <c r="B226">
        <f>IFERROR(AVERAGEIFS([1]!Weo_Data[Value],[1]!Weo_Data[Subject Descriptor],"Gross domestic product, constant prices",[1]!Weo_Data[Country Name],A226,[1]!Weo_Data[Years],2025),0)</f>
        <v>0</v>
      </c>
      <c r="C226">
        <f>IFERROR(AVERAGEIFS([1]!Weo_Data[Value],[1]!Weo_Data[Subject Descriptor],"Inflation, average consumer prices",[1]!Weo_Data[Country Name],A226,[1]!Weo_Data[Years],2025),0)</f>
        <v>0</v>
      </c>
      <c r="D226">
        <f t="shared" si="3"/>
        <v>0</v>
      </c>
    </row>
    <row r="227" spans="1:7" x14ac:dyDescent="0.35">
      <c r="A227" t="str">
        <v>Eritrea</v>
      </c>
      <c r="B227">
        <f>IFERROR(AVERAGEIFS([1]!Weo_Data[Value],[1]!Weo_Data[Subject Descriptor],"Gross domestic product, constant prices",[1]!Weo_Data[Country Name],A227,[1]!Weo_Data[Years],2025),0)</f>
        <v>0</v>
      </c>
      <c r="C227">
        <f>IFERROR(AVERAGEIFS([1]!Weo_Data[Value],[1]!Weo_Data[Subject Descriptor],"Inflation, average consumer prices",[1]!Weo_Data[Country Name],A227,[1]!Weo_Data[Years],2025),0)</f>
        <v>0</v>
      </c>
      <c r="D227">
        <f t="shared" si="3"/>
        <v>0</v>
      </c>
    </row>
    <row r="228" spans="1:7" x14ac:dyDescent="0.35">
      <c r="A228" t="str">
        <v>Sri Lanka</v>
      </c>
      <c r="B228">
        <f>IFERROR(AVERAGEIFS([1]!Weo_Data[Value],[1]!Weo_Data[Subject Descriptor],"Gross domestic product, constant prices",[1]!Weo_Data[Country Name],A228,[1]!Weo_Data[Years],2025),0)</f>
        <v>0</v>
      </c>
      <c r="C228">
        <f>IFERROR(AVERAGEIFS([1]!Weo_Data[Value],[1]!Weo_Data[Subject Descriptor],"Inflation, average consumer prices",[1]!Weo_Data[Country Name],A228,[1]!Weo_Data[Years],2025),0)</f>
        <v>0</v>
      </c>
      <c r="D228">
        <f t="shared" si="3"/>
        <v>0</v>
      </c>
    </row>
    <row r="229" spans="1:7" x14ac:dyDescent="0.35">
      <c r="A229" t="str">
        <v>Afghanistan</v>
      </c>
      <c r="B229">
        <f>IFERROR(AVERAGEIFS([1]!Weo_Data[Value],[1]!Weo_Data[Subject Descriptor],"Gross domestic product, constant prices",[1]!Weo_Data[Country Name],A229,[1]!Weo_Data[Years],2025),0)</f>
        <v>0</v>
      </c>
      <c r="C229">
        <f>IFERROR(AVERAGEIFS([1]!Weo_Data[Value],[1]!Weo_Data[Subject Descriptor],"Inflation, average consumer prices",[1]!Weo_Data[Country Name],A229,[1]!Weo_Data[Years],2025),0)</f>
        <v>0</v>
      </c>
      <c r="D229">
        <f t="shared" si="3"/>
        <v>0</v>
      </c>
    </row>
    <row r="230" spans="1:7" x14ac:dyDescent="0.35">
      <c r="A230" t="str">
        <v>West Bank and Gaza</v>
      </c>
      <c r="B230">
        <f>IFERROR(AVERAGEIFS([1]!Weo_Data[Value],[1]!Weo_Data[Subject Descriptor],"Gross domestic product, constant prices",[1]!Weo_Data[Country Name],A230,[1]!Weo_Data[Years],2025),0)</f>
        <v>0</v>
      </c>
      <c r="C230">
        <f>IFERROR(AVERAGEIFS([1]!Weo_Data[Value],[1]!Weo_Data[Subject Descriptor],"Inflation, average consumer prices",[1]!Weo_Data[Country Name],A230,[1]!Weo_Data[Years],2025),0)</f>
        <v>0</v>
      </c>
      <c r="D230">
        <f t="shared" ref="D230" si="4">B230-C230</f>
        <v>0</v>
      </c>
    </row>
    <row r="231" spans="1:7" x14ac:dyDescent="0.35">
      <c r="B231" t="e">
        <f>AVERAGEIFS([1]!Weo_Data[Value],[1]!Weo_Data[Subject Descriptor],"Gross domestic product, constant prices",[1]!Weo_Data[Country Name],A231,[1]!Weo_Data[Years],2025)</f>
        <v>#DIV/0!</v>
      </c>
    </row>
    <row r="232" spans="1:7" x14ac:dyDescent="0.35">
      <c r="B232" t="e">
        <f>AVERAGEIFS([1]!Weo_Data[Value],[1]!Weo_Data[Subject Descriptor],"Gross domestic product, constant prices",[1]!Weo_Data[Country Name],A232,[1]!Weo_Data[Years],2025)</f>
        <v>#DIV/0!</v>
      </c>
    </row>
    <row r="233" spans="1:7" x14ac:dyDescent="0.35">
      <c r="B233" t="e">
        <f>AVERAGEIFS([1]!Weo_Data[Value],[1]!Weo_Data[Subject Descriptor],"Gross domestic product, constant prices",[1]!Weo_Data[Country Name],A233,[1]!Weo_Data[Years],2025)</f>
        <v>#DIV/0!</v>
      </c>
    </row>
    <row r="234" spans="1:7" x14ac:dyDescent="0.35">
      <c r="B234" t="e">
        <f>AVERAGEIFS([1]!Weo_Data[Value],[1]!Weo_Data[Subject Descriptor],"Gross domestic product, constant prices",[1]!Weo_Data[Country Name],A234,[1]!Weo_Data[Years],2025)</f>
        <v>#DIV/0!</v>
      </c>
    </row>
    <row r="235" spans="1:7" x14ac:dyDescent="0.35">
      <c r="A235" s="6" t="s">
        <v>20</v>
      </c>
      <c r="B235" t="s">
        <v>7</v>
      </c>
    </row>
    <row r="236" spans="1:7" x14ac:dyDescent="0.35">
      <c r="A236" s="7"/>
      <c r="B236" s="8" t="s">
        <v>29</v>
      </c>
      <c r="C236" s="7"/>
      <c r="D236" s="7"/>
      <c r="E236" s="7"/>
      <c r="F236" s="7"/>
      <c r="G236" s="7"/>
    </row>
    <row r="237" spans="1:7" x14ac:dyDescent="0.35">
      <c r="A237" s="6" t="s">
        <v>30</v>
      </c>
      <c r="B237" s="6" t="s">
        <v>9</v>
      </c>
    </row>
    <row r="238" spans="1:7" x14ac:dyDescent="0.35">
      <c r="A238" s="6" t="s">
        <v>10</v>
      </c>
      <c r="B238" t="s">
        <v>31</v>
      </c>
    </row>
    <row r="239" spans="1:7" x14ac:dyDescent="0.35">
      <c r="A239" s="3" t="s">
        <v>32</v>
      </c>
      <c r="B239">
        <v>32.643999999999998</v>
      </c>
    </row>
    <row r="240" spans="1:7" x14ac:dyDescent="0.35">
      <c r="A240" s="3" t="s">
        <v>33</v>
      </c>
      <c r="B240">
        <v>257.81799999999998</v>
      </c>
    </row>
    <row r="241" spans="1:5" x14ac:dyDescent="0.35">
      <c r="A241" s="3" t="s">
        <v>34</v>
      </c>
      <c r="B241">
        <v>46.856999999999999</v>
      </c>
    </row>
    <row r="242" spans="1:5" x14ac:dyDescent="0.35">
      <c r="A242" s="3" t="s">
        <v>35</v>
      </c>
      <c r="B242">
        <v>67.977000000000004</v>
      </c>
    </row>
    <row r="243" spans="1:5" x14ac:dyDescent="0.35">
      <c r="A243" s="3" t="s">
        <v>36</v>
      </c>
      <c r="B243">
        <v>103.27200000000001</v>
      </c>
    </row>
    <row r="244" spans="1:5" x14ac:dyDescent="0.35">
      <c r="A244" s="3" t="s">
        <v>37</v>
      </c>
      <c r="B244">
        <v>52.209000000000003</v>
      </c>
    </row>
    <row r="245" spans="1:5" x14ac:dyDescent="0.35">
      <c r="A245" s="3" t="s">
        <v>38</v>
      </c>
      <c r="B245">
        <v>38.922000000000004</v>
      </c>
    </row>
    <row r="246" spans="1:5" x14ac:dyDescent="0.35">
      <c r="A246" s="3" t="s">
        <v>39</v>
      </c>
      <c r="B246">
        <v>52.895999999999987</v>
      </c>
    </row>
    <row r="247" spans="1:5" x14ac:dyDescent="0.35">
      <c r="A247" s="3" t="s">
        <v>40</v>
      </c>
      <c r="B247">
        <v>41.911999999999999</v>
      </c>
    </row>
    <row r="248" spans="1:5" x14ac:dyDescent="0.35">
      <c r="A248" s="3" t="s">
        <v>41</v>
      </c>
      <c r="B248">
        <v>219.36799999999997</v>
      </c>
    </row>
    <row r="251" spans="1:5" x14ac:dyDescent="0.35">
      <c r="A251" s="1" t="s">
        <v>42</v>
      </c>
      <c r="B251" s="2"/>
      <c r="C251" s="2"/>
      <c r="D251" s="2"/>
      <c r="E251" s="2"/>
    </row>
    <row r="252" spans="1:5" x14ac:dyDescent="0.35">
      <c r="A252" s="6" t="s">
        <v>20</v>
      </c>
      <c r="B252" t="s">
        <v>7</v>
      </c>
    </row>
    <row r="254" spans="1:5" x14ac:dyDescent="0.35">
      <c r="A254" s="6" t="s">
        <v>30</v>
      </c>
      <c r="B254" s="6" t="s">
        <v>9</v>
      </c>
    </row>
    <row r="255" spans="1:5" x14ac:dyDescent="0.35">
      <c r="A255" s="6" t="s">
        <v>10</v>
      </c>
      <c r="B255" t="s">
        <v>43</v>
      </c>
    </row>
    <row r="256" spans="1:5" x14ac:dyDescent="0.35">
      <c r="A256" s="3" t="s">
        <v>44</v>
      </c>
      <c r="B256">
        <v>131.08199999999997</v>
      </c>
    </row>
    <row r="257" spans="1:5" x14ac:dyDescent="0.35">
      <c r="A257" s="3" t="s">
        <v>45</v>
      </c>
      <c r="B257">
        <v>125.81400000000001</v>
      </c>
    </row>
    <row r="258" spans="1:5" x14ac:dyDescent="0.35">
      <c r="A258" s="3" t="s">
        <v>46</v>
      </c>
      <c r="B258">
        <v>142.85400000000001</v>
      </c>
    </row>
    <row r="259" spans="1:5" x14ac:dyDescent="0.35">
      <c r="A259" s="3" t="s">
        <v>47</v>
      </c>
      <c r="B259">
        <v>650.26499999999999</v>
      </c>
    </row>
    <row r="260" spans="1:5" x14ac:dyDescent="0.35">
      <c r="A260" s="3" t="s">
        <v>48</v>
      </c>
      <c r="B260">
        <v>148.77200000000002</v>
      </c>
    </row>
    <row r="261" spans="1:5" x14ac:dyDescent="0.35">
      <c r="A261" s="3" t="s">
        <v>49</v>
      </c>
      <c r="B261">
        <v>148.04700000000003</v>
      </c>
    </row>
    <row r="262" spans="1:5" x14ac:dyDescent="0.35">
      <c r="A262" s="3" t="s">
        <v>50</v>
      </c>
      <c r="B262">
        <v>126.24300000000002</v>
      </c>
    </row>
    <row r="263" spans="1:5" x14ac:dyDescent="0.35">
      <c r="A263" s="3" t="s">
        <v>51</v>
      </c>
      <c r="B263">
        <v>136.86799999999997</v>
      </c>
    </row>
    <row r="264" spans="1:5" x14ac:dyDescent="0.35">
      <c r="A264" s="3" t="s">
        <v>52</v>
      </c>
      <c r="B264">
        <v>138.00900000000001</v>
      </c>
    </row>
    <row r="265" spans="1:5" x14ac:dyDescent="0.35">
      <c r="A265" s="3" t="s">
        <v>53</v>
      </c>
      <c r="B265">
        <v>145.18800000000002</v>
      </c>
    </row>
    <row r="266" spans="1:5" x14ac:dyDescent="0.35">
      <c r="A266" s="6" t="s">
        <v>20</v>
      </c>
      <c r="B266" t="s">
        <v>7</v>
      </c>
    </row>
    <row r="267" spans="1:5" x14ac:dyDescent="0.35">
      <c r="A267" s="1" t="s">
        <v>54</v>
      </c>
      <c r="B267" s="2"/>
      <c r="C267" s="2"/>
      <c r="D267" s="2"/>
      <c r="E267" s="2"/>
    </row>
    <row r="268" spans="1:5" x14ac:dyDescent="0.35">
      <c r="A268" s="6" t="s">
        <v>30</v>
      </c>
      <c r="B268" s="6" t="s">
        <v>9</v>
      </c>
    </row>
    <row r="269" spans="1:5" x14ac:dyDescent="0.35">
      <c r="A269" s="6" t="s">
        <v>10</v>
      </c>
      <c r="B269" t="s">
        <v>55</v>
      </c>
    </row>
    <row r="270" spans="1:5" x14ac:dyDescent="0.35">
      <c r="A270" s="3" t="s">
        <v>56</v>
      </c>
      <c r="B270">
        <v>-132.172</v>
      </c>
    </row>
    <row r="271" spans="1:5" x14ac:dyDescent="0.35">
      <c r="A271" s="3" t="s">
        <v>57</v>
      </c>
      <c r="B271">
        <v>-128.63200000000001</v>
      </c>
    </row>
    <row r="272" spans="1:5" x14ac:dyDescent="0.35">
      <c r="A272" s="3" t="s">
        <v>34</v>
      </c>
      <c r="B272">
        <v>-154.47200000000001</v>
      </c>
    </row>
    <row r="273" spans="1:2" x14ac:dyDescent="0.35">
      <c r="A273" s="3" t="s">
        <v>58</v>
      </c>
      <c r="B273">
        <v>-125.54599999999999</v>
      </c>
    </row>
    <row r="274" spans="1:2" x14ac:dyDescent="0.35">
      <c r="A274" s="3" t="s">
        <v>36</v>
      </c>
      <c r="B274">
        <v>-124.85200000000002</v>
      </c>
    </row>
    <row r="275" spans="1:2" x14ac:dyDescent="0.35">
      <c r="A275" s="3" t="s">
        <v>38</v>
      </c>
      <c r="B275">
        <v>-172.67999999999995</v>
      </c>
    </row>
    <row r="276" spans="1:2" x14ac:dyDescent="0.35">
      <c r="A276" s="3" t="s">
        <v>50</v>
      </c>
      <c r="B276">
        <v>-179.714</v>
      </c>
    </row>
    <row r="277" spans="1:2" x14ac:dyDescent="0.35">
      <c r="A277" s="3" t="s">
        <v>59</v>
      </c>
      <c r="B277">
        <v>-135.01799999999997</v>
      </c>
    </row>
    <row r="278" spans="1:2" x14ac:dyDescent="0.35">
      <c r="A278" s="3" t="s">
        <v>60</v>
      </c>
      <c r="B278">
        <v>-423.77000000000004</v>
      </c>
    </row>
    <row r="279" spans="1:2" x14ac:dyDescent="0.35">
      <c r="A279" s="3" t="s">
        <v>61</v>
      </c>
      <c r="B279">
        <v>-137.06</v>
      </c>
    </row>
  </sheetData>
  <mergeCells count="6">
    <mergeCell ref="A267:E267"/>
    <mergeCell ref="A1:F1"/>
    <mergeCell ref="A8:F8"/>
    <mergeCell ref="A21:F21"/>
    <mergeCell ref="A34:F34"/>
    <mergeCell ref="A251:E2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shubh0001.raj@gmail.com</cp:lastModifiedBy>
  <dcterms:created xsi:type="dcterms:W3CDTF">2015-06-05T18:17:20Z</dcterms:created>
  <dcterms:modified xsi:type="dcterms:W3CDTF">2025-12-12T10:01:28Z</dcterms:modified>
</cp:coreProperties>
</file>